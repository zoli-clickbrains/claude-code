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Útmutató" sheetId="1" state="visible" r:id="rId1"/>
    <sheet name="Ügyfelek" sheetId="2" state="visible" r:id="rId2"/>
    <sheet name="Rangsor" sheetId="3" state="visible" r:id="rId3"/>
    <sheet name="Eredmény" sheetId="4" state="visible" r:id="rId4"/>
    <sheet name="Beállítások" sheetId="5" state="visible" r:id="rId5"/>
  </sheets>
  <definedNames>
    <definedName name="_xlnm._FilterDatabase" localSheetId="3" hidden="1">'Eredmény'!$A$1:$AB$201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"/>
    <numFmt numFmtId="165" formatCode="#,##0&quot; Ft&quot;"/>
    <numFmt numFmtId="166" formatCode="0.0%"/>
    <numFmt numFmtId="167" formatCode="0.0"/>
  </numFmts>
  <fonts count="7">
    <font>
      <name val="Calibri"/>
      <family val="2"/>
      <color theme="1"/>
      <sz val="11"/>
      <scheme val="minor"/>
    </font>
    <font>
      <b val="1"/>
      <color rgb="00032D42"/>
      <sz val="14"/>
    </font>
    <font>
      <b val="1"/>
      <color rgb="00032D42"/>
      <sz val="12"/>
    </font>
    <font>
      <b val="1"/>
      <color rgb="00FFFFFF"/>
    </font>
    <font>
      <b val="1"/>
    </font>
    <font>
      <i val="1"/>
    </font>
    <font>
      <i val="1"/>
      <color rgb="00898781"/>
    </font>
  </fonts>
  <fills count="4">
    <fill>
      <patternFill/>
    </fill>
    <fill>
      <patternFill patternType="gray125"/>
    </fill>
    <fill>
      <patternFill patternType="solid">
        <fgColor rgb="00032D42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bottom style="thin">
        <color rgb="00C3C2B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165" fontId="0" fillId="0" borderId="0" pivotButton="0" quotePrefix="0" xfId="0"/>
    <xf numFmtId="0" fontId="1" fillId="0" borderId="0" pivotButton="0" quotePrefix="0" xfId="0"/>
    <xf numFmtId="1" fontId="0" fillId="0" borderId="1" pivotButton="0" quotePrefix="0" xfId="0"/>
    <xf numFmtId="0" fontId="0" fillId="0" borderId="1" pivotButton="0" quotePrefix="0" xfId="0"/>
    <xf numFmtId="167" fontId="0" fillId="0" borderId="1" pivotButton="0" quotePrefix="0" xfId="0"/>
    <xf numFmtId="165" fontId="0" fillId="0" borderId="1" pivotButton="0" quotePrefix="0" xfId="0"/>
    <xf numFmtId="9" fontId="0" fillId="0" borderId="1" pivotButton="0" quotePrefix="0" xfId="0"/>
    <xf numFmtId="0" fontId="6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3" fillId="2" borderId="0" pivotButton="0" quotePrefix="0" xfId="0"/>
    <xf numFmtId="164" fontId="0" fillId="3" borderId="0" pivotButton="0" quotePrefix="0" xfId="0"/>
    <xf numFmtId="1" fontId="0" fillId="3" borderId="0" pivotButton="0" quotePrefix="0" xfId="0"/>
    <xf numFmtId="165" fontId="0" fillId="3" borderId="0" pivotButton="0" quotePrefix="0" xfId="0"/>
    <xf numFmtId="9" fontId="0" fillId="3" borderId="0" pivotButton="0" quotePrefix="0" xfId="0"/>
    <xf numFmtId="2" fontId="0" fillId="3" borderId="0" pivotButton="0" quotePrefix="0" xfId="0"/>
    <xf numFmtId="166" fontId="0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8EFC0"/>
        </patternFill>
      </fill>
    </dxf>
    <dxf>
      <fill>
        <patternFill patternType="solid">
          <fgColor rgb="00E3F4D9"/>
        </patternFill>
      </fill>
    </dxf>
    <dxf>
      <fill>
        <patternFill patternType="solid">
          <fgColor rgb="00FDEBC2"/>
        </patternFill>
      </fill>
    </dxf>
    <dxf>
      <fill>
        <patternFill patternType="solid">
          <fgColor rgb="00F6CFCF"/>
        </patternFill>
      </fill>
    </dxf>
    <dxf>
      <font>
        <b val="1"/>
        <color rgb="001C7A3E"/>
      </font>
    </dxf>
    <dxf>
      <font>
        <b val="1"/>
        <color rgb="00C234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ICP ügyfélminősítő – útmutató</t>
        </is>
      </c>
    </row>
    <row r="2">
      <c r="A2" s="2" t="inlineStr"/>
    </row>
    <row r="3">
      <c r="A3" s="3" t="inlineStr">
        <is>
          <t>Mire jó?</t>
        </is>
      </c>
    </row>
    <row r="4">
      <c r="A4" s="2" t="inlineStr">
        <is>
          <t>Az ügyfeleket 11 kritérium alapján 0–100 pontra értékeli, A–D szintbe sorolja, rangsorolja, és havi díjat javasol az online marketing munkára.</t>
        </is>
      </c>
    </row>
    <row r="5">
      <c r="A5" s="2" t="inlineStr"/>
    </row>
    <row r="6">
      <c r="A6" s="3" t="inlineStr">
        <is>
          <t>Használat</t>
        </is>
      </c>
    </row>
    <row r="7">
      <c r="A7" s="2" t="inlineStr">
        <is>
          <t>1. Ügyfelek lap: ügyfelenként egy sor. A legördülő listák és az 1–5 skálák ellenőrzöttek. Az üres mező hiányzó adatnak számít (alapból 2 pont), ezért érdemes mindent kitölteni.</t>
        </is>
      </c>
    </row>
    <row r="8">
      <c r="A8" s="2" t="inlineStr">
        <is>
          <t>2. Rangsor lap: a pontszám szerinti sorrend, szinttel és díjjavaslattal. Csak olvasható.</t>
        </is>
      </c>
    </row>
    <row r="9">
      <c r="A9" s="2" t="inlineStr">
        <is>
          <t>3. Eredmény lap: kritériumonkénti pontok és a díjszámítás részletei. Szűrhető.</t>
        </is>
      </c>
    </row>
    <row r="10">
      <c r="A10" s="2" t="inlineStr">
        <is>
          <t>4. Beállítások lap: a súlyok, sávhatárok, iparági pontok, szintek és díjparaméterek (sárga cellák).</t>
        </is>
      </c>
    </row>
    <row r="11">
      <c r="A11" s="2" t="inlineStr"/>
    </row>
    <row r="12">
      <c r="A12" s="3" t="inlineStr">
        <is>
          <t>Pontozás</t>
        </is>
      </c>
    </row>
    <row r="13">
      <c r="A13" s="2" t="inlineStr">
        <is>
          <t>Minden kritérium 1–5 pontot kap (sáv, kézi skála vagy iparági lista alapján). ICP pontszám = Σ súly × (pont − 1) / 4, így 0 és 100 közé esik.</t>
        </is>
      </c>
    </row>
    <row r="14">
      <c r="A14" s="2" t="inlineStr">
        <is>
          <t>Szintek: A ≥ 80 (ideális ügyfél), B ≥ 65, C ≥ 50, D &lt; 50.</t>
        </is>
      </c>
    </row>
    <row r="15">
      <c r="A15" s="2" t="inlineStr">
        <is>
          <t>A „Leggyengébb terület” az a kritérium, ahol a legtöbb súlyozott pont veszik el – itt érdemes fejleszteni vagy tárgyalni.</t>
        </is>
      </c>
    </row>
    <row r="16">
      <c r="A16" s="2" t="inlineStr"/>
    </row>
    <row r="17">
      <c r="A17" s="3" t="inlineStr">
        <is>
          <t>Díjjavaslat</t>
        </is>
      </c>
    </row>
    <row r="18">
      <c r="A18" s="2" t="inlineStr">
        <is>
          <t>Munkadíj = csatornák alapdíja (Google, Meta, egyéb) + becsült havi óra × óradíj.</t>
        </is>
      </c>
    </row>
    <row r="19">
      <c r="A19" s="2" t="inlineStr">
        <is>
          <t>Javasolt díj = a három közül a legnagyobb, felfelé kerekítve: munkadíj × szintszorzó | hirdetési keret × keretarány | minimumdíj.</t>
        </is>
      </c>
    </row>
    <row r="20">
      <c r="A20" s="2" t="inlineStr">
        <is>
          <t>A szintszorzó a kockázatot és a többletenergiát árazza: A = 1,00; B = 1,05; C = 1,15; D = 1,30.</t>
        </is>
      </c>
    </row>
    <row r="21">
      <c r="A21" s="2" t="inlineStr">
        <is>
          <t>Az „Eltérés” a jelenlegi díjhoz képest mutatja, hol érdemes árat emelni (pozitív) vagy hol fizet az ügyfél a javasoltnál többet (negatív).</t>
        </is>
      </c>
    </row>
    <row r="22">
      <c r="A22" s="2" t="inlineStr">
        <is>
          <t>Jutalék: a Beállítások „Jutalék % (később)” oszlopa most 0. Ha kitöltöd, a mért bevétel arányában számol opcionális jutalékot.</t>
        </is>
      </c>
    </row>
    <row r="23">
      <c r="A23" s="2" t="inlineStr"/>
    </row>
    <row r="24">
      <c r="A24" s="3" t="inlineStr">
        <is>
          <t>Google Táblázatok</t>
        </is>
      </c>
    </row>
    <row r="25">
      <c r="A25" s="2" t="inlineStr">
        <is>
          <t>A fájl feltölthető Google Drive-ra és megnyitható Google Táblázatként; a képletek ott is működnek.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AB219"/>
    <outlinePr summaryBelow="1" summaryRight="1"/>
    <pageSetUpPr/>
  </sheetPr>
  <dimension ref="A1:S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1" customWidth="1" min="9" max="9"/>
    <col width="13" customWidth="1" min="10" max="10"/>
    <col width="13" customWidth="1" min="11" max="11"/>
    <col width="12" customWidth="1" min="12" max="12"/>
    <col width="14" customWidth="1" min="13" max="13"/>
    <col width="12" customWidth="1" min="14" max="14"/>
    <col width="13" customWidth="1" min="15" max="15"/>
    <col width="12" customWidth="1" min="16" max="16"/>
    <col width="15" customWidth="1" min="17" max="17"/>
    <col width="15" customWidth="1" min="18" max="18"/>
    <col width="30" customWidth="1" min="19" max="19"/>
  </cols>
  <sheetData>
    <row r="1" ht="45" customHeight="1">
      <c r="A1" s="4" t="inlineStr">
        <is>
          <t>Ügyfél neve</t>
        </is>
      </c>
      <c r="B1" s="4" t="inlineStr">
        <is>
          <t>Iparág</t>
        </is>
      </c>
      <c r="C1" s="4" t="inlineStr">
        <is>
          <t>Éves árbevétel (M Ft)</t>
        </is>
      </c>
      <c r="D1" s="4" t="inlineStr">
        <is>
          <t>Havi hirdetési keret (Ft)</t>
        </is>
      </c>
      <c r="E1" s="4" t="inlineStr">
        <is>
          <t>Google Ads (igen/nem)</t>
        </is>
      </c>
      <c r="F1" s="4" t="inlineStr">
        <is>
          <t>Meta (igen/nem)</t>
        </is>
      </c>
      <c r="G1" s="4" t="inlineStr">
        <is>
          <t>Egyéb csatornák száma</t>
        </is>
      </c>
      <c r="H1" s="4" t="inlineStr">
        <is>
          <t>Becsült havi munkaóra</t>
        </is>
      </c>
      <c r="I1" s="4" t="inlineStr">
        <is>
          <t>Jelenlegi ROAS</t>
        </is>
      </c>
      <c r="J1" s="4" t="inlineStr">
        <is>
          <t>Átlagos fizetési késés (nap)</t>
        </is>
      </c>
      <c r="K1" s="4" t="inlineStr">
        <is>
          <t>Együttműködés hossza (hónap)</t>
        </is>
      </c>
      <c r="L1" s="4" t="inlineStr">
        <is>
          <t>Marketing-érettség (1–5)</t>
        </is>
      </c>
      <c r="M1" s="4" t="inlineStr">
        <is>
          <t>Döntéshozó, együttműködés (1–5)</t>
        </is>
      </c>
      <c r="N1" s="4" t="inlineStr">
        <is>
          <t>Növekedési potenciál (1–5)</t>
        </is>
      </c>
      <c r="O1" s="4" t="inlineStr">
        <is>
          <t>Ajánlási, referenciaérték (1–5)</t>
        </is>
      </c>
      <c r="P1" s="4" t="inlineStr">
        <is>
          <t>Kezelhetőség (1–5)</t>
        </is>
      </c>
      <c r="Q1" s="4" t="inlineStr">
        <is>
          <t>Jelenlegi havi díj (Ft)</t>
        </is>
      </c>
      <c r="R1" s="4" t="inlineStr">
        <is>
          <t>Havi mért bevétel (Ft)</t>
        </is>
      </c>
      <c r="S1" s="4" t="inlineStr">
        <is>
          <t>Megjegyzés</t>
        </is>
      </c>
    </row>
    <row r="2">
      <c r="D2" s="5" t="n"/>
      <c r="Q2" s="5" t="n"/>
      <c r="R2" s="5" t="n"/>
    </row>
    <row r="3">
      <c r="D3" s="5" t="n"/>
      <c r="Q3" s="5" t="n"/>
      <c r="R3" s="5" t="n"/>
    </row>
    <row r="4">
      <c r="D4" s="5" t="n"/>
      <c r="Q4" s="5" t="n"/>
      <c r="R4" s="5" t="n"/>
    </row>
    <row r="5">
      <c r="D5" s="5" t="n"/>
      <c r="Q5" s="5" t="n"/>
      <c r="R5" s="5" t="n"/>
    </row>
    <row r="6">
      <c r="D6" s="5" t="n"/>
      <c r="Q6" s="5" t="n"/>
      <c r="R6" s="5" t="n"/>
    </row>
    <row r="7">
      <c r="D7" s="5" t="n"/>
      <c r="Q7" s="5" t="n"/>
      <c r="R7" s="5" t="n"/>
    </row>
    <row r="8">
      <c r="D8" s="5" t="n"/>
      <c r="Q8" s="5" t="n"/>
      <c r="R8" s="5" t="n"/>
    </row>
    <row r="9">
      <c r="D9" s="5" t="n"/>
      <c r="Q9" s="5" t="n"/>
      <c r="R9" s="5" t="n"/>
    </row>
    <row r="10">
      <c r="D10" s="5" t="n"/>
      <c r="Q10" s="5" t="n"/>
      <c r="R10" s="5" t="n"/>
    </row>
    <row r="11">
      <c r="D11" s="5" t="n"/>
      <c r="Q11" s="5" t="n"/>
      <c r="R11" s="5" t="n"/>
    </row>
    <row r="12">
      <c r="D12" s="5" t="n"/>
      <c r="Q12" s="5" t="n"/>
      <c r="R12" s="5" t="n"/>
    </row>
    <row r="13">
      <c r="D13" s="5" t="n"/>
      <c r="Q13" s="5" t="n"/>
      <c r="R13" s="5" t="n"/>
    </row>
    <row r="14">
      <c r="D14" s="5" t="n"/>
      <c r="Q14" s="5" t="n"/>
      <c r="R14" s="5" t="n"/>
    </row>
    <row r="15">
      <c r="D15" s="5" t="n"/>
      <c r="Q15" s="5" t="n"/>
      <c r="R15" s="5" t="n"/>
    </row>
    <row r="16">
      <c r="D16" s="5" t="n"/>
      <c r="Q16" s="5" t="n"/>
      <c r="R16" s="5" t="n"/>
    </row>
    <row r="17">
      <c r="D17" s="5" t="n"/>
      <c r="Q17" s="5" t="n"/>
      <c r="R17" s="5" t="n"/>
    </row>
    <row r="18">
      <c r="D18" s="5" t="n"/>
      <c r="Q18" s="5" t="n"/>
      <c r="R18" s="5" t="n"/>
    </row>
    <row r="19">
      <c r="D19" s="5" t="n"/>
      <c r="Q19" s="5" t="n"/>
      <c r="R19" s="5" t="n"/>
    </row>
    <row r="20">
      <c r="D20" s="5" t="n"/>
      <c r="Q20" s="5" t="n"/>
      <c r="R20" s="5" t="n"/>
    </row>
    <row r="21">
      <c r="D21" s="5" t="n"/>
      <c r="Q21" s="5" t="n"/>
      <c r="R21" s="5" t="n"/>
    </row>
    <row r="22">
      <c r="D22" s="5" t="n"/>
      <c r="Q22" s="5" t="n"/>
      <c r="R22" s="5" t="n"/>
    </row>
    <row r="23">
      <c r="D23" s="5" t="n"/>
      <c r="Q23" s="5" t="n"/>
      <c r="R23" s="5" t="n"/>
    </row>
    <row r="24">
      <c r="D24" s="5" t="n"/>
      <c r="Q24" s="5" t="n"/>
      <c r="R24" s="5" t="n"/>
    </row>
    <row r="25">
      <c r="D25" s="5" t="n"/>
      <c r="Q25" s="5" t="n"/>
      <c r="R25" s="5" t="n"/>
    </row>
    <row r="26">
      <c r="D26" s="5" t="n"/>
      <c r="Q26" s="5" t="n"/>
      <c r="R26" s="5" t="n"/>
    </row>
    <row r="27">
      <c r="D27" s="5" t="n"/>
      <c r="Q27" s="5" t="n"/>
      <c r="R27" s="5" t="n"/>
    </row>
    <row r="28">
      <c r="D28" s="5" t="n"/>
      <c r="Q28" s="5" t="n"/>
      <c r="R28" s="5" t="n"/>
    </row>
    <row r="29">
      <c r="D29" s="5" t="n"/>
      <c r="Q29" s="5" t="n"/>
      <c r="R29" s="5" t="n"/>
    </row>
    <row r="30">
      <c r="D30" s="5" t="n"/>
      <c r="Q30" s="5" t="n"/>
      <c r="R30" s="5" t="n"/>
    </row>
    <row r="31">
      <c r="D31" s="5" t="n"/>
      <c r="Q31" s="5" t="n"/>
      <c r="R31" s="5" t="n"/>
    </row>
    <row r="32">
      <c r="D32" s="5" t="n"/>
      <c r="Q32" s="5" t="n"/>
      <c r="R32" s="5" t="n"/>
    </row>
    <row r="33">
      <c r="D33" s="5" t="n"/>
      <c r="Q33" s="5" t="n"/>
      <c r="R33" s="5" t="n"/>
    </row>
    <row r="34">
      <c r="D34" s="5" t="n"/>
      <c r="Q34" s="5" t="n"/>
      <c r="R34" s="5" t="n"/>
    </row>
    <row r="35">
      <c r="D35" s="5" t="n"/>
      <c r="Q35" s="5" t="n"/>
      <c r="R35" s="5" t="n"/>
    </row>
    <row r="36">
      <c r="D36" s="5" t="n"/>
      <c r="Q36" s="5" t="n"/>
      <c r="R36" s="5" t="n"/>
    </row>
    <row r="37">
      <c r="D37" s="5" t="n"/>
      <c r="Q37" s="5" t="n"/>
      <c r="R37" s="5" t="n"/>
    </row>
    <row r="38">
      <c r="D38" s="5" t="n"/>
      <c r="Q38" s="5" t="n"/>
      <c r="R38" s="5" t="n"/>
    </row>
    <row r="39">
      <c r="D39" s="5" t="n"/>
      <c r="Q39" s="5" t="n"/>
      <c r="R39" s="5" t="n"/>
    </row>
    <row r="40">
      <c r="D40" s="5" t="n"/>
      <c r="Q40" s="5" t="n"/>
      <c r="R40" s="5" t="n"/>
    </row>
    <row r="41">
      <c r="D41" s="5" t="n"/>
      <c r="Q41" s="5" t="n"/>
      <c r="R41" s="5" t="n"/>
    </row>
    <row r="42">
      <c r="D42" s="5" t="n"/>
      <c r="Q42" s="5" t="n"/>
      <c r="R42" s="5" t="n"/>
    </row>
    <row r="43">
      <c r="D43" s="5" t="n"/>
      <c r="Q43" s="5" t="n"/>
      <c r="R43" s="5" t="n"/>
    </row>
    <row r="44">
      <c r="D44" s="5" t="n"/>
      <c r="Q44" s="5" t="n"/>
      <c r="R44" s="5" t="n"/>
    </row>
    <row r="45">
      <c r="D45" s="5" t="n"/>
      <c r="Q45" s="5" t="n"/>
      <c r="R45" s="5" t="n"/>
    </row>
    <row r="46">
      <c r="D46" s="5" t="n"/>
      <c r="Q46" s="5" t="n"/>
      <c r="R46" s="5" t="n"/>
    </row>
    <row r="47">
      <c r="D47" s="5" t="n"/>
      <c r="Q47" s="5" t="n"/>
      <c r="R47" s="5" t="n"/>
    </row>
    <row r="48">
      <c r="D48" s="5" t="n"/>
      <c r="Q48" s="5" t="n"/>
      <c r="R48" s="5" t="n"/>
    </row>
    <row r="49">
      <c r="D49" s="5" t="n"/>
      <c r="Q49" s="5" t="n"/>
      <c r="R49" s="5" t="n"/>
    </row>
    <row r="50">
      <c r="D50" s="5" t="n"/>
      <c r="Q50" s="5" t="n"/>
      <c r="R50" s="5" t="n"/>
    </row>
    <row r="51">
      <c r="D51" s="5" t="n"/>
      <c r="Q51" s="5" t="n"/>
      <c r="R51" s="5" t="n"/>
    </row>
    <row r="52">
      <c r="D52" s="5" t="n"/>
      <c r="Q52" s="5" t="n"/>
      <c r="R52" s="5" t="n"/>
    </row>
    <row r="53">
      <c r="D53" s="5" t="n"/>
      <c r="Q53" s="5" t="n"/>
      <c r="R53" s="5" t="n"/>
    </row>
    <row r="54">
      <c r="D54" s="5" t="n"/>
      <c r="Q54" s="5" t="n"/>
      <c r="R54" s="5" t="n"/>
    </row>
    <row r="55">
      <c r="D55" s="5" t="n"/>
      <c r="Q55" s="5" t="n"/>
      <c r="R55" s="5" t="n"/>
    </row>
    <row r="56">
      <c r="D56" s="5" t="n"/>
      <c r="Q56" s="5" t="n"/>
      <c r="R56" s="5" t="n"/>
    </row>
    <row r="57">
      <c r="D57" s="5" t="n"/>
      <c r="Q57" s="5" t="n"/>
      <c r="R57" s="5" t="n"/>
    </row>
    <row r="58">
      <c r="D58" s="5" t="n"/>
      <c r="Q58" s="5" t="n"/>
      <c r="R58" s="5" t="n"/>
    </row>
    <row r="59">
      <c r="D59" s="5" t="n"/>
      <c r="Q59" s="5" t="n"/>
      <c r="R59" s="5" t="n"/>
    </row>
    <row r="60">
      <c r="D60" s="5" t="n"/>
      <c r="Q60" s="5" t="n"/>
      <c r="R60" s="5" t="n"/>
    </row>
    <row r="61">
      <c r="D61" s="5" t="n"/>
      <c r="Q61" s="5" t="n"/>
      <c r="R61" s="5" t="n"/>
    </row>
    <row r="62">
      <c r="D62" s="5" t="n"/>
      <c r="Q62" s="5" t="n"/>
      <c r="R62" s="5" t="n"/>
    </row>
    <row r="63">
      <c r="D63" s="5" t="n"/>
      <c r="Q63" s="5" t="n"/>
      <c r="R63" s="5" t="n"/>
    </row>
    <row r="64">
      <c r="D64" s="5" t="n"/>
      <c r="Q64" s="5" t="n"/>
      <c r="R64" s="5" t="n"/>
    </row>
    <row r="65">
      <c r="D65" s="5" t="n"/>
      <c r="Q65" s="5" t="n"/>
      <c r="R65" s="5" t="n"/>
    </row>
    <row r="66">
      <c r="D66" s="5" t="n"/>
      <c r="Q66" s="5" t="n"/>
      <c r="R66" s="5" t="n"/>
    </row>
    <row r="67">
      <c r="D67" s="5" t="n"/>
      <c r="Q67" s="5" t="n"/>
      <c r="R67" s="5" t="n"/>
    </row>
    <row r="68">
      <c r="D68" s="5" t="n"/>
      <c r="Q68" s="5" t="n"/>
      <c r="R68" s="5" t="n"/>
    </row>
    <row r="69">
      <c r="D69" s="5" t="n"/>
      <c r="Q69" s="5" t="n"/>
      <c r="R69" s="5" t="n"/>
    </row>
    <row r="70">
      <c r="D70" s="5" t="n"/>
      <c r="Q70" s="5" t="n"/>
      <c r="R70" s="5" t="n"/>
    </row>
    <row r="71">
      <c r="D71" s="5" t="n"/>
      <c r="Q71" s="5" t="n"/>
      <c r="R71" s="5" t="n"/>
    </row>
    <row r="72">
      <c r="D72" s="5" t="n"/>
      <c r="Q72" s="5" t="n"/>
      <c r="R72" s="5" t="n"/>
    </row>
    <row r="73">
      <c r="D73" s="5" t="n"/>
      <c r="Q73" s="5" t="n"/>
      <c r="R73" s="5" t="n"/>
    </row>
    <row r="74">
      <c r="D74" s="5" t="n"/>
      <c r="Q74" s="5" t="n"/>
      <c r="R74" s="5" t="n"/>
    </row>
    <row r="75">
      <c r="D75" s="5" t="n"/>
      <c r="Q75" s="5" t="n"/>
      <c r="R75" s="5" t="n"/>
    </row>
    <row r="76">
      <c r="D76" s="5" t="n"/>
      <c r="Q76" s="5" t="n"/>
      <c r="R76" s="5" t="n"/>
    </row>
    <row r="77">
      <c r="D77" s="5" t="n"/>
      <c r="Q77" s="5" t="n"/>
      <c r="R77" s="5" t="n"/>
    </row>
    <row r="78">
      <c r="D78" s="5" t="n"/>
      <c r="Q78" s="5" t="n"/>
      <c r="R78" s="5" t="n"/>
    </row>
    <row r="79">
      <c r="D79" s="5" t="n"/>
      <c r="Q79" s="5" t="n"/>
      <c r="R79" s="5" t="n"/>
    </row>
    <row r="80">
      <c r="D80" s="5" t="n"/>
      <c r="Q80" s="5" t="n"/>
      <c r="R80" s="5" t="n"/>
    </row>
    <row r="81">
      <c r="D81" s="5" t="n"/>
      <c r="Q81" s="5" t="n"/>
      <c r="R81" s="5" t="n"/>
    </row>
    <row r="82">
      <c r="D82" s="5" t="n"/>
      <c r="Q82" s="5" t="n"/>
      <c r="R82" s="5" t="n"/>
    </row>
    <row r="83">
      <c r="D83" s="5" t="n"/>
      <c r="Q83" s="5" t="n"/>
      <c r="R83" s="5" t="n"/>
    </row>
    <row r="84">
      <c r="D84" s="5" t="n"/>
      <c r="Q84" s="5" t="n"/>
      <c r="R84" s="5" t="n"/>
    </row>
    <row r="85">
      <c r="D85" s="5" t="n"/>
      <c r="Q85" s="5" t="n"/>
      <c r="R85" s="5" t="n"/>
    </row>
    <row r="86">
      <c r="D86" s="5" t="n"/>
      <c r="Q86" s="5" t="n"/>
      <c r="R86" s="5" t="n"/>
    </row>
    <row r="87">
      <c r="D87" s="5" t="n"/>
      <c r="Q87" s="5" t="n"/>
      <c r="R87" s="5" t="n"/>
    </row>
    <row r="88">
      <c r="D88" s="5" t="n"/>
      <c r="Q88" s="5" t="n"/>
      <c r="R88" s="5" t="n"/>
    </row>
    <row r="89">
      <c r="D89" s="5" t="n"/>
      <c r="Q89" s="5" t="n"/>
      <c r="R89" s="5" t="n"/>
    </row>
    <row r="90">
      <c r="D90" s="5" t="n"/>
      <c r="Q90" s="5" t="n"/>
      <c r="R90" s="5" t="n"/>
    </row>
    <row r="91">
      <c r="D91" s="5" t="n"/>
      <c r="Q91" s="5" t="n"/>
      <c r="R91" s="5" t="n"/>
    </row>
    <row r="92">
      <c r="D92" s="5" t="n"/>
      <c r="Q92" s="5" t="n"/>
      <c r="R92" s="5" t="n"/>
    </row>
    <row r="93">
      <c r="D93" s="5" t="n"/>
      <c r="Q93" s="5" t="n"/>
      <c r="R93" s="5" t="n"/>
    </row>
    <row r="94">
      <c r="D94" s="5" t="n"/>
      <c r="Q94" s="5" t="n"/>
      <c r="R94" s="5" t="n"/>
    </row>
    <row r="95">
      <c r="D95" s="5" t="n"/>
      <c r="Q95" s="5" t="n"/>
      <c r="R95" s="5" t="n"/>
    </row>
    <row r="96">
      <c r="D96" s="5" t="n"/>
      <c r="Q96" s="5" t="n"/>
      <c r="R96" s="5" t="n"/>
    </row>
    <row r="97">
      <c r="D97" s="5" t="n"/>
      <c r="Q97" s="5" t="n"/>
      <c r="R97" s="5" t="n"/>
    </row>
    <row r="98">
      <c r="D98" s="5" t="n"/>
      <c r="Q98" s="5" t="n"/>
      <c r="R98" s="5" t="n"/>
    </row>
    <row r="99">
      <c r="D99" s="5" t="n"/>
      <c r="Q99" s="5" t="n"/>
      <c r="R99" s="5" t="n"/>
    </row>
    <row r="100">
      <c r="D100" s="5" t="n"/>
      <c r="Q100" s="5" t="n"/>
      <c r="R100" s="5" t="n"/>
    </row>
    <row r="101">
      <c r="D101" s="5" t="n"/>
      <c r="Q101" s="5" t="n"/>
      <c r="R101" s="5" t="n"/>
    </row>
    <row r="102">
      <c r="D102" s="5" t="n"/>
      <c r="Q102" s="5" t="n"/>
      <c r="R102" s="5" t="n"/>
    </row>
    <row r="103">
      <c r="D103" s="5" t="n"/>
      <c r="Q103" s="5" t="n"/>
      <c r="R103" s="5" t="n"/>
    </row>
    <row r="104">
      <c r="D104" s="5" t="n"/>
      <c r="Q104" s="5" t="n"/>
      <c r="R104" s="5" t="n"/>
    </row>
    <row r="105">
      <c r="D105" s="5" t="n"/>
      <c r="Q105" s="5" t="n"/>
      <c r="R105" s="5" t="n"/>
    </row>
    <row r="106">
      <c r="D106" s="5" t="n"/>
      <c r="Q106" s="5" t="n"/>
      <c r="R106" s="5" t="n"/>
    </row>
    <row r="107">
      <c r="D107" s="5" t="n"/>
      <c r="Q107" s="5" t="n"/>
      <c r="R107" s="5" t="n"/>
    </row>
    <row r="108">
      <c r="D108" s="5" t="n"/>
      <c r="Q108" s="5" t="n"/>
      <c r="R108" s="5" t="n"/>
    </row>
    <row r="109">
      <c r="D109" s="5" t="n"/>
      <c r="Q109" s="5" t="n"/>
      <c r="R109" s="5" t="n"/>
    </row>
    <row r="110">
      <c r="D110" s="5" t="n"/>
      <c r="Q110" s="5" t="n"/>
      <c r="R110" s="5" t="n"/>
    </row>
    <row r="111">
      <c r="D111" s="5" t="n"/>
      <c r="Q111" s="5" t="n"/>
      <c r="R111" s="5" t="n"/>
    </row>
    <row r="112">
      <c r="D112" s="5" t="n"/>
      <c r="Q112" s="5" t="n"/>
      <c r="R112" s="5" t="n"/>
    </row>
    <row r="113">
      <c r="D113" s="5" t="n"/>
      <c r="Q113" s="5" t="n"/>
      <c r="R113" s="5" t="n"/>
    </row>
    <row r="114">
      <c r="D114" s="5" t="n"/>
      <c r="Q114" s="5" t="n"/>
      <c r="R114" s="5" t="n"/>
    </row>
    <row r="115">
      <c r="D115" s="5" t="n"/>
      <c r="Q115" s="5" t="n"/>
      <c r="R115" s="5" t="n"/>
    </row>
    <row r="116">
      <c r="D116" s="5" t="n"/>
      <c r="Q116" s="5" t="n"/>
      <c r="R116" s="5" t="n"/>
    </row>
    <row r="117">
      <c r="D117" s="5" t="n"/>
      <c r="Q117" s="5" t="n"/>
      <c r="R117" s="5" t="n"/>
    </row>
    <row r="118">
      <c r="D118" s="5" t="n"/>
      <c r="Q118" s="5" t="n"/>
      <c r="R118" s="5" t="n"/>
    </row>
    <row r="119">
      <c r="D119" s="5" t="n"/>
      <c r="Q119" s="5" t="n"/>
      <c r="R119" s="5" t="n"/>
    </row>
    <row r="120">
      <c r="D120" s="5" t="n"/>
      <c r="Q120" s="5" t="n"/>
      <c r="R120" s="5" t="n"/>
    </row>
    <row r="121">
      <c r="D121" s="5" t="n"/>
      <c r="Q121" s="5" t="n"/>
      <c r="R121" s="5" t="n"/>
    </row>
    <row r="122">
      <c r="D122" s="5" t="n"/>
      <c r="Q122" s="5" t="n"/>
      <c r="R122" s="5" t="n"/>
    </row>
    <row r="123">
      <c r="D123" s="5" t="n"/>
      <c r="Q123" s="5" t="n"/>
      <c r="R123" s="5" t="n"/>
    </row>
    <row r="124">
      <c r="D124" s="5" t="n"/>
      <c r="Q124" s="5" t="n"/>
      <c r="R124" s="5" t="n"/>
    </row>
    <row r="125">
      <c r="D125" s="5" t="n"/>
      <c r="Q125" s="5" t="n"/>
      <c r="R125" s="5" t="n"/>
    </row>
    <row r="126">
      <c r="D126" s="5" t="n"/>
      <c r="Q126" s="5" t="n"/>
      <c r="R126" s="5" t="n"/>
    </row>
    <row r="127">
      <c r="D127" s="5" t="n"/>
      <c r="Q127" s="5" t="n"/>
      <c r="R127" s="5" t="n"/>
    </row>
    <row r="128">
      <c r="D128" s="5" t="n"/>
      <c r="Q128" s="5" t="n"/>
      <c r="R128" s="5" t="n"/>
    </row>
    <row r="129">
      <c r="D129" s="5" t="n"/>
      <c r="Q129" s="5" t="n"/>
      <c r="R129" s="5" t="n"/>
    </row>
    <row r="130">
      <c r="D130" s="5" t="n"/>
      <c r="Q130" s="5" t="n"/>
      <c r="R130" s="5" t="n"/>
    </row>
    <row r="131">
      <c r="D131" s="5" t="n"/>
      <c r="Q131" s="5" t="n"/>
      <c r="R131" s="5" t="n"/>
    </row>
    <row r="132">
      <c r="D132" s="5" t="n"/>
      <c r="Q132" s="5" t="n"/>
      <c r="R132" s="5" t="n"/>
    </row>
    <row r="133">
      <c r="D133" s="5" t="n"/>
      <c r="Q133" s="5" t="n"/>
      <c r="R133" s="5" t="n"/>
    </row>
    <row r="134">
      <c r="D134" s="5" t="n"/>
      <c r="Q134" s="5" t="n"/>
      <c r="R134" s="5" t="n"/>
    </row>
    <row r="135">
      <c r="D135" s="5" t="n"/>
      <c r="Q135" s="5" t="n"/>
      <c r="R135" s="5" t="n"/>
    </row>
    <row r="136">
      <c r="D136" s="5" t="n"/>
      <c r="Q136" s="5" t="n"/>
      <c r="R136" s="5" t="n"/>
    </row>
    <row r="137">
      <c r="D137" s="5" t="n"/>
      <c r="Q137" s="5" t="n"/>
      <c r="R137" s="5" t="n"/>
    </row>
    <row r="138">
      <c r="D138" s="5" t="n"/>
      <c r="Q138" s="5" t="n"/>
      <c r="R138" s="5" t="n"/>
    </row>
    <row r="139">
      <c r="D139" s="5" t="n"/>
      <c r="Q139" s="5" t="n"/>
      <c r="R139" s="5" t="n"/>
    </row>
    <row r="140">
      <c r="D140" s="5" t="n"/>
      <c r="Q140" s="5" t="n"/>
      <c r="R140" s="5" t="n"/>
    </row>
    <row r="141">
      <c r="D141" s="5" t="n"/>
      <c r="Q141" s="5" t="n"/>
      <c r="R141" s="5" t="n"/>
    </row>
    <row r="142">
      <c r="D142" s="5" t="n"/>
      <c r="Q142" s="5" t="n"/>
      <c r="R142" s="5" t="n"/>
    </row>
    <row r="143">
      <c r="D143" s="5" t="n"/>
      <c r="Q143" s="5" t="n"/>
      <c r="R143" s="5" t="n"/>
    </row>
    <row r="144">
      <c r="D144" s="5" t="n"/>
      <c r="Q144" s="5" t="n"/>
      <c r="R144" s="5" t="n"/>
    </row>
    <row r="145">
      <c r="D145" s="5" t="n"/>
      <c r="Q145" s="5" t="n"/>
      <c r="R145" s="5" t="n"/>
    </row>
    <row r="146">
      <c r="D146" s="5" t="n"/>
      <c r="Q146" s="5" t="n"/>
      <c r="R146" s="5" t="n"/>
    </row>
    <row r="147">
      <c r="D147" s="5" t="n"/>
      <c r="Q147" s="5" t="n"/>
      <c r="R147" s="5" t="n"/>
    </row>
    <row r="148">
      <c r="D148" s="5" t="n"/>
      <c r="Q148" s="5" t="n"/>
      <c r="R148" s="5" t="n"/>
    </row>
    <row r="149">
      <c r="D149" s="5" t="n"/>
      <c r="Q149" s="5" t="n"/>
      <c r="R149" s="5" t="n"/>
    </row>
    <row r="150">
      <c r="D150" s="5" t="n"/>
      <c r="Q150" s="5" t="n"/>
      <c r="R150" s="5" t="n"/>
    </row>
    <row r="151">
      <c r="D151" s="5" t="n"/>
      <c r="Q151" s="5" t="n"/>
      <c r="R151" s="5" t="n"/>
    </row>
    <row r="152">
      <c r="D152" s="5" t="n"/>
      <c r="Q152" s="5" t="n"/>
      <c r="R152" s="5" t="n"/>
    </row>
    <row r="153">
      <c r="D153" s="5" t="n"/>
      <c r="Q153" s="5" t="n"/>
      <c r="R153" s="5" t="n"/>
    </row>
    <row r="154">
      <c r="D154" s="5" t="n"/>
      <c r="Q154" s="5" t="n"/>
      <c r="R154" s="5" t="n"/>
    </row>
    <row r="155">
      <c r="D155" s="5" t="n"/>
      <c r="Q155" s="5" t="n"/>
      <c r="R155" s="5" t="n"/>
    </row>
    <row r="156">
      <c r="D156" s="5" t="n"/>
      <c r="Q156" s="5" t="n"/>
      <c r="R156" s="5" t="n"/>
    </row>
    <row r="157">
      <c r="D157" s="5" t="n"/>
      <c r="Q157" s="5" t="n"/>
      <c r="R157" s="5" t="n"/>
    </row>
    <row r="158">
      <c r="D158" s="5" t="n"/>
      <c r="Q158" s="5" t="n"/>
      <c r="R158" s="5" t="n"/>
    </row>
    <row r="159">
      <c r="D159" s="5" t="n"/>
      <c r="Q159" s="5" t="n"/>
      <c r="R159" s="5" t="n"/>
    </row>
    <row r="160">
      <c r="D160" s="5" t="n"/>
      <c r="Q160" s="5" t="n"/>
      <c r="R160" s="5" t="n"/>
    </row>
    <row r="161">
      <c r="D161" s="5" t="n"/>
      <c r="Q161" s="5" t="n"/>
      <c r="R161" s="5" t="n"/>
    </row>
    <row r="162">
      <c r="D162" s="5" t="n"/>
      <c r="Q162" s="5" t="n"/>
      <c r="R162" s="5" t="n"/>
    </row>
    <row r="163">
      <c r="D163" s="5" t="n"/>
      <c r="Q163" s="5" t="n"/>
      <c r="R163" s="5" t="n"/>
    </row>
    <row r="164">
      <c r="D164" s="5" t="n"/>
      <c r="Q164" s="5" t="n"/>
      <c r="R164" s="5" t="n"/>
    </row>
    <row r="165">
      <c r="D165" s="5" t="n"/>
      <c r="Q165" s="5" t="n"/>
      <c r="R165" s="5" t="n"/>
    </row>
    <row r="166">
      <c r="D166" s="5" t="n"/>
      <c r="Q166" s="5" t="n"/>
      <c r="R166" s="5" t="n"/>
    </row>
    <row r="167">
      <c r="D167" s="5" t="n"/>
      <c r="Q167" s="5" t="n"/>
      <c r="R167" s="5" t="n"/>
    </row>
    <row r="168">
      <c r="D168" s="5" t="n"/>
      <c r="Q168" s="5" t="n"/>
      <c r="R168" s="5" t="n"/>
    </row>
    <row r="169">
      <c r="D169" s="5" t="n"/>
      <c r="Q169" s="5" t="n"/>
      <c r="R169" s="5" t="n"/>
    </row>
    <row r="170">
      <c r="D170" s="5" t="n"/>
      <c r="Q170" s="5" t="n"/>
      <c r="R170" s="5" t="n"/>
    </row>
    <row r="171">
      <c r="D171" s="5" t="n"/>
      <c r="Q171" s="5" t="n"/>
      <c r="R171" s="5" t="n"/>
    </row>
    <row r="172">
      <c r="D172" s="5" t="n"/>
      <c r="Q172" s="5" t="n"/>
      <c r="R172" s="5" t="n"/>
    </row>
    <row r="173">
      <c r="D173" s="5" t="n"/>
      <c r="Q173" s="5" t="n"/>
      <c r="R173" s="5" t="n"/>
    </row>
    <row r="174">
      <c r="D174" s="5" t="n"/>
      <c r="Q174" s="5" t="n"/>
      <c r="R174" s="5" t="n"/>
    </row>
    <row r="175">
      <c r="D175" s="5" t="n"/>
      <c r="Q175" s="5" t="n"/>
      <c r="R175" s="5" t="n"/>
    </row>
    <row r="176">
      <c r="D176" s="5" t="n"/>
      <c r="Q176" s="5" t="n"/>
      <c r="R176" s="5" t="n"/>
    </row>
    <row r="177">
      <c r="D177" s="5" t="n"/>
      <c r="Q177" s="5" t="n"/>
      <c r="R177" s="5" t="n"/>
    </row>
    <row r="178">
      <c r="D178" s="5" t="n"/>
      <c r="Q178" s="5" t="n"/>
      <c r="R178" s="5" t="n"/>
    </row>
    <row r="179">
      <c r="D179" s="5" t="n"/>
      <c r="Q179" s="5" t="n"/>
      <c r="R179" s="5" t="n"/>
    </row>
    <row r="180">
      <c r="D180" s="5" t="n"/>
      <c r="Q180" s="5" t="n"/>
      <c r="R180" s="5" t="n"/>
    </row>
    <row r="181">
      <c r="D181" s="5" t="n"/>
      <c r="Q181" s="5" t="n"/>
      <c r="R181" s="5" t="n"/>
    </row>
    <row r="182">
      <c r="D182" s="5" t="n"/>
      <c r="Q182" s="5" t="n"/>
      <c r="R182" s="5" t="n"/>
    </row>
    <row r="183">
      <c r="D183" s="5" t="n"/>
      <c r="Q183" s="5" t="n"/>
      <c r="R183" s="5" t="n"/>
    </row>
    <row r="184">
      <c r="D184" s="5" t="n"/>
      <c r="Q184" s="5" t="n"/>
      <c r="R184" s="5" t="n"/>
    </row>
    <row r="185">
      <c r="D185" s="5" t="n"/>
      <c r="Q185" s="5" t="n"/>
      <c r="R185" s="5" t="n"/>
    </row>
    <row r="186">
      <c r="D186" s="5" t="n"/>
      <c r="Q186" s="5" t="n"/>
      <c r="R186" s="5" t="n"/>
    </row>
    <row r="187">
      <c r="D187" s="5" t="n"/>
      <c r="Q187" s="5" t="n"/>
      <c r="R187" s="5" t="n"/>
    </row>
    <row r="188">
      <c r="D188" s="5" t="n"/>
      <c r="Q188" s="5" t="n"/>
      <c r="R188" s="5" t="n"/>
    </row>
    <row r="189">
      <c r="D189" s="5" t="n"/>
      <c r="Q189" s="5" t="n"/>
      <c r="R189" s="5" t="n"/>
    </row>
    <row r="190">
      <c r="D190" s="5" t="n"/>
      <c r="Q190" s="5" t="n"/>
      <c r="R190" s="5" t="n"/>
    </row>
    <row r="191">
      <c r="D191" s="5" t="n"/>
      <c r="Q191" s="5" t="n"/>
      <c r="R191" s="5" t="n"/>
    </row>
    <row r="192">
      <c r="D192" s="5" t="n"/>
      <c r="Q192" s="5" t="n"/>
      <c r="R192" s="5" t="n"/>
    </row>
    <row r="193">
      <c r="D193" s="5" t="n"/>
      <c r="Q193" s="5" t="n"/>
      <c r="R193" s="5" t="n"/>
    </row>
    <row r="194">
      <c r="D194" s="5" t="n"/>
      <c r="Q194" s="5" t="n"/>
      <c r="R194" s="5" t="n"/>
    </row>
    <row r="195">
      <c r="D195" s="5" t="n"/>
      <c r="Q195" s="5" t="n"/>
      <c r="R195" s="5" t="n"/>
    </row>
    <row r="196">
      <c r="D196" s="5" t="n"/>
      <c r="Q196" s="5" t="n"/>
      <c r="R196" s="5" t="n"/>
    </row>
    <row r="197">
      <c r="D197" s="5" t="n"/>
      <c r="Q197" s="5" t="n"/>
      <c r="R197" s="5" t="n"/>
    </row>
    <row r="198">
      <c r="D198" s="5" t="n"/>
      <c r="Q198" s="5" t="n"/>
      <c r="R198" s="5" t="n"/>
    </row>
    <row r="199">
      <c r="D199" s="5" t="n"/>
      <c r="Q199" s="5" t="n"/>
      <c r="R199" s="5" t="n"/>
    </row>
    <row r="200">
      <c r="D200" s="5" t="n"/>
      <c r="Q200" s="5" t="n"/>
      <c r="R200" s="5" t="n"/>
    </row>
    <row r="201">
      <c r="D201" s="5" t="n"/>
      <c r="Q201" s="5" t="n"/>
      <c r="R201" s="5" t="n"/>
    </row>
  </sheetData>
  <dataValidations count="5">
    <dataValidation sqref="B2:B201" showDropDown="0" showInputMessage="0" showErrorMessage="1" allowBlank="1" type="list">
      <formula1>'Beállítások'!$A$22:$A$41</formula1>
    </dataValidation>
    <dataValidation sqref="E2:E201 F2:F201" showDropDown="0" showInputMessage="0" showErrorMessage="1" allowBlank="1" type="list">
      <formula1>"igen,nem"</formula1>
    </dataValidation>
    <dataValidation sqref="L2:L201 M2:M201 N2:N201 O2:O201 P2:P201" showDropDown="0" showInputMessage="0" showErrorMessage="1" allowBlank="1" error="1 és 5 közötti egész számot adj meg." type="whole" operator="between">
      <formula1>1</formula1>
      <formula2>5</formula2>
    </dataValidation>
    <dataValidation sqref="C2:C201 G2:G201 H2:H201 I2:I201 J2:J201 K2:K201" showDropDown="0" showInputMessage="0" showErrorMessage="1" allowBlank="1" type="decimal" operator="greaterThanOrEqual">
      <formula1>0</formula1>
    </dataValidation>
    <dataValidation sqref="D2:D201 Q2:Q201 R2:R2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981B"/>
    <outlinePr summaryBelow="1" summaryRight="1"/>
    <pageSetUpPr/>
  </sheetPr>
  <dimension ref="A1:N2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8" customWidth="1" min="2" max="2"/>
    <col width="12" customWidth="1" min="3" max="3"/>
    <col width="7" customWidth="1" min="4" max="4"/>
    <col width="20" customWidth="1" min="5" max="5"/>
    <col width="16" customWidth="1" min="6" max="6"/>
    <col width="15" customWidth="1" min="7" max="7"/>
    <col width="14" customWidth="1" min="8" max="8"/>
    <col width="10" customWidth="1" min="9" max="9"/>
    <col width="24" customWidth="1" min="10" max="10"/>
    <col width="24" customWidth="1" min="11" max="11"/>
    <col width="10" customWidth="1" min="12" max="12"/>
    <col hidden="1" width="13" customWidth="1" min="14" max="14"/>
  </cols>
  <sheetData>
    <row r="1">
      <c r="A1" s="6" t="inlineStr">
        <is>
          <t>ICP-rangsor – pontszám szerint csökkenő sorrendben</t>
        </is>
      </c>
    </row>
    <row r="2">
      <c r="A2" t="inlineStr">
        <is>
          <t>Automatikusan frissül az Ügyfelek lap alapján. Holtversenynél a korábban felvett ügyfél áll elöl.</t>
        </is>
      </c>
    </row>
    <row r="4" ht="45" customHeight="1">
      <c r="A4" s="4" t="inlineStr">
        <is>
          <t>Rang</t>
        </is>
      </c>
      <c r="B4" s="4" t="inlineStr">
        <is>
          <t>Ügyfél</t>
        </is>
      </c>
      <c r="C4" s="4" t="inlineStr">
        <is>
          <t>ICP pontszám</t>
        </is>
      </c>
      <c r="D4" s="4" t="inlineStr">
        <is>
          <t>Szint</t>
        </is>
      </c>
      <c r="E4" s="4" t="inlineStr">
        <is>
          <t>Szint megnevezése</t>
        </is>
      </c>
      <c r="F4" s="4" t="inlineStr">
        <is>
          <t>Javasolt havi díj</t>
        </is>
      </c>
      <c r="G4" s="4" t="inlineStr">
        <is>
          <t>Jelenlegi díj</t>
        </is>
      </c>
      <c r="H4" s="4" t="inlineStr">
        <is>
          <t>Eltérés (Ft)</t>
        </is>
      </c>
      <c r="I4" s="4" t="inlineStr">
        <is>
          <t>Eltérés (%)</t>
        </is>
      </c>
      <c r="J4" s="4" t="inlineStr">
        <is>
          <t>Legerősebb terület</t>
        </is>
      </c>
      <c r="K4" s="4" t="inlineStr">
        <is>
          <t>Leggyengébb terület</t>
        </is>
      </c>
      <c r="L4" s="4" t="inlineStr">
        <is>
          <t>Hiányzó adatok</t>
        </is>
      </c>
      <c r="N4" t="inlineStr">
        <is>
          <t>sor</t>
        </is>
      </c>
    </row>
    <row r="5">
      <c r="A5" s="7">
        <f>IF($N5="","",INDEX('Eredmény'!$N$2:$N$201,$N5))</f>
        <v/>
      </c>
      <c r="B5" s="8">
        <f>IF($N5="","",INDEX('Eredmény'!$A$2:$A$201,$N5))</f>
        <v/>
      </c>
      <c r="C5" s="9">
        <f>IF($N5="","",INDEX('Eredmény'!$M$2:$M$201,$N5))</f>
        <v/>
      </c>
      <c r="D5" s="8">
        <f>IF($N5="","",INDEX('Eredmény'!$O$2:$O$201,$N5))</f>
        <v/>
      </c>
      <c r="E5" s="8">
        <f>IF($N5="","",INDEX('Eredmény'!$P$2:$P$201,$N5))</f>
        <v/>
      </c>
      <c r="F5" s="10">
        <f>IF($N5="","",INDEX('Eredmény'!$V$2:$V$201,$N5))</f>
        <v/>
      </c>
      <c r="G5" s="10">
        <f>IF($N5="","",INDEX('Eredmény'!$X$2:$X$201,$N5))</f>
        <v/>
      </c>
      <c r="H5" s="10">
        <f>IF($N5="","",INDEX('Eredmény'!$Y$2:$Y$201,$N5))</f>
        <v/>
      </c>
      <c r="I5" s="11">
        <f>IF($N5="","",INDEX('Eredmény'!$Z$2:$Z$201,$N5))</f>
        <v/>
      </c>
      <c r="J5" s="8">
        <f>IF($N5="","",INDEX('Eredmény'!$Q$2:$Q$201,$N5))</f>
        <v/>
      </c>
      <c r="K5" s="8">
        <f>IF($N5="","",INDEX('Eredmény'!$R$2:$R$201,$N5))</f>
        <v/>
      </c>
      <c r="L5" s="7">
        <f>IF($N5="","",INDEX('Eredmény'!$AB$2:$AB$201,$N5))</f>
        <v/>
      </c>
      <c r="N5">
        <f>IFERROR(MATCH(LARGE('Eredmény'!$AZ$2:$AZ$201,1),'Eredmény'!$AZ$2:$AZ$201,0),"")</f>
        <v/>
      </c>
    </row>
    <row r="6">
      <c r="A6" s="7">
        <f>IF($N6="","",INDEX('Eredmény'!$N$2:$N$201,$N6))</f>
        <v/>
      </c>
      <c r="B6" s="8">
        <f>IF($N6="","",INDEX('Eredmény'!$A$2:$A$201,$N6))</f>
        <v/>
      </c>
      <c r="C6" s="9">
        <f>IF($N6="","",INDEX('Eredmény'!$M$2:$M$201,$N6))</f>
        <v/>
      </c>
      <c r="D6" s="8">
        <f>IF($N6="","",INDEX('Eredmény'!$O$2:$O$201,$N6))</f>
        <v/>
      </c>
      <c r="E6" s="8">
        <f>IF($N6="","",INDEX('Eredmény'!$P$2:$P$201,$N6))</f>
        <v/>
      </c>
      <c r="F6" s="10">
        <f>IF($N6="","",INDEX('Eredmény'!$V$2:$V$201,$N6))</f>
        <v/>
      </c>
      <c r="G6" s="10">
        <f>IF($N6="","",INDEX('Eredmény'!$X$2:$X$201,$N6))</f>
        <v/>
      </c>
      <c r="H6" s="10">
        <f>IF($N6="","",INDEX('Eredmény'!$Y$2:$Y$201,$N6))</f>
        <v/>
      </c>
      <c r="I6" s="11">
        <f>IF($N6="","",INDEX('Eredmény'!$Z$2:$Z$201,$N6))</f>
        <v/>
      </c>
      <c r="J6" s="8">
        <f>IF($N6="","",INDEX('Eredmény'!$Q$2:$Q$201,$N6))</f>
        <v/>
      </c>
      <c r="K6" s="8">
        <f>IF($N6="","",INDEX('Eredmény'!$R$2:$R$201,$N6))</f>
        <v/>
      </c>
      <c r="L6" s="7">
        <f>IF($N6="","",INDEX('Eredmény'!$AB$2:$AB$201,$N6))</f>
        <v/>
      </c>
      <c r="N6">
        <f>IFERROR(MATCH(LARGE('Eredmény'!$AZ$2:$AZ$201,2),'Eredmény'!$AZ$2:$AZ$201,0),"")</f>
        <v/>
      </c>
    </row>
    <row r="7">
      <c r="A7" s="7">
        <f>IF($N7="","",INDEX('Eredmény'!$N$2:$N$201,$N7))</f>
        <v/>
      </c>
      <c r="B7" s="8">
        <f>IF($N7="","",INDEX('Eredmény'!$A$2:$A$201,$N7))</f>
        <v/>
      </c>
      <c r="C7" s="9">
        <f>IF($N7="","",INDEX('Eredmény'!$M$2:$M$201,$N7))</f>
        <v/>
      </c>
      <c r="D7" s="8">
        <f>IF($N7="","",INDEX('Eredmény'!$O$2:$O$201,$N7))</f>
        <v/>
      </c>
      <c r="E7" s="8">
        <f>IF($N7="","",INDEX('Eredmény'!$P$2:$P$201,$N7))</f>
        <v/>
      </c>
      <c r="F7" s="10">
        <f>IF($N7="","",INDEX('Eredmény'!$V$2:$V$201,$N7))</f>
        <v/>
      </c>
      <c r="G7" s="10">
        <f>IF($N7="","",INDEX('Eredmény'!$X$2:$X$201,$N7))</f>
        <v/>
      </c>
      <c r="H7" s="10">
        <f>IF($N7="","",INDEX('Eredmény'!$Y$2:$Y$201,$N7))</f>
        <v/>
      </c>
      <c r="I7" s="11">
        <f>IF($N7="","",INDEX('Eredmény'!$Z$2:$Z$201,$N7))</f>
        <v/>
      </c>
      <c r="J7" s="8">
        <f>IF($N7="","",INDEX('Eredmény'!$Q$2:$Q$201,$N7))</f>
        <v/>
      </c>
      <c r="K7" s="8">
        <f>IF($N7="","",INDEX('Eredmény'!$R$2:$R$201,$N7))</f>
        <v/>
      </c>
      <c r="L7" s="7">
        <f>IF($N7="","",INDEX('Eredmény'!$AB$2:$AB$201,$N7))</f>
        <v/>
      </c>
      <c r="N7">
        <f>IFERROR(MATCH(LARGE('Eredmény'!$AZ$2:$AZ$201,3),'Eredmény'!$AZ$2:$AZ$201,0),"")</f>
        <v/>
      </c>
    </row>
    <row r="8">
      <c r="A8" s="7">
        <f>IF($N8="","",INDEX('Eredmény'!$N$2:$N$201,$N8))</f>
        <v/>
      </c>
      <c r="B8" s="8">
        <f>IF($N8="","",INDEX('Eredmény'!$A$2:$A$201,$N8))</f>
        <v/>
      </c>
      <c r="C8" s="9">
        <f>IF($N8="","",INDEX('Eredmény'!$M$2:$M$201,$N8))</f>
        <v/>
      </c>
      <c r="D8" s="8">
        <f>IF($N8="","",INDEX('Eredmény'!$O$2:$O$201,$N8))</f>
        <v/>
      </c>
      <c r="E8" s="8">
        <f>IF($N8="","",INDEX('Eredmény'!$P$2:$P$201,$N8))</f>
        <v/>
      </c>
      <c r="F8" s="10">
        <f>IF($N8="","",INDEX('Eredmény'!$V$2:$V$201,$N8))</f>
        <v/>
      </c>
      <c r="G8" s="10">
        <f>IF($N8="","",INDEX('Eredmény'!$X$2:$X$201,$N8))</f>
        <v/>
      </c>
      <c r="H8" s="10">
        <f>IF($N8="","",INDEX('Eredmény'!$Y$2:$Y$201,$N8))</f>
        <v/>
      </c>
      <c r="I8" s="11">
        <f>IF($N8="","",INDEX('Eredmény'!$Z$2:$Z$201,$N8))</f>
        <v/>
      </c>
      <c r="J8" s="8">
        <f>IF($N8="","",INDEX('Eredmény'!$Q$2:$Q$201,$N8))</f>
        <v/>
      </c>
      <c r="K8" s="8">
        <f>IF($N8="","",INDEX('Eredmény'!$R$2:$R$201,$N8))</f>
        <v/>
      </c>
      <c r="L8" s="7">
        <f>IF($N8="","",INDEX('Eredmény'!$AB$2:$AB$201,$N8))</f>
        <v/>
      </c>
      <c r="N8">
        <f>IFERROR(MATCH(LARGE('Eredmény'!$AZ$2:$AZ$201,4),'Eredmény'!$AZ$2:$AZ$201,0),"")</f>
        <v/>
      </c>
    </row>
    <row r="9">
      <c r="A9" s="7">
        <f>IF($N9="","",INDEX('Eredmény'!$N$2:$N$201,$N9))</f>
        <v/>
      </c>
      <c r="B9" s="8">
        <f>IF($N9="","",INDEX('Eredmény'!$A$2:$A$201,$N9))</f>
        <v/>
      </c>
      <c r="C9" s="9">
        <f>IF($N9="","",INDEX('Eredmény'!$M$2:$M$201,$N9))</f>
        <v/>
      </c>
      <c r="D9" s="8">
        <f>IF($N9="","",INDEX('Eredmény'!$O$2:$O$201,$N9))</f>
        <v/>
      </c>
      <c r="E9" s="8">
        <f>IF($N9="","",INDEX('Eredmény'!$P$2:$P$201,$N9))</f>
        <v/>
      </c>
      <c r="F9" s="10">
        <f>IF($N9="","",INDEX('Eredmény'!$V$2:$V$201,$N9))</f>
        <v/>
      </c>
      <c r="G9" s="10">
        <f>IF($N9="","",INDEX('Eredmény'!$X$2:$X$201,$N9))</f>
        <v/>
      </c>
      <c r="H9" s="10">
        <f>IF($N9="","",INDEX('Eredmény'!$Y$2:$Y$201,$N9))</f>
        <v/>
      </c>
      <c r="I9" s="11">
        <f>IF($N9="","",INDEX('Eredmény'!$Z$2:$Z$201,$N9))</f>
        <v/>
      </c>
      <c r="J9" s="8">
        <f>IF($N9="","",INDEX('Eredmény'!$Q$2:$Q$201,$N9))</f>
        <v/>
      </c>
      <c r="K9" s="8">
        <f>IF($N9="","",INDEX('Eredmény'!$R$2:$R$201,$N9))</f>
        <v/>
      </c>
      <c r="L9" s="7">
        <f>IF($N9="","",INDEX('Eredmény'!$AB$2:$AB$201,$N9))</f>
        <v/>
      </c>
      <c r="N9">
        <f>IFERROR(MATCH(LARGE('Eredmény'!$AZ$2:$AZ$201,5),'Eredmény'!$AZ$2:$AZ$201,0),"")</f>
        <v/>
      </c>
    </row>
    <row r="10">
      <c r="A10" s="7">
        <f>IF($N10="","",INDEX('Eredmény'!$N$2:$N$201,$N10))</f>
        <v/>
      </c>
      <c r="B10" s="8">
        <f>IF($N10="","",INDEX('Eredmény'!$A$2:$A$201,$N10))</f>
        <v/>
      </c>
      <c r="C10" s="9">
        <f>IF($N10="","",INDEX('Eredmény'!$M$2:$M$201,$N10))</f>
        <v/>
      </c>
      <c r="D10" s="8">
        <f>IF($N10="","",INDEX('Eredmény'!$O$2:$O$201,$N10))</f>
        <v/>
      </c>
      <c r="E10" s="8">
        <f>IF($N10="","",INDEX('Eredmény'!$P$2:$P$201,$N10))</f>
        <v/>
      </c>
      <c r="F10" s="10">
        <f>IF($N10="","",INDEX('Eredmény'!$V$2:$V$201,$N10))</f>
        <v/>
      </c>
      <c r="G10" s="10">
        <f>IF($N10="","",INDEX('Eredmény'!$X$2:$X$201,$N10))</f>
        <v/>
      </c>
      <c r="H10" s="10">
        <f>IF($N10="","",INDEX('Eredmény'!$Y$2:$Y$201,$N10))</f>
        <v/>
      </c>
      <c r="I10" s="11">
        <f>IF($N10="","",INDEX('Eredmény'!$Z$2:$Z$201,$N10))</f>
        <v/>
      </c>
      <c r="J10" s="8">
        <f>IF($N10="","",INDEX('Eredmény'!$Q$2:$Q$201,$N10))</f>
        <v/>
      </c>
      <c r="K10" s="8">
        <f>IF($N10="","",INDEX('Eredmény'!$R$2:$R$201,$N10))</f>
        <v/>
      </c>
      <c r="L10" s="7">
        <f>IF($N10="","",INDEX('Eredmény'!$AB$2:$AB$201,$N10))</f>
        <v/>
      </c>
      <c r="N10">
        <f>IFERROR(MATCH(LARGE('Eredmény'!$AZ$2:$AZ$201,6),'Eredmény'!$AZ$2:$AZ$201,0),"")</f>
        <v/>
      </c>
    </row>
    <row r="11">
      <c r="A11" s="7">
        <f>IF($N11="","",INDEX('Eredmény'!$N$2:$N$201,$N11))</f>
        <v/>
      </c>
      <c r="B11" s="8">
        <f>IF($N11="","",INDEX('Eredmény'!$A$2:$A$201,$N11))</f>
        <v/>
      </c>
      <c r="C11" s="9">
        <f>IF($N11="","",INDEX('Eredmény'!$M$2:$M$201,$N11))</f>
        <v/>
      </c>
      <c r="D11" s="8">
        <f>IF($N11="","",INDEX('Eredmény'!$O$2:$O$201,$N11))</f>
        <v/>
      </c>
      <c r="E11" s="8">
        <f>IF($N11="","",INDEX('Eredmény'!$P$2:$P$201,$N11))</f>
        <v/>
      </c>
      <c r="F11" s="10">
        <f>IF($N11="","",INDEX('Eredmény'!$V$2:$V$201,$N11))</f>
        <v/>
      </c>
      <c r="G11" s="10">
        <f>IF($N11="","",INDEX('Eredmény'!$X$2:$X$201,$N11))</f>
        <v/>
      </c>
      <c r="H11" s="10">
        <f>IF($N11="","",INDEX('Eredmény'!$Y$2:$Y$201,$N11))</f>
        <v/>
      </c>
      <c r="I11" s="11">
        <f>IF($N11="","",INDEX('Eredmény'!$Z$2:$Z$201,$N11))</f>
        <v/>
      </c>
      <c r="J11" s="8">
        <f>IF($N11="","",INDEX('Eredmény'!$Q$2:$Q$201,$N11))</f>
        <v/>
      </c>
      <c r="K11" s="8">
        <f>IF($N11="","",INDEX('Eredmény'!$R$2:$R$201,$N11))</f>
        <v/>
      </c>
      <c r="L11" s="7">
        <f>IF($N11="","",INDEX('Eredmény'!$AB$2:$AB$201,$N11))</f>
        <v/>
      </c>
      <c r="N11">
        <f>IFERROR(MATCH(LARGE('Eredmény'!$AZ$2:$AZ$201,7),'Eredmény'!$AZ$2:$AZ$201,0),"")</f>
        <v/>
      </c>
    </row>
    <row r="12">
      <c r="A12" s="7">
        <f>IF($N12="","",INDEX('Eredmény'!$N$2:$N$201,$N12))</f>
        <v/>
      </c>
      <c r="B12" s="8">
        <f>IF($N12="","",INDEX('Eredmény'!$A$2:$A$201,$N12))</f>
        <v/>
      </c>
      <c r="C12" s="9">
        <f>IF($N12="","",INDEX('Eredmény'!$M$2:$M$201,$N12))</f>
        <v/>
      </c>
      <c r="D12" s="8">
        <f>IF($N12="","",INDEX('Eredmény'!$O$2:$O$201,$N12))</f>
        <v/>
      </c>
      <c r="E12" s="8">
        <f>IF($N12="","",INDEX('Eredmény'!$P$2:$P$201,$N12))</f>
        <v/>
      </c>
      <c r="F12" s="10">
        <f>IF($N12="","",INDEX('Eredmény'!$V$2:$V$201,$N12))</f>
        <v/>
      </c>
      <c r="G12" s="10">
        <f>IF($N12="","",INDEX('Eredmény'!$X$2:$X$201,$N12))</f>
        <v/>
      </c>
      <c r="H12" s="10">
        <f>IF($N12="","",INDEX('Eredmény'!$Y$2:$Y$201,$N12))</f>
        <v/>
      </c>
      <c r="I12" s="11">
        <f>IF($N12="","",INDEX('Eredmény'!$Z$2:$Z$201,$N12))</f>
        <v/>
      </c>
      <c r="J12" s="8">
        <f>IF($N12="","",INDEX('Eredmény'!$Q$2:$Q$201,$N12))</f>
        <v/>
      </c>
      <c r="K12" s="8">
        <f>IF($N12="","",INDEX('Eredmény'!$R$2:$R$201,$N12))</f>
        <v/>
      </c>
      <c r="L12" s="7">
        <f>IF($N12="","",INDEX('Eredmény'!$AB$2:$AB$201,$N12))</f>
        <v/>
      </c>
      <c r="N12">
        <f>IFERROR(MATCH(LARGE('Eredmény'!$AZ$2:$AZ$201,8),'Eredmény'!$AZ$2:$AZ$201,0),"")</f>
        <v/>
      </c>
    </row>
    <row r="13">
      <c r="A13" s="7">
        <f>IF($N13="","",INDEX('Eredmény'!$N$2:$N$201,$N13))</f>
        <v/>
      </c>
      <c r="B13" s="8">
        <f>IF($N13="","",INDEX('Eredmény'!$A$2:$A$201,$N13))</f>
        <v/>
      </c>
      <c r="C13" s="9">
        <f>IF($N13="","",INDEX('Eredmény'!$M$2:$M$201,$N13))</f>
        <v/>
      </c>
      <c r="D13" s="8">
        <f>IF($N13="","",INDEX('Eredmény'!$O$2:$O$201,$N13))</f>
        <v/>
      </c>
      <c r="E13" s="8">
        <f>IF($N13="","",INDEX('Eredmény'!$P$2:$P$201,$N13))</f>
        <v/>
      </c>
      <c r="F13" s="10">
        <f>IF($N13="","",INDEX('Eredmény'!$V$2:$V$201,$N13))</f>
        <v/>
      </c>
      <c r="G13" s="10">
        <f>IF($N13="","",INDEX('Eredmény'!$X$2:$X$201,$N13))</f>
        <v/>
      </c>
      <c r="H13" s="10">
        <f>IF($N13="","",INDEX('Eredmény'!$Y$2:$Y$201,$N13))</f>
        <v/>
      </c>
      <c r="I13" s="11">
        <f>IF($N13="","",INDEX('Eredmény'!$Z$2:$Z$201,$N13))</f>
        <v/>
      </c>
      <c r="J13" s="8">
        <f>IF($N13="","",INDEX('Eredmény'!$Q$2:$Q$201,$N13))</f>
        <v/>
      </c>
      <c r="K13" s="8">
        <f>IF($N13="","",INDEX('Eredmény'!$R$2:$R$201,$N13))</f>
        <v/>
      </c>
      <c r="L13" s="7">
        <f>IF($N13="","",INDEX('Eredmény'!$AB$2:$AB$201,$N13))</f>
        <v/>
      </c>
      <c r="N13">
        <f>IFERROR(MATCH(LARGE('Eredmény'!$AZ$2:$AZ$201,9),'Eredmény'!$AZ$2:$AZ$201,0),"")</f>
        <v/>
      </c>
    </row>
    <row r="14">
      <c r="A14" s="7">
        <f>IF($N14="","",INDEX('Eredmény'!$N$2:$N$201,$N14))</f>
        <v/>
      </c>
      <c r="B14" s="8">
        <f>IF($N14="","",INDEX('Eredmény'!$A$2:$A$201,$N14))</f>
        <v/>
      </c>
      <c r="C14" s="9">
        <f>IF($N14="","",INDEX('Eredmény'!$M$2:$M$201,$N14))</f>
        <v/>
      </c>
      <c r="D14" s="8">
        <f>IF($N14="","",INDEX('Eredmény'!$O$2:$O$201,$N14))</f>
        <v/>
      </c>
      <c r="E14" s="8">
        <f>IF($N14="","",INDEX('Eredmény'!$P$2:$P$201,$N14))</f>
        <v/>
      </c>
      <c r="F14" s="10">
        <f>IF($N14="","",INDEX('Eredmény'!$V$2:$V$201,$N14))</f>
        <v/>
      </c>
      <c r="G14" s="10">
        <f>IF($N14="","",INDEX('Eredmény'!$X$2:$X$201,$N14))</f>
        <v/>
      </c>
      <c r="H14" s="10">
        <f>IF($N14="","",INDEX('Eredmény'!$Y$2:$Y$201,$N14))</f>
        <v/>
      </c>
      <c r="I14" s="11">
        <f>IF($N14="","",INDEX('Eredmény'!$Z$2:$Z$201,$N14))</f>
        <v/>
      </c>
      <c r="J14" s="8">
        <f>IF($N14="","",INDEX('Eredmény'!$Q$2:$Q$201,$N14))</f>
        <v/>
      </c>
      <c r="K14" s="8">
        <f>IF($N14="","",INDEX('Eredmény'!$R$2:$R$201,$N14))</f>
        <v/>
      </c>
      <c r="L14" s="7">
        <f>IF($N14="","",INDEX('Eredmény'!$AB$2:$AB$201,$N14))</f>
        <v/>
      </c>
      <c r="N14">
        <f>IFERROR(MATCH(LARGE('Eredmény'!$AZ$2:$AZ$201,10),'Eredmény'!$AZ$2:$AZ$201,0),"")</f>
        <v/>
      </c>
    </row>
    <row r="15">
      <c r="A15" s="7">
        <f>IF($N15="","",INDEX('Eredmény'!$N$2:$N$201,$N15))</f>
        <v/>
      </c>
      <c r="B15" s="8">
        <f>IF($N15="","",INDEX('Eredmény'!$A$2:$A$201,$N15))</f>
        <v/>
      </c>
      <c r="C15" s="9">
        <f>IF($N15="","",INDEX('Eredmény'!$M$2:$M$201,$N15))</f>
        <v/>
      </c>
      <c r="D15" s="8">
        <f>IF($N15="","",INDEX('Eredmény'!$O$2:$O$201,$N15))</f>
        <v/>
      </c>
      <c r="E15" s="8">
        <f>IF($N15="","",INDEX('Eredmény'!$P$2:$P$201,$N15))</f>
        <v/>
      </c>
      <c r="F15" s="10">
        <f>IF($N15="","",INDEX('Eredmény'!$V$2:$V$201,$N15))</f>
        <v/>
      </c>
      <c r="G15" s="10">
        <f>IF($N15="","",INDEX('Eredmény'!$X$2:$X$201,$N15))</f>
        <v/>
      </c>
      <c r="H15" s="10">
        <f>IF($N15="","",INDEX('Eredmény'!$Y$2:$Y$201,$N15))</f>
        <v/>
      </c>
      <c r="I15" s="11">
        <f>IF($N15="","",INDEX('Eredmény'!$Z$2:$Z$201,$N15))</f>
        <v/>
      </c>
      <c r="J15" s="8">
        <f>IF($N15="","",INDEX('Eredmény'!$Q$2:$Q$201,$N15))</f>
        <v/>
      </c>
      <c r="K15" s="8">
        <f>IF($N15="","",INDEX('Eredmény'!$R$2:$R$201,$N15))</f>
        <v/>
      </c>
      <c r="L15" s="7">
        <f>IF($N15="","",INDEX('Eredmény'!$AB$2:$AB$201,$N15))</f>
        <v/>
      </c>
      <c r="N15">
        <f>IFERROR(MATCH(LARGE('Eredmény'!$AZ$2:$AZ$201,11),'Eredmény'!$AZ$2:$AZ$201,0),"")</f>
        <v/>
      </c>
    </row>
    <row r="16">
      <c r="A16" s="7">
        <f>IF($N16="","",INDEX('Eredmény'!$N$2:$N$201,$N16))</f>
        <v/>
      </c>
      <c r="B16" s="8">
        <f>IF($N16="","",INDEX('Eredmény'!$A$2:$A$201,$N16))</f>
        <v/>
      </c>
      <c r="C16" s="9">
        <f>IF($N16="","",INDEX('Eredmény'!$M$2:$M$201,$N16))</f>
        <v/>
      </c>
      <c r="D16" s="8">
        <f>IF($N16="","",INDEX('Eredmény'!$O$2:$O$201,$N16))</f>
        <v/>
      </c>
      <c r="E16" s="8">
        <f>IF($N16="","",INDEX('Eredmény'!$P$2:$P$201,$N16))</f>
        <v/>
      </c>
      <c r="F16" s="10">
        <f>IF($N16="","",INDEX('Eredmény'!$V$2:$V$201,$N16))</f>
        <v/>
      </c>
      <c r="G16" s="10">
        <f>IF($N16="","",INDEX('Eredmény'!$X$2:$X$201,$N16))</f>
        <v/>
      </c>
      <c r="H16" s="10">
        <f>IF($N16="","",INDEX('Eredmény'!$Y$2:$Y$201,$N16))</f>
        <v/>
      </c>
      <c r="I16" s="11">
        <f>IF($N16="","",INDEX('Eredmény'!$Z$2:$Z$201,$N16))</f>
        <v/>
      </c>
      <c r="J16" s="8">
        <f>IF($N16="","",INDEX('Eredmény'!$Q$2:$Q$201,$N16))</f>
        <v/>
      </c>
      <c r="K16" s="8">
        <f>IF($N16="","",INDEX('Eredmény'!$R$2:$R$201,$N16))</f>
        <v/>
      </c>
      <c r="L16" s="7">
        <f>IF($N16="","",INDEX('Eredmény'!$AB$2:$AB$201,$N16))</f>
        <v/>
      </c>
      <c r="N16">
        <f>IFERROR(MATCH(LARGE('Eredmény'!$AZ$2:$AZ$201,12),'Eredmény'!$AZ$2:$AZ$201,0),"")</f>
        <v/>
      </c>
    </row>
    <row r="17">
      <c r="A17" s="7">
        <f>IF($N17="","",INDEX('Eredmény'!$N$2:$N$201,$N17))</f>
        <v/>
      </c>
      <c r="B17" s="8">
        <f>IF($N17="","",INDEX('Eredmény'!$A$2:$A$201,$N17))</f>
        <v/>
      </c>
      <c r="C17" s="9">
        <f>IF($N17="","",INDEX('Eredmény'!$M$2:$M$201,$N17))</f>
        <v/>
      </c>
      <c r="D17" s="8">
        <f>IF($N17="","",INDEX('Eredmény'!$O$2:$O$201,$N17))</f>
        <v/>
      </c>
      <c r="E17" s="8">
        <f>IF($N17="","",INDEX('Eredmény'!$P$2:$P$201,$N17))</f>
        <v/>
      </c>
      <c r="F17" s="10">
        <f>IF($N17="","",INDEX('Eredmény'!$V$2:$V$201,$N17))</f>
        <v/>
      </c>
      <c r="G17" s="10">
        <f>IF($N17="","",INDEX('Eredmény'!$X$2:$X$201,$N17))</f>
        <v/>
      </c>
      <c r="H17" s="10">
        <f>IF($N17="","",INDEX('Eredmény'!$Y$2:$Y$201,$N17))</f>
        <v/>
      </c>
      <c r="I17" s="11">
        <f>IF($N17="","",INDEX('Eredmény'!$Z$2:$Z$201,$N17))</f>
        <v/>
      </c>
      <c r="J17" s="8">
        <f>IF($N17="","",INDEX('Eredmény'!$Q$2:$Q$201,$N17))</f>
        <v/>
      </c>
      <c r="K17" s="8">
        <f>IF($N17="","",INDEX('Eredmény'!$R$2:$R$201,$N17))</f>
        <v/>
      </c>
      <c r="L17" s="7">
        <f>IF($N17="","",INDEX('Eredmény'!$AB$2:$AB$201,$N17))</f>
        <v/>
      </c>
      <c r="N17">
        <f>IFERROR(MATCH(LARGE('Eredmény'!$AZ$2:$AZ$201,13),'Eredmény'!$AZ$2:$AZ$201,0),"")</f>
        <v/>
      </c>
    </row>
    <row r="18">
      <c r="A18" s="7">
        <f>IF($N18="","",INDEX('Eredmény'!$N$2:$N$201,$N18))</f>
        <v/>
      </c>
      <c r="B18" s="8">
        <f>IF($N18="","",INDEX('Eredmény'!$A$2:$A$201,$N18))</f>
        <v/>
      </c>
      <c r="C18" s="9">
        <f>IF($N18="","",INDEX('Eredmény'!$M$2:$M$201,$N18))</f>
        <v/>
      </c>
      <c r="D18" s="8">
        <f>IF($N18="","",INDEX('Eredmény'!$O$2:$O$201,$N18))</f>
        <v/>
      </c>
      <c r="E18" s="8">
        <f>IF($N18="","",INDEX('Eredmény'!$P$2:$P$201,$N18))</f>
        <v/>
      </c>
      <c r="F18" s="10">
        <f>IF($N18="","",INDEX('Eredmény'!$V$2:$V$201,$N18))</f>
        <v/>
      </c>
      <c r="G18" s="10">
        <f>IF($N18="","",INDEX('Eredmény'!$X$2:$X$201,$N18))</f>
        <v/>
      </c>
      <c r="H18" s="10">
        <f>IF($N18="","",INDEX('Eredmény'!$Y$2:$Y$201,$N18))</f>
        <v/>
      </c>
      <c r="I18" s="11">
        <f>IF($N18="","",INDEX('Eredmény'!$Z$2:$Z$201,$N18))</f>
        <v/>
      </c>
      <c r="J18" s="8">
        <f>IF($N18="","",INDEX('Eredmény'!$Q$2:$Q$201,$N18))</f>
        <v/>
      </c>
      <c r="K18" s="8">
        <f>IF($N18="","",INDEX('Eredmény'!$R$2:$R$201,$N18))</f>
        <v/>
      </c>
      <c r="L18" s="7">
        <f>IF($N18="","",INDEX('Eredmény'!$AB$2:$AB$201,$N18))</f>
        <v/>
      </c>
      <c r="N18">
        <f>IFERROR(MATCH(LARGE('Eredmény'!$AZ$2:$AZ$201,14),'Eredmény'!$AZ$2:$AZ$201,0),"")</f>
        <v/>
      </c>
    </row>
    <row r="19">
      <c r="A19" s="7">
        <f>IF($N19="","",INDEX('Eredmény'!$N$2:$N$201,$N19))</f>
        <v/>
      </c>
      <c r="B19" s="8">
        <f>IF($N19="","",INDEX('Eredmény'!$A$2:$A$201,$N19))</f>
        <v/>
      </c>
      <c r="C19" s="9">
        <f>IF($N19="","",INDEX('Eredmény'!$M$2:$M$201,$N19))</f>
        <v/>
      </c>
      <c r="D19" s="8">
        <f>IF($N19="","",INDEX('Eredmény'!$O$2:$O$201,$N19))</f>
        <v/>
      </c>
      <c r="E19" s="8">
        <f>IF($N19="","",INDEX('Eredmény'!$P$2:$P$201,$N19))</f>
        <v/>
      </c>
      <c r="F19" s="10">
        <f>IF($N19="","",INDEX('Eredmény'!$V$2:$V$201,$N19))</f>
        <v/>
      </c>
      <c r="G19" s="10">
        <f>IF($N19="","",INDEX('Eredmény'!$X$2:$X$201,$N19))</f>
        <v/>
      </c>
      <c r="H19" s="10">
        <f>IF($N19="","",INDEX('Eredmény'!$Y$2:$Y$201,$N19))</f>
        <v/>
      </c>
      <c r="I19" s="11">
        <f>IF($N19="","",INDEX('Eredmény'!$Z$2:$Z$201,$N19))</f>
        <v/>
      </c>
      <c r="J19" s="8">
        <f>IF($N19="","",INDEX('Eredmény'!$Q$2:$Q$201,$N19))</f>
        <v/>
      </c>
      <c r="K19" s="8">
        <f>IF($N19="","",INDEX('Eredmény'!$R$2:$R$201,$N19))</f>
        <v/>
      </c>
      <c r="L19" s="7">
        <f>IF($N19="","",INDEX('Eredmény'!$AB$2:$AB$201,$N19))</f>
        <v/>
      </c>
      <c r="N19">
        <f>IFERROR(MATCH(LARGE('Eredmény'!$AZ$2:$AZ$201,15),'Eredmény'!$AZ$2:$AZ$201,0),"")</f>
        <v/>
      </c>
    </row>
    <row r="20">
      <c r="A20" s="7">
        <f>IF($N20="","",INDEX('Eredmény'!$N$2:$N$201,$N20))</f>
        <v/>
      </c>
      <c r="B20" s="8">
        <f>IF($N20="","",INDEX('Eredmény'!$A$2:$A$201,$N20))</f>
        <v/>
      </c>
      <c r="C20" s="9">
        <f>IF($N20="","",INDEX('Eredmény'!$M$2:$M$201,$N20))</f>
        <v/>
      </c>
      <c r="D20" s="8">
        <f>IF($N20="","",INDEX('Eredmény'!$O$2:$O$201,$N20))</f>
        <v/>
      </c>
      <c r="E20" s="8">
        <f>IF($N20="","",INDEX('Eredmény'!$P$2:$P$201,$N20))</f>
        <v/>
      </c>
      <c r="F20" s="10">
        <f>IF($N20="","",INDEX('Eredmény'!$V$2:$V$201,$N20))</f>
        <v/>
      </c>
      <c r="G20" s="10">
        <f>IF($N20="","",INDEX('Eredmény'!$X$2:$X$201,$N20))</f>
        <v/>
      </c>
      <c r="H20" s="10">
        <f>IF($N20="","",INDEX('Eredmény'!$Y$2:$Y$201,$N20))</f>
        <v/>
      </c>
      <c r="I20" s="11">
        <f>IF($N20="","",INDEX('Eredmény'!$Z$2:$Z$201,$N20))</f>
        <v/>
      </c>
      <c r="J20" s="8">
        <f>IF($N20="","",INDEX('Eredmény'!$Q$2:$Q$201,$N20))</f>
        <v/>
      </c>
      <c r="K20" s="8">
        <f>IF($N20="","",INDEX('Eredmény'!$R$2:$R$201,$N20))</f>
        <v/>
      </c>
      <c r="L20" s="7">
        <f>IF($N20="","",INDEX('Eredmény'!$AB$2:$AB$201,$N20))</f>
        <v/>
      </c>
      <c r="N20">
        <f>IFERROR(MATCH(LARGE('Eredmény'!$AZ$2:$AZ$201,16),'Eredmény'!$AZ$2:$AZ$201,0),"")</f>
        <v/>
      </c>
    </row>
    <row r="21">
      <c r="A21" s="7">
        <f>IF($N21="","",INDEX('Eredmény'!$N$2:$N$201,$N21))</f>
        <v/>
      </c>
      <c r="B21" s="8">
        <f>IF($N21="","",INDEX('Eredmény'!$A$2:$A$201,$N21))</f>
        <v/>
      </c>
      <c r="C21" s="9">
        <f>IF($N21="","",INDEX('Eredmény'!$M$2:$M$201,$N21))</f>
        <v/>
      </c>
      <c r="D21" s="8">
        <f>IF($N21="","",INDEX('Eredmény'!$O$2:$O$201,$N21))</f>
        <v/>
      </c>
      <c r="E21" s="8">
        <f>IF($N21="","",INDEX('Eredmény'!$P$2:$P$201,$N21))</f>
        <v/>
      </c>
      <c r="F21" s="10">
        <f>IF($N21="","",INDEX('Eredmény'!$V$2:$V$201,$N21))</f>
        <v/>
      </c>
      <c r="G21" s="10">
        <f>IF($N21="","",INDEX('Eredmény'!$X$2:$X$201,$N21))</f>
        <v/>
      </c>
      <c r="H21" s="10">
        <f>IF($N21="","",INDEX('Eredmény'!$Y$2:$Y$201,$N21))</f>
        <v/>
      </c>
      <c r="I21" s="11">
        <f>IF($N21="","",INDEX('Eredmény'!$Z$2:$Z$201,$N21))</f>
        <v/>
      </c>
      <c r="J21" s="8">
        <f>IF($N21="","",INDEX('Eredmény'!$Q$2:$Q$201,$N21))</f>
        <v/>
      </c>
      <c r="K21" s="8">
        <f>IF($N21="","",INDEX('Eredmény'!$R$2:$R$201,$N21))</f>
        <v/>
      </c>
      <c r="L21" s="7">
        <f>IF($N21="","",INDEX('Eredmény'!$AB$2:$AB$201,$N21))</f>
        <v/>
      </c>
      <c r="N21">
        <f>IFERROR(MATCH(LARGE('Eredmény'!$AZ$2:$AZ$201,17),'Eredmény'!$AZ$2:$AZ$201,0),"")</f>
        <v/>
      </c>
    </row>
    <row r="22">
      <c r="A22" s="7">
        <f>IF($N22="","",INDEX('Eredmény'!$N$2:$N$201,$N22))</f>
        <v/>
      </c>
      <c r="B22" s="8">
        <f>IF($N22="","",INDEX('Eredmény'!$A$2:$A$201,$N22))</f>
        <v/>
      </c>
      <c r="C22" s="9">
        <f>IF($N22="","",INDEX('Eredmény'!$M$2:$M$201,$N22))</f>
        <v/>
      </c>
      <c r="D22" s="8">
        <f>IF($N22="","",INDEX('Eredmény'!$O$2:$O$201,$N22))</f>
        <v/>
      </c>
      <c r="E22" s="8">
        <f>IF($N22="","",INDEX('Eredmény'!$P$2:$P$201,$N22))</f>
        <v/>
      </c>
      <c r="F22" s="10">
        <f>IF($N22="","",INDEX('Eredmény'!$V$2:$V$201,$N22))</f>
        <v/>
      </c>
      <c r="G22" s="10">
        <f>IF($N22="","",INDEX('Eredmény'!$X$2:$X$201,$N22))</f>
        <v/>
      </c>
      <c r="H22" s="10">
        <f>IF($N22="","",INDEX('Eredmény'!$Y$2:$Y$201,$N22))</f>
        <v/>
      </c>
      <c r="I22" s="11">
        <f>IF($N22="","",INDEX('Eredmény'!$Z$2:$Z$201,$N22))</f>
        <v/>
      </c>
      <c r="J22" s="8">
        <f>IF($N22="","",INDEX('Eredmény'!$Q$2:$Q$201,$N22))</f>
        <v/>
      </c>
      <c r="K22" s="8">
        <f>IF($N22="","",INDEX('Eredmény'!$R$2:$R$201,$N22))</f>
        <v/>
      </c>
      <c r="L22" s="7">
        <f>IF($N22="","",INDEX('Eredmény'!$AB$2:$AB$201,$N22))</f>
        <v/>
      </c>
      <c r="N22">
        <f>IFERROR(MATCH(LARGE('Eredmény'!$AZ$2:$AZ$201,18),'Eredmény'!$AZ$2:$AZ$201,0),"")</f>
        <v/>
      </c>
    </row>
    <row r="23">
      <c r="A23" s="7">
        <f>IF($N23="","",INDEX('Eredmény'!$N$2:$N$201,$N23))</f>
        <v/>
      </c>
      <c r="B23" s="8">
        <f>IF($N23="","",INDEX('Eredmény'!$A$2:$A$201,$N23))</f>
        <v/>
      </c>
      <c r="C23" s="9">
        <f>IF($N23="","",INDEX('Eredmény'!$M$2:$M$201,$N23))</f>
        <v/>
      </c>
      <c r="D23" s="8">
        <f>IF($N23="","",INDEX('Eredmény'!$O$2:$O$201,$N23))</f>
        <v/>
      </c>
      <c r="E23" s="8">
        <f>IF($N23="","",INDEX('Eredmény'!$P$2:$P$201,$N23))</f>
        <v/>
      </c>
      <c r="F23" s="10">
        <f>IF($N23="","",INDEX('Eredmény'!$V$2:$V$201,$N23))</f>
        <v/>
      </c>
      <c r="G23" s="10">
        <f>IF($N23="","",INDEX('Eredmény'!$X$2:$X$201,$N23))</f>
        <v/>
      </c>
      <c r="H23" s="10">
        <f>IF($N23="","",INDEX('Eredmény'!$Y$2:$Y$201,$N23))</f>
        <v/>
      </c>
      <c r="I23" s="11">
        <f>IF($N23="","",INDEX('Eredmény'!$Z$2:$Z$201,$N23))</f>
        <v/>
      </c>
      <c r="J23" s="8">
        <f>IF($N23="","",INDEX('Eredmény'!$Q$2:$Q$201,$N23))</f>
        <v/>
      </c>
      <c r="K23" s="8">
        <f>IF($N23="","",INDEX('Eredmény'!$R$2:$R$201,$N23))</f>
        <v/>
      </c>
      <c r="L23" s="7">
        <f>IF($N23="","",INDEX('Eredmény'!$AB$2:$AB$201,$N23))</f>
        <v/>
      </c>
      <c r="N23">
        <f>IFERROR(MATCH(LARGE('Eredmény'!$AZ$2:$AZ$201,19),'Eredmény'!$AZ$2:$AZ$201,0),"")</f>
        <v/>
      </c>
    </row>
    <row r="24">
      <c r="A24" s="7">
        <f>IF($N24="","",INDEX('Eredmény'!$N$2:$N$201,$N24))</f>
        <v/>
      </c>
      <c r="B24" s="8">
        <f>IF($N24="","",INDEX('Eredmény'!$A$2:$A$201,$N24))</f>
        <v/>
      </c>
      <c r="C24" s="9">
        <f>IF($N24="","",INDEX('Eredmény'!$M$2:$M$201,$N24))</f>
        <v/>
      </c>
      <c r="D24" s="8">
        <f>IF($N24="","",INDEX('Eredmény'!$O$2:$O$201,$N24))</f>
        <v/>
      </c>
      <c r="E24" s="8">
        <f>IF($N24="","",INDEX('Eredmény'!$P$2:$P$201,$N24))</f>
        <v/>
      </c>
      <c r="F24" s="10">
        <f>IF($N24="","",INDEX('Eredmény'!$V$2:$V$201,$N24))</f>
        <v/>
      </c>
      <c r="G24" s="10">
        <f>IF($N24="","",INDEX('Eredmény'!$X$2:$X$201,$N24))</f>
        <v/>
      </c>
      <c r="H24" s="10">
        <f>IF($N24="","",INDEX('Eredmény'!$Y$2:$Y$201,$N24))</f>
        <v/>
      </c>
      <c r="I24" s="11">
        <f>IF($N24="","",INDEX('Eredmény'!$Z$2:$Z$201,$N24))</f>
        <v/>
      </c>
      <c r="J24" s="8">
        <f>IF($N24="","",INDEX('Eredmény'!$Q$2:$Q$201,$N24))</f>
        <v/>
      </c>
      <c r="K24" s="8">
        <f>IF($N24="","",INDEX('Eredmény'!$R$2:$R$201,$N24))</f>
        <v/>
      </c>
      <c r="L24" s="7">
        <f>IF($N24="","",INDEX('Eredmény'!$AB$2:$AB$201,$N24))</f>
        <v/>
      </c>
      <c r="N24">
        <f>IFERROR(MATCH(LARGE('Eredmény'!$AZ$2:$AZ$201,20),'Eredmény'!$AZ$2:$AZ$201,0),"")</f>
        <v/>
      </c>
    </row>
    <row r="25">
      <c r="A25" s="7">
        <f>IF($N25="","",INDEX('Eredmény'!$N$2:$N$201,$N25))</f>
        <v/>
      </c>
      <c r="B25" s="8">
        <f>IF($N25="","",INDEX('Eredmény'!$A$2:$A$201,$N25))</f>
        <v/>
      </c>
      <c r="C25" s="9">
        <f>IF($N25="","",INDEX('Eredmény'!$M$2:$M$201,$N25))</f>
        <v/>
      </c>
      <c r="D25" s="8">
        <f>IF($N25="","",INDEX('Eredmény'!$O$2:$O$201,$N25))</f>
        <v/>
      </c>
      <c r="E25" s="8">
        <f>IF($N25="","",INDEX('Eredmény'!$P$2:$P$201,$N25))</f>
        <v/>
      </c>
      <c r="F25" s="10">
        <f>IF($N25="","",INDEX('Eredmény'!$V$2:$V$201,$N25))</f>
        <v/>
      </c>
      <c r="G25" s="10">
        <f>IF($N25="","",INDEX('Eredmény'!$X$2:$X$201,$N25))</f>
        <v/>
      </c>
      <c r="H25" s="10">
        <f>IF($N25="","",INDEX('Eredmény'!$Y$2:$Y$201,$N25))</f>
        <v/>
      </c>
      <c r="I25" s="11">
        <f>IF($N25="","",INDEX('Eredmény'!$Z$2:$Z$201,$N25))</f>
        <v/>
      </c>
      <c r="J25" s="8">
        <f>IF($N25="","",INDEX('Eredmény'!$Q$2:$Q$201,$N25))</f>
        <v/>
      </c>
      <c r="K25" s="8">
        <f>IF($N25="","",INDEX('Eredmény'!$R$2:$R$201,$N25))</f>
        <v/>
      </c>
      <c r="L25" s="7">
        <f>IF($N25="","",INDEX('Eredmény'!$AB$2:$AB$201,$N25))</f>
        <v/>
      </c>
      <c r="N25">
        <f>IFERROR(MATCH(LARGE('Eredmény'!$AZ$2:$AZ$201,21),'Eredmény'!$AZ$2:$AZ$201,0),"")</f>
        <v/>
      </c>
    </row>
    <row r="26">
      <c r="A26" s="7">
        <f>IF($N26="","",INDEX('Eredmény'!$N$2:$N$201,$N26))</f>
        <v/>
      </c>
      <c r="B26" s="8">
        <f>IF($N26="","",INDEX('Eredmény'!$A$2:$A$201,$N26))</f>
        <v/>
      </c>
      <c r="C26" s="9">
        <f>IF($N26="","",INDEX('Eredmény'!$M$2:$M$201,$N26))</f>
        <v/>
      </c>
      <c r="D26" s="8">
        <f>IF($N26="","",INDEX('Eredmény'!$O$2:$O$201,$N26))</f>
        <v/>
      </c>
      <c r="E26" s="8">
        <f>IF($N26="","",INDEX('Eredmény'!$P$2:$P$201,$N26))</f>
        <v/>
      </c>
      <c r="F26" s="10">
        <f>IF($N26="","",INDEX('Eredmény'!$V$2:$V$201,$N26))</f>
        <v/>
      </c>
      <c r="G26" s="10">
        <f>IF($N26="","",INDEX('Eredmény'!$X$2:$X$201,$N26))</f>
        <v/>
      </c>
      <c r="H26" s="10">
        <f>IF($N26="","",INDEX('Eredmény'!$Y$2:$Y$201,$N26))</f>
        <v/>
      </c>
      <c r="I26" s="11">
        <f>IF($N26="","",INDEX('Eredmény'!$Z$2:$Z$201,$N26))</f>
        <v/>
      </c>
      <c r="J26" s="8">
        <f>IF($N26="","",INDEX('Eredmény'!$Q$2:$Q$201,$N26))</f>
        <v/>
      </c>
      <c r="K26" s="8">
        <f>IF($N26="","",INDEX('Eredmény'!$R$2:$R$201,$N26))</f>
        <v/>
      </c>
      <c r="L26" s="7">
        <f>IF($N26="","",INDEX('Eredmény'!$AB$2:$AB$201,$N26))</f>
        <v/>
      </c>
      <c r="N26">
        <f>IFERROR(MATCH(LARGE('Eredmény'!$AZ$2:$AZ$201,22),'Eredmény'!$AZ$2:$AZ$201,0),"")</f>
        <v/>
      </c>
    </row>
    <row r="27">
      <c r="A27" s="7">
        <f>IF($N27="","",INDEX('Eredmény'!$N$2:$N$201,$N27))</f>
        <v/>
      </c>
      <c r="B27" s="8">
        <f>IF($N27="","",INDEX('Eredmény'!$A$2:$A$201,$N27))</f>
        <v/>
      </c>
      <c r="C27" s="9">
        <f>IF($N27="","",INDEX('Eredmény'!$M$2:$M$201,$N27))</f>
        <v/>
      </c>
      <c r="D27" s="8">
        <f>IF($N27="","",INDEX('Eredmény'!$O$2:$O$201,$N27))</f>
        <v/>
      </c>
      <c r="E27" s="8">
        <f>IF($N27="","",INDEX('Eredmény'!$P$2:$P$201,$N27))</f>
        <v/>
      </c>
      <c r="F27" s="10">
        <f>IF($N27="","",INDEX('Eredmény'!$V$2:$V$201,$N27))</f>
        <v/>
      </c>
      <c r="G27" s="10">
        <f>IF($N27="","",INDEX('Eredmény'!$X$2:$X$201,$N27))</f>
        <v/>
      </c>
      <c r="H27" s="10">
        <f>IF($N27="","",INDEX('Eredmény'!$Y$2:$Y$201,$N27))</f>
        <v/>
      </c>
      <c r="I27" s="11">
        <f>IF($N27="","",INDEX('Eredmény'!$Z$2:$Z$201,$N27))</f>
        <v/>
      </c>
      <c r="J27" s="8">
        <f>IF($N27="","",INDEX('Eredmény'!$Q$2:$Q$201,$N27))</f>
        <v/>
      </c>
      <c r="K27" s="8">
        <f>IF($N27="","",INDEX('Eredmény'!$R$2:$R$201,$N27))</f>
        <v/>
      </c>
      <c r="L27" s="7">
        <f>IF($N27="","",INDEX('Eredmény'!$AB$2:$AB$201,$N27))</f>
        <v/>
      </c>
      <c r="N27">
        <f>IFERROR(MATCH(LARGE('Eredmény'!$AZ$2:$AZ$201,23),'Eredmény'!$AZ$2:$AZ$201,0),"")</f>
        <v/>
      </c>
    </row>
    <row r="28">
      <c r="A28" s="7">
        <f>IF($N28="","",INDEX('Eredmény'!$N$2:$N$201,$N28))</f>
        <v/>
      </c>
      <c r="B28" s="8">
        <f>IF($N28="","",INDEX('Eredmény'!$A$2:$A$201,$N28))</f>
        <v/>
      </c>
      <c r="C28" s="9">
        <f>IF($N28="","",INDEX('Eredmény'!$M$2:$M$201,$N28))</f>
        <v/>
      </c>
      <c r="D28" s="8">
        <f>IF($N28="","",INDEX('Eredmény'!$O$2:$O$201,$N28))</f>
        <v/>
      </c>
      <c r="E28" s="8">
        <f>IF($N28="","",INDEX('Eredmény'!$P$2:$P$201,$N28))</f>
        <v/>
      </c>
      <c r="F28" s="10">
        <f>IF($N28="","",INDEX('Eredmény'!$V$2:$V$201,$N28))</f>
        <v/>
      </c>
      <c r="G28" s="10">
        <f>IF($N28="","",INDEX('Eredmény'!$X$2:$X$201,$N28))</f>
        <v/>
      </c>
      <c r="H28" s="10">
        <f>IF($N28="","",INDEX('Eredmény'!$Y$2:$Y$201,$N28))</f>
        <v/>
      </c>
      <c r="I28" s="11">
        <f>IF($N28="","",INDEX('Eredmény'!$Z$2:$Z$201,$N28))</f>
        <v/>
      </c>
      <c r="J28" s="8">
        <f>IF($N28="","",INDEX('Eredmény'!$Q$2:$Q$201,$N28))</f>
        <v/>
      </c>
      <c r="K28" s="8">
        <f>IF($N28="","",INDEX('Eredmény'!$R$2:$R$201,$N28))</f>
        <v/>
      </c>
      <c r="L28" s="7">
        <f>IF($N28="","",INDEX('Eredmény'!$AB$2:$AB$201,$N28))</f>
        <v/>
      </c>
      <c r="N28">
        <f>IFERROR(MATCH(LARGE('Eredmény'!$AZ$2:$AZ$201,24),'Eredmény'!$AZ$2:$AZ$201,0),"")</f>
        <v/>
      </c>
    </row>
    <row r="29">
      <c r="A29" s="7">
        <f>IF($N29="","",INDEX('Eredmény'!$N$2:$N$201,$N29))</f>
        <v/>
      </c>
      <c r="B29" s="8">
        <f>IF($N29="","",INDEX('Eredmény'!$A$2:$A$201,$N29))</f>
        <v/>
      </c>
      <c r="C29" s="9">
        <f>IF($N29="","",INDEX('Eredmény'!$M$2:$M$201,$N29))</f>
        <v/>
      </c>
      <c r="D29" s="8">
        <f>IF($N29="","",INDEX('Eredmény'!$O$2:$O$201,$N29))</f>
        <v/>
      </c>
      <c r="E29" s="8">
        <f>IF($N29="","",INDEX('Eredmény'!$P$2:$P$201,$N29))</f>
        <v/>
      </c>
      <c r="F29" s="10">
        <f>IF($N29="","",INDEX('Eredmény'!$V$2:$V$201,$N29))</f>
        <v/>
      </c>
      <c r="G29" s="10">
        <f>IF($N29="","",INDEX('Eredmény'!$X$2:$X$201,$N29))</f>
        <v/>
      </c>
      <c r="H29" s="10">
        <f>IF($N29="","",INDEX('Eredmény'!$Y$2:$Y$201,$N29))</f>
        <v/>
      </c>
      <c r="I29" s="11">
        <f>IF($N29="","",INDEX('Eredmény'!$Z$2:$Z$201,$N29))</f>
        <v/>
      </c>
      <c r="J29" s="8">
        <f>IF($N29="","",INDEX('Eredmény'!$Q$2:$Q$201,$N29))</f>
        <v/>
      </c>
      <c r="K29" s="8">
        <f>IF($N29="","",INDEX('Eredmény'!$R$2:$R$201,$N29))</f>
        <v/>
      </c>
      <c r="L29" s="7">
        <f>IF($N29="","",INDEX('Eredmény'!$AB$2:$AB$201,$N29))</f>
        <v/>
      </c>
      <c r="N29">
        <f>IFERROR(MATCH(LARGE('Eredmény'!$AZ$2:$AZ$201,25),'Eredmény'!$AZ$2:$AZ$201,0),"")</f>
        <v/>
      </c>
    </row>
    <row r="30">
      <c r="A30" s="7">
        <f>IF($N30="","",INDEX('Eredmény'!$N$2:$N$201,$N30))</f>
        <v/>
      </c>
      <c r="B30" s="8">
        <f>IF($N30="","",INDEX('Eredmény'!$A$2:$A$201,$N30))</f>
        <v/>
      </c>
      <c r="C30" s="9">
        <f>IF($N30="","",INDEX('Eredmény'!$M$2:$M$201,$N30))</f>
        <v/>
      </c>
      <c r="D30" s="8">
        <f>IF($N30="","",INDEX('Eredmény'!$O$2:$O$201,$N30))</f>
        <v/>
      </c>
      <c r="E30" s="8">
        <f>IF($N30="","",INDEX('Eredmény'!$P$2:$P$201,$N30))</f>
        <v/>
      </c>
      <c r="F30" s="10">
        <f>IF($N30="","",INDEX('Eredmény'!$V$2:$V$201,$N30))</f>
        <v/>
      </c>
      <c r="G30" s="10">
        <f>IF($N30="","",INDEX('Eredmény'!$X$2:$X$201,$N30))</f>
        <v/>
      </c>
      <c r="H30" s="10">
        <f>IF($N30="","",INDEX('Eredmény'!$Y$2:$Y$201,$N30))</f>
        <v/>
      </c>
      <c r="I30" s="11">
        <f>IF($N30="","",INDEX('Eredmény'!$Z$2:$Z$201,$N30))</f>
        <v/>
      </c>
      <c r="J30" s="8">
        <f>IF($N30="","",INDEX('Eredmény'!$Q$2:$Q$201,$N30))</f>
        <v/>
      </c>
      <c r="K30" s="8">
        <f>IF($N30="","",INDEX('Eredmény'!$R$2:$R$201,$N30))</f>
        <v/>
      </c>
      <c r="L30" s="7">
        <f>IF($N30="","",INDEX('Eredmény'!$AB$2:$AB$201,$N30))</f>
        <v/>
      </c>
      <c r="N30">
        <f>IFERROR(MATCH(LARGE('Eredmény'!$AZ$2:$AZ$201,26),'Eredmény'!$AZ$2:$AZ$201,0),"")</f>
        <v/>
      </c>
    </row>
    <row r="31">
      <c r="A31" s="7">
        <f>IF($N31="","",INDEX('Eredmény'!$N$2:$N$201,$N31))</f>
        <v/>
      </c>
      <c r="B31" s="8">
        <f>IF($N31="","",INDEX('Eredmény'!$A$2:$A$201,$N31))</f>
        <v/>
      </c>
      <c r="C31" s="9">
        <f>IF($N31="","",INDEX('Eredmény'!$M$2:$M$201,$N31))</f>
        <v/>
      </c>
      <c r="D31" s="8">
        <f>IF($N31="","",INDEX('Eredmény'!$O$2:$O$201,$N31))</f>
        <v/>
      </c>
      <c r="E31" s="8">
        <f>IF($N31="","",INDEX('Eredmény'!$P$2:$P$201,$N31))</f>
        <v/>
      </c>
      <c r="F31" s="10">
        <f>IF($N31="","",INDEX('Eredmény'!$V$2:$V$201,$N31))</f>
        <v/>
      </c>
      <c r="G31" s="10">
        <f>IF($N31="","",INDEX('Eredmény'!$X$2:$X$201,$N31))</f>
        <v/>
      </c>
      <c r="H31" s="10">
        <f>IF($N31="","",INDEX('Eredmény'!$Y$2:$Y$201,$N31))</f>
        <v/>
      </c>
      <c r="I31" s="11">
        <f>IF($N31="","",INDEX('Eredmény'!$Z$2:$Z$201,$N31))</f>
        <v/>
      </c>
      <c r="J31" s="8">
        <f>IF($N31="","",INDEX('Eredmény'!$Q$2:$Q$201,$N31))</f>
        <v/>
      </c>
      <c r="K31" s="8">
        <f>IF($N31="","",INDEX('Eredmény'!$R$2:$R$201,$N31))</f>
        <v/>
      </c>
      <c r="L31" s="7">
        <f>IF($N31="","",INDEX('Eredmény'!$AB$2:$AB$201,$N31))</f>
        <v/>
      </c>
      <c r="N31">
        <f>IFERROR(MATCH(LARGE('Eredmény'!$AZ$2:$AZ$201,27),'Eredmény'!$AZ$2:$AZ$201,0),"")</f>
        <v/>
      </c>
    </row>
    <row r="32">
      <c r="A32" s="7">
        <f>IF($N32="","",INDEX('Eredmény'!$N$2:$N$201,$N32))</f>
        <v/>
      </c>
      <c r="B32" s="8">
        <f>IF($N32="","",INDEX('Eredmény'!$A$2:$A$201,$N32))</f>
        <v/>
      </c>
      <c r="C32" s="9">
        <f>IF($N32="","",INDEX('Eredmény'!$M$2:$M$201,$N32))</f>
        <v/>
      </c>
      <c r="D32" s="8">
        <f>IF($N32="","",INDEX('Eredmény'!$O$2:$O$201,$N32))</f>
        <v/>
      </c>
      <c r="E32" s="8">
        <f>IF($N32="","",INDEX('Eredmény'!$P$2:$P$201,$N32))</f>
        <v/>
      </c>
      <c r="F32" s="10">
        <f>IF($N32="","",INDEX('Eredmény'!$V$2:$V$201,$N32))</f>
        <v/>
      </c>
      <c r="G32" s="10">
        <f>IF($N32="","",INDEX('Eredmény'!$X$2:$X$201,$N32))</f>
        <v/>
      </c>
      <c r="H32" s="10">
        <f>IF($N32="","",INDEX('Eredmény'!$Y$2:$Y$201,$N32))</f>
        <v/>
      </c>
      <c r="I32" s="11">
        <f>IF($N32="","",INDEX('Eredmény'!$Z$2:$Z$201,$N32))</f>
        <v/>
      </c>
      <c r="J32" s="8">
        <f>IF($N32="","",INDEX('Eredmény'!$Q$2:$Q$201,$N32))</f>
        <v/>
      </c>
      <c r="K32" s="8">
        <f>IF($N32="","",INDEX('Eredmény'!$R$2:$R$201,$N32))</f>
        <v/>
      </c>
      <c r="L32" s="7">
        <f>IF($N32="","",INDEX('Eredmény'!$AB$2:$AB$201,$N32))</f>
        <v/>
      </c>
      <c r="N32">
        <f>IFERROR(MATCH(LARGE('Eredmény'!$AZ$2:$AZ$201,28),'Eredmény'!$AZ$2:$AZ$201,0),"")</f>
        <v/>
      </c>
    </row>
    <row r="33">
      <c r="A33" s="7">
        <f>IF($N33="","",INDEX('Eredmény'!$N$2:$N$201,$N33))</f>
        <v/>
      </c>
      <c r="B33" s="8">
        <f>IF($N33="","",INDEX('Eredmény'!$A$2:$A$201,$N33))</f>
        <v/>
      </c>
      <c r="C33" s="9">
        <f>IF($N33="","",INDEX('Eredmény'!$M$2:$M$201,$N33))</f>
        <v/>
      </c>
      <c r="D33" s="8">
        <f>IF($N33="","",INDEX('Eredmény'!$O$2:$O$201,$N33))</f>
        <v/>
      </c>
      <c r="E33" s="8">
        <f>IF($N33="","",INDEX('Eredmény'!$P$2:$P$201,$N33))</f>
        <v/>
      </c>
      <c r="F33" s="10">
        <f>IF($N33="","",INDEX('Eredmény'!$V$2:$V$201,$N33))</f>
        <v/>
      </c>
      <c r="G33" s="10">
        <f>IF($N33="","",INDEX('Eredmény'!$X$2:$X$201,$N33))</f>
        <v/>
      </c>
      <c r="H33" s="10">
        <f>IF($N33="","",INDEX('Eredmény'!$Y$2:$Y$201,$N33))</f>
        <v/>
      </c>
      <c r="I33" s="11">
        <f>IF($N33="","",INDEX('Eredmény'!$Z$2:$Z$201,$N33))</f>
        <v/>
      </c>
      <c r="J33" s="8">
        <f>IF($N33="","",INDEX('Eredmény'!$Q$2:$Q$201,$N33))</f>
        <v/>
      </c>
      <c r="K33" s="8">
        <f>IF($N33="","",INDEX('Eredmény'!$R$2:$R$201,$N33))</f>
        <v/>
      </c>
      <c r="L33" s="7">
        <f>IF($N33="","",INDEX('Eredmény'!$AB$2:$AB$201,$N33))</f>
        <v/>
      </c>
      <c r="N33">
        <f>IFERROR(MATCH(LARGE('Eredmény'!$AZ$2:$AZ$201,29),'Eredmény'!$AZ$2:$AZ$201,0),"")</f>
        <v/>
      </c>
    </row>
    <row r="34">
      <c r="A34" s="7">
        <f>IF($N34="","",INDEX('Eredmény'!$N$2:$N$201,$N34))</f>
        <v/>
      </c>
      <c r="B34" s="8">
        <f>IF($N34="","",INDEX('Eredmény'!$A$2:$A$201,$N34))</f>
        <v/>
      </c>
      <c r="C34" s="9">
        <f>IF($N34="","",INDEX('Eredmény'!$M$2:$M$201,$N34))</f>
        <v/>
      </c>
      <c r="D34" s="8">
        <f>IF($N34="","",INDEX('Eredmény'!$O$2:$O$201,$N34))</f>
        <v/>
      </c>
      <c r="E34" s="8">
        <f>IF($N34="","",INDEX('Eredmény'!$P$2:$P$201,$N34))</f>
        <v/>
      </c>
      <c r="F34" s="10">
        <f>IF($N34="","",INDEX('Eredmény'!$V$2:$V$201,$N34))</f>
        <v/>
      </c>
      <c r="G34" s="10">
        <f>IF($N34="","",INDEX('Eredmény'!$X$2:$X$201,$N34))</f>
        <v/>
      </c>
      <c r="H34" s="10">
        <f>IF($N34="","",INDEX('Eredmény'!$Y$2:$Y$201,$N34))</f>
        <v/>
      </c>
      <c r="I34" s="11">
        <f>IF($N34="","",INDEX('Eredmény'!$Z$2:$Z$201,$N34))</f>
        <v/>
      </c>
      <c r="J34" s="8">
        <f>IF($N34="","",INDEX('Eredmény'!$Q$2:$Q$201,$N34))</f>
        <v/>
      </c>
      <c r="K34" s="8">
        <f>IF($N34="","",INDEX('Eredmény'!$R$2:$R$201,$N34))</f>
        <v/>
      </c>
      <c r="L34" s="7">
        <f>IF($N34="","",INDEX('Eredmény'!$AB$2:$AB$201,$N34))</f>
        <v/>
      </c>
      <c r="N34">
        <f>IFERROR(MATCH(LARGE('Eredmény'!$AZ$2:$AZ$201,30),'Eredmény'!$AZ$2:$AZ$201,0),"")</f>
        <v/>
      </c>
    </row>
    <row r="35">
      <c r="A35" s="7">
        <f>IF($N35="","",INDEX('Eredmény'!$N$2:$N$201,$N35))</f>
        <v/>
      </c>
      <c r="B35" s="8">
        <f>IF($N35="","",INDEX('Eredmény'!$A$2:$A$201,$N35))</f>
        <v/>
      </c>
      <c r="C35" s="9">
        <f>IF($N35="","",INDEX('Eredmény'!$M$2:$M$201,$N35))</f>
        <v/>
      </c>
      <c r="D35" s="8">
        <f>IF($N35="","",INDEX('Eredmény'!$O$2:$O$201,$N35))</f>
        <v/>
      </c>
      <c r="E35" s="8">
        <f>IF($N35="","",INDEX('Eredmény'!$P$2:$P$201,$N35))</f>
        <v/>
      </c>
      <c r="F35" s="10">
        <f>IF($N35="","",INDEX('Eredmény'!$V$2:$V$201,$N35))</f>
        <v/>
      </c>
      <c r="G35" s="10">
        <f>IF($N35="","",INDEX('Eredmény'!$X$2:$X$201,$N35))</f>
        <v/>
      </c>
      <c r="H35" s="10">
        <f>IF($N35="","",INDEX('Eredmény'!$Y$2:$Y$201,$N35))</f>
        <v/>
      </c>
      <c r="I35" s="11">
        <f>IF($N35="","",INDEX('Eredmény'!$Z$2:$Z$201,$N35))</f>
        <v/>
      </c>
      <c r="J35" s="8">
        <f>IF($N35="","",INDEX('Eredmény'!$Q$2:$Q$201,$N35))</f>
        <v/>
      </c>
      <c r="K35" s="8">
        <f>IF($N35="","",INDEX('Eredmény'!$R$2:$R$201,$N35))</f>
        <v/>
      </c>
      <c r="L35" s="7">
        <f>IF($N35="","",INDEX('Eredmény'!$AB$2:$AB$201,$N35))</f>
        <v/>
      </c>
      <c r="N35">
        <f>IFERROR(MATCH(LARGE('Eredmény'!$AZ$2:$AZ$201,31),'Eredmény'!$AZ$2:$AZ$201,0),"")</f>
        <v/>
      </c>
    </row>
    <row r="36">
      <c r="A36" s="7">
        <f>IF($N36="","",INDEX('Eredmény'!$N$2:$N$201,$N36))</f>
        <v/>
      </c>
      <c r="B36" s="8">
        <f>IF($N36="","",INDEX('Eredmény'!$A$2:$A$201,$N36))</f>
        <v/>
      </c>
      <c r="C36" s="9">
        <f>IF($N36="","",INDEX('Eredmény'!$M$2:$M$201,$N36))</f>
        <v/>
      </c>
      <c r="D36" s="8">
        <f>IF($N36="","",INDEX('Eredmény'!$O$2:$O$201,$N36))</f>
        <v/>
      </c>
      <c r="E36" s="8">
        <f>IF($N36="","",INDEX('Eredmény'!$P$2:$P$201,$N36))</f>
        <v/>
      </c>
      <c r="F36" s="10">
        <f>IF($N36="","",INDEX('Eredmény'!$V$2:$V$201,$N36))</f>
        <v/>
      </c>
      <c r="G36" s="10">
        <f>IF($N36="","",INDEX('Eredmény'!$X$2:$X$201,$N36))</f>
        <v/>
      </c>
      <c r="H36" s="10">
        <f>IF($N36="","",INDEX('Eredmény'!$Y$2:$Y$201,$N36))</f>
        <v/>
      </c>
      <c r="I36" s="11">
        <f>IF($N36="","",INDEX('Eredmény'!$Z$2:$Z$201,$N36))</f>
        <v/>
      </c>
      <c r="J36" s="8">
        <f>IF($N36="","",INDEX('Eredmény'!$Q$2:$Q$201,$N36))</f>
        <v/>
      </c>
      <c r="K36" s="8">
        <f>IF($N36="","",INDEX('Eredmény'!$R$2:$R$201,$N36))</f>
        <v/>
      </c>
      <c r="L36" s="7">
        <f>IF($N36="","",INDEX('Eredmény'!$AB$2:$AB$201,$N36))</f>
        <v/>
      </c>
      <c r="N36">
        <f>IFERROR(MATCH(LARGE('Eredmény'!$AZ$2:$AZ$201,32),'Eredmény'!$AZ$2:$AZ$201,0),"")</f>
        <v/>
      </c>
    </row>
    <row r="37">
      <c r="A37" s="7">
        <f>IF($N37="","",INDEX('Eredmény'!$N$2:$N$201,$N37))</f>
        <v/>
      </c>
      <c r="B37" s="8">
        <f>IF($N37="","",INDEX('Eredmény'!$A$2:$A$201,$N37))</f>
        <v/>
      </c>
      <c r="C37" s="9">
        <f>IF($N37="","",INDEX('Eredmény'!$M$2:$M$201,$N37))</f>
        <v/>
      </c>
      <c r="D37" s="8">
        <f>IF($N37="","",INDEX('Eredmény'!$O$2:$O$201,$N37))</f>
        <v/>
      </c>
      <c r="E37" s="8">
        <f>IF($N37="","",INDEX('Eredmény'!$P$2:$P$201,$N37))</f>
        <v/>
      </c>
      <c r="F37" s="10">
        <f>IF($N37="","",INDEX('Eredmény'!$V$2:$V$201,$N37))</f>
        <v/>
      </c>
      <c r="G37" s="10">
        <f>IF($N37="","",INDEX('Eredmény'!$X$2:$X$201,$N37))</f>
        <v/>
      </c>
      <c r="H37" s="10">
        <f>IF($N37="","",INDEX('Eredmény'!$Y$2:$Y$201,$N37))</f>
        <v/>
      </c>
      <c r="I37" s="11">
        <f>IF($N37="","",INDEX('Eredmény'!$Z$2:$Z$201,$N37))</f>
        <v/>
      </c>
      <c r="J37" s="8">
        <f>IF($N37="","",INDEX('Eredmény'!$Q$2:$Q$201,$N37))</f>
        <v/>
      </c>
      <c r="K37" s="8">
        <f>IF($N37="","",INDEX('Eredmény'!$R$2:$R$201,$N37))</f>
        <v/>
      </c>
      <c r="L37" s="7">
        <f>IF($N37="","",INDEX('Eredmény'!$AB$2:$AB$201,$N37))</f>
        <v/>
      </c>
      <c r="N37">
        <f>IFERROR(MATCH(LARGE('Eredmény'!$AZ$2:$AZ$201,33),'Eredmény'!$AZ$2:$AZ$201,0),"")</f>
        <v/>
      </c>
    </row>
    <row r="38">
      <c r="A38" s="7">
        <f>IF($N38="","",INDEX('Eredmény'!$N$2:$N$201,$N38))</f>
        <v/>
      </c>
      <c r="B38" s="8">
        <f>IF($N38="","",INDEX('Eredmény'!$A$2:$A$201,$N38))</f>
        <v/>
      </c>
      <c r="C38" s="9">
        <f>IF($N38="","",INDEX('Eredmény'!$M$2:$M$201,$N38))</f>
        <v/>
      </c>
      <c r="D38" s="8">
        <f>IF($N38="","",INDEX('Eredmény'!$O$2:$O$201,$N38))</f>
        <v/>
      </c>
      <c r="E38" s="8">
        <f>IF($N38="","",INDEX('Eredmény'!$P$2:$P$201,$N38))</f>
        <v/>
      </c>
      <c r="F38" s="10">
        <f>IF($N38="","",INDEX('Eredmény'!$V$2:$V$201,$N38))</f>
        <v/>
      </c>
      <c r="G38" s="10">
        <f>IF($N38="","",INDEX('Eredmény'!$X$2:$X$201,$N38))</f>
        <v/>
      </c>
      <c r="H38" s="10">
        <f>IF($N38="","",INDEX('Eredmény'!$Y$2:$Y$201,$N38))</f>
        <v/>
      </c>
      <c r="I38" s="11">
        <f>IF($N38="","",INDEX('Eredmény'!$Z$2:$Z$201,$N38))</f>
        <v/>
      </c>
      <c r="J38" s="8">
        <f>IF($N38="","",INDEX('Eredmény'!$Q$2:$Q$201,$N38))</f>
        <v/>
      </c>
      <c r="K38" s="8">
        <f>IF($N38="","",INDEX('Eredmény'!$R$2:$R$201,$N38))</f>
        <v/>
      </c>
      <c r="L38" s="7">
        <f>IF($N38="","",INDEX('Eredmény'!$AB$2:$AB$201,$N38))</f>
        <v/>
      </c>
      <c r="N38">
        <f>IFERROR(MATCH(LARGE('Eredmény'!$AZ$2:$AZ$201,34),'Eredmény'!$AZ$2:$AZ$201,0),"")</f>
        <v/>
      </c>
    </row>
    <row r="39">
      <c r="A39" s="7">
        <f>IF($N39="","",INDEX('Eredmény'!$N$2:$N$201,$N39))</f>
        <v/>
      </c>
      <c r="B39" s="8">
        <f>IF($N39="","",INDEX('Eredmény'!$A$2:$A$201,$N39))</f>
        <v/>
      </c>
      <c r="C39" s="9">
        <f>IF($N39="","",INDEX('Eredmény'!$M$2:$M$201,$N39))</f>
        <v/>
      </c>
      <c r="D39" s="8">
        <f>IF($N39="","",INDEX('Eredmény'!$O$2:$O$201,$N39))</f>
        <v/>
      </c>
      <c r="E39" s="8">
        <f>IF($N39="","",INDEX('Eredmény'!$P$2:$P$201,$N39))</f>
        <v/>
      </c>
      <c r="F39" s="10">
        <f>IF($N39="","",INDEX('Eredmény'!$V$2:$V$201,$N39))</f>
        <v/>
      </c>
      <c r="G39" s="10">
        <f>IF($N39="","",INDEX('Eredmény'!$X$2:$X$201,$N39))</f>
        <v/>
      </c>
      <c r="H39" s="10">
        <f>IF($N39="","",INDEX('Eredmény'!$Y$2:$Y$201,$N39))</f>
        <v/>
      </c>
      <c r="I39" s="11">
        <f>IF($N39="","",INDEX('Eredmény'!$Z$2:$Z$201,$N39))</f>
        <v/>
      </c>
      <c r="J39" s="8">
        <f>IF($N39="","",INDEX('Eredmény'!$Q$2:$Q$201,$N39))</f>
        <v/>
      </c>
      <c r="K39" s="8">
        <f>IF($N39="","",INDEX('Eredmény'!$R$2:$R$201,$N39))</f>
        <v/>
      </c>
      <c r="L39" s="7">
        <f>IF($N39="","",INDEX('Eredmény'!$AB$2:$AB$201,$N39))</f>
        <v/>
      </c>
      <c r="N39">
        <f>IFERROR(MATCH(LARGE('Eredmény'!$AZ$2:$AZ$201,35),'Eredmény'!$AZ$2:$AZ$201,0),"")</f>
        <v/>
      </c>
    </row>
    <row r="40">
      <c r="A40" s="7">
        <f>IF($N40="","",INDEX('Eredmény'!$N$2:$N$201,$N40))</f>
        <v/>
      </c>
      <c r="B40" s="8">
        <f>IF($N40="","",INDEX('Eredmény'!$A$2:$A$201,$N40))</f>
        <v/>
      </c>
      <c r="C40" s="9">
        <f>IF($N40="","",INDEX('Eredmény'!$M$2:$M$201,$N40))</f>
        <v/>
      </c>
      <c r="D40" s="8">
        <f>IF($N40="","",INDEX('Eredmény'!$O$2:$O$201,$N40))</f>
        <v/>
      </c>
      <c r="E40" s="8">
        <f>IF($N40="","",INDEX('Eredmény'!$P$2:$P$201,$N40))</f>
        <v/>
      </c>
      <c r="F40" s="10">
        <f>IF($N40="","",INDEX('Eredmény'!$V$2:$V$201,$N40))</f>
        <v/>
      </c>
      <c r="G40" s="10">
        <f>IF($N40="","",INDEX('Eredmény'!$X$2:$X$201,$N40))</f>
        <v/>
      </c>
      <c r="H40" s="10">
        <f>IF($N40="","",INDEX('Eredmény'!$Y$2:$Y$201,$N40))</f>
        <v/>
      </c>
      <c r="I40" s="11">
        <f>IF($N40="","",INDEX('Eredmény'!$Z$2:$Z$201,$N40))</f>
        <v/>
      </c>
      <c r="J40" s="8">
        <f>IF($N40="","",INDEX('Eredmény'!$Q$2:$Q$201,$N40))</f>
        <v/>
      </c>
      <c r="K40" s="8">
        <f>IF($N40="","",INDEX('Eredmény'!$R$2:$R$201,$N40))</f>
        <v/>
      </c>
      <c r="L40" s="7">
        <f>IF($N40="","",INDEX('Eredmény'!$AB$2:$AB$201,$N40))</f>
        <v/>
      </c>
      <c r="N40">
        <f>IFERROR(MATCH(LARGE('Eredmény'!$AZ$2:$AZ$201,36),'Eredmény'!$AZ$2:$AZ$201,0),"")</f>
        <v/>
      </c>
    </row>
    <row r="41">
      <c r="A41" s="7">
        <f>IF($N41="","",INDEX('Eredmény'!$N$2:$N$201,$N41))</f>
        <v/>
      </c>
      <c r="B41" s="8">
        <f>IF($N41="","",INDEX('Eredmény'!$A$2:$A$201,$N41))</f>
        <v/>
      </c>
      <c r="C41" s="9">
        <f>IF($N41="","",INDEX('Eredmény'!$M$2:$M$201,$N41))</f>
        <v/>
      </c>
      <c r="D41" s="8">
        <f>IF($N41="","",INDEX('Eredmény'!$O$2:$O$201,$N41))</f>
        <v/>
      </c>
      <c r="E41" s="8">
        <f>IF($N41="","",INDEX('Eredmény'!$P$2:$P$201,$N41))</f>
        <v/>
      </c>
      <c r="F41" s="10">
        <f>IF($N41="","",INDEX('Eredmény'!$V$2:$V$201,$N41))</f>
        <v/>
      </c>
      <c r="G41" s="10">
        <f>IF($N41="","",INDEX('Eredmény'!$X$2:$X$201,$N41))</f>
        <v/>
      </c>
      <c r="H41" s="10">
        <f>IF($N41="","",INDEX('Eredmény'!$Y$2:$Y$201,$N41))</f>
        <v/>
      </c>
      <c r="I41" s="11">
        <f>IF($N41="","",INDEX('Eredmény'!$Z$2:$Z$201,$N41))</f>
        <v/>
      </c>
      <c r="J41" s="8">
        <f>IF($N41="","",INDEX('Eredmény'!$Q$2:$Q$201,$N41))</f>
        <v/>
      </c>
      <c r="K41" s="8">
        <f>IF($N41="","",INDEX('Eredmény'!$R$2:$R$201,$N41))</f>
        <v/>
      </c>
      <c r="L41" s="7">
        <f>IF($N41="","",INDEX('Eredmény'!$AB$2:$AB$201,$N41))</f>
        <v/>
      </c>
      <c r="N41">
        <f>IFERROR(MATCH(LARGE('Eredmény'!$AZ$2:$AZ$201,37),'Eredmény'!$AZ$2:$AZ$201,0),"")</f>
        <v/>
      </c>
    </row>
    <row r="42">
      <c r="A42" s="7">
        <f>IF($N42="","",INDEX('Eredmény'!$N$2:$N$201,$N42))</f>
        <v/>
      </c>
      <c r="B42" s="8">
        <f>IF($N42="","",INDEX('Eredmény'!$A$2:$A$201,$N42))</f>
        <v/>
      </c>
      <c r="C42" s="9">
        <f>IF($N42="","",INDEX('Eredmény'!$M$2:$M$201,$N42))</f>
        <v/>
      </c>
      <c r="D42" s="8">
        <f>IF($N42="","",INDEX('Eredmény'!$O$2:$O$201,$N42))</f>
        <v/>
      </c>
      <c r="E42" s="8">
        <f>IF($N42="","",INDEX('Eredmény'!$P$2:$P$201,$N42))</f>
        <v/>
      </c>
      <c r="F42" s="10">
        <f>IF($N42="","",INDEX('Eredmény'!$V$2:$V$201,$N42))</f>
        <v/>
      </c>
      <c r="G42" s="10">
        <f>IF($N42="","",INDEX('Eredmény'!$X$2:$X$201,$N42))</f>
        <v/>
      </c>
      <c r="H42" s="10">
        <f>IF($N42="","",INDEX('Eredmény'!$Y$2:$Y$201,$N42))</f>
        <v/>
      </c>
      <c r="I42" s="11">
        <f>IF($N42="","",INDEX('Eredmény'!$Z$2:$Z$201,$N42))</f>
        <v/>
      </c>
      <c r="J42" s="8">
        <f>IF($N42="","",INDEX('Eredmény'!$Q$2:$Q$201,$N42))</f>
        <v/>
      </c>
      <c r="K42" s="8">
        <f>IF($N42="","",INDEX('Eredmény'!$R$2:$R$201,$N42))</f>
        <v/>
      </c>
      <c r="L42" s="7">
        <f>IF($N42="","",INDEX('Eredmény'!$AB$2:$AB$201,$N42))</f>
        <v/>
      </c>
      <c r="N42">
        <f>IFERROR(MATCH(LARGE('Eredmény'!$AZ$2:$AZ$201,38),'Eredmény'!$AZ$2:$AZ$201,0),"")</f>
        <v/>
      </c>
    </row>
    <row r="43">
      <c r="A43" s="7">
        <f>IF($N43="","",INDEX('Eredmény'!$N$2:$N$201,$N43))</f>
        <v/>
      </c>
      <c r="B43" s="8">
        <f>IF($N43="","",INDEX('Eredmény'!$A$2:$A$201,$N43))</f>
        <v/>
      </c>
      <c r="C43" s="9">
        <f>IF($N43="","",INDEX('Eredmény'!$M$2:$M$201,$N43))</f>
        <v/>
      </c>
      <c r="D43" s="8">
        <f>IF($N43="","",INDEX('Eredmény'!$O$2:$O$201,$N43))</f>
        <v/>
      </c>
      <c r="E43" s="8">
        <f>IF($N43="","",INDEX('Eredmény'!$P$2:$P$201,$N43))</f>
        <v/>
      </c>
      <c r="F43" s="10">
        <f>IF($N43="","",INDEX('Eredmény'!$V$2:$V$201,$N43))</f>
        <v/>
      </c>
      <c r="G43" s="10">
        <f>IF($N43="","",INDEX('Eredmény'!$X$2:$X$201,$N43))</f>
        <v/>
      </c>
      <c r="H43" s="10">
        <f>IF($N43="","",INDEX('Eredmény'!$Y$2:$Y$201,$N43))</f>
        <v/>
      </c>
      <c r="I43" s="11">
        <f>IF($N43="","",INDEX('Eredmény'!$Z$2:$Z$201,$N43))</f>
        <v/>
      </c>
      <c r="J43" s="8">
        <f>IF($N43="","",INDEX('Eredmény'!$Q$2:$Q$201,$N43))</f>
        <v/>
      </c>
      <c r="K43" s="8">
        <f>IF($N43="","",INDEX('Eredmény'!$R$2:$R$201,$N43))</f>
        <v/>
      </c>
      <c r="L43" s="7">
        <f>IF($N43="","",INDEX('Eredmény'!$AB$2:$AB$201,$N43))</f>
        <v/>
      </c>
      <c r="N43">
        <f>IFERROR(MATCH(LARGE('Eredmény'!$AZ$2:$AZ$201,39),'Eredmény'!$AZ$2:$AZ$201,0),"")</f>
        <v/>
      </c>
    </row>
    <row r="44">
      <c r="A44" s="7">
        <f>IF($N44="","",INDEX('Eredmény'!$N$2:$N$201,$N44))</f>
        <v/>
      </c>
      <c r="B44" s="8">
        <f>IF($N44="","",INDEX('Eredmény'!$A$2:$A$201,$N44))</f>
        <v/>
      </c>
      <c r="C44" s="9">
        <f>IF($N44="","",INDEX('Eredmény'!$M$2:$M$201,$N44))</f>
        <v/>
      </c>
      <c r="D44" s="8">
        <f>IF($N44="","",INDEX('Eredmény'!$O$2:$O$201,$N44))</f>
        <v/>
      </c>
      <c r="E44" s="8">
        <f>IF($N44="","",INDEX('Eredmény'!$P$2:$P$201,$N44))</f>
        <v/>
      </c>
      <c r="F44" s="10">
        <f>IF($N44="","",INDEX('Eredmény'!$V$2:$V$201,$N44))</f>
        <v/>
      </c>
      <c r="G44" s="10">
        <f>IF($N44="","",INDEX('Eredmény'!$X$2:$X$201,$N44))</f>
        <v/>
      </c>
      <c r="H44" s="10">
        <f>IF($N44="","",INDEX('Eredmény'!$Y$2:$Y$201,$N44))</f>
        <v/>
      </c>
      <c r="I44" s="11">
        <f>IF($N44="","",INDEX('Eredmény'!$Z$2:$Z$201,$N44))</f>
        <v/>
      </c>
      <c r="J44" s="8">
        <f>IF($N44="","",INDEX('Eredmény'!$Q$2:$Q$201,$N44))</f>
        <v/>
      </c>
      <c r="K44" s="8">
        <f>IF($N44="","",INDEX('Eredmény'!$R$2:$R$201,$N44))</f>
        <v/>
      </c>
      <c r="L44" s="7">
        <f>IF($N44="","",INDEX('Eredmény'!$AB$2:$AB$201,$N44))</f>
        <v/>
      </c>
      <c r="N44">
        <f>IFERROR(MATCH(LARGE('Eredmény'!$AZ$2:$AZ$201,40),'Eredmény'!$AZ$2:$AZ$201,0),"")</f>
        <v/>
      </c>
    </row>
    <row r="45">
      <c r="A45" s="7">
        <f>IF($N45="","",INDEX('Eredmény'!$N$2:$N$201,$N45))</f>
        <v/>
      </c>
      <c r="B45" s="8">
        <f>IF($N45="","",INDEX('Eredmény'!$A$2:$A$201,$N45))</f>
        <v/>
      </c>
      <c r="C45" s="9">
        <f>IF($N45="","",INDEX('Eredmény'!$M$2:$M$201,$N45))</f>
        <v/>
      </c>
      <c r="D45" s="8">
        <f>IF($N45="","",INDEX('Eredmény'!$O$2:$O$201,$N45))</f>
        <v/>
      </c>
      <c r="E45" s="8">
        <f>IF($N45="","",INDEX('Eredmény'!$P$2:$P$201,$N45))</f>
        <v/>
      </c>
      <c r="F45" s="10">
        <f>IF($N45="","",INDEX('Eredmény'!$V$2:$V$201,$N45))</f>
        <v/>
      </c>
      <c r="G45" s="10">
        <f>IF($N45="","",INDEX('Eredmény'!$X$2:$X$201,$N45))</f>
        <v/>
      </c>
      <c r="H45" s="10">
        <f>IF($N45="","",INDEX('Eredmény'!$Y$2:$Y$201,$N45))</f>
        <v/>
      </c>
      <c r="I45" s="11">
        <f>IF($N45="","",INDEX('Eredmény'!$Z$2:$Z$201,$N45))</f>
        <v/>
      </c>
      <c r="J45" s="8">
        <f>IF($N45="","",INDEX('Eredmény'!$Q$2:$Q$201,$N45))</f>
        <v/>
      </c>
      <c r="K45" s="8">
        <f>IF($N45="","",INDEX('Eredmény'!$R$2:$R$201,$N45))</f>
        <v/>
      </c>
      <c r="L45" s="7">
        <f>IF($N45="","",INDEX('Eredmény'!$AB$2:$AB$201,$N45))</f>
        <v/>
      </c>
      <c r="N45">
        <f>IFERROR(MATCH(LARGE('Eredmény'!$AZ$2:$AZ$201,41),'Eredmény'!$AZ$2:$AZ$201,0),"")</f>
        <v/>
      </c>
    </row>
    <row r="46">
      <c r="A46" s="7">
        <f>IF($N46="","",INDEX('Eredmény'!$N$2:$N$201,$N46))</f>
        <v/>
      </c>
      <c r="B46" s="8">
        <f>IF($N46="","",INDEX('Eredmény'!$A$2:$A$201,$N46))</f>
        <v/>
      </c>
      <c r="C46" s="9">
        <f>IF($N46="","",INDEX('Eredmény'!$M$2:$M$201,$N46))</f>
        <v/>
      </c>
      <c r="D46" s="8">
        <f>IF($N46="","",INDEX('Eredmény'!$O$2:$O$201,$N46))</f>
        <v/>
      </c>
      <c r="E46" s="8">
        <f>IF($N46="","",INDEX('Eredmény'!$P$2:$P$201,$N46))</f>
        <v/>
      </c>
      <c r="F46" s="10">
        <f>IF($N46="","",INDEX('Eredmény'!$V$2:$V$201,$N46))</f>
        <v/>
      </c>
      <c r="G46" s="10">
        <f>IF($N46="","",INDEX('Eredmény'!$X$2:$X$201,$N46))</f>
        <v/>
      </c>
      <c r="H46" s="10">
        <f>IF($N46="","",INDEX('Eredmény'!$Y$2:$Y$201,$N46))</f>
        <v/>
      </c>
      <c r="I46" s="11">
        <f>IF($N46="","",INDEX('Eredmény'!$Z$2:$Z$201,$N46))</f>
        <v/>
      </c>
      <c r="J46" s="8">
        <f>IF($N46="","",INDEX('Eredmény'!$Q$2:$Q$201,$N46))</f>
        <v/>
      </c>
      <c r="K46" s="8">
        <f>IF($N46="","",INDEX('Eredmény'!$R$2:$R$201,$N46))</f>
        <v/>
      </c>
      <c r="L46" s="7">
        <f>IF($N46="","",INDEX('Eredmény'!$AB$2:$AB$201,$N46))</f>
        <v/>
      </c>
      <c r="N46">
        <f>IFERROR(MATCH(LARGE('Eredmény'!$AZ$2:$AZ$201,42),'Eredmény'!$AZ$2:$AZ$201,0),"")</f>
        <v/>
      </c>
    </row>
    <row r="47">
      <c r="A47" s="7">
        <f>IF($N47="","",INDEX('Eredmény'!$N$2:$N$201,$N47))</f>
        <v/>
      </c>
      <c r="B47" s="8">
        <f>IF($N47="","",INDEX('Eredmény'!$A$2:$A$201,$N47))</f>
        <v/>
      </c>
      <c r="C47" s="9">
        <f>IF($N47="","",INDEX('Eredmény'!$M$2:$M$201,$N47))</f>
        <v/>
      </c>
      <c r="D47" s="8">
        <f>IF($N47="","",INDEX('Eredmény'!$O$2:$O$201,$N47))</f>
        <v/>
      </c>
      <c r="E47" s="8">
        <f>IF($N47="","",INDEX('Eredmény'!$P$2:$P$201,$N47))</f>
        <v/>
      </c>
      <c r="F47" s="10">
        <f>IF($N47="","",INDEX('Eredmény'!$V$2:$V$201,$N47))</f>
        <v/>
      </c>
      <c r="G47" s="10">
        <f>IF($N47="","",INDEX('Eredmény'!$X$2:$X$201,$N47))</f>
        <v/>
      </c>
      <c r="H47" s="10">
        <f>IF($N47="","",INDEX('Eredmény'!$Y$2:$Y$201,$N47))</f>
        <v/>
      </c>
      <c r="I47" s="11">
        <f>IF($N47="","",INDEX('Eredmény'!$Z$2:$Z$201,$N47))</f>
        <v/>
      </c>
      <c r="J47" s="8">
        <f>IF($N47="","",INDEX('Eredmény'!$Q$2:$Q$201,$N47))</f>
        <v/>
      </c>
      <c r="K47" s="8">
        <f>IF($N47="","",INDEX('Eredmény'!$R$2:$R$201,$N47))</f>
        <v/>
      </c>
      <c r="L47" s="7">
        <f>IF($N47="","",INDEX('Eredmény'!$AB$2:$AB$201,$N47))</f>
        <v/>
      </c>
      <c r="N47">
        <f>IFERROR(MATCH(LARGE('Eredmény'!$AZ$2:$AZ$201,43),'Eredmény'!$AZ$2:$AZ$201,0),"")</f>
        <v/>
      </c>
    </row>
    <row r="48">
      <c r="A48" s="7">
        <f>IF($N48="","",INDEX('Eredmény'!$N$2:$N$201,$N48))</f>
        <v/>
      </c>
      <c r="B48" s="8">
        <f>IF($N48="","",INDEX('Eredmény'!$A$2:$A$201,$N48))</f>
        <v/>
      </c>
      <c r="C48" s="9">
        <f>IF($N48="","",INDEX('Eredmény'!$M$2:$M$201,$N48))</f>
        <v/>
      </c>
      <c r="D48" s="8">
        <f>IF($N48="","",INDEX('Eredmény'!$O$2:$O$201,$N48))</f>
        <v/>
      </c>
      <c r="E48" s="8">
        <f>IF($N48="","",INDEX('Eredmény'!$P$2:$P$201,$N48))</f>
        <v/>
      </c>
      <c r="F48" s="10">
        <f>IF($N48="","",INDEX('Eredmény'!$V$2:$V$201,$N48))</f>
        <v/>
      </c>
      <c r="G48" s="10">
        <f>IF($N48="","",INDEX('Eredmény'!$X$2:$X$201,$N48))</f>
        <v/>
      </c>
      <c r="H48" s="10">
        <f>IF($N48="","",INDEX('Eredmény'!$Y$2:$Y$201,$N48))</f>
        <v/>
      </c>
      <c r="I48" s="11">
        <f>IF($N48="","",INDEX('Eredmény'!$Z$2:$Z$201,$N48))</f>
        <v/>
      </c>
      <c r="J48" s="8">
        <f>IF($N48="","",INDEX('Eredmény'!$Q$2:$Q$201,$N48))</f>
        <v/>
      </c>
      <c r="K48" s="8">
        <f>IF($N48="","",INDEX('Eredmény'!$R$2:$R$201,$N48))</f>
        <v/>
      </c>
      <c r="L48" s="7">
        <f>IF($N48="","",INDEX('Eredmény'!$AB$2:$AB$201,$N48))</f>
        <v/>
      </c>
      <c r="N48">
        <f>IFERROR(MATCH(LARGE('Eredmény'!$AZ$2:$AZ$201,44),'Eredmény'!$AZ$2:$AZ$201,0),"")</f>
        <v/>
      </c>
    </row>
    <row r="49">
      <c r="A49" s="7">
        <f>IF($N49="","",INDEX('Eredmény'!$N$2:$N$201,$N49))</f>
        <v/>
      </c>
      <c r="B49" s="8">
        <f>IF($N49="","",INDEX('Eredmény'!$A$2:$A$201,$N49))</f>
        <v/>
      </c>
      <c r="C49" s="9">
        <f>IF($N49="","",INDEX('Eredmény'!$M$2:$M$201,$N49))</f>
        <v/>
      </c>
      <c r="D49" s="8">
        <f>IF($N49="","",INDEX('Eredmény'!$O$2:$O$201,$N49))</f>
        <v/>
      </c>
      <c r="E49" s="8">
        <f>IF($N49="","",INDEX('Eredmény'!$P$2:$P$201,$N49))</f>
        <v/>
      </c>
      <c r="F49" s="10">
        <f>IF($N49="","",INDEX('Eredmény'!$V$2:$V$201,$N49))</f>
        <v/>
      </c>
      <c r="G49" s="10">
        <f>IF($N49="","",INDEX('Eredmény'!$X$2:$X$201,$N49))</f>
        <v/>
      </c>
      <c r="H49" s="10">
        <f>IF($N49="","",INDEX('Eredmény'!$Y$2:$Y$201,$N49))</f>
        <v/>
      </c>
      <c r="I49" s="11">
        <f>IF($N49="","",INDEX('Eredmény'!$Z$2:$Z$201,$N49))</f>
        <v/>
      </c>
      <c r="J49" s="8">
        <f>IF($N49="","",INDEX('Eredmény'!$Q$2:$Q$201,$N49))</f>
        <v/>
      </c>
      <c r="K49" s="8">
        <f>IF($N49="","",INDEX('Eredmény'!$R$2:$R$201,$N49))</f>
        <v/>
      </c>
      <c r="L49" s="7">
        <f>IF($N49="","",INDEX('Eredmény'!$AB$2:$AB$201,$N49))</f>
        <v/>
      </c>
      <c r="N49">
        <f>IFERROR(MATCH(LARGE('Eredmény'!$AZ$2:$AZ$201,45),'Eredmény'!$AZ$2:$AZ$201,0),"")</f>
        <v/>
      </c>
    </row>
    <row r="50">
      <c r="A50" s="7">
        <f>IF($N50="","",INDEX('Eredmény'!$N$2:$N$201,$N50))</f>
        <v/>
      </c>
      <c r="B50" s="8">
        <f>IF($N50="","",INDEX('Eredmény'!$A$2:$A$201,$N50))</f>
        <v/>
      </c>
      <c r="C50" s="9">
        <f>IF($N50="","",INDEX('Eredmény'!$M$2:$M$201,$N50))</f>
        <v/>
      </c>
      <c r="D50" s="8">
        <f>IF($N50="","",INDEX('Eredmény'!$O$2:$O$201,$N50))</f>
        <v/>
      </c>
      <c r="E50" s="8">
        <f>IF($N50="","",INDEX('Eredmény'!$P$2:$P$201,$N50))</f>
        <v/>
      </c>
      <c r="F50" s="10">
        <f>IF($N50="","",INDEX('Eredmény'!$V$2:$V$201,$N50))</f>
        <v/>
      </c>
      <c r="G50" s="10">
        <f>IF($N50="","",INDEX('Eredmény'!$X$2:$X$201,$N50))</f>
        <v/>
      </c>
      <c r="H50" s="10">
        <f>IF($N50="","",INDEX('Eredmény'!$Y$2:$Y$201,$N50))</f>
        <v/>
      </c>
      <c r="I50" s="11">
        <f>IF($N50="","",INDEX('Eredmény'!$Z$2:$Z$201,$N50))</f>
        <v/>
      </c>
      <c r="J50" s="8">
        <f>IF($N50="","",INDEX('Eredmény'!$Q$2:$Q$201,$N50))</f>
        <v/>
      </c>
      <c r="K50" s="8">
        <f>IF($N50="","",INDEX('Eredmény'!$R$2:$R$201,$N50))</f>
        <v/>
      </c>
      <c r="L50" s="7">
        <f>IF($N50="","",INDEX('Eredmény'!$AB$2:$AB$201,$N50))</f>
        <v/>
      </c>
      <c r="N50">
        <f>IFERROR(MATCH(LARGE('Eredmény'!$AZ$2:$AZ$201,46),'Eredmény'!$AZ$2:$AZ$201,0),"")</f>
        <v/>
      </c>
    </row>
    <row r="51">
      <c r="A51" s="7">
        <f>IF($N51="","",INDEX('Eredmény'!$N$2:$N$201,$N51))</f>
        <v/>
      </c>
      <c r="B51" s="8">
        <f>IF($N51="","",INDEX('Eredmény'!$A$2:$A$201,$N51))</f>
        <v/>
      </c>
      <c r="C51" s="9">
        <f>IF($N51="","",INDEX('Eredmény'!$M$2:$M$201,$N51))</f>
        <v/>
      </c>
      <c r="D51" s="8">
        <f>IF($N51="","",INDEX('Eredmény'!$O$2:$O$201,$N51))</f>
        <v/>
      </c>
      <c r="E51" s="8">
        <f>IF($N51="","",INDEX('Eredmény'!$P$2:$P$201,$N51))</f>
        <v/>
      </c>
      <c r="F51" s="10">
        <f>IF($N51="","",INDEX('Eredmény'!$V$2:$V$201,$N51))</f>
        <v/>
      </c>
      <c r="G51" s="10">
        <f>IF($N51="","",INDEX('Eredmény'!$X$2:$X$201,$N51))</f>
        <v/>
      </c>
      <c r="H51" s="10">
        <f>IF($N51="","",INDEX('Eredmény'!$Y$2:$Y$201,$N51))</f>
        <v/>
      </c>
      <c r="I51" s="11">
        <f>IF($N51="","",INDEX('Eredmény'!$Z$2:$Z$201,$N51))</f>
        <v/>
      </c>
      <c r="J51" s="8">
        <f>IF($N51="","",INDEX('Eredmény'!$Q$2:$Q$201,$N51))</f>
        <v/>
      </c>
      <c r="K51" s="8">
        <f>IF($N51="","",INDEX('Eredmény'!$R$2:$R$201,$N51))</f>
        <v/>
      </c>
      <c r="L51" s="7">
        <f>IF($N51="","",INDEX('Eredmény'!$AB$2:$AB$201,$N51))</f>
        <v/>
      </c>
      <c r="N51">
        <f>IFERROR(MATCH(LARGE('Eredmény'!$AZ$2:$AZ$201,47),'Eredmény'!$AZ$2:$AZ$201,0),"")</f>
        <v/>
      </c>
    </row>
    <row r="52">
      <c r="A52" s="7">
        <f>IF($N52="","",INDEX('Eredmény'!$N$2:$N$201,$N52))</f>
        <v/>
      </c>
      <c r="B52" s="8">
        <f>IF($N52="","",INDEX('Eredmény'!$A$2:$A$201,$N52))</f>
        <v/>
      </c>
      <c r="C52" s="9">
        <f>IF($N52="","",INDEX('Eredmény'!$M$2:$M$201,$N52))</f>
        <v/>
      </c>
      <c r="D52" s="8">
        <f>IF($N52="","",INDEX('Eredmény'!$O$2:$O$201,$N52))</f>
        <v/>
      </c>
      <c r="E52" s="8">
        <f>IF($N52="","",INDEX('Eredmény'!$P$2:$P$201,$N52))</f>
        <v/>
      </c>
      <c r="F52" s="10">
        <f>IF($N52="","",INDEX('Eredmény'!$V$2:$V$201,$N52))</f>
        <v/>
      </c>
      <c r="G52" s="10">
        <f>IF($N52="","",INDEX('Eredmény'!$X$2:$X$201,$N52))</f>
        <v/>
      </c>
      <c r="H52" s="10">
        <f>IF($N52="","",INDEX('Eredmény'!$Y$2:$Y$201,$N52))</f>
        <v/>
      </c>
      <c r="I52" s="11">
        <f>IF($N52="","",INDEX('Eredmény'!$Z$2:$Z$201,$N52))</f>
        <v/>
      </c>
      <c r="J52" s="8">
        <f>IF($N52="","",INDEX('Eredmény'!$Q$2:$Q$201,$N52))</f>
        <v/>
      </c>
      <c r="K52" s="8">
        <f>IF($N52="","",INDEX('Eredmény'!$R$2:$R$201,$N52))</f>
        <v/>
      </c>
      <c r="L52" s="7">
        <f>IF($N52="","",INDEX('Eredmény'!$AB$2:$AB$201,$N52))</f>
        <v/>
      </c>
      <c r="N52">
        <f>IFERROR(MATCH(LARGE('Eredmény'!$AZ$2:$AZ$201,48),'Eredmény'!$AZ$2:$AZ$201,0),"")</f>
        <v/>
      </c>
    </row>
    <row r="53">
      <c r="A53" s="7">
        <f>IF($N53="","",INDEX('Eredmény'!$N$2:$N$201,$N53))</f>
        <v/>
      </c>
      <c r="B53" s="8">
        <f>IF($N53="","",INDEX('Eredmény'!$A$2:$A$201,$N53))</f>
        <v/>
      </c>
      <c r="C53" s="9">
        <f>IF($N53="","",INDEX('Eredmény'!$M$2:$M$201,$N53))</f>
        <v/>
      </c>
      <c r="D53" s="8">
        <f>IF($N53="","",INDEX('Eredmény'!$O$2:$O$201,$N53))</f>
        <v/>
      </c>
      <c r="E53" s="8">
        <f>IF($N53="","",INDEX('Eredmény'!$P$2:$P$201,$N53))</f>
        <v/>
      </c>
      <c r="F53" s="10">
        <f>IF($N53="","",INDEX('Eredmény'!$V$2:$V$201,$N53))</f>
        <v/>
      </c>
      <c r="G53" s="10">
        <f>IF($N53="","",INDEX('Eredmény'!$X$2:$X$201,$N53))</f>
        <v/>
      </c>
      <c r="H53" s="10">
        <f>IF($N53="","",INDEX('Eredmény'!$Y$2:$Y$201,$N53))</f>
        <v/>
      </c>
      <c r="I53" s="11">
        <f>IF($N53="","",INDEX('Eredmény'!$Z$2:$Z$201,$N53))</f>
        <v/>
      </c>
      <c r="J53" s="8">
        <f>IF($N53="","",INDEX('Eredmény'!$Q$2:$Q$201,$N53))</f>
        <v/>
      </c>
      <c r="K53" s="8">
        <f>IF($N53="","",INDEX('Eredmény'!$R$2:$R$201,$N53))</f>
        <v/>
      </c>
      <c r="L53" s="7">
        <f>IF($N53="","",INDEX('Eredmény'!$AB$2:$AB$201,$N53))</f>
        <v/>
      </c>
      <c r="N53">
        <f>IFERROR(MATCH(LARGE('Eredmény'!$AZ$2:$AZ$201,49),'Eredmény'!$AZ$2:$AZ$201,0),"")</f>
        <v/>
      </c>
    </row>
    <row r="54">
      <c r="A54" s="7">
        <f>IF($N54="","",INDEX('Eredmény'!$N$2:$N$201,$N54))</f>
        <v/>
      </c>
      <c r="B54" s="8">
        <f>IF($N54="","",INDEX('Eredmény'!$A$2:$A$201,$N54))</f>
        <v/>
      </c>
      <c r="C54" s="9">
        <f>IF($N54="","",INDEX('Eredmény'!$M$2:$M$201,$N54))</f>
        <v/>
      </c>
      <c r="D54" s="8">
        <f>IF($N54="","",INDEX('Eredmény'!$O$2:$O$201,$N54))</f>
        <v/>
      </c>
      <c r="E54" s="8">
        <f>IF($N54="","",INDEX('Eredmény'!$P$2:$P$201,$N54))</f>
        <v/>
      </c>
      <c r="F54" s="10">
        <f>IF($N54="","",INDEX('Eredmény'!$V$2:$V$201,$N54))</f>
        <v/>
      </c>
      <c r="G54" s="10">
        <f>IF($N54="","",INDEX('Eredmény'!$X$2:$X$201,$N54))</f>
        <v/>
      </c>
      <c r="H54" s="10">
        <f>IF($N54="","",INDEX('Eredmény'!$Y$2:$Y$201,$N54))</f>
        <v/>
      </c>
      <c r="I54" s="11">
        <f>IF($N54="","",INDEX('Eredmény'!$Z$2:$Z$201,$N54))</f>
        <v/>
      </c>
      <c r="J54" s="8">
        <f>IF($N54="","",INDEX('Eredmény'!$Q$2:$Q$201,$N54))</f>
        <v/>
      </c>
      <c r="K54" s="8">
        <f>IF($N54="","",INDEX('Eredmény'!$R$2:$R$201,$N54))</f>
        <v/>
      </c>
      <c r="L54" s="7">
        <f>IF($N54="","",INDEX('Eredmény'!$AB$2:$AB$201,$N54))</f>
        <v/>
      </c>
      <c r="N54">
        <f>IFERROR(MATCH(LARGE('Eredmény'!$AZ$2:$AZ$201,50),'Eredmény'!$AZ$2:$AZ$201,0),"")</f>
        <v/>
      </c>
    </row>
    <row r="55">
      <c r="A55" s="7">
        <f>IF($N55="","",INDEX('Eredmény'!$N$2:$N$201,$N55))</f>
        <v/>
      </c>
      <c r="B55" s="8">
        <f>IF($N55="","",INDEX('Eredmény'!$A$2:$A$201,$N55))</f>
        <v/>
      </c>
      <c r="C55" s="9">
        <f>IF($N55="","",INDEX('Eredmény'!$M$2:$M$201,$N55))</f>
        <v/>
      </c>
      <c r="D55" s="8">
        <f>IF($N55="","",INDEX('Eredmény'!$O$2:$O$201,$N55))</f>
        <v/>
      </c>
      <c r="E55" s="8">
        <f>IF($N55="","",INDEX('Eredmény'!$P$2:$P$201,$N55))</f>
        <v/>
      </c>
      <c r="F55" s="10">
        <f>IF($N55="","",INDEX('Eredmény'!$V$2:$V$201,$N55))</f>
        <v/>
      </c>
      <c r="G55" s="10">
        <f>IF($N55="","",INDEX('Eredmény'!$X$2:$X$201,$N55))</f>
        <v/>
      </c>
      <c r="H55" s="10">
        <f>IF($N55="","",INDEX('Eredmény'!$Y$2:$Y$201,$N55))</f>
        <v/>
      </c>
      <c r="I55" s="11">
        <f>IF($N55="","",INDEX('Eredmény'!$Z$2:$Z$201,$N55))</f>
        <v/>
      </c>
      <c r="J55" s="8">
        <f>IF($N55="","",INDEX('Eredmény'!$Q$2:$Q$201,$N55))</f>
        <v/>
      </c>
      <c r="K55" s="8">
        <f>IF($N55="","",INDEX('Eredmény'!$R$2:$R$201,$N55))</f>
        <v/>
      </c>
      <c r="L55" s="7">
        <f>IF($N55="","",INDEX('Eredmény'!$AB$2:$AB$201,$N55))</f>
        <v/>
      </c>
      <c r="N55">
        <f>IFERROR(MATCH(LARGE('Eredmény'!$AZ$2:$AZ$201,51),'Eredmény'!$AZ$2:$AZ$201,0),"")</f>
        <v/>
      </c>
    </row>
    <row r="56">
      <c r="A56" s="7">
        <f>IF($N56="","",INDEX('Eredmény'!$N$2:$N$201,$N56))</f>
        <v/>
      </c>
      <c r="B56" s="8">
        <f>IF($N56="","",INDEX('Eredmény'!$A$2:$A$201,$N56))</f>
        <v/>
      </c>
      <c r="C56" s="9">
        <f>IF($N56="","",INDEX('Eredmény'!$M$2:$M$201,$N56))</f>
        <v/>
      </c>
      <c r="D56" s="8">
        <f>IF($N56="","",INDEX('Eredmény'!$O$2:$O$201,$N56))</f>
        <v/>
      </c>
      <c r="E56" s="8">
        <f>IF($N56="","",INDEX('Eredmény'!$P$2:$P$201,$N56))</f>
        <v/>
      </c>
      <c r="F56" s="10">
        <f>IF($N56="","",INDEX('Eredmény'!$V$2:$V$201,$N56))</f>
        <v/>
      </c>
      <c r="G56" s="10">
        <f>IF($N56="","",INDEX('Eredmény'!$X$2:$X$201,$N56))</f>
        <v/>
      </c>
      <c r="H56" s="10">
        <f>IF($N56="","",INDEX('Eredmény'!$Y$2:$Y$201,$N56))</f>
        <v/>
      </c>
      <c r="I56" s="11">
        <f>IF($N56="","",INDEX('Eredmény'!$Z$2:$Z$201,$N56))</f>
        <v/>
      </c>
      <c r="J56" s="8">
        <f>IF($N56="","",INDEX('Eredmény'!$Q$2:$Q$201,$N56))</f>
        <v/>
      </c>
      <c r="K56" s="8">
        <f>IF($N56="","",INDEX('Eredmény'!$R$2:$R$201,$N56))</f>
        <v/>
      </c>
      <c r="L56" s="7">
        <f>IF($N56="","",INDEX('Eredmény'!$AB$2:$AB$201,$N56))</f>
        <v/>
      </c>
      <c r="N56">
        <f>IFERROR(MATCH(LARGE('Eredmény'!$AZ$2:$AZ$201,52),'Eredmény'!$AZ$2:$AZ$201,0),"")</f>
        <v/>
      </c>
    </row>
    <row r="57">
      <c r="A57" s="7">
        <f>IF($N57="","",INDEX('Eredmény'!$N$2:$N$201,$N57))</f>
        <v/>
      </c>
      <c r="B57" s="8">
        <f>IF($N57="","",INDEX('Eredmény'!$A$2:$A$201,$N57))</f>
        <v/>
      </c>
      <c r="C57" s="9">
        <f>IF($N57="","",INDEX('Eredmény'!$M$2:$M$201,$N57))</f>
        <v/>
      </c>
      <c r="D57" s="8">
        <f>IF($N57="","",INDEX('Eredmény'!$O$2:$O$201,$N57))</f>
        <v/>
      </c>
      <c r="E57" s="8">
        <f>IF($N57="","",INDEX('Eredmény'!$P$2:$P$201,$N57))</f>
        <v/>
      </c>
      <c r="F57" s="10">
        <f>IF($N57="","",INDEX('Eredmény'!$V$2:$V$201,$N57))</f>
        <v/>
      </c>
      <c r="G57" s="10">
        <f>IF($N57="","",INDEX('Eredmény'!$X$2:$X$201,$N57))</f>
        <v/>
      </c>
      <c r="H57" s="10">
        <f>IF($N57="","",INDEX('Eredmény'!$Y$2:$Y$201,$N57))</f>
        <v/>
      </c>
      <c r="I57" s="11">
        <f>IF($N57="","",INDEX('Eredmény'!$Z$2:$Z$201,$N57))</f>
        <v/>
      </c>
      <c r="J57" s="8">
        <f>IF($N57="","",INDEX('Eredmény'!$Q$2:$Q$201,$N57))</f>
        <v/>
      </c>
      <c r="K57" s="8">
        <f>IF($N57="","",INDEX('Eredmény'!$R$2:$R$201,$N57))</f>
        <v/>
      </c>
      <c r="L57" s="7">
        <f>IF($N57="","",INDEX('Eredmény'!$AB$2:$AB$201,$N57))</f>
        <v/>
      </c>
      <c r="N57">
        <f>IFERROR(MATCH(LARGE('Eredmény'!$AZ$2:$AZ$201,53),'Eredmény'!$AZ$2:$AZ$201,0),"")</f>
        <v/>
      </c>
    </row>
    <row r="58">
      <c r="A58" s="7">
        <f>IF($N58="","",INDEX('Eredmény'!$N$2:$N$201,$N58))</f>
        <v/>
      </c>
      <c r="B58" s="8">
        <f>IF($N58="","",INDEX('Eredmény'!$A$2:$A$201,$N58))</f>
        <v/>
      </c>
      <c r="C58" s="9">
        <f>IF($N58="","",INDEX('Eredmény'!$M$2:$M$201,$N58))</f>
        <v/>
      </c>
      <c r="D58" s="8">
        <f>IF($N58="","",INDEX('Eredmény'!$O$2:$O$201,$N58))</f>
        <v/>
      </c>
      <c r="E58" s="8">
        <f>IF($N58="","",INDEX('Eredmény'!$P$2:$P$201,$N58))</f>
        <v/>
      </c>
      <c r="F58" s="10">
        <f>IF($N58="","",INDEX('Eredmény'!$V$2:$V$201,$N58))</f>
        <v/>
      </c>
      <c r="G58" s="10">
        <f>IF($N58="","",INDEX('Eredmény'!$X$2:$X$201,$N58))</f>
        <v/>
      </c>
      <c r="H58" s="10">
        <f>IF($N58="","",INDEX('Eredmény'!$Y$2:$Y$201,$N58))</f>
        <v/>
      </c>
      <c r="I58" s="11">
        <f>IF($N58="","",INDEX('Eredmény'!$Z$2:$Z$201,$N58))</f>
        <v/>
      </c>
      <c r="J58" s="8">
        <f>IF($N58="","",INDEX('Eredmény'!$Q$2:$Q$201,$N58))</f>
        <v/>
      </c>
      <c r="K58" s="8">
        <f>IF($N58="","",INDEX('Eredmény'!$R$2:$R$201,$N58))</f>
        <v/>
      </c>
      <c r="L58" s="7">
        <f>IF($N58="","",INDEX('Eredmény'!$AB$2:$AB$201,$N58))</f>
        <v/>
      </c>
      <c r="N58">
        <f>IFERROR(MATCH(LARGE('Eredmény'!$AZ$2:$AZ$201,54),'Eredmény'!$AZ$2:$AZ$201,0),"")</f>
        <v/>
      </c>
    </row>
    <row r="59">
      <c r="A59" s="7">
        <f>IF($N59="","",INDEX('Eredmény'!$N$2:$N$201,$N59))</f>
        <v/>
      </c>
      <c r="B59" s="8">
        <f>IF($N59="","",INDEX('Eredmény'!$A$2:$A$201,$N59))</f>
        <v/>
      </c>
      <c r="C59" s="9">
        <f>IF($N59="","",INDEX('Eredmény'!$M$2:$M$201,$N59))</f>
        <v/>
      </c>
      <c r="D59" s="8">
        <f>IF($N59="","",INDEX('Eredmény'!$O$2:$O$201,$N59))</f>
        <v/>
      </c>
      <c r="E59" s="8">
        <f>IF($N59="","",INDEX('Eredmény'!$P$2:$P$201,$N59))</f>
        <v/>
      </c>
      <c r="F59" s="10">
        <f>IF($N59="","",INDEX('Eredmény'!$V$2:$V$201,$N59))</f>
        <v/>
      </c>
      <c r="G59" s="10">
        <f>IF($N59="","",INDEX('Eredmény'!$X$2:$X$201,$N59))</f>
        <v/>
      </c>
      <c r="H59" s="10">
        <f>IF($N59="","",INDEX('Eredmény'!$Y$2:$Y$201,$N59))</f>
        <v/>
      </c>
      <c r="I59" s="11">
        <f>IF($N59="","",INDEX('Eredmény'!$Z$2:$Z$201,$N59))</f>
        <v/>
      </c>
      <c r="J59" s="8">
        <f>IF($N59="","",INDEX('Eredmény'!$Q$2:$Q$201,$N59))</f>
        <v/>
      </c>
      <c r="K59" s="8">
        <f>IF($N59="","",INDEX('Eredmény'!$R$2:$R$201,$N59))</f>
        <v/>
      </c>
      <c r="L59" s="7">
        <f>IF($N59="","",INDEX('Eredmény'!$AB$2:$AB$201,$N59))</f>
        <v/>
      </c>
      <c r="N59">
        <f>IFERROR(MATCH(LARGE('Eredmény'!$AZ$2:$AZ$201,55),'Eredmény'!$AZ$2:$AZ$201,0),"")</f>
        <v/>
      </c>
    </row>
    <row r="60">
      <c r="A60" s="7">
        <f>IF($N60="","",INDEX('Eredmény'!$N$2:$N$201,$N60))</f>
        <v/>
      </c>
      <c r="B60" s="8">
        <f>IF($N60="","",INDEX('Eredmény'!$A$2:$A$201,$N60))</f>
        <v/>
      </c>
      <c r="C60" s="9">
        <f>IF($N60="","",INDEX('Eredmény'!$M$2:$M$201,$N60))</f>
        <v/>
      </c>
      <c r="D60" s="8">
        <f>IF($N60="","",INDEX('Eredmény'!$O$2:$O$201,$N60))</f>
        <v/>
      </c>
      <c r="E60" s="8">
        <f>IF($N60="","",INDEX('Eredmény'!$P$2:$P$201,$N60))</f>
        <v/>
      </c>
      <c r="F60" s="10">
        <f>IF($N60="","",INDEX('Eredmény'!$V$2:$V$201,$N60))</f>
        <v/>
      </c>
      <c r="G60" s="10">
        <f>IF($N60="","",INDEX('Eredmény'!$X$2:$X$201,$N60))</f>
        <v/>
      </c>
      <c r="H60" s="10">
        <f>IF($N60="","",INDEX('Eredmény'!$Y$2:$Y$201,$N60))</f>
        <v/>
      </c>
      <c r="I60" s="11">
        <f>IF($N60="","",INDEX('Eredmény'!$Z$2:$Z$201,$N60))</f>
        <v/>
      </c>
      <c r="J60" s="8">
        <f>IF($N60="","",INDEX('Eredmény'!$Q$2:$Q$201,$N60))</f>
        <v/>
      </c>
      <c r="K60" s="8">
        <f>IF($N60="","",INDEX('Eredmény'!$R$2:$R$201,$N60))</f>
        <v/>
      </c>
      <c r="L60" s="7">
        <f>IF($N60="","",INDEX('Eredmény'!$AB$2:$AB$201,$N60))</f>
        <v/>
      </c>
      <c r="N60">
        <f>IFERROR(MATCH(LARGE('Eredmény'!$AZ$2:$AZ$201,56),'Eredmény'!$AZ$2:$AZ$201,0),"")</f>
        <v/>
      </c>
    </row>
    <row r="61">
      <c r="A61" s="7">
        <f>IF($N61="","",INDEX('Eredmény'!$N$2:$N$201,$N61))</f>
        <v/>
      </c>
      <c r="B61" s="8">
        <f>IF($N61="","",INDEX('Eredmény'!$A$2:$A$201,$N61))</f>
        <v/>
      </c>
      <c r="C61" s="9">
        <f>IF($N61="","",INDEX('Eredmény'!$M$2:$M$201,$N61))</f>
        <v/>
      </c>
      <c r="D61" s="8">
        <f>IF($N61="","",INDEX('Eredmény'!$O$2:$O$201,$N61))</f>
        <v/>
      </c>
      <c r="E61" s="8">
        <f>IF($N61="","",INDEX('Eredmény'!$P$2:$P$201,$N61))</f>
        <v/>
      </c>
      <c r="F61" s="10">
        <f>IF($N61="","",INDEX('Eredmény'!$V$2:$V$201,$N61))</f>
        <v/>
      </c>
      <c r="G61" s="10">
        <f>IF($N61="","",INDEX('Eredmény'!$X$2:$X$201,$N61))</f>
        <v/>
      </c>
      <c r="H61" s="10">
        <f>IF($N61="","",INDEX('Eredmény'!$Y$2:$Y$201,$N61))</f>
        <v/>
      </c>
      <c r="I61" s="11">
        <f>IF($N61="","",INDEX('Eredmény'!$Z$2:$Z$201,$N61))</f>
        <v/>
      </c>
      <c r="J61" s="8">
        <f>IF($N61="","",INDEX('Eredmény'!$Q$2:$Q$201,$N61))</f>
        <v/>
      </c>
      <c r="K61" s="8">
        <f>IF($N61="","",INDEX('Eredmény'!$R$2:$R$201,$N61))</f>
        <v/>
      </c>
      <c r="L61" s="7">
        <f>IF($N61="","",INDEX('Eredmény'!$AB$2:$AB$201,$N61))</f>
        <v/>
      </c>
      <c r="N61">
        <f>IFERROR(MATCH(LARGE('Eredmény'!$AZ$2:$AZ$201,57),'Eredmény'!$AZ$2:$AZ$201,0),"")</f>
        <v/>
      </c>
    </row>
    <row r="62">
      <c r="A62" s="7">
        <f>IF($N62="","",INDEX('Eredmény'!$N$2:$N$201,$N62))</f>
        <v/>
      </c>
      <c r="B62" s="8">
        <f>IF($N62="","",INDEX('Eredmény'!$A$2:$A$201,$N62))</f>
        <v/>
      </c>
      <c r="C62" s="9">
        <f>IF($N62="","",INDEX('Eredmény'!$M$2:$M$201,$N62))</f>
        <v/>
      </c>
      <c r="D62" s="8">
        <f>IF($N62="","",INDEX('Eredmény'!$O$2:$O$201,$N62))</f>
        <v/>
      </c>
      <c r="E62" s="8">
        <f>IF($N62="","",INDEX('Eredmény'!$P$2:$P$201,$N62))</f>
        <v/>
      </c>
      <c r="F62" s="10">
        <f>IF($N62="","",INDEX('Eredmény'!$V$2:$V$201,$N62))</f>
        <v/>
      </c>
      <c r="G62" s="10">
        <f>IF($N62="","",INDEX('Eredmény'!$X$2:$X$201,$N62))</f>
        <v/>
      </c>
      <c r="H62" s="10">
        <f>IF($N62="","",INDEX('Eredmény'!$Y$2:$Y$201,$N62))</f>
        <v/>
      </c>
      <c r="I62" s="11">
        <f>IF($N62="","",INDEX('Eredmény'!$Z$2:$Z$201,$N62))</f>
        <v/>
      </c>
      <c r="J62" s="8">
        <f>IF($N62="","",INDEX('Eredmény'!$Q$2:$Q$201,$N62))</f>
        <v/>
      </c>
      <c r="K62" s="8">
        <f>IF($N62="","",INDEX('Eredmény'!$R$2:$R$201,$N62))</f>
        <v/>
      </c>
      <c r="L62" s="7">
        <f>IF($N62="","",INDEX('Eredmény'!$AB$2:$AB$201,$N62))</f>
        <v/>
      </c>
      <c r="N62">
        <f>IFERROR(MATCH(LARGE('Eredmény'!$AZ$2:$AZ$201,58),'Eredmény'!$AZ$2:$AZ$201,0),"")</f>
        <v/>
      </c>
    </row>
    <row r="63">
      <c r="A63" s="7">
        <f>IF($N63="","",INDEX('Eredmény'!$N$2:$N$201,$N63))</f>
        <v/>
      </c>
      <c r="B63" s="8">
        <f>IF($N63="","",INDEX('Eredmény'!$A$2:$A$201,$N63))</f>
        <v/>
      </c>
      <c r="C63" s="9">
        <f>IF($N63="","",INDEX('Eredmény'!$M$2:$M$201,$N63))</f>
        <v/>
      </c>
      <c r="D63" s="8">
        <f>IF($N63="","",INDEX('Eredmény'!$O$2:$O$201,$N63))</f>
        <v/>
      </c>
      <c r="E63" s="8">
        <f>IF($N63="","",INDEX('Eredmény'!$P$2:$P$201,$N63))</f>
        <v/>
      </c>
      <c r="F63" s="10">
        <f>IF($N63="","",INDEX('Eredmény'!$V$2:$V$201,$N63))</f>
        <v/>
      </c>
      <c r="G63" s="10">
        <f>IF($N63="","",INDEX('Eredmény'!$X$2:$X$201,$N63))</f>
        <v/>
      </c>
      <c r="H63" s="10">
        <f>IF($N63="","",INDEX('Eredmény'!$Y$2:$Y$201,$N63))</f>
        <v/>
      </c>
      <c r="I63" s="11">
        <f>IF($N63="","",INDEX('Eredmény'!$Z$2:$Z$201,$N63))</f>
        <v/>
      </c>
      <c r="J63" s="8">
        <f>IF($N63="","",INDEX('Eredmény'!$Q$2:$Q$201,$N63))</f>
        <v/>
      </c>
      <c r="K63" s="8">
        <f>IF($N63="","",INDEX('Eredmény'!$R$2:$R$201,$N63))</f>
        <v/>
      </c>
      <c r="L63" s="7">
        <f>IF($N63="","",INDEX('Eredmény'!$AB$2:$AB$201,$N63))</f>
        <v/>
      </c>
      <c r="N63">
        <f>IFERROR(MATCH(LARGE('Eredmény'!$AZ$2:$AZ$201,59),'Eredmény'!$AZ$2:$AZ$201,0),"")</f>
        <v/>
      </c>
    </row>
    <row r="64">
      <c r="A64" s="7">
        <f>IF($N64="","",INDEX('Eredmény'!$N$2:$N$201,$N64))</f>
        <v/>
      </c>
      <c r="B64" s="8">
        <f>IF($N64="","",INDEX('Eredmény'!$A$2:$A$201,$N64))</f>
        <v/>
      </c>
      <c r="C64" s="9">
        <f>IF($N64="","",INDEX('Eredmény'!$M$2:$M$201,$N64))</f>
        <v/>
      </c>
      <c r="D64" s="8">
        <f>IF($N64="","",INDEX('Eredmény'!$O$2:$O$201,$N64))</f>
        <v/>
      </c>
      <c r="E64" s="8">
        <f>IF($N64="","",INDEX('Eredmény'!$P$2:$P$201,$N64))</f>
        <v/>
      </c>
      <c r="F64" s="10">
        <f>IF($N64="","",INDEX('Eredmény'!$V$2:$V$201,$N64))</f>
        <v/>
      </c>
      <c r="G64" s="10">
        <f>IF($N64="","",INDEX('Eredmény'!$X$2:$X$201,$N64))</f>
        <v/>
      </c>
      <c r="H64" s="10">
        <f>IF($N64="","",INDEX('Eredmény'!$Y$2:$Y$201,$N64))</f>
        <v/>
      </c>
      <c r="I64" s="11">
        <f>IF($N64="","",INDEX('Eredmény'!$Z$2:$Z$201,$N64))</f>
        <v/>
      </c>
      <c r="J64" s="8">
        <f>IF($N64="","",INDEX('Eredmény'!$Q$2:$Q$201,$N64))</f>
        <v/>
      </c>
      <c r="K64" s="8">
        <f>IF($N64="","",INDEX('Eredmény'!$R$2:$R$201,$N64))</f>
        <v/>
      </c>
      <c r="L64" s="7">
        <f>IF($N64="","",INDEX('Eredmény'!$AB$2:$AB$201,$N64))</f>
        <v/>
      </c>
      <c r="N64">
        <f>IFERROR(MATCH(LARGE('Eredmény'!$AZ$2:$AZ$201,60),'Eredmény'!$AZ$2:$AZ$201,0),"")</f>
        <v/>
      </c>
    </row>
    <row r="65">
      <c r="A65" s="7">
        <f>IF($N65="","",INDEX('Eredmény'!$N$2:$N$201,$N65))</f>
        <v/>
      </c>
      <c r="B65" s="8">
        <f>IF($N65="","",INDEX('Eredmény'!$A$2:$A$201,$N65))</f>
        <v/>
      </c>
      <c r="C65" s="9">
        <f>IF($N65="","",INDEX('Eredmény'!$M$2:$M$201,$N65))</f>
        <v/>
      </c>
      <c r="D65" s="8">
        <f>IF($N65="","",INDEX('Eredmény'!$O$2:$O$201,$N65))</f>
        <v/>
      </c>
      <c r="E65" s="8">
        <f>IF($N65="","",INDEX('Eredmény'!$P$2:$P$201,$N65))</f>
        <v/>
      </c>
      <c r="F65" s="10">
        <f>IF($N65="","",INDEX('Eredmény'!$V$2:$V$201,$N65))</f>
        <v/>
      </c>
      <c r="G65" s="10">
        <f>IF($N65="","",INDEX('Eredmény'!$X$2:$X$201,$N65))</f>
        <v/>
      </c>
      <c r="H65" s="10">
        <f>IF($N65="","",INDEX('Eredmény'!$Y$2:$Y$201,$N65))</f>
        <v/>
      </c>
      <c r="I65" s="11">
        <f>IF($N65="","",INDEX('Eredmény'!$Z$2:$Z$201,$N65))</f>
        <v/>
      </c>
      <c r="J65" s="8">
        <f>IF($N65="","",INDEX('Eredmény'!$Q$2:$Q$201,$N65))</f>
        <v/>
      </c>
      <c r="K65" s="8">
        <f>IF($N65="","",INDEX('Eredmény'!$R$2:$R$201,$N65))</f>
        <v/>
      </c>
      <c r="L65" s="7">
        <f>IF($N65="","",INDEX('Eredmény'!$AB$2:$AB$201,$N65))</f>
        <v/>
      </c>
      <c r="N65">
        <f>IFERROR(MATCH(LARGE('Eredmény'!$AZ$2:$AZ$201,61),'Eredmény'!$AZ$2:$AZ$201,0),"")</f>
        <v/>
      </c>
    </row>
    <row r="66">
      <c r="A66" s="7">
        <f>IF($N66="","",INDEX('Eredmény'!$N$2:$N$201,$N66))</f>
        <v/>
      </c>
      <c r="B66" s="8">
        <f>IF($N66="","",INDEX('Eredmény'!$A$2:$A$201,$N66))</f>
        <v/>
      </c>
      <c r="C66" s="9">
        <f>IF($N66="","",INDEX('Eredmény'!$M$2:$M$201,$N66))</f>
        <v/>
      </c>
      <c r="D66" s="8">
        <f>IF($N66="","",INDEX('Eredmény'!$O$2:$O$201,$N66))</f>
        <v/>
      </c>
      <c r="E66" s="8">
        <f>IF($N66="","",INDEX('Eredmény'!$P$2:$P$201,$N66))</f>
        <v/>
      </c>
      <c r="F66" s="10">
        <f>IF($N66="","",INDEX('Eredmény'!$V$2:$V$201,$N66))</f>
        <v/>
      </c>
      <c r="G66" s="10">
        <f>IF($N66="","",INDEX('Eredmény'!$X$2:$X$201,$N66))</f>
        <v/>
      </c>
      <c r="H66" s="10">
        <f>IF($N66="","",INDEX('Eredmény'!$Y$2:$Y$201,$N66))</f>
        <v/>
      </c>
      <c r="I66" s="11">
        <f>IF($N66="","",INDEX('Eredmény'!$Z$2:$Z$201,$N66))</f>
        <v/>
      </c>
      <c r="J66" s="8">
        <f>IF($N66="","",INDEX('Eredmény'!$Q$2:$Q$201,$N66))</f>
        <v/>
      </c>
      <c r="K66" s="8">
        <f>IF($N66="","",INDEX('Eredmény'!$R$2:$R$201,$N66))</f>
        <v/>
      </c>
      <c r="L66" s="7">
        <f>IF($N66="","",INDEX('Eredmény'!$AB$2:$AB$201,$N66))</f>
        <v/>
      </c>
      <c r="N66">
        <f>IFERROR(MATCH(LARGE('Eredmény'!$AZ$2:$AZ$201,62),'Eredmény'!$AZ$2:$AZ$201,0),"")</f>
        <v/>
      </c>
    </row>
    <row r="67">
      <c r="A67" s="7">
        <f>IF($N67="","",INDEX('Eredmény'!$N$2:$N$201,$N67))</f>
        <v/>
      </c>
      <c r="B67" s="8">
        <f>IF($N67="","",INDEX('Eredmény'!$A$2:$A$201,$N67))</f>
        <v/>
      </c>
      <c r="C67" s="9">
        <f>IF($N67="","",INDEX('Eredmény'!$M$2:$M$201,$N67))</f>
        <v/>
      </c>
      <c r="D67" s="8">
        <f>IF($N67="","",INDEX('Eredmény'!$O$2:$O$201,$N67))</f>
        <v/>
      </c>
      <c r="E67" s="8">
        <f>IF($N67="","",INDEX('Eredmény'!$P$2:$P$201,$N67))</f>
        <v/>
      </c>
      <c r="F67" s="10">
        <f>IF($N67="","",INDEX('Eredmény'!$V$2:$V$201,$N67))</f>
        <v/>
      </c>
      <c r="G67" s="10">
        <f>IF($N67="","",INDEX('Eredmény'!$X$2:$X$201,$N67))</f>
        <v/>
      </c>
      <c r="H67" s="10">
        <f>IF($N67="","",INDEX('Eredmény'!$Y$2:$Y$201,$N67))</f>
        <v/>
      </c>
      <c r="I67" s="11">
        <f>IF($N67="","",INDEX('Eredmény'!$Z$2:$Z$201,$N67))</f>
        <v/>
      </c>
      <c r="J67" s="8">
        <f>IF($N67="","",INDEX('Eredmény'!$Q$2:$Q$201,$N67))</f>
        <v/>
      </c>
      <c r="K67" s="8">
        <f>IF($N67="","",INDEX('Eredmény'!$R$2:$R$201,$N67))</f>
        <v/>
      </c>
      <c r="L67" s="7">
        <f>IF($N67="","",INDEX('Eredmény'!$AB$2:$AB$201,$N67))</f>
        <v/>
      </c>
      <c r="N67">
        <f>IFERROR(MATCH(LARGE('Eredmény'!$AZ$2:$AZ$201,63),'Eredmény'!$AZ$2:$AZ$201,0),"")</f>
        <v/>
      </c>
    </row>
    <row r="68">
      <c r="A68" s="7">
        <f>IF($N68="","",INDEX('Eredmény'!$N$2:$N$201,$N68))</f>
        <v/>
      </c>
      <c r="B68" s="8">
        <f>IF($N68="","",INDEX('Eredmény'!$A$2:$A$201,$N68))</f>
        <v/>
      </c>
      <c r="C68" s="9">
        <f>IF($N68="","",INDEX('Eredmény'!$M$2:$M$201,$N68))</f>
        <v/>
      </c>
      <c r="D68" s="8">
        <f>IF($N68="","",INDEX('Eredmény'!$O$2:$O$201,$N68))</f>
        <v/>
      </c>
      <c r="E68" s="8">
        <f>IF($N68="","",INDEX('Eredmény'!$P$2:$P$201,$N68))</f>
        <v/>
      </c>
      <c r="F68" s="10">
        <f>IF($N68="","",INDEX('Eredmény'!$V$2:$V$201,$N68))</f>
        <v/>
      </c>
      <c r="G68" s="10">
        <f>IF($N68="","",INDEX('Eredmény'!$X$2:$X$201,$N68))</f>
        <v/>
      </c>
      <c r="H68" s="10">
        <f>IF($N68="","",INDEX('Eredmény'!$Y$2:$Y$201,$N68))</f>
        <v/>
      </c>
      <c r="I68" s="11">
        <f>IF($N68="","",INDEX('Eredmény'!$Z$2:$Z$201,$N68))</f>
        <v/>
      </c>
      <c r="J68" s="8">
        <f>IF($N68="","",INDEX('Eredmény'!$Q$2:$Q$201,$N68))</f>
        <v/>
      </c>
      <c r="K68" s="8">
        <f>IF($N68="","",INDEX('Eredmény'!$R$2:$R$201,$N68))</f>
        <v/>
      </c>
      <c r="L68" s="7">
        <f>IF($N68="","",INDEX('Eredmény'!$AB$2:$AB$201,$N68))</f>
        <v/>
      </c>
      <c r="N68">
        <f>IFERROR(MATCH(LARGE('Eredmény'!$AZ$2:$AZ$201,64),'Eredmény'!$AZ$2:$AZ$201,0),"")</f>
        <v/>
      </c>
    </row>
    <row r="69">
      <c r="A69" s="7">
        <f>IF($N69="","",INDEX('Eredmény'!$N$2:$N$201,$N69))</f>
        <v/>
      </c>
      <c r="B69" s="8">
        <f>IF($N69="","",INDEX('Eredmény'!$A$2:$A$201,$N69))</f>
        <v/>
      </c>
      <c r="C69" s="9">
        <f>IF($N69="","",INDEX('Eredmény'!$M$2:$M$201,$N69))</f>
        <v/>
      </c>
      <c r="D69" s="8">
        <f>IF($N69="","",INDEX('Eredmény'!$O$2:$O$201,$N69))</f>
        <v/>
      </c>
      <c r="E69" s="8">
        <f>IF($N69="","",INDEX('Eredmény'!$P$2:$P$201,$N69))</f>
        <v/>
      </c>
      <c r="F69" s="10">
        <f>IF($N69="","",INDEX('Eredmény'!$V$2:$V$201,$N69))</f>
        <v/>
      </c>
      <c r="G69" s="10">
        <f>IF($N69="","",INDEX('Eredmény'!$X$2:$X$201,$N69))</f>
        <v/>
      </c>
      <c r="H69" s="10">
        <f>IF($N69="","",INDEX('Eredmény'!$Y$2:$Y$201,$N69))</f>
        <v/>
      </c>
      <c r="I69" s="11">
        <f>IF($N69="","",INDEX('Eredmény'!$Z$2:$Z$201,$N69))</f>
        <v/>
      </c>
      <c r="J69" s="8">
        <f>IF($N69="","",INDEX('Eredmény'!$Q$2:$Q$201,$N69))</f>
        <v/>
      </c>
      <c r="K69" s="8">
        <f>IF($N69="","",INDEX('Eredmény'!$R$2:$R$201,$N69))</f>
        <v/>
      </c>
      <c r="L69" s="7">
        <f>IF($N69="","",INDEX('Eredmény'!$AB$2:$AB$201,$N69))</f>
        <v/>
      </c>
      <c r="N69">
        <f>IFERROR(MATCH(LARGE('Eredmény'!$AZ$2:$AZ$201,65),'Eredmény'!$AZ$2:$AZ$201,0),"")</f>
        <v/>
      </c>
    </row>
    <row r="70">
      <c r="A70" s="7">
        <f>IF($N70="","",INDEX('Eredmény'!$N$2:$N$201,$N70))</f>
        <v/>
      </c>
      <c r="B70" s="8">
        <f>IF($N70="","",INDEX('Eredmény'!$A$2:$A$201,$N70))</f>
        <v/>
      </c>
      <c r="C70" s="9">
        <f>IF($N70="","",INDEX('Eredmény'!$M$2:$M$201,$N70))</f>
        <v/>
      </c>
      <c r="D70" s="8">
        <f>IF($N70="","",INDEX('Eredmény'!$O$2:$O$201,$N70))</f>
        <v/>
      </c>
      <c r="E70" s="8">
        <f>IF($N70="","",INDEX('Eredmény'!$P$2:$P$201,$N70))</f>
        <v/>
      </c>
      <c r="F70" s="10">
        <f>IF($N70="","",INDEX('Eredmény'!$V$2:$V$201,$N70))</f>
        <v/>
      </c>
      <c r="G70" s="10">
        <f>IF($N70="","",INDEX('Eredmény'!$X$2:$X$201,$N70))</f>
        <v/>
      </c>
      <c r="H70" s="10">
        <f>IF($N70="","",INDEX('Eredmény'!$Y$2:$Y$201,$N70))</f>
        <v/>
      </c>
      <c r="I70" s="11">
        <f>IF($N70="","",INDEX('Eredmény'!$Z$2:$Z$201,$N70))</f>
        <v/>
      </c>
      <c r="J70" s="8">
        <f>IF($N70="","",INDEX('Eredmény'!$Q$2:$Q$201,$N70))</f>
        <v/>
      </c>
      <c r="K70" s="8">
        <f>IF($N70="","",INDEX('Eredmény'!$R$2:$R$201,$N70))</f>
        <v/>
      </c>
      <c r="L70" s="7">
        <f>IF($N70="","",INDEX('Eredmény'!$AB$2:$AB$201,$N70))</f>
        <v/>
      </c>
      <c r="N70">
        <f>IFERROR(MATCH(LARGE('Eredmény'!$AZ$2:$AZ$201,66),'Eredmény'!$AZ$2:$AZ$201,0),"")</f>
        <v/>
      </c>
    </row>
    <row r="71">
      <c r="A71" s="7">
        <f>IF($N71="","",INDEX('Eredmény'!$N$2:$N$201,$N71))</f>
        <v/>
      </c>
      <c r="B71" s="8">
        <f>IF($N71="","",INDEX('Eredmény'!$A$2:$A$201,$N71))</f>
        <v/>
      </c>
      <c r="C71" s="9">
        <f>IF($N71="","",INDEX('Eredmény'!$M$2:$M$201,$N71))</f>
        <v/>
      </c>
      <c r="D71" s="8">
        <f>IF($N71="","",INDEX('Eredmény'!$O$2:$O$201,$N71))</f>
        <v/>
      </c>
      <c r="E71" s="8">
        <f>IF($N71="","",INDEX('Eredmény'!$P$2:$P$201,$N71))</f>
        <v/>
      </c>
      <c r="F71" s="10">
        <f>IF($N71="","",INDEX('Eredmény'!$V$2:$V$201,$N71))</f>
        <v/>
      </c>
      <c r="G71" s="10">
        <f>IF($N71="","",INDEX('Eredmény'!$X$2:$X$201,$N71))</f>
        <v/>
      </c>
      <c r="H71" s="10">
        <f>IF($N71="","",INDEX('Eredmény'!$Y$2:$Y$201,$N71))</f>
        <v/>
      </c>
      <c r="I71" s="11">
        <f>IF($N71="","",INDEX('Eredmény'!$Z$2:$Z$201,$N71))</f>
        <v/>
      </c>
      <c r="J71" s="8">
        <f>IF($N71="","",INDEX('Eredmény'!$Q$2:$Q$201,$N71))</f>
        <v/>
      </c>
      <c r="K71" s="8">
        <f>IF($N71="","",INDEX('Eredmény'!$R$2:$R$201,$N71))</f>
        <v/>
      </c>
      <c r="L71" s="7">
        <f>IF($N71="","",INDEX('Eredmény'!$AB$2:$AB$201,$N71))</f>
        <v/>
      </c>
      <c r="N71">
        <f>IFERROR(MATCH(LARGE('Eredmény'!$AZ$2:$AZ$201,67),'Eredmény'!$AZ$2:$AZ$201,0),"")</f>
        <v/>
      </c>
    </row>
    <row r="72">
      <c r="A72" s="7">
        <f>IF($N72="","",INDEX('Eredmény'!$N$2:$N$201,$N72))</f>
        <v/>
      </c>
      <c r="B72" s="8">
        <f>IF($N72="","",INDEX('Eredmény'!$A$2:$A$201,$N72))</f>
        <v/>
      </c>
      <c r="C72" s="9">
        <f>IF($N72="","",INDEX('Eredmény'!$M$2:$M$201,$N72))</f>
        <v/>
      </c>
      <c r="D72" s="8">
        <f>IF($N72="","",INDEX('Eredmény'!$O$2:$O$201,$N72))</f>
        <v/>
      </c>
      <c r="E72" s="8">
        <f>IF($N72="","",INDEX('Eredmény'!$P$2:$P$201,$N72))</f>
        <v/>
      </c>
      <c r="F72" s="10">
        <f>IF($N72="","",INDEX('Eredmény'!$V$2:$V$201,$N72))</f>
        <v/>
      </c>
      <c r="G72" s="10">
        <f>IF($N72="","",INDEX('Eredmény'!$X$2:$X$201,$N72))</f>
        <v/>
      </c>
      <c r="H72" s="10">
        <f>IF($N72="","",INDEX('Eredmény'!$Y$2:$Y$201,$N72))</f>
        <v/>
      </c>
      <c r="I72" s="11">
        <f>IF($N72="","",INDEX('Eredmény'!$Z$2:$Z$201,$N72))</f>
        <v/>
      </c>
      <c r="J72" s="8">
        <f>IF($N72="","",INDEX('Eredmény'!$Q$2:$Q$201,$N72))</f>
        <v/>
      </c>
      <c r="K72" s="8">
        <f>IF($N72="","",INDEX('Eredmény'!$R$2:$R$201,$N72))</f>
        <v/>
      </c>
      <c r="L72" s="7">
        <f>IF($N72="","",INDEX('Eredmény'!$AB$2:$AB$201,$N72))</f>
        <v/>
      </c>
      <c r="N72">
        <f>IFERROR(MATCH(LARGE('Eredmény'!$AZ$2:$AZ$201,68),'Eredmény'!$AZ$2:$AZ$201,0),"")</f>
        <v/>
      </c>
    </row>
    <row r="73">
      <c r="A73" s="7">
        <f>IF($N73="","",INDEX('Eredmény'!$N$2:$N$201,$N73))</f>
        <v/>
      </c>
      <c r="B73" s="8">
        <f>IF($N73="","",INDEX('Eredmény'!$A$2:$A$201,$N73))</f>
        <v/>
      </c>
      <c r="C73" s="9">
        <f>IF($N73="","",INDEX('Eredmény'!$M$2:$M$201,$N73))</f>
        <v/>
      </c>
      <c r="D73" s="8">
        <f>IF($N73="","",INDEX('Eredmény'!$O$2:$O$201,$N73))</f>
        <v/>
      </c>
      <c r="E73" s="8">
        <f>IF($N73="","",INDEX('Eredmény'!$P$2:$P$201,$N73))</f>
        <v/>
      </c>
      <c r="F73" s="10">
        <f>IF($N73="","",INDEX('Eredmény'!$V$2:$V$201,$N73))</f>
        <v/>
      </c>
      <c r="G73" s="10">
        <f>IF($N73="","",INDEX('Eredmény'!$X$2:$X$201,$N73))</f>
        <v/>
      </c>
      <c r="H73" s="10">
        <f>IF($N73="","",INDEX('Eredmény'!$Y$2:$Y$201,$N73))</f>
        <v/>
      </c>
      <c r="I73" s="11">
        <f>IF($N73="","",INDEX('Eredmény'!$Z$2:$Z$201,$N73))</f>
        <v/>
      </c>
      <c r="J73" s="8">
        <f>IF($N73="","",INDEX('Eredmény'!$Q$2:$Q$201,$N73))</f>
        <v/>
      </c>
      <c r="K73" s="8">
        <f>IF($N73="","",INDEX('Eredmény'!$R$2:$R$201,$N73))</f>
        <v/>
      </c>
      <c r="L73" s="7">
        <f>IF($N73="","",INDEX('Eredmény'!$AB$2:$AB$201,$N73))</f>
        <v/>
      </c>
      <c r="N73">
        <f>IFERROR(MATCH(LARGE('Eredmény'!$AZ$2:$AZ$201,69),'Eredmény'!$AZ$2:$AZ$201,0),"")</f>
        <v/>
      </c>
    </row>
    <row r="74">
      <c r="A74" s="7">
        <f>IF($N74="","",INDEX('Eredmény'!$N$2:$N$201,$N74))</f>
        <v/>
      </c>
      <c r="B74" s="8">
        <f>IF($N74="","",INDEX('Eredmény'!$A$2:$A$201,$N74))</f>
        <v/>
      </c>
      <c r="C74" s="9">
        <f>IF($N74="","",INDEX('Eredmény'!$M$2:$M$201,$N74))</f>
        <v/>
      </c>
      <c r="D74" s="8">
        <f>IF($N74="","",INDEX('Eredmény'!$O$2:$O$201,$N74))</f>
        <v/>
      </c>
      <c r="E74" s="8">
        <f>IF($N74="","",INDEX('Eredmény'!$P$2:$P$201,$N74))</f>
        <v/>
      </c>
      <c r="F74" s="10">
        <f>IF($N74="","",INDEX('Eredmény'!$V$2:$V$201,$N74))</f>
        <v/>
      </c>
      <c r="G74" s="10">
        <f>IF($N74="","",INDEX('Eredmény'!$X$2:$X$201,$N74))</f>
        <v/>
      </c>
      <c r="H74" s="10">
        <f>IF($N74="","",INDEX('Eredmény'!$Y$2:$Y$201,$N74))</f>
        <v/>
      </c>
      <c r="I74" s="11">
        <f>IF($N74="","",INDEX('Eredmény'!$Z$2:$Z$201,$N74))</f>
        <v/>
      </c>
      <c r="J74" s="8">
        <f>IF($N74="","",INDEX('Eredmény'!$Q$2:$Q$201,$N74))</f>
        <v/>
      </c>
      <c r="K74" s="8">
        <f>IF($N74="","",INDEX('Eredmény'!$R$2:$R$201,$N74))</f>
        <v/>
      </c>
      <c r="L74" s="7">
        <f>IF($N74="","",INDEX('Eredmény'!$AB$2:$AB$201,$N74))</f>
        <v/>
      </c>
      <c r="N74">
        <f>IFERROR(MATCH(LARGE('Eredmény'!$AZ$2:$AZ$201,70),'Eredmény'!$AZ$2:$AZ$201,0),"")</f>
        <v/>
      </c>
    </row>
    <row r="75">
      <c r="A75" s="7">
        <f>IF($N75="","",INDEX('Eredmény'!$N$2:$N$201,$N75))</f>
        <v/>
      </c>
      <c r="B75" s="8">
        <f>IF($N75="","",INDEX('Eredmény'!$A$2:$A$201,$N75))</f>
        <v/>
      </c>
      <c r="C75" s="9">
        <f>IF($N75="","",INDEX('Eredmény'!$M$2:$M$201,$N75))</f>
        <v/>
      </c>
      <c r="D75" s="8">
        <f>IF($N75="","",INDEX('Eredmény'!$O$2:$O$201,$N75))</f>
        <v/>
      </c>
      <c r="E75" s="8">
        <f>IF($N75="","",INDEX('Eredmény'!$P$2:$P$201,$N75))</f>
        <v/>
      </c>
      <c r="F75" s="10">
        <f>IF($N75="","",INDEX('Eredmény'!$V$2:$V$201,$N75))</f>
        <v/>
      </c>
      <c r="G75" s="10">
        <f>IF($N75="","",INDEX('Eredmény'!$X$2:$X$201,$N75))</f>
        <v/>
      </c>
      <c r="H75" s="10">
        <f>IF($N75="","",INDEX('Eredmény'!$Y$2:$Y$201,$N75))</f>
        <v/>
      </c>
      <c r="I75" s="11">
        <f>IF($N75="","",INDEX('Eredmény'!$Z$2:$Z$201,$N75))</f>
        <v/>
      </c>
      <c r="J75" s="8">
        <f>IF($N75="","",INDEX('Eredmény'!$Q$2:$Q$201,$N75))</f>
        <v/>
      </c>
      <c r="K75" s="8">
        <f>IF($N75="","",INDEX('Eredmény'!$R$2:$R$201,$N75))</f>
        <v/>
      </c>
      <c r="L75" s="7">
        <f>IF($N75="","",INDEX('Eredmény'!$AB$2:$AB$201,$N75))</f>
        <v/>
      </c>
      <c r="N75">
        <f>IFERROR(MATCH(LARGE('Eredmény'!$AZ$2:$AZ$201,71),'Eredmény'!$AZ$2:$AZ$201,0),"")</f>
        <v/>
      </c>
    </row>
    <row r="76">
      <c r="A76" s="7">
        <f>IF($N76="","",INDEX('Eredmény'!$N$2:$N$201,$N76))</f>
        <v/>
      </c>
      <c r="B76" s="8">
        <f>IF($N76="","",INDEX('Eredmény'!$A$2:$A$201,$N76))</f>
        <v/>
      </c>
      <c r="C76" s="9">
        <f>IF($N76="","",INDEX('Eredmény'!$M$2:$M$201,$N76))</f>
        <v/>
      </c>
      <c r="D76" s="8">
        <f>IF($N76="","",INDEX('Eredmény'!$O$2:$O$201,$N76))</f>
        <v/>
      </c>
      <c r="E76" s="8">
        <f>IF($N76="","",INDEX('Eredmény'!$P$2:$P$201,$N76))</f>
        <v/>
      </c>
      <c r="F76" s="10">
        <f>IF($N76="","",INDEX('Eredmény'!$V$2:$V$201,$N76))</f>
        <v/>
      </c>
      <c r="G76" s="10">
        <f>IF($N76="","",INDEX('Eredmény'!$X$2:$X$201,$N76))</f>
        <v/>
      </c>
      <c r="H76" s="10">
        <f>IF($N76="","",INDEX('Eredmény'!$Y$2:$Y$201,$N76))</f>
        <v/>
      </c>
      <c r="I76" s="11">
        <f>IF($N76="","",INDEX('Eredmény'!$Z$2:$Z$201,$N76))</f>
        <v/>
      </c>
      <c r="J76" s="8">
        <f>IF($N76="","",INDEX('Eredmény'!$Q$2:$Q$201,$N76))</f>
        <v/>
      </c>
      <c r="K76" s="8">
        <f>IF($N76="","",INDEX('Eredmény'!$R$2:$R$201,$N76))</f>
        <v/>
      </c>
      <c r="L76" s="7">
        <f>IF($N76="","",INDEX('Eredmény'!$AB$2:$AB$201,$N76))</f>
        <v/>
      </c>
      <c r="N76">
        <f>IFERROR(MATCH(LARGE('Eredmény'!$AZ$2:$AZ$201,72),'Eredmény'!$AZ$2:$AZ$201,0),"")</f>
        <v/>
      </c>
    </row>
    <row r="77">
      <c r="A77" s="7">
        <f>IF($N77="","",INDEX('Eredmény'!$N$2:$N$201,$N77))</f>
        <v/>
      </c>
      <c r="B77" s="8">
        <f>IF($N77="","",INDEX('Eredmény'!$A$2:$A$201,$N77))</f>
        <v/>
      </c>
      <c r="C77" s="9">
        <f>IF($N77="","",INDEX('Eredmény'!$M$2:$M$201,$N77))</f>
        <v/>
      </c>
      <c r="D77" s="8">
        <f>IF($N77="","",INDEX('Eredmény'!$O$2:$O$201,$N77))</f>
        <v/>
      </c>
      <c r="E77" s="8">
        <f>IF($N77="","",INDEX('Eredmény'!$P$2:$P$201,$N77))</f>
        <v/>
      </c>
      <c r="F77" s="10">
        <f>IF($N77="","",INDEX('Eredmény'!$V$2:$V$201,$N77))</f>
        <v/>
      </c>
      <c r="G77" s="10">
        <f>IF($N77="","",INDEX('Eredmény'!$X$2:$X$201,$N77))</f>
        <v/>
      </c>
      <c r="H77" s="10">
        <f>IF($N77="","",INDEX('Eredmény'!$Y$2:$Y$201,$N77))</f>
        <v/>
      </c>
      <c r="I77" s="11">
        <f>IF($N77="","",INDEX('Eredmény'!$Z$2:$Z$201,$N77))</f>
        <v/>
      </c>
      <c r="J77" s="8">
        <f>IF($N77="","",INDEX('Eredmény'!$Q$2:$Q$201,$N77))</f>
        <v/>
      </c>
      <c r="K77" s="8">
        <f>IF($N77="","",INDEX('Eredmény'!$R$2:$R$201,$N77))</f>
        <v/>
      </c>
      <c r="L77" s="7">
        <f>IF($N77="","",INDEX('Eredmény'!$AB$2:$AB$201,$N77))</f>
        <v/>
      </c>
      <c r="N77">
        <f>IFERROR(MATCH(LARGE('Eredmény'!$AZ$2:$AZ$201,73),'Eredmény'!$AZ$2:$AZ$201,0),"")</f>
        <v/>
      </c>
    </row>
    <row r="78">
      <c r="A78" s="7">
        <f>IF($N78="","",INDEX('Eredmény'!$N$2:$N$201,$N78))</f>
        <v/>
      </c>
      <c r="B78" s="8">
        <f>IF($N78="","",INDEX('Eredmény'!$A$2:$A$201,$N78))</f>
        <v/>
      </c>
      <c r="C78" s="9">
        <f>IF($N78="","",INDEX('Eredmény'!$M$2:$M$201,$N78))</f>
        <v/>
      </c>
      <c r="D78" s="8">
        <f>IF($N78="","",INDEX('Eredmény'!$O$2:$O$201,$N78))</f>
        <v/>
      </c>
      <c r="E78" s="8">
        <f>IF($N78="","",INDEX('Eredmény'!$P$2:$P$201,$N78))</f>
        <v/>
      </c>
      <c r="F78" s="10">
        <f>IF($N78="","",INDEX('Eredmény'!$V$2:$V$201,$N78))</f>
        <v/>
      </c>
      <c r="G78" s="10">
        <f>IF($N78="","",INDEX('Eredmény'!$X$2:$X$201,$N78))</f>
        <v/>
      </c>
      <c r="H78" s="10">
        <f>IF($N78="","",INDEX('Eredmény'!$Y$2:$Y$201,$N78))</f>
        <v/>
      </c>
      <c r="I78" s="11">
        <f>IF($N78="","",INDEX('Eredmény'!$Z$2:$Z$201,$N78))</f>
        <v/>
      </c>
      <c r="J78" s="8">
        <f>IF($N78="","",INDEX('Eredmény'!$Q$2:$Q$201,$N78))</f>
        <v/>
      </c>
      <c r="K78" s="8">
        <f>IF($N78="","",INDEX('Eredmény'!$R$2:$R$201,$N78))</f>
        <v/>
      </c>
      <c r="L78" s="7">
        <f>IF($N78="","",INDEX('Eredmény'!$AB$2:$AB$201,$N78))</f>
        <v/>
      </c>
      <c r="N78">
        <f>IFERROR(MATCH(LARGE('Eredmény'!$AZ$2:$AZ$201,74),'Eredmény'!$AZ$2:$AZ$201,0),"")</f>
        <v/>
      </c>
    </row>
    <row r="79">
      <c r="A79" s="7">
        <f>IF($N79="","",INDEX('Eredmény'!$N$2:$N$201,$N79))</f>
        <v/>
      </c>
      <c r="B79" s="8">
        <f>IF($N79="","",INDEX('Eredmény'!$A$2:$A$201,$N79))</f>
        <v/>
      </c>
      <c r="C79" s="9">
        <f>IF($N79="","",INDEX('Eredmény'!$M$2:$M$201,$N79))</f>
        <v/>
      </c>
      <c r="D79" s="8">
        <f>IF($N79="","",INDEX('Eredmény'!$O$2:$O$201,$N79))</f>
        <v/>
      </c>
      <c r="E79" s="8">
        <f>IF($N79="","",INDEX('Eredmény'!$P$2:$P$201,$N79))</f>
        <v/>
      </c>
      <c r="F79" s="10">
        <f>IF($N79="","",INDEX('Eredmény'!$V$2:$V$201,$N79))</f>
        <v/>
      </c>
      <c r="G79" s="10">
        <f>IF($N79="","",INDEX('Eredmény'!$X$2:$X$201,$N79))</f>
        <v/>
      </c>
      <c r="H79" s="10">
        <f>IF($N79="","",INDEX('Eredmény'!$Y$2:$Y$201,$N79))</f>
        <v/>
      </c>
      <c r="I79" s="11">
        <f>IF($N79="","",INDEX('Eredmény'!$Z$2:$Z$201,$N79))</f>
        <v/>
      </c>
      <c r="J79" s="8">
        <f>IF($N79="","",INDEX('Eredmény'!$Q$2:$Q$201,$N79))</f>
        <v/>
      </c>
      <c r="K79" s="8">
        <f>IF($N79="","",INDEX('Eredmény'!$R$2:$R$201,$N79))</f>
        <v/>
      </c>
      <c r="L79" s="7">
        <f>IF($N79="","",INDEX('Eredmény'!$AB$2:$AB$201,$N79))</f>
        <v/>
      </c>
      <c r="N79">
        <f>IFERROR(MATCH(LARGE('Eredmény'!$AZ$2:$AZ$201,75),'Eredmény'!$AZ$2:$AZ$201,0),"")</f>
        <v/>
      </c>
    </row>
    <row r="80">
      <c r="A80" s="7">
        <f>IF($N80="","",INDEX('Eredmény'!$N$2:$N$201,$N80))</f>
        <v/>
      </c>
      <c r="B80" s="8">
        <f>IF($N80="","",INDEX('Eredmény'!$A$2:$A$201,$N80))</f>
        <v/>
      </c>
      <c r="C80" s="9">
        <f>IF($N80="","",INDEX('Eredmény'!$M$2:$M$201,$N80))</f>
        <v/>
      </c>
      <c r="D80" s="8">
        <f>IF($N80="","",INDEX('Eredmény'!$O$2:$O$201,$N80))</f>
        <v/>
      </c>
      <c r="E80" s="8">
        <f>IF($N80="","",INDEX('Eredmény'!$P$2:$P$201,$N80))</f>
        <v/>
      </c>
      <c r="F80" s="10">
        <f>IF($N80="","",INDEX('Eredmény'!$V$2:$V$201,$N80))</f>
        <v/>
      </c>
      <c r="G80" s="10">
        <f>IF($N80="","",INDEX('Eredmény'!$X$2:$X$201,$N80))</f>
        <v/>
      </c>
      <c r="H80" s="10">
        <f>IF($N80="","",INDEX('Eredmény'!$Y$2:$Y$201,$N80))</f>
        <v/>
      </c>
      <c r="I80" s="11">
        <f>IF($N80="","",INDEX('Eredmény'!$Z$2:$Z$201,$N80))</f>
        <v/>
      </c>
      <c r="J80" s="8">
        <f>IF($N80="","",INDEX('Eredmény'!$Q$2:$Q$201,$N80))</f>
        <v/>
      </c>
      <c r="K80" s="8">
        <f>IF($N80="","",INDEX('Eredmény'!$R$2:$R$201,$N80))</f>
        <v/>
      </c>
      <c r="L80" s="7">
        <f>IF($N80="","",INDEX('Eredmény'!$AB$2:$AB$201,$N80))</f>
        <v/>
      </c>
      <c r="N80">
        <f>IFERROR(MATCH(LARGE('Eredmény'!$AZ$2:$AZ$201,76),'Eredmény'!$AZ$2:$AZ$201,0),"")</f>
        <v/>
      </c>
    </row>
    <row r="81">
      <c r="A81" s="7">
        <f>IF($N81="","",INDEX('Eredmény'!$N$2:$N$201,$N81))</f>
        <v/>
      </c>
      <c r="B81" s="8">
        <f>IF($N81="","",INDEX('Eredmény'!$A$2:$A$201,$N81))</f>
        <v/>
      </c>
      <c r="C81" s="9">
        <f>IF($N81="","",INDEX('Eredmény'!$M$2:$M$201,$N81))</f>
        <v/>
      </c>
      <c r="D81" s="8">
        <f>IF($N81="","",INDEX('Eredmény'!$O$2:$O$201,$N81))</f>
        <v/>
      </c>
      <c r="E81" s="8">
        <f>IF($N81="","",INDEX('Eredmény'!$P$2:$P$201,$N81))</f>
        <v/>
      </c>
      <c r="F81" s="10">
        <f>IF($N81="","",INDEX('Eredmény'!$V$2:$V$201,$N81))</f>
        <v/>
      </c>
      <c r="G81" s="10">
        <f>IF($N81="","",INDEX('Eredmény'!$X$2:$X$201,$N81))</f>
        <v/>
      </c>
      <c r="H81" s="10">
        <f>IF($N81="","",INDEX('Eredmény'!$Y$2:$Y$201,$N81))</f>
        <v/>
      </c>
      <c r="I81" s="11">
        <f>IF($N81="","",INDEX('Eredmény'!$Z$2:$Z$201,$N81))</f>
        <v/>
      </c>
      <c r="J81" s="8">
        <f>IF($N81="","",INDEX('Eredmény'!$Q$2:$Q$201,$N81))</f>
        <v/>
      </c>
      <c r="K81" s="8">
        <f>IF($N81="","",INDEX('Eredmény'!$R$2:$R$201,$N81))</f>
        <v/>
      </c>
      <c r="L81" s="7">
        <f>IF($N81="","",INDEX('Eredmény'!$AB$2:$AB$201,$N81))</f>
        <v/>
      </c>
      <c r="N81">
        <f>IFERROR(MATCH(LARGE('Eredmény'!$AZ$2:$AZ$201,77),'Eredmény'!$AZ$2:$AZ$201,0),"")</f>
        <v/>
      </c>
    </row>
    <row r="82">
      <c r="A82" s="7">
        <f>IF($N82="","",INDEX('Eredmény'!$N$2:$N$201,$N82))</f>
        <v/>
      </c>
      <c r="B82" s="8">
        <f>IF($N82="","",INDEX('Eredmény'!$A$2:$A$201,$N82))</f>
        <v/>
      </c>
      <c r="C82" s="9">
        <f>IF($N82="","",INDEX('Eredmény'!$M$2:$M$201,$N82))</f>
        <v/>
      </c>
      <c r="D82" s="8">
        <f>IF($N82="","",INDEX('Eredmény'!$O$2:$O$201,$N82))</f>
        <v/>
      </c>
      <c r="E82" s="8">
        <f>IF($N82="","",INDEX('Eredmény'!$P$2:$P$201,$N82))</f>
        <v/>
      </c>
      <c r="F82" s="10">
        <f>IF($N82="","",INDEX('Eredmény'!$V$2:$V$201,$N82))</f>
        <v/>
      </c>
      <c r="G82" s="10">
        <f>IF($N82="","",INDEX('Eredmény'!$X$2:$X$201,$N82))</f>
        <v/>
      </c>
      <c r="H82" s="10">
        <f>IF($N82="","",INDEX('Eredmény'!$Y$2:$Y$201,$N82))</f>
        <v/>
      </c>
      <c r="I82" s="11">
        <f>IF($N82="","",INDEX('Eredmény'!$Z$2:$Z$201,$N82))</f>
        <v/>
      </c>
      <c r="J82" s="8">
        <f>IF($N82="","",INDEX('Eredmény'!$Q$2:$Q$201,$N82))</f>
        <v/>
      </c>
      <c r="K82" s="8">
        <f>IF($N82="","",INDEX('Eredmény'!$R$2:$R$201,$N82))</f>
        <v/>
      </c>
      <c r="L82" s="7">
        <f>IF($N82="","",INDEX('Eredmény'!$AB$2:$AB$201,$N82))</f>
        <v/>
      </c>
      <c r="N82">
        <f>IFERROR(MATCH(LARGE('Eredmény'!$AZ$2:$AZ$201,78),'Eredmény'!$AZ$2:$AZ$201,0),"")</f>
        <v/>
      </c>
    </row>
    <row r="83">
      <c r="A83" s="7">
        <f>IF($N83="","",INDEX('Eredmény'!$N$2:$N$201,$N83))</f>
        <v/>
      </c>
      <c r="B83" s="8">
        <f>IF($N83="","",INDEX('Eredmény'!$A$2:$A$201,$N83))</f>
        <v/>
      </c>
      <c r="C83" s="9">
        <f>IF($N83="","",INDEX('Eredmény'!$M$2:$M$201,$N83))</f>
        <v/>
      </c>
      <c r="D83" s="8">
        <f>IF($N83="","",INDEX('Eredmény'!$O$2:$O$201,$N83))</f>
        <v/>
      </c>
      <c r="E83" s="8">
        <f>IF($N83="","",INDEX('Eredmény'!$P$2:$P$201,$N83))</f>
        <v/>
      </c>
      <c r="F83" s="10">
        <f>IF($N83="","",INDEX('Eredmény'!$V$2:$V$201,$N83))</f>
        <v/>
      </c>
      <c r="G83" s="10">
        <f>IF($N83="","",INDEX('Eredmény'!$X$2:$X$201,$N83))</f>
        <v/>
      </c>
      <c r="H83" s="10">
        <f>IF($N83="","",INDEX('Eredmény'!$Y$2:$Y$201,$N83))</f>
        <v/>
      </c>
      <c r="I83" s="11">
        <f>IF($N83="","",INDEX('Eredmény'!$Z$2:$Z$201,$N83))</f>
        <v/>
      </c>
      <c r="J83" s="8">
        <f>IF($N83="","",INDEX('Eredmény'!$Q$2:$Q$201,$N83))</f>
        <v/>
      </c>
      <c r="K83" s="8">
        <f>IF($N83="","",INDEX('Eredmény'!$R$2:$R$201,$N83))</f>
        <v/>
      </c>
      <c r="L83" s="7">
        <f>IF($N83="","",INDEX('Eredmény'!$AB$2:$AB$201,$N83))</f>
        <v/>
      </c>
      <c r="N83">
        <f>IFERROR(MATCH(LARGE('Eredmény'!$AZ$2:$AZ$201,79),'Eredmény'!$AZ$2:$AZ$201,0),"")</f>
        <v/>
      </c>
    </row>
    <row r="84">
      <c r="A84" s="7">
        <f>IF($N84="","",INDEX('Eredmény'!$N$2:$N$201,$N84))</f>
        <v/>
      </c>
      <c r="B84" s="8">
        <f>IF($N84="","",INDEX('Eredmény'!$A$2:$A$201,$N84))</f>
        <v/>
      </c>
      <c r="C84" s="9">
        <f>IF($N84="","",INDEX('Eredmény'!$M$2:$M$201,$N84))</f>
        <v/>
      </c>
      <c r="D84" s="8">
        <f>IF($N84="","",INDEX('Eredmény'!$O$2:$O$201,$N84))</f>
        <v/>
      </c>
      <c r="E84" s="8">
        <f>IF($N84="","",INDEX('Eredmény'!$P$2:$P$201,$N84))</f>
        <v/>
      </c>
      <c r="F84" s="10">
        <f>IF($N84="","",INDEX('Eredmény'!$V$2:$V$201,$N84))</f>
        <v/>
      </c>
      <c r="G84" s="10">
        <f>IF($N84="","",INDEX('Eredmény'!$X$2:$X$201,$N84))</f>
        <v/>
      </c>
      <c r="H84" s="10">
        <f>IF($N84="","",INDEX('Eredmény'!$Y$2:$Y$201,$N84))</f>
        <v/>
      </c>
      <c r="I84" s="11">
        <f>IF($N84="","",INDEX('Eredmény'!$Z$2:$Z$201,$N84))</f>
        <v/>
      </c>
      <c r="J84" s="8">
        <f>IF($N84="","",INDEX('Eredmény'!$Q$2:$Q$201,$N84))</f>
        <v/>
      </c>
      <c r="K84" s="8">
        <f>IF($N84="","",INDEX('Eredmény'!$R$2:$R$201,$N84))</f>
        <v/>
      </c>
      <c r="L84" s="7">
        <f>IF($N84="","",INDEX('Eredmény'!$AB$2:$AB$201,$N84))</f>
        <v/>
      </c>
      <c r="N84">
        <f>IFERROR(MATCH(LARGE('Eredmény'!$AZ$2:$AZ$201,80),'Eredmény'!$AZ$2:$AZ$201,0),"")</f>
        <v/>
      </c>
    </row>
    <row r="85">
      <c r="A85" s="7">
        <f>IF($N85="","",INDEX('Eredmény'!$N$2:$N$201,$N85))</f>
        <v/>
      </c>
      <c r="B85" s="8">
        <f>IF($N85="","",INDEX('Eredmény'!$A$2:$A$201,$N85))</f>
        <v/>
      </c>
      <c r="C85" s="9">
        <f>IF($N85="","",INDEX('Eredmény'!$M$2:$M$201,$N85))</f>
        <v/>
      </c>
      <c r="D85" s="8">
        <f>IF($N85="","",INDEX('Eredmény'!$O$2:$O$201,$N85))</f>
        <v/>
      </c>
      <c r="E85" s="8">
        <f>IF($N85="","",INDEX('Eredmény'!$P$2:$P$201,$N85))</f>
        <v/>
      </c>
      <c r="F85" s="10">
        <f>IF($N85="","",INDEX('Eredmény'!$V$2:$V$201,$N85))</f>
        <v/>
      </c>
      <c r="G85" s="10">
        <f>IF($N85="","",INDEX('Eredmény'!$X$2:$X$201,$N85))</f>
        <v/>
      </c>
      <c r="H85" s="10">
        <f>IF($N85="","",INDEX('Eredmény'!$Y$2:$Y$201,$N85))</f>
        <v/>
      </c>
      <c r="I85" s="11">
        <f>IF($N85="","",INDEX('Eredmény'!$Z$2:$Z$201,$N85))</f>
        <v/>
      </c>
      <c r="J85" s="8">
        <f>IF($N85="","",INDEX('Eredmény'!$Q$2:$Q$201,$N85))</f>
        <v/>
      </c>
      <c r="K85" s="8">
        <f>IF($N85="","",INDEX('Eredmény'!$R$2:$R$201,$N85))</f>
        <v/>
      </c>
      <c r="L85" s="7">
        <f>IF($N85="","",INDEX('Eredmény'!$AB$2:$AB$201,$N85))</f>
        <v/>
      </c>
      <c r="N85">
        <f>IFERROR(MATCH(LARGE('Eredmény'!$AZ$2:$AZ$201,81),'Eredmény'!$AZ$2:$AZ$201,0),"")</f>
        <v/>
      </c>
    </row>
    <row r="86">
      <c r="A86" s="7">
        <f>IF($N86="","",INDEX('Eredmény'!$N$2:$N$201,$N86))</f>
        <v/>
      </c>
      <c r="B86" s="8">
        <f>IF($N86="","",INDEX('Eredmény'!$A$2:$A$201,$N86))</f>
        <v/>
      </c>
      <c r="C86" s="9">
        <f>IF($N86="","",INDEX('Eredmény'!$M$2:$M$201,$N86))</f>
        <v/>
      </c>
      <c r="D86" s="8">
        <f>IF($N86="","",INDEX('Eredmény'!$O$2:$O$201,$N86))</f>
        <v/>
      </c>
      <c r="E86" s="8">
        <f>IF($N86="","",INDEX('Eredmény'!$P$2:$P$201,$N86))</f>
        <v/>
      </c>
      <c r="F86" s="10">
        <f>IF($N86="","",INDEX('Eredmény'!$V$2:$V$201,$N86))</f>
        <v/>
      </c>
      <c r="G86" s="10">
        <f>IF($N86="","",INDEX('Eredmény'!$X$2:$X$201,$N86))</f>
        <v/>
      </c>
      <c r="H86" s="10">
        <f>IF($N86="","",INDEX('Eredmény'!$Y$2:$Y$201,$N86))</f>
        <v/>
      </c>
      <c r="I86" s="11">
        <f>IF($N86="","",INDEX('Eredmény'!$Z$2:$Z$201,$N86))</f>
        <v/>
      </c>
      <c r="J86" s="8">
        <f>IF($N86="","",INDEX('Eredmény'!$Q$2:$Q$201,$N86))</f>
        <v/>
      </c>
      <c r="K86" s="8">
        <f>IF($N86="","",INDEX('Eredmény'!$R$2:$R$201,$N86))</f>
        <v/>
      </c>
      <c r="L86" s="7">
        <f>IF($N86="","",INDEX('Eredmény'!$AB$2:$AB$201,$N86))</f>
        <v/>
      </c>
      <c r="N86">
        <f>IFERROR(MATCH(LARGE('Eredmény'!$AZ$2:$AZ$201,82),'Eredmény'!$AZ$2:$AZ$201,0),"")</f>
        <v/>
      </c>
    </row>
    <row r="87">
      <c r="A87" s="7">
        <f>IF($N87="","",INDEX('Eredmény'!$N$2:$N$201,$N87))</f>
        <v/>
      </c>
      <c r="B87" s="8">
        <f>IF($N87="","",INDEX('Eredmény'!$A$2:$A$201,$N87))</f>
        <v/>
      </c>
      <c r="C87" s="9">
        <f>IF($N87="","",INDEX('Eredmény'!$M$2:$M$201,$N87))</f>
        <v/>
      </c>
      <c r="D87" s="8">
        <f>IF($N87="","",INDEX('Eredmény'!$O$2:$O$201,$N87))</f>
        <v/>
      </c>
      <c r="E87" s="8">
        <f>IF($N87="","",INDEX('Eredmény'!$P$2:$P$201,$N87))</f>
        <v/>
      </c>
      <c r="F87" s="10">
        <f>IF($N87="","",INDEX('Eredmény'!$V$2:$V$201,$N87))</f>
        <v/>
      </c>
      <c r="G87" s="10">
        <f>IF($N87="","",INDEX('Eredmény'!$X$2:$X$201,$N87))</f>
        <v/>
      </c>
      <c r="H87" s="10">
        <f>IF($N87="","",INDEX('Eredmény'!$Y$2:$Y$201,$N87))</f>
        <v/>
      </c>
      <c r="I87" s="11">
        <f>IF($N87="","",INDEX('Eredmény'!$Z$2:$Z$201,$N87))</f>
        <v/>
      </c>
      <c r="J87" s="8">
        <f>IF($N87="","",INDEX('Eredmény'!$Q$2:$Q$201,$N87))</f>
        <v/>
      </c>
      <c r="K87" s="8">
        <f>IF($N87="","",INDEX('Eredmény'!$R$2:$R$201,$N87))</f>
        <v/>
      </c>
      <c r="L87" s="7">
        <f>IF($N87="","",INDEX('Eredmény'!$AB$2:$AB$201,$N87))</f>
        <v/>
      </c>
      <c r="N87">
        <f>IFERROR(MATCH(LARGE('Eredmény'!$AZ$2:$AZ$201,83),'Eredmény'!$AZ$2:$AZ$201,0),"")</f>
        <v/>
      </c>
    </row>
    <row r="88">
      <c r="A88" s="7">
        <f>IF($N88="","",INDEX('Eredmény'!$N$2:$N$201,$N88))</f>
        <v/>
      </c>
      <c r="B88" s="8">
        <f>IF($N88="","",INDEX('Eredmény'!$A$2:$A$201,$N88))</f>
        <v/>
      </c>
      <c r="C88" s="9">
        <f>IF($N88="","",INDEX('Eredmény'!$M$2:$M$201,$N88))</f>
        <v/>
      </c>
      <c r="D88" s="8">
        <f>IF($N88="","",INDEX('Eredmény'!$O$2:$O$201,$N88))</f>
        <v/>
      </c>
      <c r="E88" s="8">
        <f>IF($N88="","",INDEX('Eredmény'!$P$2:$P$201,$N88))</f>
        <v/>
      </c>
      <c r="F88" s="10">
        <f>IF($N88="","",INDEX('Eredmény'!$V$2:$V$201,$N88))</f>
        <v/>
      </c>
      <c r="G88" s="10">
        <f>IF($N88="","",INDEX('Eredmény'!$X$2:$X$201,$N88))</f>
        <v/>
      </c>
      <c r="H88" s="10">
        <f>IF($N88="","",INDEX('Eredmény'!$Y$2:$Y$201,$N88))</f>
        <v/>
      </c>
      <c r="I88" s="11">
        <f>IF($N88="","",INDEX('Eredmény'!$Z$2:$Z$201,$N88))</f>
        <v/>
      </c>
      <c r="J88" s="8">
        <f>IF($N88="","",INDEX('Eredmény'!$Q$2:$Q$201,$N88))</f>
        <v/>
      </c>
      <c r="K88" s="8">
        <f>IF($N88="","",INDEX('Eredmény'!$R$2:$R$201,$N88))</f>
        <v/>
      </c>
      <c r="L88" s="7">
        <f>IF($N88="","",INDEX('Eredmény'!$AB$2:$AB$201,$N88))</f>
        <v/>
      </c>
      <c r="N88">
        <f>IFERROR(MATCH(LARGE('Eredmény'!$AZ$2:$AZ$201,84),'Eredmény'!$AZ$2:$AZ$201,0),"")</f>
        <v/>
      </c>
    </row>
    <row r="89">
      <c r="A89" s="7">
        <f>IF($N89="","",INDEX('Eredmény'!$N$2:$N$201,$N89))</f>
        <v/>
      </c>
      <c r="B89" s="8">
        <f>IF($N89="","",INDEX('Eredmény'!$A$2:$A$201,$N89))</f>
        <v/>
      </c>
      <c r="C89" s="9">
        <f>IF($N89="","",INDEX('Eredmény'!$M$2:$M$201,$N89))</f>
        <v/>
      </c>
      <c r="D89" s="8">
        <f>IF($N89="","",INDEX('Eredmény'!$O$2:$O$201,$N89))</f>
        <v/>
      </c>
      <c r="E89" s="8">
        <f>IF($N89="","",INDEX('Eredmény'!$P$2:$P$201,$N89))</f>
        <v/>
      </c>
      <c r="F89" s="10">
        <f>IF($N89="","",INDEX('Eredmény'!$V$2:$V$201,$N89))</f>
        <v/>
      </c>
      <c r="G89" s="10">
        <f>IF($N89="","",INDEX('Eredmény'!$X$2:$X$201,$N89))</f>
        <v/>
      </c>
      <c r="H89" s="10">
        <f>IF($N89="","",INDEX('Eredmény'!$Y$2:$Y$201,$N89))</f>
        <v/>
      </c>
      <c r="I89" s="11">
        <f>IF($N89="","",INDEX('Eredmény'!$Z$2:$Z$201,$N89))</f>
        <v/>
      </c>
      <c r="J89" s="8">
        <f>IF($N89="","",INDEX('Eredmény'!$Q$2:$Q$201,$N89))</f>
        <v/>
      </c>
      <c r="K89" s="8">
        <f>IF($N89="","",INDEX('Eredmény'!$R$2:$R$201,$N89))</f>
        <v/>
      </c>
      <c r="L89" s="7">
        <f>IF($N89="","",INDEX('Eredmény'!$AB$2:$AB$201,$N89))</f>
        <v/>
      </c>
      <c r="N89">
        <f>IFERROR(MATCH(LARGE('Eredmény'!$AZ$2:$AZ$201,85),'Eredmény'!$AZ$2:$AZ$201,0),"")</f>
        <v/>
      </c>
    </row>
    <row r="90">
      <c r="A90" s="7">
        <f>IF($N90="","",INDEX('Eredmény'!$N$2:$N$201,$N90))</f>
        <v/>
      </c>
      <c r="B90" s="8">
        <f>IF($N90="","",INDEX('Eredmény'!$A$2:$A$201,$N90))</f>
        <v/>
      </c>
      <c r="C90" s="9">
        <f>IF($N90="","",INDEX('Eredmény'!$M$2:$M$201,$N90))</f>
        <v/>
      </c>
      <c r="D90" s="8">
        <f>IF($N90="","",INDEX('Eredmény'!$O$2:$O$201,$N90))</f>
        <v/>
      </c>
      <c r="E90" s="8">
        <f>IF($N90="","",INDEX('Eredmény'!$P$2:$P$201,$N90))</f>
        <v/>
      </c>
      <c r="F90" s="10">
        <f>IF($N90="","",INDEX('Eredmény'!$V$2:$V$201,$N90))</f>
        <v/>
      </c>
      <c r="G90" s="10">
        <f>IF($N90="","",INDEX('Eredmény'!$X$2:$X$201,$N90))</f>
        <v/>
      </c>
      <c r="H90" s="10">
        <f>IF($N90="","",INDEX('Eredmény'!$Y$2:$Y$201,$N90))</f>
        <v/>
      </c>
      <c r="I90" s="11">
        <f>IF($N90="","",INDEX('Eredmény'!$Z$2:$Z$201,$N90))</f>
        <v/>
      </c>
      <c r="J90" s="8">
        <f>IF($N90="","",INDEX('Eredmény'!$Q$2:$Q$201,$N90))</f>
        <v/>
      </c>
      <c r="K90" s="8">
        <f>IF($N90="","",INDEX('Eredmény'!$R$2:$R$201,$N90))</f>
        <v/>
      </c>
      <c r="L90" s="7">
        <f>IF($N90="","",INDEX('Eredmény'!$AB$2:$AB$201,$N90))</f>
        <v/>
      </c>
      <c r="N90">
        <f>IFERROR(MATCH(LARGE('Eredmény'!$AZ$2:$AZ$201,86),'Eredmény'!$AZ$2:$AZ$201,0),"")</f>
        <v/>
      </c>
    </row>
    <row r="91">
      <c r="A91" s="7">
        <f>IF($N91="","",INDEX('Eredmény'!$N$2:$N$201,$N91))</f>
        <v/>
      </c>
      <c r="B91" s="8">
        <f>IF($N91="","",INDEX('Eredmény'!$A$2:$A$201,$N91))</f>
        <v/>
      </c>
      <c r="C91" s="9">
        <f>IF($N91="","",INDEX('Eredmény'!$M$2:$M$201,$N91))</f>
        <v/>
      </c>
      <c r="D91" s="8">
        <f>IF($N91="","",INDEX('Eredmény'!$O$2:$O$201,$N91))</f>
        <v/>
      </c>
      <c r="E91" s="8">
        <f>IF($N91="","",INDEX('Eredmény'!$P$2:$P$201,$N91))</f>
        <v/>
      </c>
      <c r="F91" s="10">
        <f>IF($N91="","",INDEX('Eredmény'!$V$2:$V$201,$N91))</f>
        <v/>
      </c>
      <c r="G91" s="10">
        <f>IF($N91="","",INDEX('Eredmény'!$X$2:$X$201,$N91))</f>
        <v/>
      </c>
      <c r="H91" s="10">
        <f>IF($N91="","",INDEX('Eredmény'!$Y$2:$Y$201,$N91))</f>
        <v/>
      </c>
      <c r="I91" s="11">
        <f>IF($N91="","",INDEX('Eredmény'!$Z$2:$Z$201,$N91))</f>
        <v/>
      </c>
      <c r="J91" s="8">
        <f>IF($N91="","",INDEX('Eredmény'!$Q$2:$Q$201,$N91))</f>
        <v/>
      </c>
      <c r="K91" s="8">
        <f>IF($N91="","",INDEX('Eredmény'!$R$2:$R$201,$N91))</f>
        <v/>
      </c>
      <c r="L91" s="7">
        <f>IF($N91="","",INDEX('Eredmény'!$AB$2:$AB$201,$N91))</f>
        <v/>
      </c>
      <c r="N91">
        <f>IFERROR(MATCH(LARGE('Eredmény'!$AZ$2:$AZ$201,87),'Eredmény'!$AZ$2:$AZ$201,0),"")</f>
        <v/>
      </c>
    </row>
    <row r="92">
      <c r="A92" s="7">
        <f>IF($N92="","",INDEX('Eredmény'!$N$2:$N$201,$N92))</f>
        <v/>
      </c>
      <c r="B92" s="8">
        <f>IF($N92="","",INDEX('Eredmény'!$A$2:$A$201,$N92))</f>
        <v/>
      </c>
      <c r="C92" s="9">
        <f>IF($N92="","",INDEX('Eredmény'!$M$2:$M$201,$N92))</f>
        <v/>
      </c>
      <c r="D92" s="8">
        <f>IF($N92="","",INDEX('Eredmény'!$O$2:$O$201,$N92))</f>
        <v/>
      </c>
      <c r="E92" s="8">
        <f>IF($N92="","",INDEX('Eredmény'!$P$2:$P$201,$N92))</f>
        <v/>
      </c>
      <c r="F92" s="10">
        <f>IF($N92="","",INDEX('Eredmény'!$V$2:$V$201,$N92))</f>
        <v/>
      </c>
      <c r="G92" s="10">
        <f>IF($N92="","",INDEX('Eredmény'!$X$2:$X$201,$N92))</f>
        <v/>
      </c>
      <c r="H92" s="10">
        <f>IF($N92="","",INDEX('Eredmény'!$Y$2:$Y$201,$N92))</f>
        <v/>
      </c>
      <c r="I92" s="11">
        <f>IF($N92="","",INDEX('Eredmény'!$Z$2:$Z$201,$N92))</f>
        <v/>
      </c>
      <c r="J92" s="8">
        <f>IF($N92="","",INDEX('Eredmény'!$Q$2:$Q$201,$N92))</f>
        <v/>
      </c>
      <c r="K92" s="8">
        <f>IF($N92="","",INDEX('Eredmény'!$R$2:$R$201,$N92))</f>
        <v/>
      </c>
      <c r="L92" s="7">
        <f>IF($N92="","",INDEX('Eredmény'!$AB$2:$AB$201,$N92))</f>
        <v/>
      </c>
      <c r="N92">
        <f>IFERROR(MATCH(LARGE('Eredmény'!$AZ$2:$AZ$201,88),'Eredmény'!$AZ$2:$AZ$201,0),"")</f>
        <v/>
      </c>
    </row>
    <row r="93">
      <c r="A93" s="7">
        <f>IF($N93="","",INDEX('Eredmény'!$N$2:$N$201,$N93))</f>
        <v/>
      </c>
      <c r="B93" s="8">
        <f>IF($N93="","",INDEX('Eredmény'!$A$2:$A$201,$N93))</f>
        <v/>
      </c>
      <c r="C93" s="9">
        <f>IF($N93="","",INDEX('Eredmény'!$M$2:$M$201,$N93))</f>
        <v/>
      </c>
      <c r="D93" s="8">
        <f>IF($N93="","",INDEX('Eredmény'!$O$2:$O$201,$N93))</f>
        <v/>
      </c>
      <c r="E93" s="8">
        <f>IF($N93="","",INDEX('Eredmény'!$P$2:$P$201,$N93))</f>
        <v/>
      </c>
      <c r="F93" s="10">
        <f>IF($N93="","",INDEX('Eredmény'!$V$2:$V$201,$N93))</f>
        <v/>
      </c>
      <c r="G93" s="10">
        <f>IF($N93="","",INDEX('Eredmény'!$X$2:$X$201,$N93))</f>
        <v/>
      </c>
      <c r="H93" s="10">
        <f>IF($N93="","",INDEX('Eredmény'!$Y$2:$Y$201,$N93))</f>
        <v/>
      </c>
      <c r="I93" s="11">
        <f>IF($N93="","",INDEX('Eredmény'!$Z$2:$Z$201,$N93))</f>
        <v/>
      </c>
      <c r="J93" s="8">
        <f>IF($N93="","",INDEX('Eredmény'!$Q$2:$Q$201,$N93))</f>
        <v/>
      </c>
      <c r="K93" s="8">
        <f>IF($N93="","",INDEX('Eredmény'!$R$2:$R$201,$N93))</f>
        <v/>
      </c>
      <c r="L93" s="7">
        <f>IF($N93="","",INDEX('Eredmény'!$AB$2:$AB$201,$N93))</f>
        <v/>
      </c>
      <c r="N93">
        <f>IFERROR(MATCH(LARGE('Eredmény'!$AZ$2:$AZ$201,89),'Eredmény'!$AZ$2:$AZ$201,0),"")</f>
        <v/>
      </c>
    </row>
    <row r="94">
      <c r="A94" s="7">
        <f>IF($N94="","",INDEX('Eredmény'!$N$2:$N$201,$N94))</f>
        <v/>
      </c>
      <c r="B94" s="8">
        <f>IF($N94="","",INDEX('Eredmény'!$A$2:$A$201,$N94))</f>
        <v/>
      </c>
      <c r="C94" s="9">
        <f>IF($N94="","",INDEX('Eredmény'!$M$2:$M$201,$N94))</f>
        <v/>
      </c>
      <c r="D94" s="8">
        <f>IF($N94="","",INDEX('Eredmény'!$O$2:$O$201,$N94))</f>
        <v/>
      </c>
      <c r="E94" s="8">
        <f>IF($N94="","",INDEX('Eredmény'!$P$2:$P$201,$N94))</f>
        <v/>
      </c>
      <c r="F94" s="10">
        <f>IF($N94="","",INDEX('Eredmény'!$V$2:$V$201,$N94))</f>
        <v/>
      </c>
      <c r="G94" s="10">
        <f>IF($N94="","",INDEX('Eredmény'!$X$2:$X$201,$N94))</f>
        <v/>
      </c>
      <c r="H94" s="10">
        <f>IF($N94="","",INDEX('Eredmény'!$Y$2:$Y$201,$N94))</f>
        <v/>
      </c>
      <c r="I94" s="11">
        <f>IF($N94="","",INDEX('Eredmény'!$Z$2:$Z$201,$N94))</f>
        <v/>
      </c>
      <c r="J94" s="8">
        <f>IF($N94="","",INDEX('Eredmény'!$Q$2:$Q$201,$N94))</f>
        <v/>
      </c>
      <c r="K94" s="8">
        <f>IF($N94="","",INDEX('Eredmény'!$R$2:$R$201,$N94))</f>
        <v/>
      </c>
      <c r="L94" s="7">
        <f>IF($N94="","",INDEX('Eredmény'!$AB$2:$AB$201,$N94))</f>
        <v/>
      </c>
      <c r="N94">
        <f>IFERROR(MATCH(LARGE('Eredmény'!$AZ$2:$AZ$201,90),'Eredmény'!$AZ$2:$AZ$201,0),"")</f>
        <v/>
      </c>
    </row>
    <row r="95">
      <c r="A95" s="7">
        <f>IF($N95="","",INDEX('Eredmény'!$N$2:$N$201,$N95))</f>
        <v/>
      </c>
      <c r="B95" s="8">
        <f>IF($N95="","",INDEX('Eredmény'!$A$2:$A$201,$N95))</f>
        <v/>
      </c>
      <c r="C95" s="9">
        <f>IF($N95="","",INDEX('Eredmény'!$M$2:$M$201,$N95))</f>
        <v/>
      </c>
      <c r="D95" s="8">
        <f>IF($N95="","",INDEX('Eredmény'!$O$2:$O$201,$N95))</f>
        <v/>
      </c>
      <c r="E95" s="8">
        <f>IF($N95="","",INDEX('Eredmény'!$P$2:$P$201,$N95))</f>
        <v/>
      </c>
      <c r="F95" s="10">
        <f>IF($N95="","",INDEX('Eredmény'!$V$2:$V$201,$N95))</f>
        <v/>
      </c>
      <c r="G95" s="10">
        <f>IF($N95="","",INDEX('Eredmény'!$X$2:$X$201,$N95))</f>
        <v/>
      </c>
      <c r="H95" s="10">
        <f>IF($N95="","",INDEX('Eredmény'!$Y$2:$Y$201,$N95))</f>
        <v/>
      </c>
      <c r="I95" s="11">
        <f>IF($N95="","",INDEX('Eredmény'!$Z$2:$Z$201,$N95))</f>
        <v/>
      </c>
      <c r="J95" s="8">
        <f>IF($N95="","",INDEX('Eredmény'!$Q$2:$Q$201,$N95))</f>
        <v/>
      </c>
      <c r="K95" s="8">
        <f>IF($N95="","",INDEX('Eredmény'!$R$2:$R$201,$N95))</f>
        <v/>
      </c>
      <c r="L95" s="7">
        <f>IF($N95="","",INDEX('Eredmény'!$AB$2:$AB$201,$N95))</f>
        <v/>
      </c>
      <c r="N95">
        <f>IFERROR(MATCH(LARGE('Eredmény'!$AZ$2:$AZ$201,91),'Eredmény'!$AZ$2:$AZ$201,0),"")</f>
        <v/>
      </c>
    </row>
    <row r="96">
      <c r="A96" s="7">
        <f>IF($N96="","",INDEX('Eredmény'!$N$2:$N$201,$N96))</f>
        <v/>
      </c>
      <c r="B96" s="8">
        <f>IF($N96="","",INDEX('Eredmény'!$A$2:$A$201,$N96))</f>
        <v/>
      </c>
      <c r="C96" s="9">
        <f>IF($N96="","",INDEX('Eredmény'!$M$2:$M$201,$N96))</f>
        <v/>
      </c>
      <c r="D96" s="8">
        <f>IF($N96="","",INDEX('Eredmény'!$O$2:$O$201,$N96))</f>
        <v/>
      </c>
      <c r="E96" s="8">
        <f>IF($N96="","",INDEX('Eredmény'!$P$2:$P$201,$N96))</f>
        <v/>
      </c>
      <c r="F96" s="10">
        <f>IF($N96="","",INDEX('Eredmény'!$V$2:$V$201,$N96))</f>
        <v/>
      </c>
      <c r="G96" s="10">
        <f>IF($N96="","",INDEX('Eredmény'!$X$2:$X$201,$N96))</f>
        <v/>
      </c>
      <c r="H96" s="10">
        <f>IF($N96="","",INDEX('Eredmény'!$Y$2:$Y$201,$N96))</f>
        <v/>
      </c>
      <c r="I96" s="11">
        <f>IF($N96="","",INDEX('Eredmény'!$Z$2:$Z$201,$N96))</f>
        <v/>
      </c>
      <c r="J96" s="8">
        <f>IF($N96="","",INDEX('Eredmény'!$Q$2:$Q$201,$N96))</f>
        <v/>
      </c>
      <c r="K96" s="8">
        <f>IF($N96="","",INDEX('Eredmény'!$R$2:$R$201,$N96))</f>
        <v/>
      </c>
      <c r="L96" s="7">
        <f>IF($N96="","",INDEX('Eredmény'!$AB$2:$AB$201,$N96))</f>
        <v/>
      </c>
      <c r="N96">
        <f>IFERROR(MATCH(LARGE('Eredmény'!$AZ$2:$AZ$201,92),'Eredmény'!$AZ$2:$AZ$201,0),"")</f>
        <v/>
      </c>
    </row>
    <row r="97">
      <c r="A97" s="7">
        <f>IF($N97="","",INDEX('Eredmény'!$N$2:$N$201,$N97))</f>
        <v/>
      </c>
      <c r="B97" s="8">
        <f>IF($N97="","",INDEX('Eredmény'!$A$2:$A$201,$N97))</f>
        <v/>
      </c>
      <c r="C97" s="9">
        <f>IF($N97="","",INDEX('Eredmény'!$M$2:$M$201,$N97))</f>
        <v/>
      </c>
      <c r="D97" s="8">
        <f>IF($N97="","",INDEX('Eredmény'!$O$2:$O$201,$N97))</f>
        <v/>
      </c>
      <c r="E97" s="8">
        <f>IF($N97="","",INDEX('Eredmény'!$P$2:$P$201,$N97))</f>
        <v/>
      </c>
      <c r="F97" s="10">
        <f>IF($N97="","",INDEX('Eredmény'!$V$2:$V$201,$N97))</f>
        <v/>
      </c>
      <c r="G97" s="10">
        <f>IF($N97="","",INDEX('Eredmény'!$X$2:$X$201,$N97))</f>
        <v/>
      </c>
      <c r="H97" s="10">
        <f>IF($N97="","",INDEX('Eredmény'!$Y$2:$Y$201,$N97))</f>
        <v/>
      </c>
      <c r="I97" s="11">
        <f>IF($N97="","",INDEX('Eredmény'!$Z$2:$Z$201,$N97))</f>
        <v/>
      </c>
      <c r="J97" s="8">
        <f>IF($N97="","",INDEX('Eredmény'!$Q$2:$Q$201,$N97))</f>
        <v/>
      </c>
      <c r="K97" s="8">
        <f>IF($N97="","",INDEX('Eredmény'!$R$2:$R$201,$N97))</f>
        <v/>
      </c>
      <c r="L97" s="7">
        <f>IF($N97="","",INDEX('Eredmény'!$AB$2:$AB$201,$N97))</f>
        <v/>
      </c>
      <c r="N97">
        <f>IFERROR(MATCH(LARGE('Eredmény'!$AZ$2:$AZ$201,93),'Eredmény'!$AZ$2:$AZ$201,0),"")</f>
        <v/>
      </c>
    </row>
    <row r="98">
      <c r="A98" s="7">
        <f>IF($N98="","",INDEX('Eredmény'!$N$2:$N$201,$N98))</f>
        <v/>
      </c>
      <c r="B98" s="8">
        <f>IF($N98="","",INDEX('Eredmény'!$A$2:$A$201,$N98))</f>
        <v/>
      </c>
      <c r="C98" s="9">
        <f>IF($N98="","",INDEX('Eredmény'!$M$2:$M$201,$N98))</f>
        <v/>
      </c>
      <c r="D98" s="8">
        <f>IF($N98="","",INDEX('Eredmény'!$O$2:$O$201,$N98))</f>
        <v/>
      </c>
      <c r="E98" s="8">
        <f>IF($N98="","",INDEX('Eredmény'!$P$2:$P$201,$N98))</f>
        <v/>
      </c>
      <c r="F98" s="10">
        <f>IF($N98="","",INDEX('Eredmény'!$V$2:$V$201,$N98))</f>
        <v/>
      </c>
      <c r="G98" s="10">
        <f>IF($N98="","",INDEX('Eredmény'!$X$2:$X$201,$N98))</f>
        <v/>
      </c>
      <c r="H98" s="10">
        <f>IF($N98="","",INDEX('Eredmény'!$Y$2:$Y$201,$N98))</f>
        <v/>
      </c>
      <c r="I98" s="11">
        <f>IF($N98="","",INDEX('Eredmény'!$Z$2:$Z$201,$N98))</f>
        <v/>
      </c>
      <c r="J98" s="8">
        <f>IF($N98="","",INDEX('Eredmény'!$Q$2:$Q$201,$N98))</f>
        <v/>
      </c>
      <c r="K98" s="8">
        <f>IF($N98="","",INDEX('Eredmény'!$R$2:$R$201,$N98))</f>
        <v/>
      </c>
      <c r="L98" s="7">
        <f>IF($N98="","",INDEX('Eredmény'!$AB$2:$AB$201,$N98))</f>
        <v/>
      </c>
      <c r="N98">
        <f>IFERROR(MATCH(LARGE('Eredmény'!$AZ$2:$AZ$201,94),'Eredmény'!$AZ$2:$AZ$201,0),"")</f>
        <v/>
      </c>
    </row>
    <row r="99">
      <c r="A99" s="7">
        <f>IF($N99="","",INDEX('Eredmény'!$N$2:$N$201,$N99))</f>
        <v/>
      </c>
      <c r="B99" s="8">
        <f>IF($N99="","",INDEX('Eredmény'!$A$2:$A$201,$N99))</f>
        <v/>
      </c>
      <c r="C99" s="9">
        <f>IF($N99="","",INDEX('Eredmény'!$M$2:$M$201,$N99))</f>
        <v/>
      </c>
      <c r="D99" s="8">
        <f>IF($N99="","",INDEX('Eredmény'!$O$2:$O$201,$N99))</f>
        <v/>
      </c>
      <c r="E99" s="8">
        <f>IF($N99="","",INDEX('Eredmény'!$P$2:$P$201,$N99))</f>
        <v/>
      </c>
      <c r="F99" s="10">
        <f>IF($N99="","",INDEX('Eredmény'!$V$2:$V$201,$N99))</f>
        <v/>
      </c>
      <c r="G99" s="10">
        <f>IF($N99="","",INDEX('Eredmény'!$X$2:$X$201,$N99))</f>
        <v/>
      </c>
      <c r="H99" s="10">
        <f>IF($N99="","",INDEX('Eredmény'!$Y$2:$Y$201,$N99))</f>
        <v/>
      </c>
      <c r="I99" s="11">
        <f>IF($N99="","",INDEX('Eredmény'!$Z$2:$Z$201,$N99))</f>
        <v/>
      </c>
      <c r="J99" s="8">
        <f>IF($N99="","",INDEX('Eredmény'!$Q$2:$Q$201,$N99))</f>
        <v/>
      </c>
      <c r="K99" s="8">
        <f>IF($N99="","",INDEX('Eredmény'!$R$2:$R$201,$N99))</f>
        <v/>
      </c>
      <c r="L99" s="7">
        <f>IF($N99="","",INDEX('Eredmény'!$AB$2:$AB$201,$N99))</f>
        <v/>
      </c>
      <c r="N99">
        <f>IFERROR(MATCH(LARGE('Eredmény'!$AZ$2:$AZ$201,95),'Eredmény'!$AZ$2:$AZ$201,0),"")</f>
        <v/>
      </c>
    </row>
    <row r="100">
      <c r="A100" s="7">
        <f>IF($N100="","",INDEX('Eredmény'!$N$2:$N$201,$N100))</f>
        <v/>
      </c>
      <c r="B100" s="8">
        <f>IF($N100="","",INDEX('Eredmény'!$A$2:$A$201,$N100))</f>
        <v/>
      </c>
      <c r="C100" s="9">
        <f>IF($N100="","",INDEX('Eredmény'!$M$2:$M$201,$N100))</f>
        <v/>
      </c>
      <c r="D100" s="8">
        <f>IF($N100="","",INDEX('Eredmény'!$O$2:$O$201,$N100))</f>
        <v/>
      </c>
      <c r="E100" s="8">
        <f>IF($N100="","",INDEX('Eredmény'!$P$2:$P$201,$N100))</f>
        <v/>
      </c>
      <c r="F100" s="10">
        <f>IF($N100="","",INDEX('Eredmény'!$V$2:$V$201,$N100))</f>
        <v/>
      </c>
      <c r="G100" s="10">
        <f>IF($N100="","",INDEX('Eredmény'!$X$2:$X$201,$N100))</f>
        <v/>
      </c>
      <c r="H100" s="10">
        <f>IF($N100="","",INDEX('Eredmény'!$Y$2:$Y$201,$N100))</f>
        <v/>
      </c>
      <c r="I100" s="11">
        <f>IF($N100="","",INDEX('Eredmény'!$Z$2:$Z$201,$N100))</f>
        <v/>
      </c>
      <c r="J100" s="8">
        <f>IF($N100="","",INDEX('Eredmény'!$Q$2:$Q$201,$N100))</f>
        <v/>
      </c>
      <c r="K100" s="8">
        <f>IF($N100="","",INDEX('Eredmény'!$R$2:$R$201,$N100))</f>
        <v/>
      </c>
      <c r="L100" s="7">
        <f>IF($N100="","",INDEX('Eredmény'!$AB$2:$AB$201,$N100))</f>
        <v/>
      </c>
      <c r="N100">
        <f>IFERROR(MATCH(LARGE('Eredmény'!$AZ$2:$AZ$201,96),'Eredmény'!$AZ$2:$AZ$201,0),"")</f>
        <v/>
      </c>
    </row>
    <row r="101">
      <c r="A101" s="7">
        <f>IF($N101="","",INDEX('Eredmény'!$N$2:$N$201,$N101))</f>
        <v/>
      </c>
      <c r="B101" s="8">
        <f>IF($N101="","",INDEX('Eredmény'!$A$2:$A$201,$N101))</f>
        <v/>
      </c>
      <c r="C101" s="9">
        <f>IF($N101="","",INDEX('Eredmény'!$M$2:$M$201,$N101))</f>
        <v/>
      </c>
      <c r="D101" s="8">
        <f>IF($N101="","",INDEX('Eredmény'!$O$2:$O$201,$N101))</f>
        <v/>
      </c>
      <c r="E101" s="8">
        <f>IF($N101="","",INDEX('Eredmény'!$P$2:$P$201,$N101))</f>
        <v/>
      </c>
      <c r="F101" s="10">
        <f>IF($N101="","",INDEX('Eredmény'!$V$2:$V$201,$N101))</f>
        <v/>
      </c>
      <c r="G101" s="10">
        <f>IF($N101="","",INDEX('Eredmény'!$X$2:$X$201,$N101))</f>
        <v/>
      </c>
      <c r="H101" s="10">
        <f>IF($N101="","",INDEX('Eredmény'!$Y$2:$Y$201,$N101))</f>
        <v/>
      </c>
      <c r="I101" s="11">
        <f>IF($N101="","",INDEX('Eredmény'!$Z$2:$Z$201,$N101))</f>
        <v/>
      </c>
      <c r="J101" s="8">
        <f>IF($N101="","",INDEX('Eredmény'!$Q$2:$Q$201,$N101))</f>
        <v/>
      </c>
      <c r="K101" s="8">
        <f>IF($N101="","",INDEX('Eredmény'!$R$2:$R$201,$N101))</f>
        <v/>
      </c>
      <c r="L101" s="7">
        <f>IF($N101="","",INDEX('Eredmény'!$AB$2:$AB$201,$N101))</f>
        <v/>
      </c>
      <c r="N101">
        <f>IFERROR(MATCH(LARGE('Eredmény'!$AZ$2:$AZ$201,97),'Eredmény'!$AZ$2:$AZ$201,0),"")</f>
        <v/>
      </c>
    </row>
    <row r="102">
      <c r="A102" s="7">
        <f>IF($N102="","",INDEX('Eredmény'!$N$2:$N$201,$N102))</f>
        <v/>
      </c>
      <c r="B102" s="8">
        <f>IF($N102="","",INDEX('Eredmény'!$A$2:$A$201,$N102))</f>
        <v/>
      </c>
      <c r="C102" s="9">
        <f>IF($N102="","",INDEX('Eredmény'!$M$2:$M$201,$N102))</f>
        <v/>
      </c>
      <c r="D102" s="8">
        <f>IF($N102="","",INDEX('Eredmény'!$O$2:$O$201,$N102))</f>
        <v/>
      </c>
      <c r="E102" s="8">
        <f>IF($N102="","",INDEX('Eredmény'!$P$2:$P$201,$N102))</f>
        <v/>
      </c>
      <c r="F102" s="10">
        <f>IF($N102="","",INDEX('Eredmény'!$V$2:$V$201,$N102))</f>
        <v/>
      </c>
      <c r="G102" s="10">
        <f>IF($N102="","",INDEX('Eredmény'!$X$2:$X$201,$N102))</f>
        <v/>
      </c>
      <c r="H102" s="10">
        <f>IF($N102="","",INDEX('Eredmény'!$Y$2:$Y$201,$N102))</f>
        <v/>
      </c>
      <c r="I102" s="11">
        <f>IF($N102="","",INDEX('Eredmény'!$Z$2:$Z$201,$N102))</f>
        <v/>
      </c>
      <c r="J102" s="8">
        <f>IF($N102="","",INDEX('Eredmény'!$Q$2:$Q$201,$N102))</f>
        <v/>
      </c>
      <c r="K102" s="8">
        <f>IF($N102="","",INDEX('Eredmény'!$R$2:$R$201,$N102))</f>
        <v/>
      </c>
      <c r="L102" s="7">
        <f>IF($N102="","",INDEX('Eredmény'!$AB$2:$AB$201,$N102))</f>
        <v/>
      </c>
      <c r="N102">
        <f>IFERROR(MATCH(LARGE('Eredmény'!$AZ$2:$AZ$201,98),'Eredmény'!$AZ$2:$AZ$201,0),"")</f>
        <v/>
      </c>
    </row>
    <row r="103">
      <c r="A103" s="7">
        <f>IF($N103="","",INDEX('Eredmény'!$N$2:$N$201,$N103))</f>
        <v/>
      </c>
      <c r="B103" s="8">
        <f>IF($N103="","",INDEX('Eredmény'!$A$2:$A$201,$N103))</f>
        <v/>
      </c>
      <c r="C103" s="9">
        <f>IF($N103="","",INDEX('Eredmény'!$M$2:$M$201,$N103))</f>
        <v/>
      </c>
      <c r="D103" s="8">
        <f>IF($N103="","",INDEX('Eredmény'!$O$2:$O$201,$N103))</f>
        <v/>
      </c>
      <c r="E103" s="8">
        <f>IF($N103="","",INDEX('Eredmény'!$P$2:$P$201,$N103))</f>
        <v/>
      </c>
      <c r="F103" s="10">
        <f>IF($N103="","",INDEX('Eredmény'!$V$2:$V$201,$N103))</f>
        <v/>
      </c>
      <c r="G103" s="10">
        <f>IF($N103="","",INDEX('Eredmény'!$X$2:$X$201,$N103))</f>
        <v/>
      </c>
      <c r="H103" s="10">
        <f>IF($N103="","",INDEX('Eredmény'!$Y$2:$Y$201,$N103))</f>
        <v/>
      </c>
      <c r="I103" s="11">
        <f>IF($N103="","",INDEX('Eredmény'!$Z$2:$Z$201,$N103))</f>
        <v/>
      </c>
      <c r="J103" s="8">
        <f>IF($N103="","",INDEX('Eredmény'!$Q$2:$Q$201,$N103))</f>
        <v/>
      </c>
      <c r="K103" s="8">
        <f>IF($N103="","",INDEX('Eredmény'!$R$2:$R$201,$N103))</f>
        <v/>
      </c>
      <c r="L103" s="7">
        <f>IF($N103="","",INDEX('Eredmény'!$AB$2:$AB$201,$N103))</f>
        <v/>
      </c>
      <c r="N103">
        <f>IFERROR(MATCH(LARGE('Eredmény'!$AZ$2:$AZ$201,99),'Eredmény'!$AZ$2:$AZ$201,0),"")</f>
        <v/>
      </c>
    </row>
    <row r="104">
      <c r="A104" s="7">
        <f>IF($N104="","",INDEX('Eredmény'!$N$2:$N$201,$N104))</f>
        <v/>
      </c>
      <c r="B104" s="8">
        <f>IF($N104="","",INDEX('Eredmény'!$A$2:$A$201,$N104))</f>
        <v/>
      </c>
      <c r="C104" s="9">
        <f>IF($N104="","",INDEX('Eredmény'!$M$2:$M$201,$N104))</f>
        <v/>
      </c>
      <c r="D104" s="8">
        <f>IF($N104="","",INDEX('Eredmény'!$O$2:$O$201,$N104))</f>
        <v/>
      </c>
      <c r="E104" s="8">
        <f>IF($N104="","",INDEX('Eredmény'!$P$2:$P$201,$N104))</f>
        <v/>
      </c>
      <c r="F104" s="10">
        <f>IF($N104="","",INDEX('Eredmény'!$V$2:$V$201,$N104))</f>
        <v/>
      </c>
      <c r="G104" s="10">
        <f>IF($N104="","",INDEX('Eredmény'!$X$2:$X$201,$N104))</f>
        <v/>
      </c>
      <c r="H104" s="10">
        <f>IF($N104="","",INDEX('Eredmény'!$Y$2:$Y$201,$N104))</f>
        <v/>
      </c>
      <c r="I104" s="11">
        <f>IF($N104="","",INDEX('Eredmény'!$Z$2:$Z$201,$N104))</f>
        <v/>
      </c>
      <c r="J104" s="8">
        <f>IF($N104="","",INDEX('Eredmény'!$Q$2:$Q$201,$N104))</f>
        <v/>
      </c>
      <c r="K104" s="8">
        <f>IF($N104="","",INDEX('Eredmény'!$R$2:$R$201,$N104))</f>
        <v/>
      </c>
      <c r="L104" s="7">
        <f>IF($N104="","",INDEX('Eredmény'!$AB$2:$AB$201,$N104))</f>
        <v/>
      </c>
      <c r="N104">
        <f>IFERROR(MATCH(LARGE('Eredmény'!$AZ$2:$AZ$201,100),'Eredmény'!$AZ$2:$AZ$201,0),"")</f>
        <v/>
      </c>
    </row>
    <row r="105">
      <c r="A105" s="7">
        <f>IF($N105="","",INDEX('Eredmény'!$N$2:$N$201,$N105))</f>
        <v/>
      </c>
      <c r="B105" s="8">
        <f>IF($N105="","",INDEX('Eredmény'!$A$2:$A$201,$N105))</f>
        <v/>
      </c>
      <c r="C105" s="9">
        <f>IF($N105="","",INDEX('Eredmény'!$M$2:$M$201,$N105))</f>
        <v/>
      </c>
      <c r="D105" s="8">
        <f>IF($N105="","",INDEX('Eredmény'!$O$2:$O$201,$N105))</f>
        <v/>
      </c>
      <c r="E105" s="8">
        <f>IF($N105="","",INDEX('Eredmény'!$P$2:$P$201,$N105))</f>
        <v/>
      </c>
      <c r="F105" s="10">
        <f>IF($N105="","",INDEX('Eredmény'!$V$2:$V$201,$N105))</f>
        <v/>
      </c>
      <c r="G105" s="10">
        <f>IF($N105="","",INDEX('Eredmény'!$X$2:$X$201,$N105))</f>
        <v/>
      </c>
      <c r="H105" s="10">
        <f>IF($N105="","",INDEX('Eredmény'!$Y$2:$Y$201,$N105))</f>
        <v/>
      </c>
      <c r="I105" s="11">
        <f>IF($N105="","",INDEX('Eredmény'!$Z$2:$Z$201,$N105))</f>
        <v/>
      </c>
      <c r="J105" s="8">
        <f>IF($N105="","",INDEX('Eredmény'!$Q$2:$Q$201,$N105))</f>
        <v/>
      </c>
      <c r="K105" s="8">
        <f>IF($N105="","",INDEX('Eredmény'!$R$2:$R$201,$N105))</f>
        <v/>
      </c>
      <c r="L105" s="7">
        <f>IF($N105="","",INDEX('Eredmény'!$AB$2:$AB$201,$N105))</f>
        <v/>
      </c>
      <c r="N105">
        <f>IFERROR(MATCH(LARGE('Eredmény'!$AZ$2:$AZ$201,101),'Eredmény'!$AZ$2:$AZ$201,0),"")</f>
        <v/>
      </c>
    </row>
    <row r="106">
      <c r="A106" s="7">
        <f>IF($N106="","",INDEX('Eredmény'!$N$2:$N$201,$N106))</f>
        <v/>
      </c>
      <c r="B106" s="8">
        <f>IF($N106="","",INDEX('Eredmény'!$A$2:$A$201,$N106))</f>
        <v/>
      </c>
      <c r="C106" s="9">
        <f>IF($N106="","",INDEX('Eredmény'!$M$2:$M$201,$N106))</f>
        <v/>
      </c>
      <c r="D106" s="8">
        <f>IF($N106="","",INDEX('Eredmény'!$O$2:$O$201,$N106))</f>
        <v/>
      </c>
      <c r="E106" s="8">
        <f>IF($N106="","",INDEX('Eredmény'!$P$2:$P$201,$N106))</f>
        <v/>
      </c>
      <c r="F106" s="10">
        <f>IF($N106="","",INDEX('Eredmény'!$V$2:$V$201,$N106))</f>
        <v/>
      </c>
      <c r="G106" s="10">
        <f>IF($N106="","",INDEX('Eredmény'!$X$2:$X$201,$N106))</f>
        <v/>
      </c>
      <c r="H106" s="10">
        <f>IF($N106="","",INDEX('Eredmény'!$Y$2:$Y$201,$N106))</f>
        <v/>
      </c>
      <c r="I106" s="11">
        <f>IF($N106="","",INDEX('Eredmény'!$Z$2:$Z$201,$N106))</f>
        <v/>
      </c>
      <c r="J106" s="8">
        <f>IF($N106="","",INDEX('Eredmény'!$Q$2:$Q$201,$N106))</f>
        <v/>
      </c>
      <c r="K106" s="8">
        <f>IF($N106="","",INDEX('Eredmény'!$R$2:$R$201,$N106))</f>
        <v/>
      </c>
      <c r="L106" s="7">
        <f>IF($N106="","",INDEX('Eredmény'!$AB$2:$AB$201,$N106))</f>
        <v/>
      </c>
      <c r="N106">
        <f>IFERROR(MATCH(LARGE('Eredmény'!$AZ$2:$AZ$201,102),'Eredmény'!$AZ$2:$AZ$201,0),"")</f>
        <v/>
      </c>
    </row>
    <row r="107">
      <c r="A107" s="7">
        <f>IF($N107="","",INDEX('Eredmény'!$N$2:$N$201,$N107))</f>
        <v/>
      </c>
      <c r="B107" s="8">
        <f>IF($N107="","",INDEX('Eredmény'!$A$2:$A$201,$N107))</f>
        <v/>
      </c>
      <c r="C107" s="9">
        <f>IF($N107="","",INDEX('Eredmény'!$M$2:$M$201,$N107))</f>
        <v/>
      </c>
      <c r="D107" s="8">
        <f>IF($N107="","",INDEX('Eredmény'!$O$2:$O$201,$N107))</f>
        <v/>
      </c>
      <c r="E107" s="8">
        <f>IF($N107="","",INDEX('Eredmény'!$P$2:$P$201,$N107))</f>
        <v/>
      </c>
      <c r="F107" s="10">
        <f>IF($N107="","",INDEX('Eredmény'!$V$2:$V$201,$N107))</f>
        <v/>
      </c>
      <c r="G107" s="10">
        <f>IF($N107="","",INDEX('Eredmény'!$X$2:$X$201,$N107))</f>
        <v/>
      </c>
      <c r="H107" s="10">
        <f>IF($N107="","",INDEX('Eredmény'!$Y$2:$Y$201,$N107))</f>
        <v/>
      </c>
      <c r="I107" s="11">
        <f>IF($N107="","",INDEX('Eredmény'!$Z$2:$Z$201,$N107))</f>
        <v/>
      </c>
      <c r="J107" s="8">
        <f>IF($N107="","",INDEX('Eredmény'!$Q$2:$Q$201,$N107))</f>
        <v/>
      </c>
      <c r="K107" s="8">
        <f>IF($N107="","",INDEX('Eredmény'!$R$2:$R$201,$N107))</f>
        <v/>
      </c>
      <c r="L107" s="7">
        <f>IF($N107="","",INDEX('Eredmény'!$AB$2:$AB$201,$N107))</f>
        <v/>
      </c>
      <c r="N107">
        <f>IFERROR(MATCH(LARGE('Eredmény'!$AZ$2:$AZ$201,103),'Eredmény'!$AZ$2:$AZ$201,0),"")</f>
        <v/>
      </c>
    </row>
    <row r="108">
      <c r="A108" s="7">
        <f>IF($N108="","",INDEX('Eredmény'!$N$2:$N$201,$N108))</f>
        <v/>
      </c>
      <c r="B108" s="8">
        <f>IF($N108="","",INDEX('Eredmény'!$A$2:$A$201,$N108))</f>
        <v/>
      </c>
      <c r="C108" s="9">
        <f>IF($N108="","",INDEX('Eredmény'!$M$2:$M$201,$N108))</f>
        <v/>
      </c>
      <c r="D108" s="8">
        <f>IF($N108="","",INDEX('Eredmény'!$O$2:$O$201,$N108))</f>
        <v/>
      </c>
      <c r="E108" s="8">
        <f>IF($N108="","",INDEX('Eredmény'!$P$2:$P$201,$N108))</f>
        <v/>
      </c>
      <c r="F108" s="10">
        <f>IF($N108="","",INDEX('Eredmény'!$V$2:$V$201,$N108))</f>
        <v/>
      </c>
      <c r="G108" s="10">
        <f>IF($N108="","",INDEX('Eredmény'!$X$2:$X$201,$N108))</f>
        <v/>
      </c>
      <c r="H108" s="10">
        <f>IF($N108="","",INDEX('Eredmény'!$Y$2:$Y$201,$N108))</f>
        <v/>
      </c>
      <c r="I108" s="11">
        <f>IF($N108="","",INDEX('Eredmény'!$Z$2:$Z$201,$N108))</f>
        <v/>
      </c>
      <c r="J108" s="8">
        <f>IF($N108="","",INDEX('Eredmény'!$Q$2:$Q$201,$N108))</f>
        <v/>
      </c>
      <c r="K108" s="8">
        <f>IF($N108="","",INDEX('Eredmény'!$R$2:$R$201,$N108))</f>
        <v/>
      </c>
      <c r="L108" s="7">
        <f>IF($N108="","",INDEX('Eredmény'!$AB$2:$AB$201,$N108))</f>
        <v/>
      </c>
      <c r="N108">
        <f>IFERROR(MATCH(LARGE('Eredmény'!$AZ$2:$AZ$201,104),'Eredmény'!$AZ$2:$AZ$201,0),"")</f>
        <v/>
      </c>
    </row>
    <row r="109">
      <c r="A109" s="7">
        <f>IF($N109="","",INDEX('Eredmény'!$N$2:$N$201,$N109))</f>
        <v/>
      </c>
      <c r="B109" s="8">
        <f>IF($N109="","",INDEX('Eredmény'!$A$2:$A$201,$N109))</f>
        <v/>
      </c>
      <c r="C109" s="9">
        <f>IF($N109="","",INDEX('Eredmény'!$M$2:$M$201,$N109))</f>
        <v/>
      </c>
      <c r="D109" s="8">
        <f>IF($N109="","",INDEX('Eredmény'!$O$2:$O$201,$N109))</f>
        <v/>
      </c>
      <c r="E109" s="8">
        <f>IF($N109="","",INDEX('Eredmény'!$P$2:$P$201,$N109))</f>
        <v/>
      </c>
      <c r="F109" s="10">
        <f>IF($N109="","",INDEX('Eredmény'!$V$2:$V$201,$N109))</f>
        <v/>
      </c>
      <c r="G109" s="10">
        <f>IF($N109="","",INDEX('Eredmény'!$X$2:$X$201,$N109))</f>
        <v/>
      </c>
      <c r="H109" s="10">
        <f>IF($N109="","",INDEX('Eredmény'!$Y$2:$Y$201,$N109))</f>
        <v/>
      </c>
      <c r="I109" s="11">
        <f>IF($N109="","",INDEX('Eredmény'!$Z$2:$Z$201,$N109))</f>
        <v/>
      </c>
      <c r="J109" s="8">
        <f>IF($N109="","",INDEX('Eredmény'!$Q$2:$Q$201,$N109))</f>
        <v/>
      </c>
      <c r="K109" s="8">
        <f>IF($N109="","",INDEX('Eredmény'!$R$2:$R$201,$N109))</f>
        <v/>
      </c>
      <c r="L109" s="7">
        <f>IF($N109="","",INDEX('Eredmény'!$AB$2:$AB$201,$N109))</f>
        <v/>
      </c>
      <c r="N109">
        <f>IFERROR(MATCH(LARGE('Eredmény'!$AZ$2:$AZ$201,105),'Eredmény'!$AZ$2:$AZ$201,0),"")</f>
        <v/>
      </c>
    </row>
    <row r="110">
      <c r="A110" s="7">
        <f>IF($N110="","",INDEX('Eredmény'!$N$2:$N$201,$N110))</f>
        <v/>
      </c>
      <c r="B110" s="8">
        <f>IF($N110="","",INDEX('Eredmény'!$A$2:$A$201,$N110))</f>
        <v/>
      </c>
      <c r="C110" s="9">
        <f>IF($N110="","",INDEX('Eredmény'!$M$2:$M$201,$N110))</f>
        <v/>
      </c>
      <c r="D110" s="8">
        <f>IF($N110="","",INDEX('Eredmény'!$O$2:$O$201,$N110))</f>
        <v/>
      </c>
      <c r="E110" s="8">
        <f>IF($N110="","",INDEX('Eredmény'!$P$2:$P$201,$N110))</f>
        <v/>
      </c>
      <c r="F110" s="10">
        <f>IF($N110="","",INDEX('Eredmény'!$V$2:$V$201,$N110))</f>
        <v/>
      </c>
      <c r="G110" s="10">
        <f>IF($N110="","",INDEX('Eredmény'!$X$2:$X$201,$N110))</f>
        <v/>
      </c>
      <c r="H110" s="10">
        <f>IF($N110="","",INDEX('Eredmény'!$Y$2:$Y$201,$N110))</f>
        <v/>
      </c>
      <c r="I110" s="11">
        <f>IF($N110="","",INDEX('Eredmény'!$Z$2:$Z$201,$N110))</f>
        <v/>
      </c>
      <c r="J110" s="8">
        <f>IF($N110="","",INDEX('Eredmény'!$Q$2:$Q$201,$N110))</f>
        <v/>
      </c>
      <c r="K110" s="8">
        <f>IF($N110="","",INDEX('Eredmény'!$R$2:$R$201,$N110))</f>
        <v/>
      </c>
      <c r="L110" s="7">
        <f>IF($N110="","",INDEX('Eredmény'!$AB$2:$AB$201,$N110))</f>
        <v/>
      </c>
      <c r="N110">
        <f>IFERROR(MATCH(LARGE('Eredmény'!$AZ$2:$AZ$201,106),'Eredmény'!$AZ$2:$AZ$201,0),"")</f>
        <v/>
      </c>
    </row>
    <row r="111">
      <c r="A111" s="7">
        <f>IF($N111="","",INDEX('Eredmény'!$N$2:$N$201,$N111))</f>
        <v/>
      </c>
      <c r="B111" s="8">
        <f>IF($N111="","",INDEX('Eredmény'!$A$2:$A$201,$N111))</f>
        <v/>
      </c>
      <c r="C111" s="9">
        <f>IF($N111="","",INDEX('Eredmény'!$M$2:$M$201,$N111))</f>
        <v/>
      </c>
      <c r="D111" s="8">
        <f>IF($N111="","",INDEX('Eredmény'!$O$2:$O$201,$N111))</f>
        <v/>
      </c>
      <c r="E111" s="8">
        <f>IF($N111="","",INDEX('Eredmény'!$P$2:$P$201,$N111))</f>
        <v/>
      </c>
      <c r="F111" s="10">
        <f>IF($N111="","",INDEX('Eredmény'!$V$2:$V$201,$N111))</f>
        <v/>
      </c>
      <c r="G111" s="10">
        <f>IF($N111="","",INDEX('Eredmény'!$X$2:$X$201,$N111))</f>
        <v/>
      </c>
      <c r="H111" s="10">
        <f>IF($N111="","",INDEX('Eredmény'!$Y$2:$Y$201,$N111))</f>
        <v/>
      </c>
      <c r="I111" s="11">
        <f>IF($N111="","",INDEX('Eredmény'!$Z$2:$Z$201,$N111))</f>
        <v/>
      </c>
      <c r="J111" s="8">
        <f>IF($N111="","",INDEX('Eredmény'!$Q$2:$Q$201,$N111))</f>
        <v/>
      </c>
      <c r="K111" s="8">
        <f>IF($N111="","",INDEX('Eredmény'!$R$2:$R$201,$N111))</f>
        <v/>
      </c>
      <c r="L111" s="7">
        <f>IF($N111="","",INDEX('Eredmény'!$AB$2:$AB$201,$N111))</f>
        <v/>
      </c>
      <c r="N111">
        <f>IFERROR(MATCH(LARGE('Eredmény'!$AZ$2:$AZ$201,107),'Eredmény'!$AZ$2:$AZ$201,0),"")</f>
        <v/>
      </c>
    </row>
    <row r="112">
      <c r="A112" s="7">
        <f>IF($N112="","",INDEX('Eredmény'!$N$2:$N$201,$N112))</f>
        <v/>
      </c>
      <c r="B112" s="8">
        <f>IF($N112="","",INDEX('Eredmény'!$A$2:$A$201,$N112))</f>
        <v/>
      </c>
      <c r="C112" s="9">
        <f>IF($N112="","",INDEX('Eredmény'!$M$2:$M$201,$N112))</f>
        <v/>
      </c>
      <c r="D112" s="8">
        <f>IF($N112="","",INDEX('Eredmény'!$O$2:$O$201,$N112))</f>
        <v/>
      </c>
      <c r="E112" s="8">
        <f>IF($N112="","",INDEX('Eredmény'!$P$2:$P$201,$N112))</f>
        <v/>
      </c>
      <c r="F112" s="10">
        <f>IF($N112="","",INDEX('Eredmény'!$V$2:$V$201,$N112))</f>
        <v/>
      </c>
      <c r="G112" s="10">
        <f>IF($N112="","",INDEX('Eredmény'!$X$2:$X$201,$N112))</f>
        <v/>
      </c>
      <c r="H112" s="10">
        <f>IF($N112="","",INDEX('Eredmény'!$Y$2:$Y$201,$N112))</f>
        <v/>
      </c>
      <c r="I112" s="11">
        <f>IF($N112="","",INDEX('Eredmény'!$Z$2:$Z$201,$N112))</f>
        <v/>
      </c>
      <c r="J112" s="8">
        <f>IF($N112="","",INDEX('Eredmény'!$Q$2:$Q$201,$N112))</f>
        <v/>
      </c>
      <c r="K112" s="8">
        <f>IF($N112="","",INDEX('Eredmény'!$R$2:$R$201,$N112))</f>
        <v/>
      </c>
      <c r="L112" s="7">
        <f>IF($N112="","",INDEX('Eredmény'!$AB$2:$AB$201,$N112))</f>
        <v/>
      </c>
      <c r="N112">
        <f>IFERROR(MATCH(LARGE('Eredmény'!$AZ$2:$AZ$201,108),'Eredmény'!$AZ$2:$AZ$201,0),"")</f>
        <v/>
      </c>
    </row>
    <row r="113">
      <c r="A113" s="7">
        <f>IF($N113="","",INDEX('Eredmény'!$N$2:$N$201,$N113))</f>
        <v/>
      </c>
      <c r="B113" s="8">
        <f>IF($N113="","",INDEX('Eredmény'!$A$2:$A$201,$N113))</f>
        <v/>
      </c>
      <c r="C113" s="9">
        <f>IF($N113="","",INDEX('Eredmény'!$M$2:$M$201,$N113))</f>
        <v/>
      </c>
      <c r="D113" s="8">
        <f>IF($N113="","",INDEX('Eredmény'!$O$2:$O$201,$N113))</f>
        <v/>
      </c>
      <c r="E113" s="8">
        <f>IF($N113="","",INDEX('Eredmény'!$P$2:$P$201,$N113))</f>
        <v/>
      </c>
      <c r="F113" s="10">
        <f>IF($N113="","",INDEX('Eredmény'!$V$2:$V$201,$N113))</f>
        <v/>
      </c>
      <c r="G113" s="10">
        <f>IF($N113="","",INDEX('Eredmény'!$X$2:$X$201,$N113))</f>
        <v/>
      </c>
      <c r="H113" s="10">
        <f>IF($N113="","",INDEX('Eredmény'!$Y$2:$Y$201,$N113))</f>
        <v/>
      </c>
      <c r="I113" s="11">
        <f>IF($N113="","",INDEX('Eredmény'!$Z$2:$Z$201,$N113))</f>
        <v/>
      </c>
      <c r="J113" s="8">
        <f>IF($N113="","",INDEX('Eredmény'!$Q$2:$Q$201,$N113))</f>
        <v/>
      </c>
      <c r="K113" s="8">
        <f>IF($N113="","",INDEX('Eredmény'!$R$2:$R$201,$N113))</f>
        <v/>
      </c>
      <c r="L113" s="7">
        <f>IF($N113="","",INDEX('Eredmény'!$AB$2:$AB$201,$N113))</f>
        <v/>
      </c>
      <c r="N113">
        <f>IFERROR(MATCH(LARGE('Eredmény'!$AZ$2:$AZ$201,109),'Eredmény'!$AZ$2:$AZ$201,0),"")</f>
        <v/>
      </c>
    </row>
    <row r="114">
      <c r="A114" s="7">
        <f>IF($N114="","",INDEX('Eredmény'!$N$2:$N$201,$N114))</f>
        <v/>
      </c>
      <c r="B114" s="8">
        <f>IF($N114="","",INDEX('Eredmény'!$A$2:$A$201,$N114))</f>
        <v/>
      </c>
      <c r="C114" s="9">
        <f>IF($N114="","",INDEX('Eredmény'!$M$2:$M$201,$N114))</f>
        <v/>
      </c>
      <c r="D114" s="8">
        <f>IF($N114="","",INDEX('Eredmény'!$O$2:$O$201,$N114))</f>
        <v/>
      </c>
      <c r="E114" s="8">
        <f>IF($N114="","",INDEX('Eredmény'!$P$2:$P$201,$N114))</f>
        <v/>
      </c>
      <c r="F114" s="10">
        <f>IF($N114="","",INDEX('Eredmény'!$V$2:$V$201,$N114))</f>
        <v/>
      </c>
      <c r="G114" s="10">
        <f>IF($N114="","",INDEX('Eredmény'!$X$2:$X$201,$N114))</f>
        <v/>
      </c>
      <c r="H114" s="10">
        <f>IF($N114="","",INDEX('Eredmény'!$Y$2:$Y$201,$N114))</f>
        <v/>
      </c>
      <c r="I114" s="11">
        <f>IF($N114="","",INDEX('Eredmény'!$Z$2:$Z$201,$N114))</f>
        <v/>
      </c>
      <c r="J114" s="8">
        <f>IF($N114="","",INDEX('Eredmény'!$Q$2:$Q$201,$N114))</f>
        <v/>
      </c>
      <c r="K114" s="8">
        <f>IF($N114="","",INDEX('Eredmény'!$R$2:$R$201,$N114))</f>
        <v/>
      </c>
      <c r="L114" s="7">
        <f>IF($N114="","",INDEX('Eredmény'!$AB$2:$AB$201,$N114))</f>
        <v/>
      </c>
      <c r="N114">
        <f>IFERROR(MATCH(LARGE('Eredmény'!$AZ$2:$AZ$201,110),'Eredmény'!$AZ$2:$AZ$201,0),"")</f>
        <v/>
      </c>
    </row>
    <row r="115">
      <c r="A115" s="7">
        <f>IF($N115="","",INDEX('Eredmény'!$N$2:$N$201,$N115))</f>
        <v/>
      </c>
      <c r="B115" s="8">
        <f>IF($N115="","",INDEX('Eredmény'!$A$2:$A$201,$N115))</f>
        <v/>
      </c>
      <c r="C115" s="9">
        <f>IF($N115="","",INDEX('Eredmény'!$M$2:$M$201,$N115))</f>
        <v/>
      </c>
      <c r="D115" s="8">
        <f>IF($N115="","",INDEX('Eredmény'!$O$2:$O$201,$N115))</f>
        <v/>
      </c>
      <c r="E115" s="8">
        <f>IF($N115="","",INDEX('Eredmény'!$P$2:$P$201,$N115))</f>
        <v/>
      </c>
      <c r="F115" s="10">
        <f>IF($N115="","",INDEX('Eredmény'!$V$2:$V$201,$N115))</f>
        <v/>
      </c>
      <c r="G115" s="10">
        <f>IF($N115="","",INDEX('Eredmény'!$X$2:$X$201,$N115))</f>
        <v/>
      </c>
      <c r="H115" s="10">
        <f>IF($N115="","",INDEX('Eredmény'!$Y$2:$Y$201,$N115))</f>
        <v/>
      </c>
      <c r="I115" s="11">
        <f>IF($N115="","",INDEX('Eredmény'!$Z$2:$Z$201,$N115))</f>
        <v/>
      </c>
      <c r="J115" s="8">
        <f>IF($N115="","",INDEX('Eredmény'!$Q$2:$Q$201,$N115))</f>
        <v/>
      </c>
      <c r="K115" s="8">
        <f>IF($N115="","",INDEX('Eredmény'!$R$2:$R$201,$N115))</f>
        <v/>
      </c>
      <c r="L115" s="7">
        <f>IF($N115="","",INDEX('Eredmény'!$AB$2:$AB$201,$N115))</f>
        <v/>
      </c>
      <c r="N115">
        <f>IFERROR(MATCH(LARGE('Eredmény'!$AZ$2:$AZ$201,111),'Eredmény'!$AZ$2:$AZ$201,0),"")</f>
        <v/>
      </c>
    </row>
    <row r="116">
      <c r="A116" s="7">
        <f>IF($N116="","",INDEX('Eredmény'!$N$2:$N$201,$N116))</f>
        <v/>
      </c>
      <c r="B116" s="8">
        <f>IF($N116="","",INDEX('Eredmény'!$A$2:$A$201,$N116))</f>
        <v/>
      </c>
      <c r="C116" s="9">
        <f>IF($N116="","",INDEX('Eredmény'!$M$2:$M$201,$N116))</f>
        <v/>
      </c>
      <c r="D116" s="8">
        <f>IF($N116="","",INDEX('Eredmény'!$O$2:$O$201,$N116))</f>
        <v/>
      </c>
      <c r="E116" s="8">
        <f>IF($N116="","",INDEX('Eredmény'!$P$2:$P$201,$N116))</f>
        <v/>
      </c>
      <c r="F116" s="10">
        <f>IF($N116="","",INDEX('Eredmény'!$V$2:$V$201,$N116))</f>
        <v/>
      </c>
      <c r="G116" s="10">
        <f>IF($N116="","",INDEX('Eredmény'!$X$2:$X$201,$N116))</f>
        <v/>
      </c>
      <c r="H116" s="10">
        <f>IF($N116="","",INDEX('Eredmény'!$Y$2:$Y$201,$N116))</f>
        <v/>
      </c>
      <c r="I116" s="11">
        <f>IF($N116="","",INDEX('Eredmény'!$Z$2:$Z$201,$N116))</f>
        <v/>
      </c>
      <c r="J116" s="8">
        <f>IF($N116="","",INDEX('Eredmény'!$Q$2:$Q$201,$N116))</f>
        <v/>
      </c>
      <c r="K116" s="8">
        <f>IF($N116="","",INDEX('Eredmény'!$R$2:$R$201,$N116))</f>
        <v/>
      </c>
      <c r="L116" s="7">
        <f>IF($N116="","",INDEX('Eredmény'!$AB$2:$AB$201,$N116))</f>
        <v/>
      </c>
      <c r="N116">
        <f>IFERROR(MATCH(LARGE('Eredmény'!$AZ$2:$AZ$201,112),'Eredmény'!$AZ$2:$AZ$201,0),"")</f>
        <v/>
      </c>
    </row>
    <row r="117">
      <c r="A117" s="7">
        <f>IF($N117="","",INDEX('Eredmény'!$N$2:$N$201,$N117))</f>
        <v/>
      </c>
      <c r="B117" s="8">
        <f>IF($N117="","",INDEX('Eredmény'!$A$2:$A$201,$N117))</f>
        <v/>
      </c>
      <c r="C117" s="9">
        <f>IF($N117="","",INDEX('Eredmény'!$M$2:$M$201,$N117))</f>
        <v/>
      </c>
      <c r="D117" s="8">
        <f>IF($N117="","",INDEX('Eredmény'!$O$2:$O$201,$N117))</f>
        <v/>
      </c>
      <c r="E117" s="8">
        <f>IF($N117="","",INDEX('Eredmény'!$P$2:$P$201,$N117))</f>
        <v/>
      </c>
      <c r="F117" s="10">
        <f>IF($N117="","",INDEX('Eredmény'!$V$2:$V$201,$N117))</f>
        <v/>
      </c>
      <c r="G117" s="10">
        <f>IF($N117="","",INDEX('Eredmény'!$X$2:$X$201,$N117))</f>
        <v/>
      </c>
      <c r="H117" s="10">
        <f>IF($N117="","",INDEX('Eredmény'!$Y$2:$Y$201,$N117))</f>
        <v/>
      </c>
      <c r="I117" s="11">
        <f>IF($N117="","",INDEX('Eredmény'!$Z$2:$Z$201,$N117))</f>
        <v/>
      </c>
      <c r="J117" s="8">
        <f>IF($N117="","",INDEX('Eredmény'!$Q$2:$Q$201,$N117))</f>
        <v/>
      </c>
      <c r="K117" s="8">
        <f>IF($N117="","",INDEX('Eredmény'!$R$2:$R$201,$N117))</f>
        <v/>
      </c>
      <c r="L117" s="7">
        <f>IF($N117="","",INDEX('Eredmény'!$AB$2:$AB$201,$N117))</f>
        <v/>
      </c>
      <c r="N117">
        <f>IFERROR(MATCH(LARGE('Eredmény'!$AZ$2:$AZ$201,113),'Eredmény'!$AZ$2:$AZ$201,0),"")</f>
        <v/>
      </c>
    </row>
    <row r="118">
      <c r="A118" s="7">
        <f>IF($N118="","",INDEX('Eredmény'!$N$2:$N$201,$N118))</f>
        <v/>
      </c>
      <c r="B118" s="8">
        <f>IF($N118="","",INDEX('Eredmény'!$A$2:$A$201,$N118))</f>
        <v/>
      </c>
      <c r="C118" s="9">
        <f>IF($N118="","",INDEX('Eredmény'!$M$2:$M$201,$N118))</f>
        <v/>
      </c>
      <c r="D118" s="8">
        <f>IF($N118="","",INDEX('Eredmény'!$O$2:$O$201,$N118))</f>
        <v/>
      </c>
      <c r="E118" s="8">
        <f>IF($N118="","",INDEX('Eredmény'!$P$2:$P$201,$N118))</f>
        <v/>
      </c>
      <c r="F118" s="10">
        <f>IF($N118="","",INDEX('Eredmény'!$V$2:$V$201,$N118))</f>
        <v/>
      </c>
      <c r="G118" s="10">
        <f>IF($N118="","",INDEX('Eredmény'!$X$2:$X$201,$N118))</f>
        <v/>
      </c>
      <c r="H118" s="10">
        <f>IF($N118="","",INDEX('Eredmény'!$Y$2:$Y$201,$N118))</f>
        <v/>
      </c>
      <c r="I118" s="11">
        <f>IF($N118="","",INDEX('Eredmény'!$Z$2:$Z$201,$N118))</f>
        <v/>
      </c>
      <c r="J118" s="8">
        <f>IF($N118="","",INDEX('Eredmény'!$Q$2:$Q$201,$N118))</f>
        <v/>
      </c>
      <c r="K118" s="8">
        <f>IF($N118="","",INDEX('Eredmény'!$R$2:$R$201,$N118))</f>
        <v/>
      </c>
      <c r="L118" s="7">
        <f>IF($N118="","",INDEX('Eredmény'!$AB$2:$AB$201,$N118))</f>
        <v/>
      </c>
      <c r="N118">
        <f>IFERROR(MATCH(LARGE('Eredmény'!$AZ$2:$AZ$201,114),'Eredmény'!$AZ$2:$AZ$201,0),"")</f>
        <v/>
      </c>
    </row>
    <row r="119">
      <c r="A119" s="7">
        <f>IF($N119="","",INDEX('Eredmény'!$N$2:$N$201,$N119))</f>
        <v/>
      </c>
      <c r="B119" s="8">
        <f>IF($N119="","",INDEX('Eredmény'!$A$2:$A$201,$N119))</f>
        <v/>
      </c>
      <c r="C119" s="9">
        <f>IF($N119="","",INDEX('Eredmény'!$M$2:$M$201,$N119))</f>
        <v/>
      </c>
      <c r="D119" s="8">
        <f>IF($N119="","",INDEX('Eredmény'!$O$2:$O$201,$N119))</f>
        <v/>
      </c>
      <c r="E119" s="8">
        <f>IF($N119="","",INDEX('Eredmény'!$P$2:$P$201,$N119))</f>
        <v/>
      </c>
      <c r="F119" s="10">
        <f>IF($N119="","",INDEX('Eredmény'!$V$2:$V$201,$N119))</f>
        <v/>
      </c>
      <c r="G119" s="10">
        <f>IF($N119="","",INDEX('Eredmény'!$X$2:$X$201,$N119))</f>
        <v/>
      </c>
      <c r="H119" s="10">
        <f>IF($N119="","",INDEX('Eredmény'!$Y$2:$Y$201,$N119))</f>
        <v/>
      </c>
      <c r="I119" s="11">
        <f>IF($N119="","",INDEX('Eredmény'!$Z$2:$Z$201,$N119))</f>
        <v/>
      </c>
      <c r="J119" s="8">
        <f>IF($N119="","",INDEX('Eredmény'!$Q$2:$Q$201,$N119))</f>
        <v/>
      </c>
      <c r="K119" s="8">
        <f>IF($N119="","",INDEX('Eredmény'!$R$2:$R$201,$N119))</f>
        <v/>
      </c>
      <c r="L119" s="7">
        <f>IF($N119="","",INDEX('Eredmény'!$AB$2:$AB$201,$N119))</f>
        <v/>
      </c>
      <c r="N119">
        <f>IFERROR(MATCH(LARGE('Eredmény'!$AZ$2:$AZ$201,115),'Eredmény'!$AZ$2:$AZ$201,0),"")</f>
        <v/>
      </c>
    </row>
    <row r="120">
      <c r="A120" s="7">
        <f>IF($N120="","",INDEX('Eredmény'!$N$2:$N$201,$N120))</f>
        <v/>
      </c>
      <c r="B120" s="8">
        <f>IF($N120="","",INDEX('Eredmény'!$A$2:$A$201,$N120))</f>
        <v/>
      </c>
      <c r="C120" s="9">
        <f>IF($N120="","",INDEX('Eredmény'!$M$2:$M$201,$N120))</f>
        <v/>
      </c>
      <c r="D120" s="8">
        <f>IF($N120="","",INDEX('Eredmény'!$O$2:$O$201,$N120))</f>
        <v/>
      </c>
      <c r="E120" s="8">
        <f>IF($N120="","",INDEX('Eredmény'!$P$2:$P$201,$N120))</f>
        <v/>
      </c>
      <c r="F120" s="10">
        <f>IF($N120="","",INDEX('Eredmény'!$V$2:$V$201,$N120))</f>
        <v/>
      </c>
      <c r="G120" s="10">
        <f>IF($N120="","",INDEX('Eredmény'!$X$2:$X$201,$N120))</f>
        <v/>
      </c>
      <c r="H120" s="10">
        <f>IF($N120="","",INDEX('Eredmény'!$Y$2:$Y$201,$N120))</f>
        <v/>
      </c>
      <c r="I120" s="11">
        <f>IF($N120="","",INDEX('Eredmény'!$Z$2:$Z$201,$N120))</f>
        <v/>
      </c>
      <c r="J120" s="8">
        <f>IF($N120="","",INDEX('Eredmény'!$Q$2:$Q$201,$N120))</f>
        <v/>
      </c>
      <c r="K120" s="8">
        <f>IF($N120="","",INDEX('Eredmény'!$R$2:$R$201,$N120))</f>
        <v/>
      </c>
      <c r="L120" s="7">
        <f>IF($N120="","",INDEX('Eredmény'!$AB$2:$AB$201,$N120))</f>
        <v/>
      </c>
      <c r="N120">
        <f>IFERROR(MATCH(LARGE('Eredmény'!$AZ$2:$AZ$201,116),'Eredmény'!$AZ$2:$AZ$201,0),"")</f>
        <v/>
      </c>
    </row>
    <row r="121">
      <c r="A121" s="7">
        <f>IF($N121="","",INDEX('Eredmény'!$N$2:$N$201,$N121))</f>
        <v/>
      </c>
      <c r="B121" s="8">
        <f>IF($N121="","",INDEX('Eredmény'!$A$2:$A$201,$N121))</f>
        <v/>
      </c>
      <c r="C121" s="9">
        <f>IF($N121="","",INDEX('Eredmény'!$M$2:$M$201,$N121))</f>
        <v/>
      </c>
      <c r="D121" s="8">
        <f>IF($N121="","",INDEX('Eredmény'!$O$2:$O$201,$N121))</f>
        <v/>
      </c>
      <c r="E121" s="8">
        <f>IF($N121="","",INDEX('Eredmény'!$P$2:$P$201,$N121))</f>
        <v/>
      </c>
      <c r="F121" s="10">
        <f>IF($N121="","",INDEX('Eredmény'!$V$2:$V$201,$N121))</f>
        <v/>
      </c>
      <c r="G121" s="10">
        <f>IF($N121="","",INDEX('Eredmény'!$X$2:$X$201,$N121))</f>
        <v/>
      </c>
      <c r="H121" s="10">
        <f>IF($N121="","",INDEX('Eredmény'!$Y$2:$Y$201,$N121))</f>
        <v/>
      </c>
      <c r="I121" s="11">
        <f>IF($N121="","",INDEX('Eredmény'!$Z$2:$Z$201,$N121))</f>
        <v/>
      </c>
      <c r="J121" s="8">
        <f>IF($N121="","",INDEX('Eredmény'!$Q$2:$Q$201,$N121))</f>
        <v/>
      </c>
      <c r="K121" s="8">
        <f>IF($N121="","",INDEX('Eredmény'!$R$2:$R$201,$N121))</f>
        <v/>
      </c>
      <c r="L121" s="7">
        <f>IF($N121="","",INDEX('Eredmény'!$AB$2:$AB$201,$N121))</f>
        <v/>
      </c>
      <c r="N121">
        <f>IFERROR(MATCH(LARGE('Eredmény'!$AZ$2:$AZ$201,117),'Eredmény'!$AZ$2:$AZ$201,0),"")</f>
        <v/>
      </c>
    </row>
    <row r="122">
      <c r="A122" s="7">
        <f>IF($N122="","",INDEX('Eredmény'!$N$2:$N$201,$N122))</f>
        <v/>
      </c>
      <c r="B122" s="8">
        <f>IF($N122="","",INDEX('Eredmény'!$A$2:$A$201,$N122))</f>
        <v/>
      </c>
      <c r="C122" s="9">
        <f>IF($N122="","",INDEX('Eredmény'!$M$2:$M$201,$N122))</f>
        <v/>
      </c>
      <c r="D122" s="8">
        <f>IF($N122="","",INDEX('Eredmény'!$O$2:$O$201,$N122))</f>
        <v/>
      </c>
      <c r="E122" s="8">
        <f>IF($N122="","",INDEX('Eredmény'!$P$2:$P$201,$N122))</f>
        <v/>
      </c>
      <c r="F122" s="10">
        <f>IF($N122="","",INDEX('Eredmény'!$V$2:$V$201,$N122))</f>
        <v/>
      </c>
      <c r="G122" s="10">
        <f>IF($N122="","",INDEX('Eredmény'!$X$2:$X$201,$N122))</f>
        <v/>
      </c>
      <c r="H122" s="10">
        <f>IF($N122="","",INDEX('Eredmény'!$Y$2:$Y$201,$N122))</f>
        <v/>
      </c>
      <c r="I122" s="11">
        <f>IF($N122="","",INDEX('Eredmény'!$Z$2:$Z$201,$N122))</f>
        <v/>
      </c>
      <c r="J122" s="8">
        <f>IF($N122="","",INDEX('Eredmény'!$Q$2:$Q$201,$N122))</f>
        <v/>
      </c>
      <c r="K122" s="8">
        <f>IF($N122="","",INDEX('Eredmény'!$R$2:$R$201,$N122))</f>
        <v/>
      </c>
      <c r="L122" s="7">
        <f>IF($N122="","",INDEX('Eredmény'!$AB$2:$AB$201,$N122))</f>
        <v/>
      </c>
      <c r="N122">
        <f>IFERROR(MATCH(LARGE('Eredmény'!$AZ$2:$AZ$201,118),'Eredmény'!$AZ$2:$AZ$201,0),"")</f>
        <v/>
      </c>
    </row>
    <row r="123">
      <c r="A123" s="7">
        <f>IF($N123="","",INDEX('Eredmény'!$N$2:$N$201,$N123))</f>
        <v/>
      </c>
      <c r="B123" s="8">
        <f>IF($N123="","",INDEX('Eredmény'!$A$2:$A$201,$N123))</f>
        <v/>
      </c>
      <c r="C123" s="9">
        <f>IF($N123="","",INDEX('Eredmény'!$M$2:$M$201,$N123))</f>
        <v/>
      </c>
      <c r="D123" s="8">
        <f>IF($N123="","",INDEX('Eredmény'!$O$2:$O$201,$N123))</f>
        <v/>
      </c>
      <c r="E123" s="8">
        <f>IF($N123="","",INDEX('Eredmény'!$P$2:$P$201,$N123))</f>
        <v/>
      </c>
      <c r="F123" s="10">
        <f>IF($N123="","",INDEX('Eredmény'!$V$2:$V$201,$N123))</f>
        <v/>
      </c>
      <c r="G123" s="10">
        <f>IF($N123="","",INDEX('Eredmény'!$X$2:$X$201,$N123))</f>
        <v/>
      </c>
      <c r="H123" s="10">
        <f>IF($N123="","",INDEX('Eredmény'!$Y$2:$Y$201,$N123))</f>
        <v/>
      </c>
      <c r="I123" s="11">
        <f>IF($N123="","",INDEX('Eredmény'!$Z$2:$Z$201,$N123))</f>
        <v/>
      </c>
      <c r="J123" s="8">
        <f>IF($N123="","",INDEX('Eredmény'!$Q$2:$Q$201,$N123))</f>
        <v/>
      </c>
      <c r="K123" s="8">
        <f>IF($N123="","",INDEX('Eredmény'!$R$2:$R$201,$N123))</f>
        <v/>
      </c>
      <c r="L123" s="7">
        <f>IF($N123="","",INDEX('Eredmény'!$AB$2:$AB$201,$N123))</f>
        <v/>
      </c>
      <c r="N123">
        <f>IFERROR(MATCH(LARGE('Eredmény'!$AZ$2:$AZ$201,119),'Eredmény'!$AZ$2:$AZ$201,0),"")</f>
        <v/>
      </c>
    </row>
    <row r="124">
      <c r="A124" s="7">
        <f>IF($N124="","",INDEX('Eredmény'!$N$2:$N$201,$N124))</f>
        <v/>
      </c>
      <c r="B124" s="8">
        <f>IF($N124="","",INDEX('Eredmény'!$A$2:$A$201,$N124))</f>
        <v/>
      </c>
      <c r="C124" s="9">
        <f>IF($N124="","",INDEX('Eredmény'!$M$2:$M$201,$N124))</f>
        <v/>
      </c>
      <c r="D124" s="8">
        <f>IF($N124="","",INDEX('Eredmény'!$O$2:$O$201,$N124))</f>
        <v/>
      </c>
      <c r="E124" s="8">
        <f>IF($N124="","",INDEX('Eredmény'!$P$2:$P$201,$N124))</f>
        <v/>
      </c>
      <c r="F124" s="10">
        <f>IF($N124="","",INDEX('Eredmény'!$V$2:$V$201,$N124))</f>
        <v/>
      </c>
      <c r="G124" s="10">
        <f>IF($N124="","",INDEX('Eredmény'!$X$2:$X$201,$N124))</f>
        <v/>
      </c>
      <c r="H124" s="10">
        <f>IF($N124="","",INDEX('Eredmény'!$Y$2:$Y$201,$N124))</f>
        <v/>
      </c>
      <c r="I124" s="11">
        <f>IF($N124="","",INDEX('Eredmény'!$Z$2:$Z$201,$N124))</f>
        <v/>
      </c>
      <c r="J124" s="8">
        <f>IF($N124="","",INDEX('Eredmény'!$Q$2:$Q$201,$N124))</f>
        <v/>
      </c>
      <c r="K124" s="8">
        <f>IF($N124="","",INDEX('Eredmény'!$R$2:$R$201,$N124))</f>
        <v/>
      </c>
      <c r="L124" s="7">
        <f>IF($N124="","",INDEX('Eredmény'!$AB$2:$AB$201,$N124))</f>
        <v/>
      </c>
      <c r="N124">
        <f>IFERROR(MATCH(LARGE('Eredmény'!$AZ$2:$AZ$201,120),'Eredmény'!$AZ$2:$AZ$201,0),"")</f>
        <v/>
      </c>
    </row>
    <row r="125">
      <c r="A125" s="7">
        <f>IF($N125="","",INDEX('Eredmény'!$N$2:$N$201,$N125))</f>
        <v/>
      </c>
      <c r="B125" s="8">
        <f>IF($N125="","",INDEX('Eredmény'!$A$2:$A$201,$N125))</f>
        <v/>
      </c>
      <c r="C125" s="9">
        <f>IF($N125="","",INDEX('Eredmény'!$M$2:$M$201,$N125))</f>
        <v/>
      </c>
      <c r="D125" s="8">
        <f>IF($N125="","",INDEX('Eredmény'!$O$2:$O$201,$N125))</f>
        <v/>
      </c>
      <c r="E125" s="8">
        <f>IF($N125="","",INDEX('Eredmény'!$P$2:$P$201,$N125))</f>
        <v/>
      </c>
      <c r="F125" s="10">
        <f>IF($N125="","",INDEX('Eredmény'!$V$2:$V$201,$N125))</f>
        <v/>
      </c>
      <c r="G125" s="10">
        <f>IF($N125="","",INDEX('Eredmény'!$X$2:$X$201,$N125))</f>
        <v/>
      </c>
      <c r="H125" s="10">
        <f>IF($N125="","",INDEX('Eredmény'!$Y$2:$Y$201,$N125))</f>
        <v/>
      </c>
      <c r="I125" s="11">
        <f>IF($N125="","",INDEX('Eredmény'!$Z$2:$Z$201,$N125))</f>
        <v/>
      </c>
      <c r="J125" s="8">
        <f>IF($N125="","",INDEX('Eredmény'!$Q$2:$Q$201,$N125))</f>
        <v/>
      </c>
      <c r="K125" s="8">
        <f>IF($N125="","",INDEX('Eredmény'!$R$2:$R$201,$N125))</f>
        <v/>
      </c>
      <c r="L125" s="7">
        <f>IF($N125="","",INDEX('Eredmény'!$AB$2:$AB$201,$N125))</f>
        <v/>
      </c>
      <c r="N125">
        <f>IFERROR(MATCH(LARGE('Eredmény'!$AZ$2:$AZ$201,121),'Eredmény'!$AZ$2:$AZ$201,0),"")</f>
        <v/>
      </c>
    </row>
    <row r="126">
      <c r="A126" s="7">
        <f>IF($N126="","",INDEX('Eredmény'!$N$2:$N$201,$N126))</f>
        <v/>
      </c>
      <c r="B126" s="8">
        <f>IF($N126="","",INDEX('Eredmény'!$A$2:$A$201,$N126))</f>
        <v/>
      </c>
      <c r="C126" s="9">
        <f>IF($N126="","",INDEX('Eredmény'!$M$2:$M$201,$N126))</f>
        <v/>
      </c>
      <c r="D126" s="8">
        <f>IF($N126="","",INDEX('Eredmény'!$O$2:$O$201,$N126))</f>
        <v/>
      </c>
      <c r="E126" s="8">
        <f>IF($N126="","",INDEX('Eredmény'!$P$2:$P$201,$N126))</f>
        <v/>
      </c>
      <c r="F126" s="10">
        <f>IF($N126="","",INDEX('Eredmény'!$V$2:$V$201,$N126))</f>
        <v/>
      </c>
      <c r="G126" s="10">
        <f>IF($N126="","",INDEX('Eredmény'!$X$2:$X$201,$N126))</f>
        <v/>
      </c>
      <c r="H126" s="10">
        <f>IF($N126="","",INDEX('Eredmény'!$Y$2:$Y$201,$N126))</f>
        <v/>
      </c>
      <c r="I126" s="11">
        <f>IF($N126="","",INDEX('Eredmény'!$Z$2:$Z$201,$N126))</f>
        <v/>
      </c>
      <c r="J126" s="8">
        <f>IF($N126="","",INDEX('Eredmény'!$Q$2:$Q$201,$N126))</f>
        <v/>
      </c>
      <c r="K126" s="8">
        <f>IF($N126="","",INDEX('Eredmény'!$R$2:$R$201,$N126))</f>
        <v/>
      </c>
      <c r="L126" s="7">
        <f>IF($N126="","",INDEX('Eredmény'!$AB$2:$AB$201,$N126))</f>
        <v/>
      </c>
      <c r="N126">
        <f>IFERROR(MATCH(LARGE('Eredmény'!$AZ$2:$AZ$201,122),'Eredmény'!$AZ$2:$AZ$201,0),"")</f>
        <v/>
      </c>
    </row>
    <row r="127">
      <c r="A127" s="7">
        <f>IF($N127="","",INDEX('Eredmény'!$N$2:$N$201,$N127))</f>
        <v/>
      </c>
      <c r="B127" s="8">
        <f>IF($N127="","",INDEX('Eredmény'!$A$2:$A$201,$N127))</f>
        <v/>
      </c>
      <c r="C127" s="9">
        <f>IF($N127="","",INDEX('Eredmény'!$M$2:$M$201,$N127))</f>
        <v/>
      </c>
      <c r="D127" s="8">
        <f>IF($N127="","",INDEX('Eredmény'!$O$2:$O$201,$N127))</f>
        <v/>
      </c>
      <c r="E127" s="8">
        <f>IF($N127="","",INDEX('Eredmény'!$P$2:$P$201,$N127))</f>
        <v/>
      </c>
      <c r="F127" s="10">
        <f>IF($N127="","",INDEX('Eredmény'!$V$2:$V$201,$N127))</f>
        <v/>
      </c>
      <c r="G127" s="10">
        <f>IF($N127="","",INDEX('Eredmény'!$X$2:$X$201,$N127))</f>
        <v/>
      </c>
      <c r="H127" s="10">
        <f>IF($N127="","",INDEX('Eredmény'!$Y$2:$Y$201,$N127))</f>
        <v/>
      </c>
      <c r="I127" s="11">
        <f>IF($N127="","",INDEX('Eredmény'!$Z$2:$Z$201,$N127))</f>
        <v/>
      </c>
      <c r="J127" s="8">
        <f>IF($N127="","",INDEX('Eredmény'!$Q$2:$Q$201,$N127))</f>
        <v/>
      </c>
      <c r="K127" s="8">
        <f>IF($N127="","",INDEX('Eredmény'!$R$2:$R$201,$N127))</f>
        <v/>
      </c>
      <c r="L127" s="7">
        <f>IF($N127="","",INDEX('Eredmény'!$AB$2:$AB$201,$N127))</f>
        <v/>
      </c>
      <c r="N127">
        <f>IFERROR(MATCH(LARGE('Eredmény'!$AZ$2:$AZ$201,123),'Eredmény'!$AZ$2:$AZ$201,0),"")</f>
        <v/>
      </c>
    </row>
    <row r="128">
      <c r="A128" s="7">
        <f>IF($N128="","",INDEX('Eredmény'!$N$2:$N$201,$N128))</f>
        <v/>
      </c>
      <c r="B128" s="8">
        <f>IF($N128="","",INDEX('Eredmény'!$A$2:$A$201,$N128))</f>
        <v/>
      </c>
      <c r="C128" s="9">
        <f>IF($N128="","",INDEX('Eredmény'!$M$2:$M$201,$N128))</f>
        <v/>
      </c>
      <c r="D128" s="8">
        <f>IF($N128="","",INDEX('Eredmény'!$O$2:$O$201,$N128))</f>
        <v/>
      </c>
      <c r="E128" s="8">
        <f>IF($N128="","",INDEX('Eredmény'!$P$2:$P$201,$N128))</f>
        <v/>
      </c>
      <c r="F128" s="10">
        <f>IF($N128="","",INDEX('Eredmény'!$V$2:$V$201,$N128))</f>
        <v/>
      </c>
      <c r="G128" s="10">
        <f>IF($N128="","",INDEX('Eredmény'!$X$2:$X$201,$N128))</f>
        <v/>
      </c>
      <c r="H128" s="10">
        <f>IF($N128="","",INDEX('Eredmény'!$Y$2:$Y$201,$N128))</f>
        <v/>
      </c>
      <c r="I128" s="11">
        <f>IF($N128="","",INDEX('Eredmény'!$Z$2:$Z$201,$N128))</f>
        <v/>
      </c>
      <c r="J128" s="8">
        <f>IF($N128="","",INDEX('Eredmény'!$Q$2:$Q$201,$N128))</f>
        <v/>
      </c>
      <c r="K128" s="8">
        <f>IF($N128="","",INDEX('Eredmény'!$R$2:$R$201,$N128))</f>
        <v/>
      </c>
      <c r="L128" s="7">
        <f>IF($N128="","",INDEX('Eredmény'!$AB$2:$AB$201,$N128))</f>
        <v/>
      </c>
      <c r="N128">
        <f>IFERROR(MATCH(LARGE('Eredmény'!$AZ$2:$AZ$201,124),'Eredmény'!$AZ$2:$AZ$201,0),"")</f>
        <v/>
      </c>
    </row>
    <row r="129">
      <c r="A129" s="7">
        <f>IF($N129="","",INDEX('Eredmény'!$N$2:$N$201,$N129))</f>
        <v/>
      </c>
      <c r="B129" s="8">
        <f>IF($N129="","",INDEX('Eredmény'!$A$2:$A$201,$N129))</f>
        <v/>
      </c>
      <c r="C129" s="9">
        <f>IF($N129="","",INDEX('Eredmény'!$M$2:$M$201,$N129))</f>
        <v/>
      </c>
      <c r="D129" s="8">
        <f>IF($N129="","",INDEX('Eredmény'!$O$2:$O$201,$N129))</f>
        <v/>
      </c>
      <c r="E129" s="8">
        <f>IF($N129="","",INDEX('Eredmény'!$P$2:$P$201,$N129))</f>
        <v/>
      </c>
      <c r="F129" s="10">
        <f>IF($N129="","",INDEX('Eredmény'!$V$2:$V$201,$N129))</f>
        <v/>
      </c>
      <c r="G129" s="10">
        <f>IF($N129="","",INDEX('Eredmény'!$X$2:$X$201,$N129))</f>
        <v/>
      </c>
      <c r="H129" s="10">
        <f>IF($N129="","",INDEX('Eredmény'!$Y$2:$Y$201,$N129))</f>
        <v/>
      </c>
      <c r="I129" s="11">
        <f>IF($N129="","",INDEX('Eredmény'!$Z$2:$Z$201,$N129))</f>
        <v/>
      </c>
      <c r="J129" s="8">
        <f>IF($N129="","",INDEX('Eredmény'!$Q$2:$Q$201,$N129))</f>
        <v/>
      </c>
      <c r="K129" s="8">
        <f>IF($N129="","",INDEX('Eredmény'!$R$2:$R$201,$N129))</f>
        <v/>
      </c>
      <c r="L129" s="7">
        <f>IF($N129="","",INDEX('Eredmény'!$AB$2:$AB$201,$N129))</f>
        <v/>
      </c>
      <c r="N129">
        <f>IFERROR(MATCH(LARGE('Eredmény'!$AZ$2:$AZ$201,125),'Eredmény'!$AZ$2:$AZ$201,0),"")</f>
        <v/>
      </c>
    </row>
    <row r="130">
      <c r="A130" s="7">
        <f>IF($N130="","",INDEX('Eredmény'!$N$2:$N$201,$N130))</f>
        <v/>
      </c>
      <c r="B130" s="8">
        <f>IF($N130="","",INDEX('Eredmény'!$A$2:$A$201,$N130))</f>
        <v/>
      </c>
      <c r="C130" s="9">
        <f>IF($N130="","",INDEX('Eredmény'!$M$2:$M$201,$N130))</f>
        <v/>
      </c>
      <c r="D130" s="8">
        <f>IF($N130="","",INDEX('Eredmény'!$O$2:$O$201,$N130))</f>
        <v/>
      </c>
      <c r="E130" s="8">
        <f>IF($N130="","",INDEX('Eredmény'!$P$2:$P$201,$N130))</f>
        <v/>
      </c>
      <c r="F130" s="10">
        <f>IF($N130="","",INDEX('Eredmény'!$V$2:$V$201,$N130))</f>
        <v/>
      </c>
      <c r="G130" s="10">
        <f>IF($N130="","",INDEX('Eredmény'!$X$2:$X$201,$N130))</f>
        <v/>
      </c>
      <c r="H130" s="10">
        <f>IF($N130="","",INDEX('Eredmény'!$Y$2:$Y$201,$N130))</f>
        <v/>
      </c>
      <c r="I130" s="11">
        <f>IF($N130="","",INDEX('Eredmény'!$Z$2:$Z$201,$N130))</f>
        <v/>
      </c>
      <c r="J130" s="8">
        <f>IF($N130="","",INDEX('Eredmény'!$Q$2:$Q$201,$N130))</f>
        <v/>
      </c>
      <c r="K130" s="8">
        <f>IF($N130="","",INDEX('Eredmény'!$R$2:$R$201,$N130))</f>
        <v/>
      </c>
      <c r="L130" s="7">
        <f>IF($N130="","",INDEX('Eredmény'!$AB$2:$AB$201,$N130))</f>
        <v/>
      </c>
      <c r="N130">
        <f>IFERROR(MATCH(LARGE('Eredmény'!$AZ$2:$AZ$201,126),'Eredmény'!$AZ$2:$AZ$201,0),"")</f>
        <v/>
      </c>
    </row>
    <row r="131">
      <c r="A131" s="7">
        <f>IF($N131="","",INDEX('Eredmény'!$N$2:$N$201,$N131))</f>
        <v/>
      </c>
      <c r="B131" s="8">
        <f>IF($N131="","",INDEX('Eredmény'!$A$2:$A$201,$N131))</f>
        <v/>
      </c>
      <c r="C131" s="9">
        <f>IF($N131="","",INDEX('Eredmény'!$M$2:$M$201,$N131))</f>
        <v/>
      </c>
      <c r="D131" s="8">
        <f>IF($N131="","",INDEX('Eredmény'!$O$2:$O$201,$N131))</f>
        <v/>
      </c>
      <c r="E131" s="8">
        <f>IF($N131="","",INDEX('Eredmény'!$P$2:$P$201,$N131))</f>
        <v/>
      </c>
      <c r="F131" s="10">
        <f>IF($N131="","",INDEX('Eredmény'!$V$2:$V$201,$N131))</f>
        <v/>
      </c>
      <c r="G131" s="10">
        <f>IF($N131="","",INDEX('Eredmény'!$X$2:$X$201,$N131))</f>
        <v/>
      </c>
      <c r="H131" s="10">
        <f>IF($N131="","",INDEX('Eredmény'!$Y$2:$Y$201,$N131))</f>
        <v/>
      </c>
      <c r="I131" s="11">
        <f>IF($N131="","",INDEX('Eredmény'!$Z$2:$Z$201,$N131))</f>
        <v/>
      </c>
      <c r="J131" s="8">
        <f>IF($N131="","",INDEX('Eredmény'!$Q$2:$Q$201,$N131))</f>
        <v/>
      </c>
      <c r="K131" s="8">
        <f>IF($N131="","",INDEX('Eredmény'!$R$2:$R$201,$N131))</f>
        <v/>
      </c>
      <c r="L131" s="7">
        <f>IF($N131="","",INDEX('Eredmény'!$AB$2:$AB$201,$N131))</f>
        <v/>
      </c>
      <c r="N131">
        <f>IFERROR(MATCH(LARGE('Eredmény'!$AZ$2:$AZ$201,127),'Eredmény'!$AZ$2:$AZ$201,0),"")</f>
        <v/>
      </c>
    </row>
    <row r="132">
      <c r="A132" s="7">
        <f>IF($N132="","",INDEX('Eredmény'!$N$2:$N$201,$N132))</f>
        <v/>
      </c>
      <c r="B132" s="8">
        <f>IF($N132="","",INDEX('Eredmény'!$A$2:$A$201,$N132))</f>
        <v/>
      </c>
      <c r="C132" s="9">
        <f>IF($N132="","",INDEX('Eredmény'!$M$2:$M$201,$N132))</f>
        <v/>
      </c>
      <c r="D132" s="8">
        <f>IF($N132="","",INDEX('Eredmény'!$O$2:$O$201,$N132))</f>
        <v/>
      </c>
      <c r="E132" s="8">
        <f>IF($N132="","",INDEX('Eredmény'!$P$2:$P$201,$N132))</f>
        <v/>
      </c>
      <c r="F132" s="10">
        <f>IF($N132="","",INDEX('Eredmény'!$V$2:$V$201,$N132))</f>
        <v/>
      </c>
      <c r="G132" s="10">
        <f>IF($N132="","",INDEX('Eredmény'!$X$2:$X$201,$N132))</f>
        <v/>
      </c>
      <c r="H132" s="10">
        <f>IF($N132="","",INDEX('Eredmény'!$Y$2:$Y$201,$N132))</f>
        <v/>
      </c>
      <c r="I132" s="11">
        <f>IF($N132="","",INDEX('Eredmény'!$Z$2:$Z$201,$N132))</f>
        <v/>
      </c>
      <c r="J132" s="8">
        <f>IF($N132="","",INDEX('Eredmény'!$Q$2:$Q$201,$N132))</f>
        <v/>
      </c>
      <c r="K132" s="8">
        <f>IF($N132="","",INDEX('Eredmény'!$R$2:$R$201,$N132))</f>
        <v/>
      </c>
      <c r="L132" s="7">
        <f>IF($N132="","",INDEX('Eredmény'!$AB$2:$AB$201,$N132))</f>
        <v/>
      </c>
      <c r="N132">
        <f>IFERROR(MATCH(LARGE('Eredmény'!$AZ$2:$AZ$201,128),'Eredmény'!$AZ$2:$AZ$201,0),"")</f>
        <v/>
      </c>
    </row>
    <row r="133">
      <c r="A133" s="7">
        <f>IF($N133="","",INDEX('Eredmény'!$N$2:$N$201,$N133))</f>
        <v/>
      </c>
      <c r="B133" s="8">
        <f>IF($N133="","",INDEX('Eredmény'!$A$2:$A$201,$N133))</f>
        <v/>
      </c>
      <c r="C133" s="9">
        <f>IF($N133="","",INDEX('Eredmény'!$M$2:$M$201,$N133))</f>
        <v/>
      </c>
      <c r="D133" s="8">
        <f>IF($N133="","",INDEX('Eredmény'!$O$2:$O$201,$N133))</f>
        <v/>
      </c>
      <c r="E133" s="8">
        <f>IF($N133="","",INDEX('Eredmény'!$P$2:$P$201,$N133))</f>
        <v/>
      </c>
      <c r="F133" s="10">
        <f>IF($N133="","",INDEX('Eredmény'!$V$2:$V$201,$N133))</f>
        <v/>
      </c>
      <c r="G133" s="10">
        <f>IF($N133="","",INDEX('Eredmény'!$X$2:$X$201,$N133))</f>
        <v/>
      </c>
      <c r="H133" s="10">
        <f>IF($N133="","",INDEX('Eredmény'!$Y$2:$Y$201,$N133))</f>
        <v/>
      </c>
      <c r="I133" s="11">
        <f>IF($N133="","",INDEX('Eredmény'!$Z$2:$Z$201,$N133))</f>
        <v/>
      </c>
      <c r="J133" s="8">
        <f>IF($N133="","",INDEX('Eredmény'!$Q$2:$Q$201,$N133))</f>
        <v/>
      </c>
      <c r="K133" s="8">
        <f>IF($N133="","",INDEX('Eredmény'!$R$2:$R$201,$N133))</f>
        <v/>
      </c>
      <c r="L133" s="7">
        <f>IF($N133="","",INDEX('Eredmény'!$AB$2:$AB$201,$N133))</f>
        <v/>
      </c>
      <c r="N133">
        <f>IFERROR(MATCH(LARGE('Eredmény'!$AZ$2:$AZ$201,129),'Eredmény'!$AZ$2:$AZ$201,0),"")</f>
        <v/>
      </c>
    </row>
    <row r="134">
      <c r="A134" s="7">
        <f>IF($N134="","",INDEX('Eredmény'!$N$2:$N$201,$N134))</f>
        <v/>
      </c>
      <c r="B134" s="8">
        <f>IF($N134="","",INDEX('Eredmény'!$A$2:$A$201,$N134))</f>
        <v/>
      </c>
      <c r="C134" s="9">
        <f>IF($N134="","",INDEX('Eredmény'!$M$2:$M$201,$N134))</f>
        <v/>
      </c>
      <c r="D134" s="8">
        <f>IF($N134="","",INDEX('Eredmény'!$O$2:$O$201,$N134))</f>
        <v/>
      </c>
      <c r="E134" s="8">
        <f>IF($N134="","",INDEX('Eredmény'!$P$2:$P$201,$N134))</f>
        <v/>
      </c>
      <c r="F134" s="10">
        <f>IF($N134="","",INDEX('Eredmény'!$V$2:$V$201,$N134))</f>
        <v/>
      </c>
      <c r="G134" s="10">
        <f>IF($N134="","",INDEX('Eredmény'!$X$2:$X$201,$N134))</f>
        <v/>
      </c>
      <c r="H134" s="10">
        <f>IF($N134="","",INDEX('Eredmény'!$Y$2:$Y$201,$N134))</f>
        <v/>
      </c>
      <c r="I134" s="11">
        <f>IF($N134="","",INDEX('Eredmény'!$Z$2:$Z$201,$N134))</f>
        <v/>
      </c>
      <c r="J134" s="8">
        <f>IF($N134="","",INDEX('Eredmény'!$Q$2:$Q$201,$N134))</f>
        <v/>
      </c>
      <c r="K134" s="8">
        <f>IF($N134="","",INDEX('Eredmény'!$R$2:$R$201,$N134))</f>
        <v/>
      </c>
      <c r="L134" s="7">
        <f>IF($N134="","",INDEX('Eredmény'!$AB$2:$AB$201,$N134))</f>
        <v/>
      </c>
      <c r="N134">
        <f>IFERROR(MATCH(LARGE('Eredmény'!$AZ$2:$AZ$201,130),'Eredmény'!$AZ$2:$AZ$201,0),"")</f>
        <v/>
      </c>
    </row>
    <row r="135">
      <c r="A135" s="7">
        <f>IF($N135="","",INDEX('Eredmény'!$N$2:$N$201,$N135))</f>
        <v/>
      </c>
      <c r="B135" s="8">
        <f>IF($N135="","",INDEX('Eredmény'!$A$2:$A$201,$N135))</f>
        <v/>
      </c>
      <c r="C135" s="9">
        <f>IF($N135="","",INDEX('Eredmény'!$M$2:$M$201,$N135))</f>
        <v/>
      </c>
      <c r="D135" s="8">
        <f>IF($N135="","",INDEX('Eredmény'!$O$2:$O$201,$N135))</f>
        <v/>
      </c>
      <c r="E135" s="8">
        <f>IF($N135="","",INDEX('Eredmény'!$P$2:$P$201,$N135))</f>
        <v/>
      </c>
      <c r="F135" s="10">
        <f>IF($N135="","",INDEX('Eredmény'!$V$2:$V$201,$N135))</f>
        <v/>
      </c>
      <c r="G135" s="10">
        <f>IF($N135="","",INDEX('Eredmény'!$X$2:$X$201,$N135))</f>
        <v/>
      </c>
      <c r="H135" s="10">
        <f>IF($N135="","",INDEX('Eredmény'!$Y$2:$Y$201,$N135))</f>
        <v/>
      </c>
      <c r="I135" s="11">
        <f>IF($N135="","",INDEX('Eredmény'!$Z$2:$Z$201,$N135))</f>
        <v/>
      </c>
      <c r="J135" s="8">
        <f>IF($N135="","",INDEX('Eredmény'!$Q$2:$Q$201,$N135))</f>
        <v/>
      </c>
      <c r="K135" s="8">
        <f>IF($N135="","",INDEX('Eredmény'!$R$2:$R$201,$N135))</f>
        <v/>
      </c>
      <c r="L135" s="7">
        <f>IF($N135="","",INDEX('Eredmény'!$AB$2:$AB$201,$N135))</f>
        <v/>
      </c>
      <c r="N135">
        <f>IFERROR(MATCH(LARGE('Eredmény'!$AZ$2:$AZ$201,131),'Eredmény'!$AZ$2:$AZ$201,0),"")</f>
        <v/>
      </c>
    </row>
    <row r="136">
      <c r="A136" s="7">
        <f>IF($N136="","",INDEX('Eredmény'!$N$2:$N$201,$N136))</f>
        <v/>
      </c>
      <c r="B136" s="8">
        <f>IF($N136="","",INDEX('Eredmény'!$A$2:$A$201,$N136))</f>
        <v/>
      </c>
      <c r="C136" s="9">
        <f>IF($N136="","",INDEX('Eredmény'!$M$2:$M$201,$N136))</f>
        <v/>
      </c>
      <c r="D136" s="8">
        <f>IF($N136="","",INDEX('Eredmény'!$O$2:$O$201,$N136))</f>
        <v/>
      </c>
      <c r="E136" s="8">
        <f>IF($N136="","",INDEX('Eredmény'!$P$2:$P$201,$N136))</f>
        <v/>
      </c>
      <c r="F136" s="10">
        <f>IF($N136="","",INDEX('Eredmény'!$V$2:$V$201,$N136))</f>
        <v/>
      </c>
      <c r="G136" s="10">
        <f>IF($N136="","",INDEX('Eredmény'!$X$2:$X$201,$N136))</f>
        <v/>
      </c>
      <c r="H136" s="10">
        <f>IF($N136="","",INDEX('Eredmény'!$Y$2:$Y$201,$N136))</f>
        <v/>
      </c>
      <c r="I136" s="11">
        <f>IF($N136="","",INDEX('Eredmény'!$Z$2:$Z$201,$N136))</f>
        <v/>
      </c>
      <c r="J136" s="8">
        <f>IF($N136="","",INDEX('Eredmény'!$Q$2:$Q$201,$N136))</f>
        <v/>
      </c>
      <c r="K136" s="8">
        <f>IF($N136="","",INDEX('Eredmény'!$R$2:$R$201,$N136))</f>
        <v/>
      </c>
      <c r="L136" s="7">
        <f>IF($N136="","",INDEX('Eredmény'!$AB$2:$AB$201,$N136))</f>
        <v/>
      </c>
      <c r="N136">
        <f>IFERROR(MATCH(LARGE('Eredmény'!$AZ$2:$AZ$201,132),'Eredmény'!$AZ$2:$AZ$201,0),"")</f>
        <v/>
      </c>
    </row>
    <row r="137">
      <c r="A137" s="7">
        <f>IF($N137="","",INDEX('Eredmény'!$N$2:$N$201,$N137))</f>
        <v/>
      </c>
      <c r="B137" s="8">
        <f>IF($N137="","",INDEX('Eredmény'!$A$2:$A$201,$N137))</f>
        <v/>
      </c>
      <c r="C137" s="9">
        <f>IF($N137="","",INDEX('Eredmény'!$M$2:$M$201,$N137))</f>
        <v/>
      </c>
      <c r="D137" s="8">
        <f>IF($N137="","",INDEX('Eredmény'!$O$2:$O$201,$N137))</f>
        <v/>
      </c>
      <c r="E137" s="8">
        <f>IF($N137="","",INDEX('Eredmény'!$P$2:$P$201,$N137))</f>
        <v/>
      </c>
      <c r="F137" s="10">
        <f>IF($N137="","",INDEX('Eredmény'!$V$2:$V$201,$N137))</f>
        <v/>
      </c>
      <c r="G137" s="10">
        <f>IF($N137="","",INDEX('Eredmény'!$X$2:$X$201,$N137))</f>
        <v/>
      </c>
      <c r="H137" s="10">
        <f>IF($N137="","",INDEX('Eredmény'!$Y$2:$Y$201,$N137))</f>
        <v/>
      </c>
      <c r="I137" s="11">
        <f>IF($N137="","",INDEX('Eredmény'!$Z$2:$Z$201,$N137))</f>
        <v/>
      </c>
      <c r="J137" s="8">
        <f>IF($N137="","",INDEX('Eredmény'!$Q$2:$Q$201,$N137))</f>
        <v/>
      </c>
      <c r="K137" s="8">
        <f>IF($N137="","",INDEX('Eredmény'!$R$2:$R$201,$N137))</f>
        <v/>
      </c>
      <c r="L137" s="7">
        <f>IF($N137="","",INDEX('Eredmény'!$AB$2:$AB$201,$N137))</f>
        <v/>
      </c>
      <c r="N137">
        <f>IFERROR(MATCH(LARGE('Eredmény'!$AZ$2:$AZ$201,133),'Eredmény'!$AZ$2:$AZ$201,0),"")</f>
        <v/>
      </c>
    </row>
    <row r="138">
      <c r="A138" s="7">
        <f>IF($N138="","",INDEX('Eredmény'!$N$2:$N$201,$N138))</f>
        <v/>
      </c>
      <c r="B138" s="8">
        <f>IF($N138="","",INDEX('Eredmény'!$A$2:$A$201,$N138))</f>
        <v/>
      </c>
      <c r="C138" s="9">
        <f>IF($N138="","",INDEX('Eredmény'!$M$2:$M$201,$N138))</f>
        <v/>
      </c>
      <c r="D138" s="8">
        <f>IF($N138="","",INDEX('Eredmény'!$O$2:$O$201,$N138))</f>
        <v/>
      </c>
      <c r="E138" s="8">
        <f>IF($N138="","",INDEX('Eredmény'!$P$2:$P$201,$N138))</f>
        <v/>
      </c>
      <c r="F138" s="10">
        <f>IF($N138="","",INDEX('Eredmény'!$V$2:$V$201,$N138))</f>
        <v/>
      </c>
      <c r="G138" s="10">
        <f>IF($N138="","",INDEX('Eredmény'!$X$2:$X$201,$N138))</f>
        <v/>
      </c>
      <c r="H138" s="10">
        <f>IF($N138="","",INDEX('Eredmény'!$Y$2:$Y$201,$N138))</f>
        <v/>
      </c>
      <c r="I138" s="11">
        <f>IF($N138="","",INDEX('Eredmény'!$Z$2:$Z$201,$N138))</f>
        <v/>
      </c>
      <c r="J138" s="8">
        <f>IF($N138="","",INDEX('Eredmény'!$Q$2:$Q$201,$N138))</f>
        <v/>
      </c>
      <c r="K138" s="8">
        <f>IF($N138="","",INDEX('Eredmény'!$R$2:$R$201,$N138))</f>
        <v/>
      </c>
      <c r="L138" s="7">
        <f>IF($N138="","",INDEX('Eredmény'!$AB$2:$AB$201,$N138))</f>
        <v/>
      </c>
      <c r="N138">
        <f>IFERROR(MATCH(LARGE('Eredmény'!$AZ$2:$AZ$201,134),'Eredmény'!$AZ$2:$AZ$201,0),"")</f>
        <v/>
      </c>
    </row>
    <row r="139">
      <c r="A139" s="7">
        <f>IF($N139="","",INDEX('Eredmény'!$N$2:$N$201,$N139))</f>
        <v/>
      </c>
      <c r="B139" s="8">
        <f>IF($N139="","",INDEX('Eredmény'!$A$2:$A$201,$N139))</f>
        <v/>
      </c>
      <c r="C139" s="9">
        <f>IF($N139="","",INDEX('Eredmény'!$M$2:$M$201,$N139))</f>
        <v/>
      </c>
      <c r="D139" s="8">
        <f>IF($N139="","",INDEX('Eredmény'!$O$2:$O$201,$N139))</f>
        <v/>
      </c>
      <c r="E139" s="8">
        <f>IF($N139="","",INDEX('Eredmény'!$P$2:$P$201,$N139))</f>
        <v/>
      </c>
      <c r="F139" s="10">
        <f>IF($N139="","",INDEX('Eredmény'!$V$2:$V$201,$N139))</f>
        <v/>
      </c>
      <c r="G139" s="10">
        <f>IF($N139="","",INDEX('Eredmény'!$X$2:$X$201,$N139))</f>
        <v/>
      </c>
      <c r="H139" s="10">
        <f>IF($N139="","",INDEX('Eredmény'!$Y$2:$Y$201,$N139))</f>
        <v/>
      </c>
      <c r="I139" s="11">
        <f>IF($N139="","",INDEX('Eredmény'!$Z$2:$Z$201,$N139))</f>
        <v/>
      </c>
      <c r="J139" s="8">
        <f>IF($N139="","",INDEX('Eredmény'!$Q$2:$Q$201,$N139))</f>
        <v/>
      </c>
      <c r="K139" s="8">
        <f>IF($N139="","",INDEX('Eredmény'!$R$2:$R$201,$N139))</f>
        <v/>
      </c>
      <c r="L139" s="7">
        <f>IF($N139="","",INDEX('Eredmény'!$AB$2:$AB$201,$N139))</f>
        <v/>
      </c>
      <c r="N139">
        <f>IFERROR(MATCH(LARGE('Eredmény'!$AZ$2:$AZ$201,135),'Eredmény'!$AZ$2:$AZ$201,0),"")</f>
        <v/>
      </c>
    </row>
    <row r="140">
      <c r="A140" s="7">
        <f>IF($N140="","",INDEX('Eredmény'!$N$2:$N$201,$N140))</f>
        <v/>
      </c>
      <c r="B140" s="8">
        <f>IF($N140="","",INDEX('Eredmény'!$A$2:$A$201,$N140))</f>
        <v/>
      </c>
      <c r="C140" s="9">
        <f>IF($N140="","",INDEX('Eredmény'!$M$2:$M$201,$N140))</f>
        <v/>
      </c>
      <c r="D140" s="8">
        <f>IF($N140="","",INDEX('Eredmény'!$O$2:$O$201,$N140))</f>
        <v/>
      </c>
      <c r="E140" s="8">
        <f>IF($N140="","",INDEX('Eredmény'!$P$2:$P$201,$N140))</f>
        <v/>
      </c>
      <c r="F140" s="10">
        <f>IF($N140="","",INDEX('Eredmény'!$V$2:$V$201,$N140))</f>
        <v/>
      </c>
      <c r="G140" s="10">
        <f>IF($N140="","",INDEX('Eredmény'!$X$2:$X$201,$N140))</f>
        <v/>
      </c>
      <c r="H140" s="10">
        <f>IF($N140="","",INDEX('Eredmény'!$Y$2:$Y$201,$N140))</f>
        <v/>
      </c>
      <c r="I140" s="11">
        <f>IF($N140="","",INDEX('Eredmény'!$Z$2:$Z$201,$N140))</f>
        <v/>
      </c>
      <c r="J140" s="8">
        <f>IF($N140="","",INDEX('Eredmény'!$Q$2:$Q$201,$N140))</f>
        <v/>
      </c>
      <c r="K140" s="8">
        <f>IF($N140="","",INDEX('Eredmény'!$R$2:$R$201,$N140))</f>
        <v/>
      </c>
      <c r="L140" s="7">
        <f>IF($N140="","",INDEX('Eredmény'!$AB$2:$AB$201,$N140))</f>
        <v/>
      </c>
      <c r="N140">
        <f>IFERROR(MATCH(LARGE('Eredmény'!$AZ$2:$AZ$201,136),'Eredmény'!$AZ$2:$AZ$201,0),"")</f>
        <v/>
      </c>
    </row>
    <row r="141">
      <c r="A141" s="7">
        <f>IF($N141="","",INDEX('Eredmény'!$N$2:$N$201,$N141))</f>
        <v/>
      </c>
      <c r="B141" s="8">
        <f>IF($N141="","",INDEX('Eredmény'!$A$2:$A$201,$N141))</f>
        <v/>
      </c>
      <c r="C141" s="9">
        <f>IF($N141="","",INDEX('Eredmény'!$M$2:$M$201,$N141))</f>
        <v/>
      </c>
      <c r="D141" s="8">
        <f>IF($N141="","",INDEX('Eredmény'!$O$2:$O$201,$N141))</f>
        <v/>
      </c>
      <c r="E141" s="8">
        <f>IF($N141="","",INDEX('Eredmény'!$P$2:$P$201,$N141))</f>
        <v/>
      </c>
      <c r="F141" s="10">
        <f>IF($N141="","",INDEX('Eredmény'!$V$2:$V$201,$N141))</f>
        <v/>
      </c>
      <c r="G141" s="10">
        <f>IF($N141="","",INDEX('Eredmény'!$X$2:$X$201,$N141))</f>
        <v/>
      </c>
      <c r="H141" s="10">
        <f>IF($N141="","",INDEX('Eredmény'!$Y$2:$Y$201,$N141))</f>
        <v/>
      </c>
      <c r="I141" s="11">
        <f>IF($N141="","",INDEX('Eredmény'!$Z$2:$Z$201,$N141))</f>
        <v/>
      </c>
      <c r="J141" s="8">
        <f>IF($N141="","",INDEX('Eredmény'!$Q$2:$Q$201,$N141))</f>
        <v/>
      </c>
      <c r="K141" s="8">
        <f>IF($N141="","",INDEX('Eredmény'!$R$2:$R$201,$N141))</f>
        <v/>
      </c>
      <c r="L141" s="7">
        <f>IF($N141="","",INDEX('Eredmény'!$AB$2:$AB$201,$N141))</f>
        <v/>
      </c>
      <c r="N141">
        <f>IFERROR(MATCH(LARGE('Eredmény'!$AZ$2:$AZ$201,137),'Eredmény'!$AZ$2:$AZ$201,0),"")</f>
        <v/>
      </c>
    </row>
    <row r="142">
      <c r="A142" s="7">
        <f>IF($N142="","",INDEX('Eredmény'!$N$2:$N$201,$N142))</f>
        <v/>
      </c>
      <c r="B142" s="8">
        <f>IF($N142="","",INDEX('Eredmény'!$A$2:$A$201,$N142))</f>
        <v/>
      </c>
      <c r="C142" s="9">
        <f>IF($N142="","",INDEX('Eredmény'!$M$2:$M$201,$N142))</f>
        <v/>
      </c>
      <c r="D142" s="8">
        <f>IF($N142="","",INDEX('Eredmény'!$O$2:$O$201,$N142))</f>
        <v/>
      </c>
      <c r="E142" s="8">
        <f>IF($N142="","",INDEX('Eredmény'!$P$2:$P$201,$N142))</f>
        <v/>
      </c>
      <c r="F142" s="10">
        <f>IF($N142="","",INDEX('Eredmény'!$V$2:$V$201,$N142))</f>
        <v/>
      </c>
      <c r="G142" s="10">
        <f>IF($N142="","",INDEX('Eredmény'!$X$2:$X$201,$N142))</f>
        <v/>
      </c>
      <c r="H142" s="10">
        <f>IF($N142="","",INDEX('Eredmény'!$Y$2:$Y$201,$N142))</f>
        <v/>
      </c>
      <c r="I142" s="11">
        <f>IF($N142="","",INDEX('Eredmény'!$Z$2:$Z$201,$N142))</f>
        <v/>
      </c>
      <c r="J142" s="8">
        <f>IF($N142="","",INDEX('Eredmény'!$Q$2:$Q$201,$N142))</f>
        <v/>
      </c>
      <c r="K142" s="8">
        <f>IF($N142="","",INDEX('Eredmény'!$R$2:$R$201,$N142))</f>
        <v/>
      </c>
      <c r="L142" s="7">
        <f>IF($N142="","",INDEX('Eredmény'!$AB$2:$AB$201,$N142))</f>
        <v/>
      </c>
      <c r="N142">
        <f>IFERROR(MATCH(LARGE('Eredmény'!$AZ$2:$AZ$201,138),'Eredmény'!$AZ$2:$AZ$201,0),"")</f>
        <v/>
      </c>
    </row>
    <row r="143">
      <c r="A143" s="7">
        <f>IF($N143="","",INDEX('Eredmény'!$N$2:$N$201,$N143))</f>
        <v/>
      </c>
      <c r="B143" s="8">
        <f>IF($N143="","",INDEX('Eredmény'!$A$2:$A$201,$N143))</f>
        <v/>
      </c>
      <c r="C143" s="9">
        <f>IF($N143="","",INDEX('Eredmény'!$M$2:$M$201,$N143))</f>
        <v/>
      </c>
      <c r="D143" s="8">
        <f>IF($N143="","",INDEX('Eredmény'!$O$2:$O$201,$N143))</f>
        <v/>
      </c>
      <c r="E143" s="8">
        <f>IF($N143="","",INDEX('Eredmény'!$P$2:$P$201,$N143))</f>
        <v/>
      </c>
      <c r="F143" s="10">
        <f>IF($N143="","",INDEX('Eredmény'!$V$2:$V$201,$N143))</f>
        <v/>
      </c>
      <c r="G143" s="10">
        <f>IF($N143="","",INDEX('Eredmény'!$X$2:$X$201,$N143))</f>
        <v/>
      </c>
      <c r="H143" s="10">
        <f>IF($N143="","",INDEX('Eredmény'!$Y$2:$Y$201,$N143))</f>
        <v/>
      </c>
      <c r="I143" s="11">
        <f>IF($N143="","",INDEX('Eredmény'!$Z$2:$Z$201,$N143))</f>
        <v/>
      </c>
      <c r="J143" s="8">
        <f>IF($N143="","",INDEX('Eredmény'!$Q$2:$Q$201,$N143))</f>
        <v/>
      </c>
      <c r="K143" s="8">
        <f>IF($N143="","",INDEX('Eredmény'!$R$2:$R$201,$N143))</f>
        <v/>
      </c>
      <c r="L143" s="7">
        <f>IF($N143="","",INDEX('Eredmény'!$AB$2:$AB$201,$N143))</f>
        <v/>
      </c>
      <c r="N143">
        <f>IFERROR(MATCH(LARGE('Eredmény'!$AZ$2:$AZ$201,139),'Eredmény'!$AZ$2:$AZ$201,0),"")</f>
        <v/>
      </c>
    </row>
    <row r="144">
      <c r="A144" s="7">
        <f>IF($N144="","",INDEX('Eredmény'!$N$2:$N$201,$N144))</f>
        <v/>
      </c>
      <c r="B144" s="8">
        <f>IF($N144="","",INDEX('Eredmény'!$A$2:$A$201,$N144))</f>
        <v/>
      </c>
      <c r="C144" s="9">
        <f>IF($N144="","",INDEX('Eredmény'!$M$2:$M$201,$N144))</f>
        <v/>
      </c>
      <c r="D144" s="8">
        <f>IF($N144="","",INDEX('Eredmény'!$O$2:$O$201,$N144))</f>
        <v/>
      </c>
      <c r="E144" s="8">
        <f>IF($N144="","",INDEX('Eredmény'!$P$2:$P$201,$N144))</f>
        <v/>
      </c>
      <c r="F144" s="10">
        <f>IF($N144="","",INDEX('Eredmény'!$V$2:$V$201,$N144))</f>
        <v/>
      </c>
      <c r="G144" s="10">
        <f>IF($N144="","",INDEX('Eredmény'!$X$2:$X$201,$N144))</f>
        <v/>
      </c>
      <c r="H144" s="10">
        <f>IF($N144="","",INDEX('Eredmény'!$Y$2:$Y$201,$N144))</f>
        <v/>
      </c>
      <c r="I144" s="11">
        <f>IF($N144="","",INDEX('Eredmény'!$Z$2:$Z$201,$N144))</f>
        <v/>
      </c>
      <c r="J144" s="8">
        <f>IF($N144="","",INDEX('Eredmény'!$Q$2:$Q$201,$N144))</f>
        <v/>
      </c>
      <c r="K144" s="8">
        <f>IF($N144="","",INDEX('Eredmény'!$R$2:$R$201,$N144))</f>
        <v/>
      </c>
      <c r="L144" s="7">
        <f>IF($N144="","",INDEX('Eredmény'!$AB$2:$AB$201,$N144))</f>
        <v/>
      </c>
      <c r="N144">
        <f>IFERROR(MATCH(LARGE('Eredmény'!$AZ$2:$AZ$201,140),'Eredmény'!$AZ$2:$AZ$201,0),"")</f>
        <v/>
      </c>
    </row>
    <row r="145">
      <c r="A145" s="7">
        <f>IF($N145="","",INDEX('Eredmény'!$N$2:$N$201,$N145))</f>
        <v/>
      </c>
      <c r="B145" s="8">
        <f>IF($N145="","",INDEX('Eredmény'!$A$2:$A$201,$N145))</f>
        <v/>
      </c>
      <c r="C145" s="9">
        <f>IF($N145="","",INDEX('Eredmény'!$M$2:$M$201,$N145))</f>
        <v/>
      </c>
      <c r="D145" s="8">
        <f>IF($N145="","",INDEX('Eredmény'!$O$2:$O$201,$N145))</f>
        <v/>
      </c>
      <c r="E145" s="8">
        <f>IF($N145="","",INDEX('Eredmény'!$P$2:$P$201,$N145))</f>
        <v/>
      </c>
      <c r="F145" s="10">
        <f>IF($N145="","",INDEX('Eredmény'!$V$2:$V$201,$N145))</f>
        <v/>
      </c>
      <c r="G145" s="10">
        <f>IF($N145="","",INDEX('Eredmény'!$X$2:$X$201,$N145))</f>
        <v/>
      </c>
      <c r="H145" s="10">
        <f>IF($N145="","",INDEX('Eredmény'!$Y$2:$Y$201,$N145))</f>
        <v/>
      </c>
      <c r="I145" s="11">
        <f>IF($N145="","",INDEX('Eredmény'!$Z$2:$Z$201,$N145))</f>
        <v/>
      </c>
      <c r="J145" s="8">
        <f>IF($N145="","",INDEX('Eredmény'!$Q$2:$Q$201,$N145))</f>
        <v/>
      </c>
      <c r="K145" s="8">
        <f>IF($N145="","",INDEX('Eredmény'!$R$2:$R$201,$N145))</f>
        <v/>
      </c>
      <c r="L145" s="7">
        <f>IF($N145="","",INDEX('Eredmény'!$AB$2:$AB$201,$N145))</f>
        <v/>
      </c>
      <c r="N145">
        <f>IFERROR(MATCH(LARGE('Eredmény'!$AZ$2:$AZ$201,141),'Eredmény'!$AZ$2:$AZ$201,0),"")</f>
        <v/>
      </c>
    </row>
    <row r="146">
      <c r="A146" s="7">
        <f>IF($N146="","",INDEX('Eredmény'!$N$2:$N$201,$N146))</f>
        <v/>
      </c>
      <c r="B146" s="8">
        <f>IF($N146="","",INDEX('Eredmény'!$A$2:$A$201,$N146))</f>
        <v/>
      </c>
      <c r="C146" s="9">
        <f>IF($N146="","",INDEX('Eredmény'!$M$2:$M$201,$N146))</f>
        <v/>
      </c>
      <c r="D146" s="8">
        <f>IF($N146="","",INDEX('Eredmény'!$O$2:$O$201,$N146))</f>
        <v/>
      </c>
      <c r="E146" s="8">
        <f>IF($N146="","",INDEX('Eredmény'!$P$2:$P$201,$N146))</f>
        <v/>
      </c>
      <c r="F146" s="10">
        <f>IF($N146="","",INDEX('Eredmény'!$V$2:$V$201,$N146))</f>
        <v/>
      </c>
      <c r="G146" s="10">
        <f>IF($N146="","",INDEX('Eredmény'!$X$2:$X$201,$N146))</f>
        <v/>
      </c>
      <c r="H146" s="10">
        <f>IF($N146="","",INDEX('Eredmény'!$Y$2:$Y$201,$N146))</f>
        <v/>
      </c>
      <c r="I146" s="11">
        <f>IF($N146="","",INDEX('Eredmény'!$Z$2:$Z$201,$N146))</f>
        <v/>
      </c>
      <c r="J146" s="8">
        <f>IF($N146="","",INDEX('Eredmény'!$Q$2:$Q$201,$N146))</f>
        <v/>
      </c>
      <c r="K146" s="8">
        <f>IF($N146="","",INDEX('Eredmény'!$R$2:$R$201,$N146))</f>
        <v/>
      </c>
      <c r="L146" s="7">
        <f>IF($N146="","",INDEX('Eredmény'!$AB$2:$AB$201,$N146))</f>
        <v/>
      </c>
      <c r="N146">
        <f>IFERROR(MATCH(LARGE('Eredmény'!$AZ$2:$AZ$201,142),'Eredmény'!$AZ$2:$AZ$201,0),"")</f>
        <v/>
      </c>
    </row>
    <row r="147">
      <c r="A147" s="7">
        <f>IF($N147="","",INDEX('Eredmény'!$N$2:$N$201,$N147))</f>
        <v/>
      </c>
      <c r="B147" s="8">
        <f>IF($N147="","",INDEX('Eredmény'!$A$2:$A$201,$N147))</f>
        <v/>
      </c>
      <c r="C147" s="9">
        <f>IF($N147="","",INDEX('Eredmény'!$M$2:$M$201,$N147))</f>
        <v/>
      </c>
      <c r="D147" s="8">
        <f>IF($N147="","",INDEX('Eredmény'!$O$2:$O$201,$N147))</f>
        <v/>
      </c>
      <c r="E147" s="8">
        <f>IF($N147="","",INDEX('Eredmény'!$P$2:$P$201,$N147))</f>
        <v/>
      </c>
      <c r="F147" s="10">
        <f>IF($N147="","",INDEX('Eredmény'!$V$2:$V$201,$N147))</f>
        <v/>
      </c>
      <c r="G147" s="10">
        <f>IF($N147="","",INDEX('Eredmény'!$X$2:$X$201,$N147))</f>
        <v/>
      </c>
      <c r="H147" s="10">
        <f>IF($N147="","",INDEX('Eredmény'!$Y$2:$Y$201,$N147))</f>
        <v/>
      </c>
      <c r="I147" s="11">
        <f>IF($N147="","",INDEX('Eredmény'!$Z$2:$Z$201,$N147))</f>
        <v/>
      </c>
      <c r="J147" s="8">
        <f>IF($N147="","",INDEX('Eredmény'!$Q$2:$Q$201,$N147))</f>
        <v/>
      </c>
      <c r="K147" s="8">
        <f>IF($N147="","",INDEX('Eredmény'!$R$2:$R$201,$N147))</f>
        <v/>
      </c>
      <c r="L147" s="7">
        <f>IF($N147="","",INDEX('Eredmény'!$AB$2:$AB$201,$N147))</f>
        <v/>
      </c>
      <c r="N147">
        <f>IFERROR(MATCH(LARGE('Eredmény'!$AZ$2:$AZ$201,143),'Eredmény'!$AZ$2:$AZ$201,0),"")</f>
        <v/>
      </c>
    </row>
    <row r="148">
      <c r="A148" s="7">
        <f>IF($N148="","",INDEX('Eredmény'!$N$2:$N$201,$N148))</f>
        <v/>
      </c>
      <c r="B148" s="8">
        <f>IF($N148="","",INDEX('Eredmény'!$A$2:$A$201,$N148))</f>
        <v/>
      </c>
      <c r="C148" s="9">
        <f>IF($N148="","",INDEX('Eredmény'!$M$2:$M$201,$N148))</f>
        <v/>
      </c>
      <c r="D148" s="8">
        <f>IF($N148="","",INDEX('Eredmény'!$O$2:$O$201,$N148))</f>
        <v/>
      </c>
      <c r="E148" s="8">
        <f>IF($N148="","",INDEX('Eredmény'!$P$2:$P$201,$N148))</f>
        <v/>
      </c>
      <c r="F148" s="10">
        <f>IF($N148="","",INDEX('Eredmény'!$V$2:$V$201,$N148))</f>
        <v/>
      </c>
      <c r="G148" s="10">
        <f>IF($N148="","",INDEX('Eredmény'!$X$2:$X$201,$N148))</f>
        <v/>
      </c>
      <c r="H148" s="10">
        <f>IF($N148="","",INDEX('Eredmény'!$Y$2:$Y$201,$N148))</f>
        <v/>
      </c>
      <c r="I148" s="11">
        <f>IF($N148="","",INDEX('Eredmény'!$Z$2:$Z$201,$N148))</f>
        <v/>
      </c>
      <c r="J148" s="8">
        <f>IF($N148="","",INDEX('Eredmény'!$Q$2:$Q$201,$N148))</f>
        <v/>
      </c>
      <c r="K148" s="8">
        <f>IF($N148="","",INDEX('Eredmény'!$R$2:$R$201,$N148))</f>
        <v/>
      </c>
      <c r="L148" s="7">
        <f>IF($N148="","",INDEX('Eredmény'!$AB$2:$AB$201,$N148))</f>
        <v/>
      </c>
      <c r="N148">
        <f>IFERROR(MATCH(LARGE('Eredmény'!$AZ$2:$AZ$201,144),'Eredmény'!$AZ$2:$AZ$201,0),"")</f>
        <v/>
      </c>
    </row>
    <row r="149">
      <c r="A149" s="7">
        <f>IF($N149="","",INDEX('Eredmény'!$N$2:$N$201,$N149))</f>
        <v/>
      </c>
      <c r="B149" s="8">
        <f>IF($N149="","",INDEX('Eredmény'!$A$2:$A$201,$N149))</f>
        <v/>
      </c>
      <c r="C149" s="9">
        <f>IF($N149="","",INDEX('Eredmény'!$M$2:$M$201,$N149))</f>
        <v/>
      </c>
      <c r="D149" s="8">
        <f>IF($N149="","",INDEX('Eredmény'!$O$2:$O$201,$N149))</f>
        <v/>
      </c>
      <c r="E149" s="8">
        <f>IF($N149="","",INDEX('Eredmény'!$P$2:$P$201,$N149))</f>
        <v/>
      </c>
      <c r="F149" s="10">
        <f>IF($N149="","",INDEX('Eredmény'!$V$2:$V$201,$N149))</f>
        <v/>
      </c>
      <c r="G149" s="10">
        <f>IF($N149="","",INDEX('Eredmény'!$X$2:$X$201,$N149))</f>
        <v/>
      </c>
      <c r="H149" s="10">
        <f>IF($N149="","",INDEX('Eredmény'!$Y$2:$Y$201,$N149))</f>
        <v/>
      </c>
      <c r="I149" s="11">
        <f>IF($N149="","",INDEX('Eredmény'!$Z$2:$Z$201,$N149))</f>
        <v/>
      </c>
      <c r="J149" s="8">
        <f>IF($N149="","",INDEX('Eredmény'!$Q$2:$Q$201,$N149))</f>
        <v/>
      </c>
      <c r="K149" s="8">
        <f>IF($N149="","",INDEX('Eredmény'!$R$2:$R$201,$N149))</f>
        <v/>
      </c>
      <c r="L149" s="7">
        <f>IF($N149="","",INDEX('Eredmény'!$AB$2:$AB$201,$N149))</f>
        <v/>
      </c>
      <c r="N149">
        <f>IFERROR(MATCH(LARGE('Eredmény'!$AZ$2:$AZ$201,145),'Eredmény'!$AZ$2:$AZ$201,0),"")</f>
        <v/>
      </c>
    </row>
    <row r="150">
      <c r="A150" s="7">
        <f>IF($N150="","",INDEX('Eredmény'!$N$2:$N$201,$N150))</f>
        <v/>
      </c>
      <c r="B150" s="8">
        <f>IF($N150="","",INDEX('Eredmény'!$A$2:$A$201,$N150))</f>
        <v/>
      </c>
      <c r="C150" s="9">
        <f>IF($N150="","",INDEX('Eredmény'!$M$2:$M$201,$N150))</f>
        <v/>
      </c>
      <c r="D150" s="8">
        <f>IF($N150="","",INDEX('Eredmény'!$O$2:$O$201,$N150))</f>
        <v/>
      </c>
      <c r="E150" s="8">
        <f>IF($N150="","",INDEX('Eredmény'!$P$2:$P$201,$N150))</f>
        <v/>
      </c>
      <c r="F150" s="10">
        <f>IF($N150="","",INDEX('Eredmény'!$V$2:$V$201,$N150))</f>
        <v/>
      </c>
      <c r="G150" s="10">
        <f>IF($N150="","",INDEX('Eredmény'!$X$2:$X$201,$N150))</f>
        <v/>
      </c>
      <c r="H150" s="10">
        <f>IF($N150="","",INDEX('Eredmény'!$Y$2:$Y$201,$N150))</f>
        <v/>
      </c>
      <c r="I150" s="11">
        <f>IF($N150="","",INDEX('Eredmény'!$Z$2:$Z$201,$N150))</f>
        <v/>
      </c>
      <c r="J150" s="8">
        <f>IF($N150="","",INDEX('Eredmény'!$Q$2:$Q$201,$N150))</f>
        <v/>
      </c>
      <c r="K150" s="8">
        <f>IF($N150="","",INDEX('Eredmény'!$R$2:$R$201,$N150))</f>
        <v/>
      </c>
      <c r="L150" s="7">
        <f>IF($N150="","",INDEX('Eredmény'!$AB$2:$AB$201,$N150))</f>
        <v/>
      </c>
      <c r="N150">
        <f>IFERROR(MATCH(LARGE('Eredmény'!$AZ$2:$AZ$201,146),'Eredmény'!$AZ$2:$AZ$201,0),"")</f>
        <v/>
      </c>
    </row>
    <row r="151">
      <c r="A151" s="7">
        <f>IF($N151="","",INDEX('Eredmény'!$N$2:$N$201,$N151))</f>
        <v/>
      </c>
      <c r="B151" s="8">
        <f>IF($N151="","",INDEX('Eredmény'!$A$2:$A$201,$N151))</f>
        <v/>
      </c>
      <c r="C151" s="9">
        <f>IF($N151="","",INDEX('Eredmény'!$M$2:$M$201,$N151))</f>
        <v/>
      </c>
      <c r="D151" s="8">
        <f>IF($N151="","",INDEX('Eredmény'!$O$2:$O$201,$N151))</f>
        <v/>
      </c>
      <c r="E151" s="8">
        <f>IF($N151="","",INDEX('Eredmény'!$P$2:$P$201,$N151))</f>
        <v/>
      </c>
      <c r="F151" s="10">
        <f>IF($N151="","",INDEX('Eredmény'!$V$2:$V$201,$N151))</f>
        <v/>
      </c>
      <c r="G151" s="10">
        <f>IF($N151="","",INDEX('Eredmény'!$X$2:$X$201,$N151))</f>
        <v/>
      </c>
      <c r="H151" s="10">
        <f>IF($N151="","",INDEX('Eredmény'!$Y$2:$Y$201,$N151))</f>
        <v/>
      </c>
      <c r="I151" s="11">
        <f>IF($N151="","",INDEX('Eredmény'!$Z$2:$Z$201,$N151))</f>
        <v/>
      </c>
      <c r="J151" s="8">
        <f>IF($N151="","",INDEX('Eredmény'!$Q$2:$Q$201,$N151))</f>
        <v/>
      </c>
      <c r="K151" s="8">
        <f>IF($N151="","",INDEX('Eredmény'!$R$2:$R$201,$N151))</f>
        <v/>
      </c>
      <c r="L151" s="7">
        <f>IF($N151="","",INDEX('Eredmény'!$AB$2:$AB$201,$N151))</f>
        <v/>
      </c>
      <c r="N151">
        <f>IFERROR(MATCH(LARGE('Eredmény'!$AZ$2:$AZ$201,147),'Eredmény'!$AZ$2:$AZ$201,0),"")</f>
        <v/>
      </c>
    </row>
    <row r="152">
      <c r="A152" s="7">
        <f>IF($N152="","",INDEX('Eredmény'!$N$2:$N$201,$N152))</f>
        <v/>
      </c>
      <c r="B152" s="8">
        <f>IF($N152="","",INDEX('Eredmény'!$A$2:$A$201,$N152))</f>
        <v/>
      </c>
      <c r="C152" s="9">
        <f>IF($N152="","",INDEX('Eredmény'!$M$2:$M$201,$N152))</f>
        <v/>
      </c>
      <c r="D152" s="8">
        <f>IF($N152="","",INDEX('Eredmény'!$O$2:$O$201,$N152))</f>
        <v/>
      </c>
      <c r="E152" s="8">
        <f>IF($N152="","",INDEX('Eredmény'!$P$2:$P$201,$N152))</f>
        <v/>
      </c>
      <c r="F152" s="10">
        <f>IF($N152="","",INDEX('Eredmény'!$V$2:$V$201,$N152))</f>
        <v/>
      </c>
      <c r="G152" s="10">
        <f>IF($N152="","",INDEX('Eredmény'!$X$2:$X$201,$N152))</f>
        <v/>
      </c>
      <c r="H152" s="10">
        <f>IF($N152="","",INDEX('Eredmény'!$Y$2:$Y$201,$N152))</f>
        <v/>
      </c>
      <c r="I152" s="11">
        <f>IF($N152="","",INDEX('Eredmény'!$Z$2:$Z$201,$N152))</f>
        <v/>
      </c>
      <c r="J152" s="8">
        <f>IF($N152="","",INDEX('Eredmény'!$Q$2:$Q$201,$N152))</f>
        <v/>
      </c>
      <c r="K152" s="8">
        <f>IF($N152="","",INDEX('Eredmény'!$R$2:$R$201,$N152))</f>
        <v/>
      </c>
      <c r="L152" s="7">
        <f>IF($N152="","",INDEX('Eredmény'!$AB$2:$AB$201,$N152))</f>
        <v/>
      </c>
      <c r="N152">
        <f>IFERROR(MATCH(LARGE('Eredmény'!$AZ$2:$AZ$201,148),'Eredmény'!$AZ$2:$AZ$201,0),"")</f>
        <v/>
      </c>
    </row>
    <row r="153">
      <c r="A153" s="7">
        <f>IF($N153="","",INDEX('Eredmény'!$N$2:$N$201,$N153))</f>
        <v/>
      </c>
      <c r="B153" s="8">
        <f>IF($N153="","",INDEX('Eredmény'!$A$2:$A$201,$N153))</f>
        <v/>
      </c>
      <c r="C153" s="9">
        <f>IF($N153="","",INDEX('Eredmény'!$M$2:$M$201,$N153))</f>
        <v/>
      </c>
      <c r="D153" s="8">
        <f>IF($N153="","",INDEX('Eredmény'!$O$2:$O$201,$N153))</f>
        <v/>
      </c>
      <c r="E153" s="8">
        <f>IF($N153="","",INDEX('Eredmény'!$P$2:$P$201,$N153))</f>
        <v/>
      </c>
      <c r="F153" s="10">
        <f>IF($N153="","",INDEX('Eredmény'!$V$2:$V$201,$N153))</f>
        <v/>
      </c>
      <c r="G153" s="10">
        <f>IF($N153="","",INDEX('Eredmény'!$X$2:$X$201,$N153))</f>
        <v/>
      </c>
      <c r="H153" s="10">
        <f>IF($N153="","",INDEX('Eredmény'!$Y$2:$Y$201,$N153))</f>
        <v/>
      </c>
      <c r="I153" s="11">
        <f>IF($N153="","",INDEX('Eredmény'!$Z$2:$Z$201,$N153))</f>
        <v/>
      </c>
      <c r="J153" s="8">
        <f>IF($N153="","",INDEX('Eredmény'!$Q$2:$Q$201,$N153))</f>
        <v/>
      </c>
      <c r="K153" s="8">
        <f>IF($N153="","",INDEX('Eredmény'!$R$2:$R$201,$N153))</f>
        <v/>
      </c>
      <c r="L153" s="7">
        <f>IF($N153="","",INDEX('Eredmény'!$AB$2:$AB$201,$N153))</f>
        <v/>
      </c>
      <c r="N153">
        <f>IFERROR(MATCH(LARGE('Eredmény'!$AZ$2:$AZ$201,149),'Eredmény'!$AZ$2:$AZ$201,0),"")</f>
        <v/>
      </c>
    </row>
    <row r="154">
      <c r="A154" s="7">
        <f>IF($N154="","",INDEX('Eredmény'!$N$2:$N$201,$N154))</f>
        <v/>
      </c>
      <c r="B154" s="8">
        <f>IF($N154="","",INDEX('Eredmény'!$A$2:$A$201,$N154))</f>
        <v/>
      </c>
      <c r="C154" s="9">
        <f>IF($N154="","",INDEX('Eredmény'!$M$2:$M$201,$N154))</f>
        <v/>
      </c>
      <c r="D154" s="8">
        <f>IF($N154="","",INDEX('Eredmény'!$O$2:$O$201,$N154))</f>
        <v/>
      </c>
      <c r="E154" s="8">
        <f>IF($N154="","",INDEX('Eredmény'!$P$2:$P$201,$N154))</f>
        <v/>
      </c>
      <c r="F154" s="10">
        <f>IF($N154="","",INDEX('Eredmény'!$V$2:$V$201,$N154))</f>
        <v/>
      </c>
      <c r="G154" s="10">
        <f>IF($N154="","",INDEX('Eredmény'!$X$2:$X$201,$N154))</f>
        <v/>
      </c>
      <c r="H154" s="10">
        <f>IF($N154="","",INDEX('Eredmény'!$Y$2:$Y$201,$N154))</f>
        <v/>
      </c>
      <c r="I154" s="11">
        <f>IF($N154="","",INDEX('Eredmény'!$Z$2:$Z$201,$N154))</f>
        <v/>
      </c>
      <c r="J154" s="8">
        <f>IF($N154="","",INDEX('Eredmény'!$Q$2:$Q$201,$N154))</f>
        <v/>
      </c>
      <c r="K154" s="8">
        <f>IF($N154="","",INDEX('Eredmény'!$R$2:$R$201,$N154))</f>
        <v/>
      </c>
      <c r="L154" s="7">
        <f>IF($N154="","",INDEX('Eredmény'!$AB$2:$AB$201,$N154))</f>
        <v/>
      </c>
      <c r="N154">
        <f>IFERROR(MATCH(LARGE('Eredmény'!$AZ$2:$AZ$201,150),'Eredmény'!$AZ$2:$AZ$201,0),"")</f>
        <v/>
      </c>
    </row>
    <row r="155">
      <c r="A155" s="7">
        <f>IF($N155="","",INDEX('Eredmény'!$N$2:$N$201,$N155))</f>
        <v/>
      </c>
      <c r="B155" s="8">
        <f>IF($N155="","",INDEX('Eredmény'!$A$2:$A$201,$N155))</f>
        <v/>
      </c>
      <c r="C155" s="9">
        <f>IF($N155="","",INDEX('Eredmény'!$M$2:$M$201,$N155))</f>
        <v/>
      </c>
      <c r="D155" s="8">
        <f>IF($N155="","",INDEX('Eredmény'!$O$2:$O$201,$N155))</f>
        <v/>
      </c>
      <c r="E155" s="8">
        <f>IF($N155="","",INDEX('Eredmény'!$P$2:$P$201,$N155))</f>
        <v/>
      </c>
      <c r="F155" s="10">
        <f>IF($N155="","",INDEX('Eredmény'!$V$2:$V$201,$N155))</f>
        <v/>
      </c>
      <c r="G155" s="10">
        <f>IF($N155="","",INDEX('Eredmény'!$X$2:$X$201,$N155))</f>
        <v/>
      </c>
      <c r="H155" s="10">
        <f>IF($N155="","",INDEX('Eredmény'!$Y$2:$Y$201,$N155))</f>
        <v/>
      </c>
      <c r="I155" s="11">
        <f>IF($N155="","",INDEX('Eredmény'!$Z$2:$Z$201,$N155))</f>
        <v/>
      </c>
      <c r="J155" s="8">
        <f>IF($N155="","",INDEX('Eredmény'!$Q$2:$Q$201,$N155))</f>
        <v/>
      </c>
      <c r="K155" s="8">
        <f>IF($N155="","",INDEX('Eredmény'!$R$2:$R$201,$N155))</f>
        <v/>
      </c>
      <c r="L155" s="7">
        <f>IF($N155="","",INDEX('Eredmény'!$AB$2:$AB$201,$N155))</f>
        <v/>
      </c>
      <c r="N155">
        <f>IFERROR(MATCH(LARGE('Eredmény'!$AZ$2:$AZ$201,151),'Eredmény'!$AZ$2:$AZ$201,0),"")</f>
        <v/>
      </c>
    </row>
    <row r="156">
      <c r="A156" s="7">
        <f>IF($N156="","",INDEX('Eredmény'!$N$2:$N$201,$N156))</f>
        <v/>
      </c>
      <c r="B156" s="8">
        <f>IF($N156="","",INDEX('Eredmény'!$A$2:$A$201,$N156))</f>
        <v/>
      </c>
      <c r="C156" s="9">
        <f>IF($N156="","",INDEX('Eredmény'!$M$2:$M$201,$N156))</f>
        <v/>
      </c>
      <c r="D156" s="8">
        <f>IF($N156="","",INDEX('Eredmény'!$O$2:$O$201,$N156))</f>
        <v/>
      </c>
      <c r="E156" s="8">
        <f>IF($N156="","",INDEX('Eredmény'!$P$2:$P$201,$N156))</f>
        <v/>
      </c>
      <c r="F156" s="10">
        <f>IF($N156="","",INDEX('Eredmény'!$V$2:$V$201,$N156))</f>
        <v/>
      </c>
      <c r="G156" s="10">
        <f>IF($N156="","",INDEX('Eredmény'!$X$2:$X$201,$N156))</f>
        <v/>
      </c>
      <c r="H156" s="10">
        <f>IF($N156="","",INDEX('Eredmény'!$Y$2:$Y$201,$N156))</f>
        <v/>
      </c>
      <c r="I156" s="11">
        <f>IF($N156="","",INDEX('Eredmény'!$Z$2:$Z$201,$N156))</f>
        <v/>
      </c>
      <c r="J156" s="8">
        <f>IF($N156="","",INDEX('Eredmény'!$Q$2:$Q$201,$N156))</f>
        <v/>
      </c>
      <c r="K156" s="8">
        <f>IF($N156="","",INDEX('Eredmény'!$R$2:$R$201,$N156))</f>
        <v/>
      </c>
      <c r="L156" s="7">
        <f>IF($N156="","",INDEX('Eredmény'!$AB$2:$AB$201,$N156))</f>
        <v/>
      </c>
      <c r="N156">
        <f>IFERROR(MATCH(LARGE('Eredmény'!$AZ$2:$AZ$201,152),'Eredmény'!$AZ$2:$AZ$201,0),"")</f>
        <v/>
      </c>
    </row>
    <row r="157">
      <c r="A157" s="7">
        <f>IF($N157="","",INDEX('Eredmény'!$N$2:$N$201,$N157))</f>
        <v/>
      </c>
      <c r="B157" s="8">
        <f>IF($N157="","",INDEX('Eredmény'!$A$2:$A$201,$N157))</f>
        <v/>
      </c>
      <c r="C157" s="9">
        <f>IF($N157="","",INDEX('Eredmény'!$M$2:$M$201,$N157))</f>
        <v/>
      </c>
      <c r="D157" s="8">
        <f>IF($N157="","",INDEX('Eredmény'!$O$2:$O$201,$N157))</f>
        <v/>
      </c>
      <c r="E157" s="8">
        <f>IF($N157="","",INDEX('Eredmény'!$P$2:$P$201,$N157))</f>
        <v/>
      </c>
      <c r="F157" s="10">
        <f>IF($N157="","",INDEX('Eredmény'!$V$2:$V$201,$N157))</f>
        <v/>
      </c>
      <c r="G157" s="10">
        <f>IF($N157="","",INDEX('Eredmény'!$X$2:$X$201,$N157))</f>
        <v/>
      </c>
      <c r="H157" s="10">
        <f>IF($N157="","",INDEX('Eredmény'!$Y$2:$Y$201,$N157))</f>
        <v/>
      </c>
      <c r="I157" s="11">
        <f>IF($N157="","",INDEX('Eredmény'!$Z$2:$Z$201,$N157))</f>
        <v/>
      </c>
      <c r="J157" s="8">
        <f>IF($N157="","",INDEX('Eredmény'!$Q$2:$Q$201,$N157))</f>
        <v/>
      </c>
      <c r="K157" s="8">
        <f>IF($N157="","",INDEX('Eredmény'!$R$2:$R$201,$N157))</f>
        <v/>
      </c>
      <c r="L157" s="7">
        <f>IF($N157="","",INDEX('Eredmény'!$AB$2:$AB$201,$N157))</f>
        <v/>
      </c>
      <c r="N157">
        <f>IFERROR(MATCH(LARGE('Eredmény'!$AZ$2:$AZ$201,153),'Eredmény'!$AZ$2:$AZ$201,0),"")</f>
        <v/>
      </c>
    </row>
    <row r="158">
      <c r="A158" s="7">
        <f>IF($N158="","",INDEX('Eredmény'!$N$2:$N$201,$N158))</f>
        <v/>
      </c>
      <c r="B158" s="8">
        <f>IF($N158="","",INDEX('Eredmény'!$A$2:$A$201,$N158))</f>
        <v/>
      </c>
      <c r="C158" s="9">
        <f>IF($N158="","",INDEX('Eredmény'!$M$2:$M$201,$N158))</f>
        <v/>
      </c>
      <c r="D158" s="8">
        <f>IF($N158="","",INDEX('Eredmény'!$O$2:$O$201,$N158))</f>
        <v/>
      </c>
      <c r="E158" s="8">
        <f>IF($N158="","",INDEX('Eredmény'!$P$2:$P$201,$N158))</f>
        <v/>
      </c>
      <c r="F158" s="10">
        <f>IF($N158="","",INDEX('Eredmény'!$V$2:$V$201,$N158))</f>
        <v/>
      </c>
      <c r="G158" s="10">
        <f>IF($N158="","",INDEX('Eredmény'!$X$2:$X$201,$N158))</f>
        <v/>
      </c>
      <c r="H158" s="10">
        <f>IF($N158="","",INDEX('Eredmény'!$Y$2:$Y$201,$N158))</f>
        <v/>
      </c>
      <c r="I158" s="11">
        <f>IF($N158="","",INDEX('Eredmény'!$Z$2:$Z$201,$N158))</f>
        <v/>
      </c>
      <c r="J158" s="8">
        <f>IF($N158="","",INDEX('Eredmény'!$Q$2:$Q$201,$N158))</f>
        <v/>
      </c>
      <c r="K158" s="8">
        <f>IF($N158="","",INDEX('Eredmény'!$R$2:$R$201,$N158))</f>
        <v/>
      </c>
      <c r="L158" s="7">
        <f>IF($N158="","",INDEX('Eredmény'!$AB$2:$AB$201,$N158))</f>
        <v/>
      </c>
      <c r="N158">
        <f>IFERROR(MATCH(LARGE('Eredmény'!$AZ$2:$AZ$201,154),'Eredmény'!$AZ$2:$AZ$201,0),"")</f>
        <v/>
      </c>
    </row>
    <row r="159">
      <c r="A159" s="7">
        <f>IF($N159="","",INDEX('Eredmény'!$N$2:$N$201,$N159))</f>
        <v/>
      </c>
      <c r="B159" s="8">
        <f>IF($N159="","",INDEX('Eredmény'!$A$2:$A$201,$N159))</f>
        <v/>
      </c>
      <c r="C159" s="9">
        <f>IF($N159="","",INDEX('Eredmény'!$M$2:$M$201,$N159))</f>
        <v/>
      </c>
      <c r="D159" s="8">
        <f>IF($N159="","",INDEX('Eredmény'!$O$2:$O$201,$N159))</f>
        <v/>
      </c>
      <c r="E159" s="8">
        <f>IF($N159="","",INDEX('Eredmény'!$P$2:$P$201,$N159))</f>
        <v/>
      </c>
      <c r="F159" s="10">
        <f>IF($N159="","",INDEX('Eredmény'!$V$2:$V$201,$N159))</f>
        <v/>
      </c>
      <c r="G159" s="10">
        <f>IF($N159="","",INDEX('Eredmény'!$X$2:$X$201,$N159))</f>
        <v/>
      </c>
      <c r="H159" s="10">
        <f>IF($N159="","",INDEX('Eredmény'!$Y$2:$Y$201,$N159))</f>
        <v/>
      </c>
      <c r="I159" s="11">
        <f>IF($N159="","",INDEX('Eredmény'!$Z$2:$Z$201,$N159))</f>
        <v/>
      </c>
      <c r="J159" s="8">
        <f>IF($N159="","",INDEX('Eredmény'!$Q$2:$Q$201,$N159))</f>
        <v/>
      </c>
      <c r="K159" s="8">
        <f>IF($N159="","",INDEX('Eredmény'!$R$2:$R$201,$N159))</f>
        <v/>
      </c>
      <c r="L159" s="7">
        <f>IF($N159="","",INDEX('Eredmény'!$AB$2:$AB$201,$N159))</f>
        <v/>
      </c>
      <c r="N159">
        <f>IFERROR(MATCH(LARGE('Eredmény'!$AZ$2:$AZ$201,155),'Eredmény'!$AZ$2:$AZ$201,0),"")</f>
        <v/>
      </c>
    </row>
    <row r="160">
      <c r="A160" s="7">
        <f>IF($N160="","",INDEX('Eredmény'!$N$2:$N$201,$N160))</f>
        <v/>
      </c>
      <c r="B160" s="8">
        <f>IF($N160="","",INDEX('Eredmény'!$A$2:$A$201,$N160))</f>
        <v/>
      </c>
      <c r="C160" s="9">
        <f>IF($N160="","",INDEX('Eredmény'!$M$2:$M$201,$N160))</f>
        <v/>
      </c>
      <c r="D160" s="8">
        <f>IF($N160="","",INDEX('Eredmény'!$O$2:$O$201,$N160))</f>
        <v/>
      </c>
      <c r="E160" s="8">
        <f>IF($N160="","",INDEX('Eredmény'!$P$2:$P$201,$N160))</f>
        <v/>
      </c>
      <c r="F160" s="10">
        <f>IF($N160="","",INDEX('Eredmény'!$V$2:$V$201,$N160))</f>
        <v/>
      </c>
      <c r="G160" s="10">
        <f>IF($N160="","",INDEX('Eredmény'!$X$2:$X$201,$N160))</f>
        <v/>
      </c>
      <c r="H160" s="10">
        <f>IF($N160="","",INDEX('Eredmény'!$Y$2:$Y$201,$N160))</f>
        <v/>
      </c>
      <c r="I160" s="11">
        <f>IF($N160="","",INDEX('Eredmény'!$Z$2:$Z$201,$N160))</f>
        <v/>
      </c>
      <c r="J160" s="8">
        <f>IF($N160="","",INDEX('Eredmény'!$Q$2:$Q$201,$N160))</f>
        <v/>
      </c>
      <c r="K160" s="8">
        <f>IF($N160="","",INDEX('Eredmény'!$R$2:$R$201,$N160))</f>
        <v/>
      </c>
      <c r="L160" s="7">
        <f>IF($N160="","",INDEX('Eredmény'!$AB$2:$AB$201,$N160))</f>
        <v/>
      </c>
      <c r="N160">
        <f>IFERROR(MATCH(LARGE('Eredmény'!$AZ$2:$AZ$201,156),'Eredmény'!$AZ$2:$AZ$201,0),"")</f>
        <v/>
      </c>
    </row>
    <row r="161">
      <c r="A161" s="7">
        <f>IF($N161="","",INDEX('Eredmény'!$N$2:$N$201,$N161))</f>
        <v/>
      </c>
      <c r="B161" s="8">
        <f>IF($N161="","",INDEX('Eredmény'!$A$2:$A$201,$N161))</f>
        <v/>
      </c>
      <c r="C161" s="9">
        <f>IF($N161="","",INDEX('Eredmény'!$M$2:$M$201,$N161))</f>
        <v/>
      </c>
      <c r="D161" s="8">
        <f>IF($N161="","",INDEX('Eredmény'!$O$2:$O$201,$N161))</f>
        <v/>
      </c>
      <c r="E161" s="8">
        <f>IF($N161="","",INDEX('Eredmény'!$P$2:$P$201,$N161))</f>
        <v/>
      </c>
      <c r="F161" s="10">
        <f>IF($N161="","",INDEX('Eredmény'!$V$2:$V$201,$N161))</f>
        <v/>
      </c>
      <c r="G161" s="10">
        <f>IF($N161="","",INDEX('Eredmény'!$X$2:$X$201,$N161))</f>
        <v/>
      </c>
      <c r="H161" s="10">
        <f>IF($N161="","",INDEX('Eredmény'!$Y$2:$Y$201,$N161))</f>
        <v/>
      </c>
      <c r="I161" s="11">
        <f>IF($N161="","",INDEX('Eredmény'!$Z$2:$Z$201,$N161))</f>
        <v/>
      </c>
      <c r="J161" s="8">
        <f>IF($N161="","",INDEX('Eredmény'!$Q$2:$Q$201,$N161))</f>
        <v/>
      </c>
      <c r="K161" s="8">
        <f>IF($N161="","",INDEX('Eredmény'!$R$2:$R$201,$N161))</f>
        <v/>
      </c>
      <c r="L161" s="7">
        <f>IF($N161="","",INDEX('Eredmény'!$AB$2:$AB$201,$N161))</f>
        <v/>
      </c>
      <c r="N161">
        <f>IFERROR(MATCH(LARGE('Eredmény'!$AZ$2:$AZ$201,157),'Eredmény'!$AZ$2:$AZ$201,0),"")</f>
        <v/>
      </c>
    </row>
    <row r="162">
      <c r="A162" s="7">
        <f>IF($N162="","",INDEX('Eredmény'!$N$2:$N$201,$N162))</f>
        <v/>
      </c>
      <c r="B162" s="8">
        <f>IF($N162="","",INDEX('Eredmény'!$A$2:$A$201,$N162))</f>
        <v/>
      </c>
      <c r="C162" s="9">
        <f>IF($N162="","",INDEX('Eredmény'!$M$2:$M$201,$N162))</f>
        <v/>
      </c>
      <c r="D162" s="8">
        <f>IF($N162="","",INDEX('Eredmény'!$O$2:$O$201,$N162))</f>
        <v/>
      </c>
      <c r="E162" s="8">
        <f>IF($N162="","",INDEX('Eredmény'!$P$2:$P$201,$N162))</f>
        <v/>
      </c>
      <c r="F162" s="10">
        <f>IF($N162="","",INDEX('Eredmény'!$V$2:$V$201,$N162))</f>
        <v/>
      </c>
      <c r="G162" s="10">
        <f>IF($N162="","",INDEX('Eredmény'!$X$2:$X$201,$N162))</f>
        <v/>
      </c>
      <c r="H162" s="10">
        <f>IF($N162="","",INDEX('Eredmény'!$Y$2:$Y$201,$N162))</f>
        <v/>
      </c>
      <c r="I162" s="11">
        <f>IF($N162="","",INDEX('Eredmény'!$Z$2:$Z$201,$N162))</f>
        <v/>
      </c>
      <c r="J162" s="8">
        <f>IF($N162="","",INDEX('Eredmény'!$Q$2:$Q$201,$N162))</f>
        <v/>
      </c>
      <c r="K162" s="8">
        <f>IF($N162="","",INDEX('Eredmény'!$R$2:$R$201,$N162))</f>
        <v/>
      </c>
      <c r="L162" s="7">
        <f>IF($N162="","",INDEX('Eredmény'!$AB$2:$AB$201,$N162))</f>
        <v/>
      </c>
      <c r="N162">
        <f>IFERROR(MATCH(LARGE('Eredmény'!$AZ$2:$AZ$201,158),'Eredmény'!$AZ$2:$AZ$201,0),"")</f>
        <v/>
      </c>
    </row>
    <row r="163">
      <c r="A163" s="7">
        <f>IF($N163="","",INDEX('Eredmény'!$N$2:$N$201,$N163))</f>
        <v/>
      </c>
      <c r="B163" s="8">
        <f>IF($N163="","",INDEX('Eredmény'!$A$2:$A$201,$N163))</f>
        <v/>
      </c>
      <c r="C163" s="9">
        <f>IF($N163="","",INDEX('Eredmény'!$M$2:$M$201,$N163))</f>
        <v/>
      </c>
      <c r="D163" s="8">
        <f>IF($N163="","",INDEX('Eredmény'!$O$2:$O$201,$N163))</f>
        <v/>
      </c>
      <c r="E163" s="8">
        <f>IF($N163="","",INDEX('Eredmény'!$P$2:$P$201,$N163))</f>
        <v/>
      </c>
      <c r="F163" s="10">
        <f>IF($N163="","",INDEX('Eredmény'!$V$2:$V$201,$N163))</f>
        <v/>
      </c>
      <c r="G163" s="10">
        <f>IF($N163="","",INDEX('Eredmény'!$X$2:$X$201,$N163))</f>
        <v/>
      </c>
      <c r="H163" s="10">
        <f>IF($N163="","",INDEX('Eredmény'!$Y$2:$Y$201,$N163))</f>
        <v/>
      </c>
      <c r="I163" s="11">
        <f>IF($N163="","",INDEX('Eredmény'!$Z$2:$Z$201,$N163))</f>
        <v/>
      </c>
      <c r="J163" s="8">
        <f>IF($N163="","",INDEX('Eredmény'!$Q$2:$Q$201,$N163))</f>
        <v/>
      </c>
      <c r="K163" s="8">
        <f>IF($N163="","",INDEX('Eredmény'!$R$2:$R$201,$N163))</f>
        <v/>
      </c>
      <c r="L163" s="7">
        <f>IF($N163="","",INDEX('Eredmény'!$AB$2:$AB$201,$N163))</f>
        <v/>
      </c>
      <c r="N163">
        <f>IFERROR(MATCH(LARGE('Eredmény'!$AZ$2:$AZ$201,159),'Eredmény'!$AZ$2:$AZ$201,0),"")</f>
        <v/>
      </c>
    </row>
    <row r="164">
      <c r="A164" s="7">
        <f>IF($N164="","",INDEX('Eredmény'!$N$2:$N$201,$N164))</f>
        <v/>
      </c>
      <c r="B164" s="8">
        <f>IF($N164="","",INDEX('Eredmény'!$A$2:$A$201,$N164))</f>
        <v/>
      </c>
      <c r="C164" s="9">
        <f>IF($N164="","",INDEX('Eredmény'!$M$2:$M$201,$N164))</f>
        <v/>
      </c>
      <c r="D164" s="8">
        <f>IF($N164="","",INDEX('Eredmény'!$O$2:$O$201,$N164))</f>
        <v/>
      </c>
      <c r="E164" s="8">
        <f>IF($N164="","",INDEX('Eredmény'!$P$2:$P$201,$N164))</f>
        <v/>
      </c>
      <c r="F164" s="10">
        <f>IF($N164="","",INDEX('Eredmény'!$V$2:$V$201,$N164))</f>
        <v/>
      </c>
      <c r="G164" s="10">
        <f>IF($N164="","",INDEX('Eredmény'!$X$2:$X$201,$N164))</f>
        <v/>
      </c>
      <c r="H164" s="10">
        <f>IF($N164="","",INDEX('Eredmény'!$Y$2:$Y$201,$N164))</f>
        <v/>
      </c>
      <c r="I164" s="11">
        <f>IF($N164="","",INDEX('Eredmény'!$Z$2:$Z$201,$N164))</f>
        <v/>
      </c>
      <c r="J164" s="8">
        <f>IF($N164="","",INDEX('Eredmény'!$Q$2:$Q$201,$N164))</f>
        <v/>
      </c>
      <c r="K164" s="8">
        <f>IF($N164="","",INDEX('Eredmény'!$R$2:$R$201,$N164))</f>
        <v/>
      </c>
      <c r="L164" s="7">
        <f>IF($N164="","",INDEX('Eredmény'!$AB$2:$AB$201,$N164))</f>
        <v/>
      </c>
      <c r="N164">
        <f>IFERROR(MATCH(LARGE('Eredmény'!$AZ$2:$AZ$201,160),'Eredmény'!$AZ$2:$AZ$201,0),"")</f>
        <v/>
      </c>
    </row>
    <row r="165">
      <c r="A165" s="7">
        <f>IF($N165="","",INDEX('Eredmény'!$N$2:$N$201,$N165))</f>
        <v/>
      </c>
      <c r="B165" s="8">
        <f>IF($N165="","",INDEX('Eredmény'!$A$2:$A$201,$N165))</f>
        <v/>
      </c>
      <c r="C165" s="9">
        <f>IF($N165="","",INDEX('Eredmény'!$M$2:$M$201,$N165))</f>
        <v/>
      </c>
      <c r="D165" s="8">
        <f>IF($N165="","",INDEX('Eredmény'!$O$2:$O$201,$N165))</f>
        <v/>
      </c>
      <c r="E165" s="8">
        <f>IF($N165="","",INDEX('Eredmény'!$P$2:$P$201,$N165))</f>
        <v/>
      </c>
      <c r="F165" s="10">
        <f>IF($N165="","",INDEX('Eredmény'!$V$2:$V$201,$N165))</f>
        <v/>
      </c>
      <c r="G165" s="10">
        <f>IF($N165="","",INDEX('Eredmény'!$X$2:$X$201,$N165))</f>
        <v/>
      </c>
      <c r="H165" s="10">
        <f>IF($N165="","",INDEX('Eredmény'!$Y$2:$Y$201,$N165))</f>
        <v/>
      </c>
      <c r="I165" s="11">
        <f>IF($N165="","",INDEX('Eredmény'!$Z$2:$Z$201,$N165))</f>
        <v/>
      </c>
      <c r="J165" s="8">
        <f>IF($N165="","",INDEX('Eredmény'!$Q$2:$Q$201,$N165))</f>
        <v/>
      </c>
      <c r="K165" s="8">
        <f>IF($N165="","",INDEX('Eredmény'!$R$2:$R$201,$N165))</f>
        <v/>
      </c>
      <c r="L165" s="7">
        <f>IF($N165="","",INDEX('Eredmény'!$AB$2:$AB$201,$N165))</f>
        <v/>
      </c>
      <c r="N165">
        <f>IFERROR(MATCH(LARGE('Eredmény'!$AZ$2:$AZ$201,161),'Eredmény'!$AZ$2:$AZ$201,0),"")</f>
        <v/>
      </c>
    </row>
    <row r="166">
      <c r="A166" s="7">
        <f>IF($N166="","",INDEX('Eredmény'!$N$2:$N$201,$N166))</f>
        <v/>
      </c>
      <c r="B166" s="8">
        <f>IF($N166="","",INDEX('Eredmény'!$A$2:$A$201,$N166))</f>
        <v/>
      </c>
      <c r="C166" s="9">
        <f>IF($N166="","",INDEX('Eredmény'!$M$2:$M$201,$N166))</f>
        <v/>
      </c>
      <c r="D166" s="8">
        <f>IF($N166="","",INDEX('Eredmény'!$O$2:$O$201,$N166))</f>
        <v/>
      </c>
      <c r="E166" s="8">
        <f>IF($N166="","",INDEX('Eredmény'!$P$2:$P$201,$N166))</f>
        <v/>
      </c>
      <c r="F166" s="10">
        <f>IF($N166="","",INDEX('Eredmény'!$V$2:$V$201,$N166))</f>
        <v/>
      </c>
      <c r="G166" s="10">
        <f>IF($N166="","",INDEX('Eredmény'!$X$2:$X$201,$N166))</f>
        <v/>
      </c>
      <c r="H166" s="10">
        <f>IF($N166="","",INDEX('Eredmény'!$Y$2:$Y$201,$N166))</f>
        <v/>
      </c>
      <c r="I166" s="11">
        <f>IF($N166="","",INDEX('Eredmény'!$Z$2:$Z$201,$N166))</f>
        <v/>
      </c>
      <c r="J166" s="8">
        <f>IF($N166="","",INDEX('Eredmény'!$Q$2:$Q$201,$N166))</f>
        <v/>
      </c>
      <c r="K166" s="8">
        <f>IF($N166="","",INDEX('Eredmény'!$R$2:$R$201,$N166))</f>
        <v/>
      </c>
      <c r="L166" s="7">
        <f>IF($N166="","",INDEX('Eredmény'!$AB$2:$AB$201,$N166))</f>
        <v/>
      </c>
      <c r="N166">
        <f>IFERROR(MATCH(LARGE('Eredmény'!$AZ$2:$AZ$201,162),'Eredmény'!$AZ$2:$AZ$201,0),"")</f>
        <v/>
      </c>
    </row>
    <row r="167">
      <c r="A167" s="7">
        <f>IF($N167="","",INDEX('Eredmény'!$N$2:$N$201,$N167))</f>
        <v/>
      </c>
      <c r="B167" s="8">
        <f>IF($N167="","",INDEX('Eredmény'!$A$2:$A$201,$N167))</f>
        <v/>
      </c>
      <c r="C167" s="9">
        <f>IF($N167="","",INDEX('Eredmény'!$M$2:$M$201,$N167))</f>
        <v/>
      </c>
      <c r="D167" s="8">
        <f>IF($N167="","",INDEX('Eredmény'!$O$2:$O$201,$N167))</f>
        <v/>
      </c>
      <c r="E167" s="8">
        <f>IF($N167="","",INDEX('Eredmény'!$P$2:$P$201,$N167))</f>
        <v/>
      </c>
      <c r="F167" s="10">
        <f>IF($N167="","",INDEX('Eredmény'!$V$2:$V$201,$N167))</f>
        <v/>
      </c>
      <c r="G167" s="10">
        <f>IF($N167="","",INDEX('Eredmény'!$X$2:$X$201,$N167))</f>
        <v/>
      </c>
      <c r="H167" s="10">
        <f>IF($N167="","",INDEX('Eredmény'!$Y$2:$Y$201,$N167))</f>
        <v/>
      </c>
      <c r="I167" s="11">
        <f>IF($N167="","",INDEX('Eredmény'!$Z$2:$Z$201,$N167))</f>
        <v/>
      </c>
      <c r="J167" s="8">
        <f>IF($N167="","",INDEX('Eredmény'!$Q$2:$Q$201,$N167))</f>
        <v/>
      </c>
      <c r="K167" s="8">
        <f>IF($N167="","",INDEX('Eredmény'!$R$2:$R$201,$N167))</f>
        <v/>
      </c>
      <c r="L167" s="7">
        <f>IF($N167="","",INDEX('Eredmény'!$AB$2:$AB$201,$N167))</f>
        <v/>
      </c>
      <c r="N167">
        <f>IFERROR(MATCH(LARGE('Eredmény'!$AZ$2:$AZ$201,163),'Eredmény'!$AZ$2:$AZ$201,0),"")</f>
        <v/>
      </c>
    </row>
    <row r="168">
      <c r="A168" s="7">
        <f>IF($N168="","",INDEX('Eredmény'!$N$2:$N$201,$N168))</f>
        <v/>
      </c>
      <c r="B168" s="8">
        <f>IF($N168="","",INDEX('Eredmény'!$A$2:$A$201,$N168))</f>
        <v/>
      </c>
      <c r="C168" s="9">
        <f>IF($N168="","",INDEX('Eredmény'!$M$2:$M$201,$N168))</f>
        <v/>
      </c>
      <c r="D168" s="8">
        <f>IF($N168="","",INDEX('Eredmény'!$O$2:$O$201,$N168))</f>
        <v/>
      </c>
      <c r="E168" s="8">
        <f>IF($N168="","",INDEX('Eredmény'!$P$2:$P$201,$N168))</f>
        <v/>
      </c>
      <c r="F168" s="10">
        <f>IF($N168="","",INDEX('Eredmény'!$V$2:$V$201,$N168))</f>
        <v/>
      </c>
      <c r="G168" s="10">
        <f>IF($N168="","",INDEX('Eredmény'!$X$2:$X$201,$N168))</f>
        <v/>
      </c>
      <c r="H168" s="10">
        <f>IF($N168="","",INDEX('Eredmény'!$Y$2:$Y$201,$N168))</f>
        <v/>
      </c>
      <c r="I168" s="11">
        <f>IF($N168="","",INDEX('Eredmény'!$Z$2:$Z$201,$N168))</f>
        <v/>
      </c>
      <c r="J168" s="8">
        <f>IF($N168="","",INDEX('Eredmény'!$Q$2:$Q$201,$N168))</f>
        <v/>
      </c>
      <c r="K168" s="8">
        <f>IF($N168="","",INDEX('Eredmény'!$R$2:$R$201,$N168))</f>
        <v/>
      </c>
      <c r="L168" s="7">
        <f>IF($N168="","",INDEX('Eredmény'!$AB$2:$AB$201,$N168))</f>
        <v/>
      </c>
      <c r="N168">
        <f>IFERROR(MATCH(LARGE('Eredmény'!$AZ$2:$AZ$201,164),'Eredmény'!$AZ$2:$AZ$201,0),"")</f>
        <v/>
      </c>
    </row>
    <row r="169">
      <c r="A169" s="7">
        <f>IF($N169="","",INDEX('Eredmény'!$N$2:$N$201,$N169))</f>
        <v/>
      </c>
      <c r="B169" s="8">
        <f>IF($N169="","",INDEX('Eredmény'!$A$2:$A$201,$N169))</f>
        <v/>
      </c>
      <c r="C169" s="9">
        <f>IF($N169="","",INDEX('Eredmény'!$M$2:$M$201,$N169))</f>
        <v/>
      </c>
      <c r="D169" s="8">
        <f>IF($N169="","",INDEX('Eredmény'!$O$2:$O$201,$N169))</f>
        <v/>
      </c>
      <c r="E169" s="8">
        <f>IF($N169="","",INDEX('Eredmény'!$P$2:$P$201,$N169))</f>
        <v/>
      </c>
      <c r="F169" s="10">
        <f>IF($N169="","",INDEX('Eredmény'!$V$2:$V$201,$N169))</f>
        <v/>
      </c>
      <c r="G169" s="10">
        <f>IF($N169="","",INDEX('Eredmény'!$X$2:$X$201,$N169))</f>
        <v/>
      </c>
      <c r="H169" s="10">
        <f>IF($N169="","",INDEX('Eredmény'!$Y$2:$Y$201,$N169))</f>
        <v/>
      </c>
      <c r="I169" s="11">
        <f>IF($N169="","",INDEX('Eredmény'!$Z$2:$Z$201,$N169))</f>
        <v/>
      </c>
      <c r="J169" s="8">
        <f>IF($N169="","",INDEX('Eredmény'!$Q$2:$Q$201,$N169))</f>
        <v/>
      </c>
      <c r="K169" s="8">
        <f>IF($N169="","",INDEX('Eredmény'!$R$2:$R$201,$N169))</f>
        <v/>
      </c>
      <c r="L169" s="7">
        <f>IF($N169="","",INDEX('Eredmény'!$AB$2:$AB$201,$N169))</f>
        <v/>
      </c>
      <c r="N169">
        <f>IFERROR(MATCH(LARGE('Eredmény'!$AZ$2:$AZ$201,165),'Eredmény'!$AZ$2:$AZ$201,0),"")</f>
        <v/>
      </c>
    </row>
    <row r="170">
      <c r="A170" s="7">
        <f>IF($N170="","",INDEX('Eredmény'!$N$2:$N$201,$N170))</f>
        <v/>
      </c>
      <c r="B170" s="8">
        <f>IF($N170="","",INDEX('Eredmény'!$A$2:$A$201,$N170))</f>
        <v/>
      </c>
      <c r="C170" s="9">
        <f>IF($N170="","",INDEX('Eredmény'!$M$2:$M$201,$N170))</f>
        <v/>
      </c>
      <c r="D170" s="8">
        <f>IF($N170="","",INDEX('Eredmény'!$O$2:$O$201,$N170))</f>
        <v/>
      </c>
      <c r="E170" s="8">
        <f>IF($N170="","",INDEX('Eredmény'!$P$2:$P$201,$N170))</f>
        <v/>
      </c>
      <c r="F170" s="10">
        <f>IF($N170="","",INDEX('Eredmény'!$V$2:$V$201,$N170))</f>
        <v/>
      </c>
      <c r="G170" s="10">
        <f>IF($N170="","",INDEX('Eredmény'!$X$2:$X$201,$N170))</f>
        <v/>
      </c>
      <c r="H170" s="10">
        <f>IF($N170="","",INDEX('Eredmény'!$Y$2:$Y$201,$N170))</f>
        <v/>
      </c>
      <c r="I170" s="11">
        <f>IF($N170="","",INDEX('Eredmény'!$Z$2:$Z$201,$N170))</f>
        <v/>
      </c>
      <c r="J170" s="8">
        <f>IF($N170="","",INDEX('Eredmény'!$Q$2:$Q$201,$N170))</f>
        <v/>
      </c>
      <c r="K170" s="8">
        <f>IF($N170="","",INDEX('Eredmény'!$R$2:$R$201,$N170))</f>
        <v/>
      </c>
      <c r="L170" s="7">
        <f>IF($N170="","",INDEX('Eredmény'!$AB$2:$AB$201,$N170))</f>
        <v/>
      </c>
      <c r="N170">
        <f>IFERROR(MATCH(LARGE('Eredmény'!$AZ$2:$AZ$201,166),'Eredmény'!$AZ$2:$AZ$201,0),"")</f>
        <v/>
      </c>
    </row>
    <row r="171">
      <c r="A171" s="7">
        <f>IF($N171="","",INDEX('Eredmény'!$N$2:$N$201,$N171))</f>
        <v/>
      </c>
      <c r="B171" s="8">
        <f>IF($N171="","",INDEX('Eredmény'!$A$2:$A$201,$N171))</f>
        <v/>
      </c>
      <c r="C171" s="9">
        <f>IF($N171="","",INDEX('Eredmény'!$M$2:$M$201,$N171))</f>
        <v/>
      </c>
      <c r="D171" s="8">
        <f>IF($N171="","",INDEX('Eredmény'!$O$2:$O$201,$N171))</f>
        <v/>
      </c>
      <c r="E171" s="8">
        <f>IF($N171="","",INDEX('Eredmény'!$P$2:$P$201,$N171))</f>
        <v/>
      </c>
      <c r="F171" s="10">
        <f>IF($N171="","",INDEX('Eredmény'!$V$2:$V$201,$N171))</f>
        <v/>
      </c>
      <c r="G171" s="10">
        <f>IF($N171="","",INDEX('Eredmény'!$X$2:$X$201,$N171))</f>
        <v/>
      </c>
      <c r="H171" s="10">
        <f>IF($N171="","",INDEX('Eredmény'!$Y$2:$Y$201,$N171))</f>
        <v/>
      </c>
      <c r="I171" s="11">
        <f>IF($N171="","",INDEX('Eredmény'!$Z$2:$Z$201,$N171))</f>
        <v/>
      </c>
      <c r="J171" s="8">
        <f>IF($N171="","",INDEX('Eredmény'!$Q$2:$Q$201,$N171))</f>
        <v/>
      </c>
      <c r="K171" s="8">
        <f>IF($N171="","",INDEX('Eredmény'!$R$2:$R$201,$N171))</f>
        <v/>
      </c>
      <c r="L171" s="7">
        <f>IF($N171="","",INDEX('Eredmény'!$AB$2:$AB$201,$N171))</f>
        <v/>
      </c>
      <c r="N171">
        <f>IFERROR(MATCH(LARGE('Eredmény'!$AZ$2:$AZ$201,167),'Eredmény'!$AZ$2:$AZ$201,0),"")</f>
        <v/>
      </c>
    </row>
    <row r="172">
      <c r="A172" s="7">
        <f>IF($N172="","",INDEX('Eredmény'!$N$2:$N$201,$N172))</f>
        <v/>
      </c>
      <c r="B172" s="8">
        <f>IF($N172="","",INDEX('Eredmény'!$A$2:$A$201,$N172))</f>
        <v/>
      </c>
      <c r="C172" s="9">
        <f>IF($N172="","",INDEX('Eredmény'!$M$2:$M$201,$N172))</f>
        <v/>
      </c>
      <c r="D172" s="8">
        <f>IF($N172="","",INDEX('Eredmény'!$O$2:$O$201,$N172))</f>
        <v/>
      </c>
      <c r="E172" s="8">
        <f>IF($N172="","",INDEX('Eredmény'!$P$2:$P$201,$N172))</f>
        <v/>
      </c>
      <c r="F172" s="10">
        <f>IF($N172="","",INDEX('Eredmény'!$V$2:$V$201,$N172))</f>
        <v/>
      </c>
      <c r="G172" s="10">
        <f>IF($N172="","",INDEX('Eredmény'!$X$2:$X$201,$N172))</f>
        <v/>
      </c>
      <c r="H172" s="10">
        <f>IF($N172="","",INDEX('Eredmény'!$Y$2:$Y$201,$N172))</f>
        <v/>
      </c>
      <c r="I172" s="11">
        <f>IF($N172="","",INDEX('Eredmény'!$Z$2:$Z$201,$N172))</f>
        <v/>
      </c>
      <c r="J172" s="8">
        <f>IF($N172="","",INDEX('Eredmény'!$Q$2:$Q$201,$N172))</f>
        <v/>
      </c>
      <c r="K172" s="8">
        <f>IF($N172="","",INDEX('Eredmény'!$R$2:$R$201,$N172))</f>
        <v/>
      </c>
      <c r="L172" s="7">
        <f>IF($N172="","",INDEX('Eredmény'!$AB$2:$AB$201,$N172))</f>
        <v/>
      </c>
      <c r="N172">
        <f>IFERROR(MATCH(LARGE('Eredmény'!$AZ$2:$AZ$201,168),'Eredmény'!$AZ$2:$AZ$201,0),"")</f>
        <v/>
      </c>
    </row>
    <row r="173">
      <c r="A173" s="7">
        <f>IF($N173="","",INDEX('Eredmény'!$N$2:$N$201,$N173))</f>
        <v/>
      </c>
      <c r="B173" s="8">
        <f>IF($N173="","",INDEX('Eredmény'!$A$2:$A$201,$N173))</f>
        <v/>
      </c>
      <c r="C173" s="9">
        <f>IF($N173="","",INDEX('Eredmény'!$M$2:$M$201,$N173))</f>
        <v/>
      </c>
      <c r="D173" s="8">
        <f>IF($N173="","",INDEX('Eredmény'!$O$2:$O$201,$N173))</f>
        <v/>
      </c>
      <c r="E173" s="8">
        <f>IF($N173="","",INDEX('Eredmény'!$P$2:$P$201,$N173))</f>
        <v/>
      </c>
      <c r="F173" s="10">
        <f>IF($N173="","",INDEX('Eredmény'!$V$2:$V$201,$N173))</f>
        <v/>
      </c>
      <c r="G173" s="10">
        <f>IF($N173="","",INDEX('Eredmény'!$X$2:$X$201,$N173))</f>
        <v/>
      </c>
      <c r="H173" s="10">
        <f>IF($N173="","",INDEX('Eredmény'!$Y$2:$Y$201,$N173))</f>
        <v/>
      </c>
      <c r="I173" s="11">
        <f>IF($N173="","",INDEX('Eredmény'!$Z$2:$Z$201,$N173))</f>
        <v/>
      </c>
      <c r="J173" s="8">
        <f>IF($N173="","",INDEX('Eredmény'!$Q$2:$Q$201,$N173))</f>
        <v/>
      </c>
      <c r="K173" s="8">
        <f>IF($N173="","",INDEX('Eredmény'!$R$2:$R$201,$N173))</f>
        <v/>
      </c>
      <c r="L173" s="7">
        <f>IF($N173="","",INDEX('Eredmény'!$AB$2:$AB$201,$N173))</f>
        <v/>
      </c>
      <c r="N173">
        <f>IFERROR(MATCH(LARGE('Eredmény'!$AZ$2:$AZ$201,169),'Eredmény'!$AZ$2:$AZ$201,0),"")</f>
        <v/>
      </c>
    </row>
    <row r="174">
      <c r="A174" s="7">
        <f>IF($N174="","",INDEX('Eredmény'!$N$2:$N$201,$N174))</f>
        <v/>
      </c>
      <c r="B174" s="8">
        <f>IF($N174="","",INDEX('Eredmény'!$A$2:$A$201,$N174))</f>
        <v/>
      </c>
      <c r="C174" s="9">
        <f>IF($N174="","",INDEX('Eredmény'!$M$2:$M$201,$N174))</f>
        <v/>
      </c>
      <c r="D174" s="8">
        <f>IF($N174="","",INDEX('Eredmény'!$O$2:$O$201,$N174))</f>
        <v/>
      </c>
      <c r="E174" s="8">
        <f>IF($N174="","",INDEX('Eredmény'!$P$2:$P$201,$N174))</f>
        <v/>
      </c>
      <c r="F174" s="10">
        <f>IF($N174="","",INDEX('Eredmény'!$V$2:$V$201,$N174))</f>
        <v/>
      </c>
      <c r="G174" s="10">
        <f>IF($N174="","",INDEX('Eredmény'!$X$2:$X$201,$N174))</f>
        <v/>
      </c>
      <c r="H174" s="10">
        <f>IF($N174="","",INDEX('Eredmény'!$Y$2:$Y$201,$N174))</f>
        <v/>
      </c>
      <c r="I174" s="11">
        <f>IF($N174="","",INDEX('Eredmény'!$Z$2:$Z$201,$N174))</f>
        <v/>
      </c>
      <c r="J174" s="8">
        <f>IF($N174="","",INDEX('Eredmény'!$Q$2:$Q$201,$N174))</f>
        <v/>
      </c>
      <c r="K174" s="8">
        <f>IF($N174="","",INDEX('Eredmény'!$R$2:$R$201,$N174))</f>
        <v/>
      </c>
      <c r="L174" s="7">
        <f>IF($N174="","",INDEX('Eredmény'!$AB$2:$AB$201,$N174))</f>
        <v/>
      </c>
      <c r="N174">
        <f>IFERROR(MATCH(LARGE('Eredmény'!$AZ$2:$AZ$201,170),'Eredmény'!$AZ$2:$AZ$201,0),"")</f>
        <v/>
      </c>
    </row>
    <row r="175">
      <c r="A175" s="7">
        <f>IF($N175="","",INDEX('Eredmény'!$N$2:$N$201,$N175))</f>
        <v/>
      </c>
      <c r="B175" s="8">
        <f>IF($N175="","",INDEX('Eredmény'!$A$2:$A$201,$N175))</f>
        <v/>
      </c>
      <c r="C175" s="9">
        <f>IF($N175="","",INDEX('Eredmény'!$M$2:$M$201,$N175))</f>
        <v/>
      </c>
      <c r="D175" s="8">
        <f>IF($N175="","",INDEX('Eredmény'!$O$2:$O$201,$N175))</f>
        <v/>
      </c>
      <c r="E175" s="8">
        <f>IF($N175="","",INDEX('Eredmény'!$P$2:$P$201,$N175))</f>
        <v/>
      </c>
      <c r="F175" s="10">
        <f>IF($N175="","",INDEX('Eredmény'!$V$2:$V$201,$N175))</f>
        <v/>
      </c>
      <c r="G175" s="10">
        <f>IF($N175="","",INDEX('Eredmény'!$X$2:$X$201,$N175))</f>
        <v/>
      </c>
      <c r="H175" s="10">
        <f>IF($N175="","",INDEX('Eredmény'!$Y$2:$Y$201,$N175))</f>
        <v/>
      </c>
      <c r="I175" s="11">
        <f>IF($N175="","",INDEX('Eredmény'!$Z$2:$Z$201,$N175))</f>
        <v/>
      </c>
      <c r="J175" s="8">
        <f>IF($N175="","",INDEX('Eredmény'!$Q$2:$Q$201,$N175))</f>
        <v/>
      </c>
      <c r="K175" s="8">
        <f>IF($N175="","",INDEX('Eredmény'!$R$2:$R$201,$N175))</f>
        <v/>
      </c>
      <c r="L175" s="7">
        <f>IF($N175="","",INDEX('Eredmény'!$AB$2:$AB$201,$N175))</f>
        <v/>
      </c>
      <c r="N175">
        <f>IFERROR(MATCH(LARGE('Eredmény'!$AZ$2:$AZ$201,171),'Eredmény'!$AZ$2:$AZ$201,0),"")</f>
        <v/>
      </c>
    </row>
    <row r="176">
      <c r="A176" s="7">
        <f>IF($N176="","",INDEX('Eredmény'!$N$2:$N$201,$N176))</f>
        <v/>
      </c>
      <c r="B176" s="8">
        <f>IF($N176="","",INDEX('Eredmény'!$A$2:$A$201,$N176))</f>
        <v/>
      </c>
      <c r="C176" s="9">
        <f>IF($N176="","",INDEX('Eredmény'!$M$2:$M$201,$N176))</f>
        <v/>
      </c>
      <c r="D176" s="8">
        <f>IF($N176="","",INDEX('Eredmény'!$O$2:$O$201,$N176))</f>
        <v/>
      </c>
      <c r="E176" s="8">
        <f>IF($N176="","",INDEX('Eredmény'!$P$2:$P$201,$N176))</f>
        <v/>
      </c>
      <c r="F176" s="10">
        <f>IF($N176="","",INDEX('Eredmény'!$V$2:$V$201,$N176))</f>
        <v/>
      </c>
      <c r="G176" s="10">
        <f>IF($N176="","",INDEX('Eredmény'!$X$2:$X$201,$N176))</f>
        <v/>
      </c>
      <c r="H176" s="10">
        <f>IF($N176="","",INDEX('Eredmény'!$Y$2:$Y$201,$N176))</f>
        <v/>
      </c>
      <c r="I176" s="11">
        <f>IF($N176="","",INDEX('Eredmény'!$Z$2:$Z$201,$N176))</f>
        <v/>
      </c>
      <c r="J176" s="8">
        <f>IF($N176="","",INDEX('Eredmény'!$Q$2:$Q$201,$N176))</f>
        <v/>
      </c>
      <c r="K176" s="8">
        <f>IF($N176="","",INDEX('Eredmény'!$R$2:$R$201,$N176))</f>
        <v/>
      </c>
      <c r="L176" s="7">
        <f>IF($N176="","",INDEX('Eredmény'!$AB$2:$AB$201,$N176))</f>
        <v/>
      </c>
      <c r="N176">
        <f>IFERROR(MATCH(LARGE('Eredmény'!$AZ$2:$AZ$201,172),'Eredmény'!$AZ$2:$AZ$201,0),"")</f>
        <v/>
      </c>
    </row>
    <row r="177">
      <c r="A177" s="7">
        <f>IF($N177="","",INDEX('Eredmény'!$N$2:$N$201,$N177))</f>
        <v/>
      </c>
      <c r="B177" s="8">
        <f>IF($N177="","",INDEX('Eredmény'!$A$2:$A$201,$N177))</f>
        <v/>
      </c>
      <c r="C177" s="9">
        <f>IF($N177="","",INDEX('Eredmény'!$M$2:$M$201,$N177))</f>
        <v/>
      </c>
      <c r="D177" s="8">
        <f>IF($N177="","",INDEX('Eredmény'!$O$2:$O$201,$N177))</f>
        <v/>
      </c>
      <c r="E177" s="8">
        <f>IF($N177="","",INDEX('Eredmény'!$P$2:$P$201,$N177))</f>
        <v/>
      </c>
      <c r="F177" s="10">
        <f>IF($N177="","",INDEX('Eredmény'!$V$2:$V$201,$N177))</f>
        <v/>
      </c>
      <c r="G177" s="10">
        <f>IF($N177="","",INDEX('Eredmény'!$X$2:$X$201,$N177))</f>
        <v/>
      </c>
      <c r="H177" s="10">
        <f>IF($N177="","",INDEX('Eredmény'!$Y$2:$Y$201,$N177))</f>
        <v/>
      </c>
      <c r="I177" s="11">
        <f>IF($N177="","",INDEX('Eredmény'!$Z$2:$Z$201,$N177))</f>
        <v/>
      </c>
      <c r="J177" s="8">
        <f>IF($N177="","",INDEX('Eredmény'!$Q$2:$Q$201,$N177))</f>
        <v/>
      </c>
      <c r="K177" s="8">
        <f>IF($N177="","",INDEX('Eredmény'!$R$2:$R$201,$N177))</f>
        <v/>
      </c>
      <c r="L177" s="7">
        <f>IF($N177="","",INDEX('Eredmény'!$AB$2:$AB$201,$N177))</f>
        <v/>
      </c>
      <c r="N177">
        <f>IFERROR(MATCH(LARGE('Eredmény'!$AZ$2:$AZ$201,173),'Eredmény'!$AZ$2:$AZ$201,0),"")</f>
        <v/>
      </c>
    </row>
    <row r="178">
      <c r="A178" s="7">
        <f>IF($N178="","",INDEX('Eredmény'!$N$2:$N$201,$N178))</f>
        <v/>
      </c>
      <c r="B178" s="8">
        <f>IF($N178="","",INDEX('Eredmény'!$A$2:$A$201,$N178))</f>
        <v/>
      </c>
      <c r="C178" s="9">
        <f>IF($N178="","",INDEX('Eredmény'!$M$2:$M$201,$N178))</f>
        <v/>
      </c>
      <c r="D178" s="8">
        <f>IF($N178="","",INDEX('Eredmény'!$O$2:$O$201,$N178))</f>
        <v/>
      </c>
      <c r="E178" s="8">
        <f>IF($N178="","",INDEX('Eredmény'!$P$2:$P$201,$N178))</f>
        <v/>
      </c>
      <c r="F178" s="10">
        <f>IF($N178="","",INDEX('Eredmény'!$V$2:$V$201,$N178))</f>
        <v/>
      </c>
      <c r="G178" s="10">
        <f>IF($N178="","",INDEX('Eredmény'!$X$2:$X$201,$N178))</f>
        <v/>
      </c>
      <c r="H178" s="10">
        <f>IF($N178="","",INDEX('Eredmény'!$Y$2:$Y$201,$N178))</f>
        <v/>
      </c>
      <c r="I178" s="11">
        <f>IF($N178="","",INDEX('Eredmény'!$Z$2:$Z$201,$N178))</f>
        <v/>
      </c>
      <c r="J178" s="8">
        <f>IF($N178="","",INDEX('Eredmény'!$Q$2:$Q$201,$N178))</f>
        <v/>
      </c>
      <c r="K178" s="8">
        <f>IF($N178="","",INDEX('Eredmény'!$R$2:$R$201,$N178))</f>
        <v/>
      </c>
      <c r="L178" s="7">
        <f>IF($N178="","",INDEX('Eredmény'!$AB$2:$AB$201,$N178))</f>
        <v/>
      </c>
      <c r="N178">
        <f>IFERROR(MATCH(LARGE('Eredmény'!$AZ$2:$AZ$201,174),'Eredmény'!$AZ$2:$AZ$201,0),"")</f>
        <v/>
      </c>
    </row>
    <row r="179">
      <c r="A179" s="7">
        <f>IF($N179="","",INDEX('Eredmény'!$N$2:$N$201,$N179))</f>
        <v/>
      </c>
      <c r="B179" s="8">
        <f>IF($N179="","",INDEX('Eredmény'!$A$2:$A$201,$N179))</f>
        <v/>
      </c>
      <c r="C179" s="9">
        <f>IF($N179="","",INDEX('Eredmény'!$M$2:$M$201,$N179))</f>
        <v/>
      </c>
      <c r="D179" s="8">
        <f>IF($N179="","",INDEX('Eredmény'!$O$2:$O$201,$N179))</f>
        <v/>
      </c>
      <c r="E179" s="8">
        <f>IF($N179="","",INDEX('Eredmény'!$P$2:$P$201,$N179))</f>
        <v/>
      </c>
      <c r="F179" s="10">
        <f>IF($N179="","",INDEX('Eredmény'!$V$2:$V$201,$N179))</f>
        <v/>
      </c>
      <c r="G179" s="10">
        <f>IF($N179="","",INDEX('Eredmény'!$X$2:$X$201,$N179))</f>
        <v/>
      </c>
      <c r="H179" s="10">
        <f>IF($N179="","",INDEX('Eredmény'!$Y$2:$Y$201,$N179))</f>
        <v/>
      </c>
      <c r="I179" s="11">
        <f>IF($N179="","",INDEX('Eredmény'!$Z$2:$Z$201,$N179))</f>
        <v/>
      </c>
      <c r="J179" s="8">
        <f>IF($N179="","",INDEX('Eredmény'!$Q$2:$Q$201,$N179))</f>
        <v/>
      </c>
      <c r="K179" s="8">
        <f>IF($N179="","",INDEX('Eredmény'!$R$2:$R$201,$N179))</f>
        <v/>
      </c>
      <c r="L179" s="7">
        <f>IF($N179="","",INDEX('Eredmény'!$AB$2:$AB$201,$N179))</f>
        <v/>
      </c>
      <c r="N179">
        <f>IFERROR(MATCH(LARGE('Eredmény'!$AZ$2:$AZ$201,175),'Eredmény'!$AZ$2:$AZ$201,0),"")</f>
        <v/>
      </c>
    </row>
    <row r="180">
      <c r="A180" s="7">
        <f>IF($N180="","",INDEX('Eredmény'!$N$2:$N$201,$N180))</f>
        <v/>
      </c>
      <c r="B180" s="8">
        <f>IF($N180="","",INDEX('Eredmény'!$A$2:$A$201,$N180))</f>
        <v/>
      </c>
      <c r="C180" s="9">
        <f>IF($N180="","",INDEX('Eredmény'!$M$2:$M$201,$N180))</f>
        <v/>
      </c>
      <c r="D180" s="8">
        <f>IF($N180="","",INDEX('Eredmény'!$O$2:$O$201,$N180))</f>
        <v/>
      </c>
      <c r="E180" s="8">
        <f>IF($N180="","",INDEX('Eredmény'!$P$2:$P$201,$N180))</f>
        <v/>
      </c>
      <c r="F180" s="10">
        <f>IF($N180="","",INDEX('Eredmény'!$V$2:$V$201,$N180))</f>
        <v/>
      </c>
      <c r="G180" s="10">
        <f>IF($N180="","",INDEX('Eredmény'!$X$2:$X$201,$N180))</f>
        <v/>
      </c>
      <c r="H180" s="10">
        <f>IF($N180="","",INDEX('Eredmény'!$Y$2:$Y$201,$N180))</f>
        <v/>
      </c>
      <c r="I180" s="11">
        <f>IF($N180="","",INDEX('Eredmény'!$Z$2:$Z$201,$N180))</f>
        <v/>
      </c>
      <c r="J180" s="8">
        <f>IF($N180="","",INDEX('Eredmény'!$Q$2:$Q$201,$N180))</f>
        <v/>
      </c>
      <c r="K180" s="8">
        <f>IF($N180="","",INDEX('Eredmény'!$R$2:$R$201,$N180))</f>
        <v/>
      </c>
      <c r="L180" s="7">
        <f>IF($N180="","",INDEX('Eredmény'!$AB$2:$AB$201,$N180))</f>
        <v/>
      </c>
      <c r="N180">
        <f>IFERROR(MATCH(LARGE('Eredmény'!$AZ$2:$AZ$201,176),'Eredmény'!$AZ$2:$AZ$201,0),"")</f>
        <v/>
      </c>
    </row>
    <row r="181">
      <c r="A181" s="7">
        <f>IF($N181="","",INDEX('Eredmény'!$N$2:$N$201,$N181))</f>
        <v/>
      </c>
      <c r="B181" s="8">
        <f>IF($N181="","",INDEX('Eredmény'!$A$2:$A$201,$N181))</f>
        <v/>
      </c>
      <c r="C181" s="9">
        <f>IF($N181="","",INDEX('Eredmény'!$M$2:$M$201,$N181))</f>
        <v/>
      </c>
      <c r="D181" s="8">
        <f>IF($N181="","",INDEX('Eredmény'!$O$2:$O$201,$N181))</f>
        <v/>
      </c>
      <c r="E181" s="8">
        <f>IF($N181="","",INDEX('Eredmény'!$P$2:$P$201,$N181))</f>
        <v/>
      </c>
      <c r="F181" s="10">
        <f>IF($N181="","",INDEX('Eredmény'!$V$2:$V$201,$N181))</f>
        <v/>
      </c>
      <c r="G181" s="10">
        <f>IF($N181="","",INDEX('Eredmény'!$X$2:$X$201,$N181))</f>
        <v/>
      </c>
      <c r="H181" s="10">
        <f>IF($N181="","",INDEX('Eredmény'!$Y$2:$Y$201,$N181))</f>
        <v/>
      </c>
      <c r="I181" s="11">
        <f>IF($N181="","",INDEX('Eredmény'!$Z$2:$Z$201,$N181))</f>
        <v/>
      </c>
      <c r="J181" s="8">
        <f>IF($N181="","",INDEX('Eredmény'!$Q$2:$Q$201,$N181))</f>
        <v/>
      </c>
      <c r="K181" s="8">
        <f>IF($N181="","",INDEX('Eredmény'!$R$2:$R$201,$N181))</f>
        <v/>
      </c>
      <c r="L181" s="7">
        <f>IF($N181="","",INDEX('Eredmény'!$AB$2:$AB$201,$N181))</f>
        <v/>
      </c>
      <c r="N181">
        <f>IFERROR(MATCH(LARGE('Eredmény'!$AZ$2:$AZ$201,177),'Eredmény'!$AZ$2:$AZ$201,0),"")</f>
        <v/>
      </c>
    </row>
    <row r="182">
      <c r="A182" s="7">
        <f>IF($N182="","",INDEX('Eredmény'!$N$2:$N$201,$N182))</f>
        <v/>
      </c>
      <c r="B182" s="8">
        <f>IF($N182="","",INDEX('Eredmény'!$A$2:$A$201,$N182))</f>
        <v/>
      </c>
      <c r="C182" s="9">
        <f>IF($N182="","",INDEX('Eredmény'!$M$2:$M$201,$N182))</f>
        <v/>
      </c>
      <c r="D182" s="8">
        <f>IF($N182="","",INDEX('Eredmény'!$O$2:$O$201,$N182))</f>
        <v/>
      </c>
      <c r="E182" s="8">
        <f>IF($N182="","",INDEX('Eredmény'!$P$2:$P$201,$N182))</f>
        <v/>
      </c>
      <c r="F182" s="10">
        <f>IF($N182="","",INDEX('Eredmény'!$V$2:$V$201,$N182))</f>
        <v/>
      </c>
      <c r="G182" s="10">
        <f>IF($N182="","",INDEX('Eredmény'!$X$2:$X$201,$N182))</f>
        <v/>
      </c>
      <c r="H182" s="10">
        <f>IF($N182="","",INDEX('Eredmény'!$Y$2:$Y$201,$N182))</f>
        <v/>
      </c>
      <c r="I182" s="11">
        <f>IF($N182="","",INDEX('Eredmény'!$Z$2:$Z$201,$N182))</f>
        <v/>
      </c>
      <c r="J182" s="8">
        <f>IF($N182="","",INDEX('Eredmény'!$Q$2:$Q$201,$N182))</f>
        <v/>
      </c>
      <c r="K182" s="8">
        <f>IF($N182="","",INDEX('Eredmény'!$R$2:$R$201,$N182))</f>
        <v/>
      </c>
      <c r="L182" s="7">
        <f>IF($N182="","",INDEX('Eredmény'!$AB$2:$AB$201,$N182))</f>
        <v/>
      </c>
      <c r="N182">
        <f>IFERROR(MATCH(LARGE('Eredmény'!$AZ$2:$AZ$201,178),'Eredmény'!$AZ$2:$AZ$201,0),"")</f>
        <v/>
      </c>
    </row>
    <row r="183">
      <c r="A183" s="7">
        <f>IF($N183="","",INDEX('Eredmény'!$N$2:$N$201,$N183))</f>
        <v/>
      </c>
      <c r="B183" s="8">
        <f>IF($N183="","",INDEX('Eredmény'!$A$2:$A$201,$N183))</f>
        <v/>
      </c>
      <c r="C183" s="9">
        <f>IF($N183="","",INDEX('Eredmény'!$M$2:$M$201,$N183))</f>
        <v/>
      </c>
      <c r="D183" s="8">
        <f>IF($N183="","",INDEX('Eredmény'!$O$2:$O$201,$N183))</f>
        <v/>
      </c>
      <c r="E183" s="8">
        <f>IF($N183="","",INDEX('Eredmény'!$P$2:$P$201,$N183))</f>
        <v/>
      </c>
      <c r="F183" s="10">
        <f>IF($N183="","",INDEX('Eredmény'!$V$2:$V$201,$N183))</f>
        <v/>
      </c>
      <c r="G183" s="10">
        <f>IF($N183="","",INDEX('Eredmény'!$X$2:$X$201,$N183))</f>
        <v/>
      </c>
      <c r="H183" s="10">
        <f>IF($N183="","",INDEX('Eredmény'!$Y$2:$Y$201,$N183))</f>
        <v/>
      </c>
      <c r="I183" s="11">
        <f>IF($N183="","",INDEX('Eredmény'!$Z$2:$Z$201,$N183))</f>
        <v/>
      </c>
      <c r="J183" s="8">
        <f>IF($N183="","",INDEX('Eredmény'!$Q$2:$Q$201,$N183))</f>
        <v/>
      </c>
      <c r="K183" s="8">
        <f>IF($N183="","",INDEX('Eredmény'!$R$2:$R$201,$N183))</f>
        <v/>
      </c>
      <c r="L183" s="7">
        <f>IF($N183="","",INDEX('Eredmény'!$AB$2:$AB$201,$N183))</f>
        <v/>
      </c>
      <c r="N183">
        <f>IFERROR(MATCH(LARGE('Eredmény'!$AZ$2:$AZ$201,179),'Eredmény'!$AZ$2:$AZ$201,0),"")</f>
        <v/>
      </c>
    </row>
    <row r="184">
      <c r="A184" s="7">
        <f>IF($N184="","",INDEX('Eredmény'!$N$2:$N$201,$N184))</f>
        <v/>
      </c>
      <c r="B184" s="8">
        <f>IF($N184="","",INDEX('Eredmény'!$A$2:$A$201,$N184))</f>
        <v/>
      </c>
      <c r="C184" s="9">
        <f>IF($N184="","",INDEX('Eredmény'!$M$2:$M$201,$N184))</f>
        <v/>
      </c>
      <c r="D184" s="8">
        <f>IF($N184="","",INDEX('Eredmény'!$O$2:$O$201,$N184))</f>
        <v/>
      </c>
      <c r="E184" s="8">
        <f>IF($N184="","",INDEX('Eredmény'!$P$2:$P$201,$N184))</f>
        <v/>
      </c>
      <c r="F184" s="10">
        <f>IF($N184="","",INDEX('Eredmény'!$V$2:$V$201,$N184))</f>
        <v/>
      </c>
      <c r="G184" s="10">
        <f>IF($N184="","",INDEX('Eredmény'!$X$2:$X$201,$N184))</f>
        <v/>
      </c>
      <c r="H184" s="10">
        <f>IF($N184="","",INDEX('Eredmény'!$Y$2:$Y$201,$N184))</f>
        <v/>
      </c>
      <c r="I184" s="11">
        <f>IF($N184="","",INDEX('Eredmény'!$Z$2:$Z$201,$N184))</f>
        <v/>
      </c>
      <c r="J184" s="8">
        <f>IF($N184="","",INDEX('Eredmény'!$Q$2:$Q$201,$N184))</f>
        <v/>
      </c>
      <c r="K184" s="8">
        <f>IF($N184="","",INDEX('Eredmény'!$R$2:$R$201,$N184))</f>
        <v/>
      </c>
      <c r="L184" s="7">
        <f>IF($N184="","",INDEX('Eredmény'!$AB$2:$AB$201,$N184))</f>
        <v/>
      </c>
      <c r="N184">
        <f>IFERROR(MATCH(LARGE('Eredmény'!$AZ$2:$AZ$201,180),'Eredmény'!$AZ$2:$AZ$201,0),"")</f>
        <v/>
      </c>
    </row>
    <row r="185">
      <c r="A185" s="7">
        <f>IF($N185="","",INDEX('Eredmény'!$N$2:$N$201,$N185))</f>
        <v/>
      </c>
      <c r="B185" s="8">
        <f>IF($N185="","",INDEX('Eredmény'!$A$2:$A$201,$N185))</f>
        <v/>
      </c>
      <c r="C185" s="9">
        <f>IF($N185="","",INDEX('Eredmény'!$M$2:$M$201,$N185))</f>
        <v/>
      </c>
      <c r="D185" s="8">
        <f>IF($N185="","",INDEX('Eredmény'!$O$2:$O$201,$N185))</f>
        <v/>
      </c>
      <c r="E185" s="8">
        <f>IF($N185="","",INDEX('Eredmény'!$P$2:$P$201,$N185))</f>
        <v/>
      </c>
      <c r="F185" s="10">
        <f>IF($N185="","",INDEX('Eredmény'!$V$2:$V$201,$N185))</f>
        <v/>
      </c>
      <c r="G185" s="10">
        <f>IF($N185="","",INDEX('Eredmény'!$X$2:$X$201,$N185))</f>
        <v/>
      </c>
      <c r="H185" s="10">
        <f>IF($N185="","",INDEX('Eredmény'!$Y$2:$Y$201,$N185))</f>
        <v/>
      </c>
      <c r="I185" s="11">
        <f>IF($N185="","",INDEX('Eredmény'!$Z$2:$Z$201,$N185))</f>
        <v/>
      </c>
      <c r="J185" s="8">
        <f>IF($N185="","",INDEX('Eredmény'!$Q$2:$Q$201,$N185))</f>
        <v/>
      </c>
      <c r="K185" s="8">
        <f>IF($N185="","",INDEX('Eredmény'!$R$2:$R$201,$N185))</f>
        <v/>
      </c>
      <c r="L185" s="7">
        <f>IF($N185="","",INDEX('Eredmény'!$AB$2:$AB$201,$N185))</f>
        <v/>
      </c>
      <c r="N185">
        <f>IFERROR(MATCH(LARGE('Eredmény'!$AZ$2:$AZ$201,181),'Eredmény'!$AZ$2:$AZ$201,0),"")</f>
        <v/>
      </c>
    </row>
    <row r="186">
      <c r="A186" s="7">
        <f>IF($N186="","",INDEX('Eredmény'!$N$2:$N$201,$N186))</f>
        <v/>
      </c>
      <c r="B186" s="8">
        <f>IF($N186="","",INDEX('Eredmény'!$A$2:$A$201,$N186))</f>
        <v/>
      </c>
      <c r="C186" s="9">
        <f>IF($N186="","",INDEX('Eredmény'!$M$2:$M$201,$N186))</f>
        <v/>
      </c>
      <c r="D186" s="8">
        <f>IF($N186="","",INDEX('Eredmény'!$O$2:$O$201,$N186))</f>
        <v/>
      </c>
      <c r="E186" s="8">
        <f>IF($N186="","",INDEX('Eredmény'!$P$2:$P$201,$N186))</f>
        <v/>
      </c>
      <c r="F186" s="10">
        <f>IF($N186="","",INDEX('Eredmény'!$V$2:$V$201,$N186))</f>
        <v/>
      </c>
      <c r="G186" s="10">
        <f>IF($N186="","",INDEX('Eredmény'!$X$2:$X$201,$N186))</f>
        <v/>
      </c>
      <c r="H186" s="10">
        <f>IF($N186="","",INDEX('Eredmény'!$Y$2:$Y$201,$N186))</f>
        <v/>
      </c>
      <c r="I186" s="11">
        <f>IF($N186="","",INDEX('Eredmény'!$Z$2:$Z$201,$N186))</f>
        <v/>
      </c>
      <c r="J186" s="8">
        <f>IF($N186="","",INDEX('Eredmény'!$Q$2:$Q$201,$N186))</f>
        <v/>
      </c>
      <c r="K186" s="8">
        <f>IF($N186="","",INDEX('Eredmény'!$R$2:$R$201,$N186))</f>
        <v/>
      </c>
      <c r="L186" s="7">
        <f>IF($N186="","",INDEX('Eredmény'!$AB$2:$AB$201,$N186))</f>
        <v/>
      </c>
      <c r="N186">
        <f>IFERROR(MATCH(LARGE('Eredmény'!$AZ$2:$AZ$201,182),'Eredmény'!$AZ$2:$AZ$201,0),"")</f>
        <v/>
      </c>
    </row>
    <row r="187">
      <c r="A187" s="7">
        <f>IF($N187="","",INDEX('Eredmény'!$N$2:$N$201,$N187))</f>
        <v/>
      </c>
      <c r="B187" s="8">
        <f>IF($N187="","",INDEX('Eredmény'!$A$2:$A$201,$N187))</f>
        <v/>
      </c>
      <c r="C187" s="9">
        <f>IF($N187="","",INDEX('Eredmény'!$M$2:$M$201,$N187))</f>
        <v/>
      </c>
      <c r="D187" s="8">
        <f>IF($N187="","",INDEX('Eredmény'!$O$2:$O$201,$N187))</f>
        <v/>
      </c>
      <c r="E187" s="8">
        <f>IF($N187="","",INDEX('Eredmény'!$P$2:$P$201,$N187))</f>
        <v/>
      </c>
      <c r="F187" s="10">
        <f>IF($N187="","",INDEX('Eredmény'!$V$2:$V$201,$N187))</f>
        <v/>
      </c>
      <c r="G187" s="10">
        <f>IF($N187="","",INDEX('Eredmény'!$X$2:$X$201,$N187))</f>
        <v/>
      </c>
      <c r="H187" s="10">
        <f>IF($N187="","",INDEX('Eredmény'!$Y$2:$Y$201,$N187))</f>
        <v/>
      </c>
      <c r="I187" s="11">
        <f>IF($N187="","",INDEX('Eredmény'!$Z$2:$Z$201,$N187))</f>
        <v/>
      </c>
      <c r="J187" s="8">
        <f>IF($N187="","",INDEX('Eredmény'!$Q$2:$Q$201,$N187))</f>
        <v/>
      </c>
      <c r="K187" s="8">
        <f>IF($N187="","",INDEX('Eredmény'!$R$2:$R$201,$N187))</f>
        <v/>
      </c>
      <c r="L187" s="7">
        <f>IF($N187="","",INDEX('Eredmény'!$AB$2:$AB$201,$N187))</f>
        <v/>
      </c>
      <c r="N187">
        <f>IFERROR(MATCH(LARGE('Eredmény'!$AZ$2:$AZ$201,183),'Eredmény'!$AZ$2:$AZ$201,0),"")</f>
        <v/>
      </c>
    </row>
    <row r="188">
      <c r="A188" s="7">
        <f>IF($N188="","",INDEX('Eredmény'!$N$2:$N$201,$N188))</f>
        <v/>
      </c>
      <c r="B188" s="8">
        <f>IF($N188="","",INDEX('Eredmény'!$A$2:$A$201,$N188))</f>
        <v/>
      </c>
      <c r="C188" s="9">
        <f>IF($N188="","",INDEX('Eredmény'!$M$2:$M$201,$N188))</f>
        <v/>
      </c>
      <c r="D188" s="8">
        <f>IF($N188="","",INDEX('Eredmény'!$O$2:$O$201,$N188))</f>
        <v/>
      </c>
      <c r="E188" s="8">
        <f>IF($N188="","",INDEX('Eredmény'!$P$2:$P$201,$N188))</f>
        <v/>
      </c>
      <c r="F188" s="10">
        <f>IF($N188="","",INDEX('Eredmény'!$V$2:$V$201,$N188))</f>
        <v/>
      </c>
      <c r="G188" s="10">
        <f>IF($N188="","",INDEX('Eredmény'!$X$2:$X$201,$N188))</f>
        <v/>
      </c>
      <c r="H188" s="10">
        <f>IF($N188="","",INDEX('Eredmény'!$Y$2:$Y$201,$N188))</f>
        <v/>
      </c>
      <c r="I188" s="11">
        <f>IF($N188="","",INDEX('Eredmény'!$Z$2:$Z$201,$N188))</f>
        <v/>
      </c>
      <c r="J188" s="8">
        <f>IF($N188="","",INDEX('Eredmény'!$Q$2:$Q$201,$N188))</f>
        <v/>
      </c>
      <c r="K188" s="8">
        <f>IF($N188="","",INDEX('Eredmény'!$R$2:$R$201,$N188))</f>
        <v/>
      </c>
      <c r="L188" s="7">
        <f>IF($N188="","",INDEX('Eredmény'!$AB$2:$AB$201,$N188))</f>
        <v/>
      </c>
      <c r="N188">
        <f>IFERROR(MATCH(LARGE('Eredmény'!$AZ$2:$AZ$201,184),'Eredmény'!$AZ$2:$AZ$201,0),"")</f>
        <v/>
      </c>
    </row>
    <row r="189">
      <c r="A189" s="7">
        <f>IF($N189="","",INDEX('Eredmény'!$N$2:$N$201,$N189))</f>
        <v/>
      </c>
      <c r="B189" s="8">
        <f>IF($N189="","",INDEX('Eredmény'!$A$2:$A$201,$N189))</f>
        <v/>
      </c>
      <c r="C189" s="9">
        <f>IF($N189="","",INDEX('Eredmény'!$M$2:$M$201,$N189))</f>
        <v/>
      </c>
      <c r="D189" s="8">
        <f>IF($N189="","",INDEX('Eredmény'!$O$2:$O$201,$N189))</f>
        <v/>
      </c>
      <c r="E189" s="8">
        <f>IF($N189="","",INDEX('Eredmény'!$P$2:$P$201,$N189))</f>
        <v/>
      </c>
      <c r="F189" s="10">
        <f>IF($N189="","",INDEX('Eredmény'!$V$2:$V$201,$N189))</f>
        <v/>
      </c>
      <c r="G189" s="10">
        <f>IF($N189="","",INDEX('Eredmény'!$X$2:$X$201,$N189))</f>
        <v/>
      </c>
      <c r="H189" s="10">
        <f>IF($N189="","",INDEX('Eredmény'!$Y$2:$Y$201,$N189))</f>
        <v/>
      </c>
      <c r="I189" s="11">
        <f>IF($N189="","",INDEX('Eredmény'!$Z$2:$Z$201,$N189))</f>
        <v/>
      </c>
      <c r="J189" s="8">
        <f>IF($N189="","",INDEX('Eredmény'!$Q$2:$Q$201,$N189))</f>
        <v/>
      </c>
      <c r="K189" s="8">
        <f>IF($N189="","",INDEX('Eredmény'!$R$2:$R$201,$N189))</f>
        <v/>
      </c>
      <c r="L189" s="7">
        <f>IF($N189="","",INDEX('Eredmény'!$AB$2:$AB$201,$N189))</f>
        <v/>
      </c>
      <c r="N189">
        <f>IFERROR(MATCH(LARGE('Eredmény'!$AZ$2:$AZ$201,185),'Eredmény'!$AZ$2:$AZ$201,0),"")</f>
        <v/>
      </c>
    </row>
    <row r="190">
      <c r="A190" s="7">
        <f>IF($N190="","",INDEX('Eredmény'!$N$2:$N$201,$N190))</f>
        <v/>
      </c>
      <c r="B190" s="8">
        <f>IF($N190="","",INDEX('Eredmény'!$A$2:$A$201,$N190))</f>
        <v/>
      </c>
      <c r="C190" s="9">
        <f>IF($N190="","",INDEX('Eredmény'!$M$2:$M$201,$N190))</f>
        <v/>
      </c>
      <c r="D190" s="8">
        <f>IF($N190="","",INDEX('Eredmény'!$O$2:$O$201,$N190))</f>
        <v/>
      </c>
      <c r="E190" s="8">
        <f>IF($N190="","",INDEX('Eredmény'!$P$2:$P$201,$N190))</f>
        <v/>
      </c>
      <c r="F190" s="10">
        <f>IF($N190="","",INDEX('Eredmény'!$V$2:$V$201,$N190))</f>
        <v/>
      </c>
      <c r="G190" s="10">
        <f>IF($N190="","",INDEX('Eredmény'!$X$2:$X$201,$N190))</f>
        <v/>
      </c>
      <c r="H190" s="10">
        <f>IF($N190="","",INDEX('Eredmény'!$Y$2:$Y$201,$N190))</f>
        <v/>
      </c>
      <c r="I190" s="11">
        <f>IF($N190="","",INDEX('Eredmény'!$Z$2:$Z$201,$N190))</f>
        <v/>
      </c>
      <c r="J190" s="8">
        <f>IF($N190="","",INDEX('Eredmény'!$Q$2:$Q$201,$N190))</f>
        <v/>
      </c>
      <c r="K190" s="8">
        <f>IF($N190="","",INDEX('Eredmény'!$R$2:$R$201,$N190))</f>
        <v/>
      </c>
      <c r="L190" s="7">
        <f>IF($N190="","",INDEX('Eredmény'!$AB$2:$AB$201,$N190))</f>
        <v/>
      </c>
      <c r="N190">
        <f>IFERROR(MATCH(LARGE('Eredmény'!$AZ$2:$AZ$201,186),'Eredmény'!$AZ$2:$AZ$201,0),"")</f>
        <v/>
      </c>
    </row>
    <row r="191">
      <c r="A191" s="7">
        <f>IF($N191="","",INDEX('Eredmény'!$N$2:$N$201,$N191))</f>
        <v/>
      </c>
      <c r="B191" s="8">
        <f>IF($N191="","",INDEX('Eredmény'!$A$2:$A$201,$N191))</f>
        <v/>
      </c>
      <c r="C191" s="9">
        <f>IF($N191="","",INDEX('Eredmény'!$M$2:$M$201,$N191))</f>
        <v/>
      </c>
      <c r="D191" s="8">
        <f>IF($N191="","",INDEX('Eredmény'!$O$2:$O$201,$N191))</f>
        <v/>
      </c>
      <c r="E191" s="8">
        <f>IF($N191="","",INDEX('Eredmény'!$P$2:$P$201,$N191))</f>
        <v/>
      </c>
      <c r="F191" s="10">
        <f>IF($N191="","",INDEX('Eredmény'!$V$2:$V$201,$N191))</f>
        <v/>
      </c>
      <c r="G191" s="10">
        <f>IF($N191="","",INDEX('Eredmény'!$X$2:$X$201,$N191))</f>
        <v/>
      </c>
      <c r="H191" s="10">
        <f>IF($N191="","",INDEX('Eredmény'!$Y$2:$Y$201,$N191))</f>
        <v/>
      </c>
      <c r="I191" s="11">
        <f>IF($N191="","",INDEX('Eredmény'!$Z$2:$Z$201,$N191))</f>
        <v/>
      </c>
      <c r="J191" s="8">
        <f>IF($N191="","",INDEX('Eredmény'!$Q$2:$Q$201,$N191))</f>
        <v/>
      </c>
      <c r="K191" s="8">
        <f>IF($N191="","",INDEX('Eredmény'!$R$2:$R$201,$N191))</f>
        <v/>
      </c>
      <c r="L191" s="7">
        <f>IF($N191="","",INDEX('Eredmény'!$AB$2:$AB$201,$N191))</f>
        <v/>
      </c>
      <c r="N191">
        <f>IFERROR(MATCH(LARGE('Eredmény'!$AZ$2:$AZ$201,187),'Eredmény'!$AZ$2:$AZ$201,0),"")</f>
        <v/>
      </c>
    </row>
    <row r="192">
      <c r="A192" s="7">
        <f>IF($N192="","",INDEX('Eredmény'!$N$2:$N$201,$N192))</f>
        <v/>
      </c>
      <c r="B192" s="8">
        <f>IF($N192="","",INDEX('Eredmény'!$A$2:$A$201,$N192))</f>
        <v/>
      </c>
      <c r="C192" s="9">
        <f>IF($N192="","",INDEX('Eredmény'!$M$2:$M$201,$N192))</f>
        <v/>
      </c>
      <c r="D192" s="8">
        <f>IF($N192="","",INDEX('Eredmény'!$O$2:$O$201,$N192))</f>
        <v/>
      </c>
      <c r="E192" s="8">
        <f>IF($N192="","",INDEX('Eredmény'!$P$2:$P$201,$N192))</f>
        <v/>
      </c>
      <c r="F192" s="10">
        <f>IF($N192="","",INDEX('Eredmény'!$V$2:$V$201,$N192))</f>
        <v/>
      </c>
      <c r="G192" s="10">
        <f>IF($N192="","",INDEX('Eredmény'!$X$2:$X$201,$N192))</f>
        <v/>
      </c>
      <c r="H192" s="10">
        <f>IF($N192="","",INDEX('Eredmény'!$Y$2:$Y$201,$N192))</f>
        <v/>
      </c>
      <c r="I192" s="11">
        <f>IF($N192="","",INDEX('Eredmény'!$Z$2:$Z$201,$N192))</f>
        <v/>
      </c>
      <c r="J192" s="8">
        <f>IF($N192="","",INDEX('Eredmény'!$Q$2:$Q$201,$N192))</f>
        <v/>
      </c>
      <c r="K192" s="8">
        <f>IF($N192="","",INDEX('Eredmény'!$R$2:$R$201,$N192))</f>
        <v/>
      </c>
      <c r="L192" s="7">
        <f>IF($N192="","",INDEX('Eredmény'!$AB$2:$AB$201,$N192))</f>
        <v/>
      </c>
      <c r="N192">
        <f>IFERROR(MATCH(LARGE('Eredmény'!$AZ$2:$AZ$201,188),'Eredmény'!$AZ$2:$AZ$201,0),"")</f>
        <v/>
      </c>
    </row>
    <row r="193">
      <c r="A193" s="7">
        <f>IF($N193="","",INDEX('Eredmény'!$N$2:$N$201,$N193))</f>
        <v/>
      </c>
      <c r="B193" s="8">
        <f>IF($N193="","",INDEX('Eredmény'!$A$2:$A$201,$N193))</f>
        <v/>
      </c>
      <c r="C193" s="9">
        <f>IF($N193="","",INDEX('Eredmény'!$M$2:$M$201,$N193))</f>
        <v/>
      </c>
      <c r="D193" s="8">
        <f>IF($N193="","",INDEX('Eredmény'!$O$2:$O$201,$N193))</f>
        <v/>
      </c>
      <c r="E193" s="8">
        <f>IF($N193="","",INDEX('Eredmény'!$P$2:$P$201,$N193))</f>
        <v/>
      </c>
      <c r="F193" s="10">
        <f>IF($N193="","",INDEX('Eredmény'!$V$2:$V$201,$N193))</f>
        <v/>
      </c>
      <c r="G193" s="10">
        <f>IF($N193="","",INDEX('Eredmény'!$X$2:$X$201,$N193))</f>
        <v/>
      </c>
      <c r="H193" s="10">
        <f>IF($N193="","",INDEX('Eredmény'!$Y$2:$Y$201,$N193))</f>
        <v/>
      </c>
      <c r="I193" s="11">
        <f>IF($N193="","",INDEX('Eredmény'!$Z$2:$Z$201,$N193))</f>
        <v/>
      </c>
      <c r="J193" s="8">
        <f>IF($N193="","",INDEX('Eredmény'!$Q$2:$Q$201,$N193))</f>
        <v/>
      </c>
      <c r="K193" s="8">
        <f>IF($N193="","",INDEX('Eredmény'!$R$2:$R$201,$N193))</f>
        <v/>
      </c>
      <c r="L193" s="7">
        <f>IF($N193="","",INDEX('Eredmény'!$AB$2:$AB$201,$N193))</f>
        <v/>
      </c>
      <c r="N193">
        <f>IFERROR(MATCH(LARGE('Eredmény'!$AZ$2:$AZ$201,189),'Eredmény'!$AZ$2:$AZ$201,0),"")</f>
        <v/>
      </c>
    </row>
    <row r="194">
      <c r="A194" s="7">
        <f>IF($N194="","",INDEX('Eredmény'!$N$2:$N$201,$N194))</f>
        <v/>
      </c>
      <c r="B194" s="8">
        <f>IF($N194="","",INDEX('Eredmény'!$A$2:$A$201,$N194))</f>
        <v/>
      </c>
      <c r="C194" s="9">
        <f>IF($N194="","",INDEX('Eredmény'!$M$2:$M$201,$N194))</f>
        <v/>
      </c>
      <c r="D194" s="8">
        <f>IF($N194="","",INDEX('Eredmény'!$O$2:$O$201,$N194))</f>
        <v/>
      </c>
      <c r="E194" s="8">
        <f>IF($N194="","",INDEX('Eredmény'!$P$2:$P$201,$N194))</f>
        <v/>
      </c>
      <c r="F194" s="10">
        <f>IF($N194="","",INDEX('Eredmény'!$V$2:$V$201,$N194))</f>
        <v/>
      </c>
      <c r="G194" s="10">
        <f>IF($N194="","",INDEX('Eredmény'!$X$2:$X$201,$N194))</f>
        <v/>
      </c>
      <c r="H194" s="10">
        <f>IF($N194="","",INDEX('Eredmény'!$Y$2:$Y$201,$N194))</f>
        <v/>
      </c>
      <c r="I194" s="11">
        <f>IF($N194="","",INDEX('Eredmény'!$Z$2:$Z$201,$N194))</f>
        <v/>
      </c>
      <c r="J194" s="8">
        <f>IF($N194="","",INDEX('Eredmény'!$Q$2:$Q$201,$N194))</f>
        <v/>
      </c>
      <c r="K194" s="8">
        <f>IF($N194="","",INDEX('Eredmény'!$R$2:$R$201,$N194))</f>
        <v/>
      </c>
      <c r="L194" s="7">
        <f>IF($N194="","",INDEX('Eredmény'!$AB$2:$AB$201,$N194))</f>
        <v/>
      </c>
      <c r="N194">
        <f>IFERROR(MATCH(LARGE('Eredmény'!$AZ$2:$AZ$201,190),'Eredmény'!$AZ$2:$AZ$201,0),"")</f>
        <v/>
      </c>
    </row>
    <row r="195">
      <c r="A195" s="7">
        <f>IF($N195="","",INDEX('Eredmény'!$N$2:$N$201,$N195))</f>
        <v/>
      </c>
      <c r="B195" s="8">
        <f>IF($N195="","",INDEX('Eredmény'!$A$2:$A$201,$N195))</f>
        <v/>
      </c>
      <c r="C195" s="9">
        <f>IF($N195="","",INDEX('Eredmény'!$M$2:$M$201,$N195))</f>
        <v/>
      </c>
      <c r="D195" s="8">
        <f>IF($N195="","",INDEX('Eredmény'!$O$2:$O$201,$N195))</f>
        <v/>
      </c>
      <c r="E195" s="8">
        <f>IF($N195="","",INDEX('Eredmény'!$P$2:$P$201,$N195))</f>
        <v/>
      </c>
      <c r="F195" s="10">
        <f>IF($N195="","",INDEX('Eredmény'!$V$2:$V$201,$N195))</f>
        <v/>
      </c>
      <c r="G195" s="10">
        <f>IF($N195="","",INDEX('Eredmény'!$X$2:$X$201,$N195))</f>
        <v/>
      </c>
      <c r="H195" s="10">
        <f>IF($N195="","",INDEX('Eredmény'!$Y$2:$Y$201,$N195))</f>
        <v/>
      </c>
      <c r="I195" s="11">
        <f>IF($N195="","",INDEX('Eredmény'!$Z$2:$Z$201,$N195))</f>
        <v/>
      </c>
      <c r="J195" s="8">
        <f>IF($N195="","",INDEX('Eredmény'!$Q$2:$Q$201,$N195))</f>
        <v/>
      </c>
      <c r="K195" s="8">
        <f>IF($N195="","",INDEX('Eredmény'!$R$2:$R$201,$N195))</f>
        <v/>
      </c>
      <c r="L195" s="7">
        <f>IF($N195="","",INDEX('Eredmény'!$AB$2:$AB$201,$N195))</f>
        <v/>
      </c>
      <c r="N195">
        <f>IFERROR(MATCH(LARGE('Eredmény'!$AZ$2:$AZ$201,191),'Eredmény'!$AZ$2:$AZ$201,0),"")</f>
        <v/>
      </c>
    </row>
    <row r="196">
      <c r="A196" s="7">
        <f>IF($N196="","",INDEX('Eredmény'!$N$2:$N$201,$N196))</f>
        <v/>
      </c>
      <c r="B196" s="8">
        <f>IF($N196="","",INDEX('Eredmény'!$A$2:$A$201,$N196))</f>
        <v/>
      </c>
      <c r="C196" s="9">
        <f>IF($N196="","",INDEX('Eredmény'!$M$2:$M$201,$N196))</f>
        <v/>
      </c>
      <c r="D196" s="8">
        <f>IF($N196="","",INDEX('Eredmény'!$O$2:$O$201,$N196))</f>
        <v/>
      </c>
      <c r="E196" s="8">
        <f>IF($N196="","",INDEX('Eredmény'!$P$2:$P$201,$N196))</f>
        <v/>
      </c>
      <c r="F196" s="10">
        <f>IF($N196="","",INDEX('Eredmény'!$V$2:$V$201,$N196))</f>
        <v/>
      </c>
      <c r="G196" s="10">
        <f>IF($N196="","",INDEX('Eredmény'!$X$2:$X$201,$N196))</f>
        <v/>
      </c>
      <c r="H196" s="10">
        <f>IF($N196="","",INDEX('Eredmény'!$Y$2:$Y$201,$N196))</f>
        <v/>
      </c>
      <c r="I196" s="11">
        <f>IF($N196="","",INDEX('Eredmény'!$Z$2:$Z$201,$N196))</f>
        <v/>
      </c>
      <c r="J196" s="8">
        <f>IF($N196="","",INDEX('Eredmény'!$Q$2:$Q$201,$N196))</f>
        <v/>
      </c>
      <c r="K196" s="8">
        <f>IF($N196="","",INDEX('Eredmény'!$R$2:$R$201,$N196))</f>
        <v/>
      </c>
      <c r="L196" s="7">
        <f>IF($N196="","",INDEX('Eredmény'!$AB$2:$AB$201,$N196))</f>
        <v/>
      </c>
      <c r="N196">
        <f>IFERROR(MATCH(LARGE('Eredmény'!$AZ$2:$AZ$201,192),'Eredmény'!$AZ$2:$AZ$201,0),"")</f>
        <v/>
      </c>
    </row>
    <row r="197">
      <c r="A197" s="7">
        <f>IF($N197="","",INDEX('Eredmény'!$N$2:$N$201,$N197))</f>
        <v/>
      </c>
      <c r="B197" s="8">
        <f>IF($N197="","",INDEX('Eredmény'!$A$2:$A$201,$N197))</f>
        <v/>
      </c>
      <c r="C197" s="9">
        <f>IF($N197="","",INDEX('Eredmény'!$M$2:$M$201,$N197))</f>
        <v/>
      </c>
      <c r="D197" s="8">
        <f>IF($N197="","",INDEX('Eredmény'!$O$2:$O$201,$N197))</f>
        <v/>
      </c>
      <c r="E197" s="8">
        <f>IF($N197="","",INDEX('Eredmény'!$P$2:$P$201,$N197))</f>
        <v/>
      </c>
      <c r="F197" s="10">
        <f>IF($N197="","",INDEX('Eredmény'!$V$2:$V$201,$N197))</f>
        <v/>
      </c>
      <c r="G197" s="10">
        <f>IF($N197="","",INDEX('Eredmény'!$X$2:$X$201,$N197))</f>
        <v/>
      </c>
      <c r="H197" s="10">
        <f>IF($N197="","",INDEX('Eredmény'!$Y$2:$Y$201,$N197))</f>
        <v/>
      </c>
      <c r="I197" s="11">
        <f>IF($N197="","",INDEX('Eredmény'!$Z$2:$Z$201,$N197))</f>
        <v/>
      </c>
      <c r="J197" s="8">
        <f>IF($N197="","",INDEX('Eredmény'!$Q$2:$Q$201,$N197))</f>
        <v/>
      </c>
      <c r="K197" s="8">
        <f>IF($N197="","",INDEX('Eredmény'!$R$2:$R$201,$N197))</f>
        <v/>
      </c>
      <c r="L197" s="7">
        <f>IF($N197="","",INDEX('Eredmény'!$AB$2:$AB$201,$N197))</f>
        <v/>
      </c>
      <c r="N197">
        <f>IFERROR(MATCH(LARGE('Eredmény'!$AZ$2:$AZ$201,193),'Eredmény'!$AZ$2:$AZ$201,0),"")</f>
        <v/>
      </c>
    </row>
    <row r="198">
      <c r="A198" s="7">
        <f>IF($N198="","",INDEX('Eredmény'!$N$2:$N$201,$N198))</f>
        <v/>
      </c>
      <c r="B198" s="8">
        <f>IF($N198="","",INDEX('Eredmény'!$A$2:$A$201,$N198))</f>
        <v/>
      </c>
      <c r="C198" s="9">
        <f>IF($N198="","",INDEX('Eredmény'!$M$2:$M$201,$N198))</f>
        <v/>
      </c>
      <c r="D198" s="8">
        <f>IF($N198="","",INDEX('Eredmény'!$O$2:$O$201,$N198))</f>
        <v/>
      </c>
      <c r="E198" s="8">
        <f>IF($N198="","",INDEX('Eredmény'!$P$2:$P$201,$N198))</f>
        <v/>
      </c>
      <c r="F198" s="10">
        <f>IF($N198="","",INDEX('Eredmény'!$V$2:$V$201,$N198))</f>
        <v/>
      </c>
      <c r="G198" s="10">
        <f>IF($N198="","",INDEX('Eredmény'!$X$2:$X$201,$N198))</f>
        <v/>
      </c>
      <c r="H198" s="10">
        <f>IF($N198="","",INDEX('Eredmény'!$Y$2:$Y$201,$N198))</f>
        <v/>
      </c>
      <c r="I198" s="11">
        <f>IF($N198="","",INDEX('Eredmény'!$Z$2:$Z$201,$N198))</f>
        <v/>
      </c>
      <c r="J198" s="8">
        <f>IF($N198="","",INDEX('Eredmény'!$Q$2:$Q$201,$N198))</f>
        <v/>
      </c>
      <c r="K198" s="8">
        <f>IF($N198="","",INDEX('Eredmény'!$R$2:$R$201,$N198))</f>
        <v/>
      </c>
      <c r="L198" s="7">
        <f>IF($N198="","",INDEX('Eredmény'!$AB$2:$AB$201,$N198))</f>
        <v/>
      </c>
      <c r="N198">
        <f>IFERROR(MATCH(LARGE('Eredmény'!$AZ$2:$AZ$201,194),'Eredmény'!$AZ$2:$AZ$201,0),"")</f>
        <v/>
      </c>
    </row>
    <row r="199">
      <c r="A199" s="7">
        <f>IF($N199="","",INDEX('Eredmény'!$N$2:$N$201,$N199))</f>
        <v/>
      </c>
      <c r="B199" s="8">
        <f>IF($N199="","",INDEX('Eredmény'!$A$2:$A$201,$N199))</f>
        <v/>
      </c>
      <c r="C199" s="9">
        <f>IF($N199="","",INDEX('Eredmény'!$M$2:$M$201,$N199))</f>
        <v/>
      </c>
      <c r="D199" s="8">
        <f>IF($N199="","",INDEX('Eredmény'!$O$2:$O$201,$N199))</f>
        <v/>
      </c>
      <c r="E199" s="8">
        <f>IF($N199="","",INDEX('Eredmény'!$P$2:$P$201,$N199))</f>
        <v/>
      </c>
      <c r="F199" s="10">
        <f>IF($N199="","",INDEX('Eredmény'!$V$2:$V$201,$N199))</f>
        <v/>
      </c>
      <c r="G199" s="10">
        <f>IF($N199="","",INDEX('Eredmény'!$X$2:$X$201,$N199))</f>
        <v/>
      </c>
      <c r="H199" s="10">
        <f>IF($N199="","",INDEX('Eredmény'!$Y$2:$Y$201,$N199))</f>
        <v/>
      </c>
      <c r="I199" s="11">
        <f>IF($N199="","",INDEX('Eredmény'!$Z$2:$Z$201,$N199))</f>
        <v/>
      </c>
      <c r="J199" s="8">
        <f>IF($N199="","",INDEX('Eredmény'!$Q$2:$Q$201,$N199))</f>
        <v/>
      </c>
      <c r="K199" s="8">
        <f>IF($N199="","",INDEX('Eredmény'!$R$2:$R$201,$N199))</f>
        <v/>
      </c>
      <c r="L199" s="7">
        <f>IF($N199="","",INDEX('Eredmény'!$AB$2:$AB$201,$N199))</f>
        <v/>
      </c>
      <c r="N199">
        <f>IFERROR(MATCH(LARGE('Eredmény'!$AZ$2:$AZ$201,195),'Eredmény'!$AZ$2:$AZ$201,0),"")</f>
        <v/>
      </c>
    </row>
    <row r="200">
      <c r="A200" s="7">
        <f>IF($N200="","",INDEX('Eredmény'!$N$2:$N$201,$N200))</f>
        <v/>
      </c>
      <c r="B200" s="8">
        <f>IF($N200="","",INDEX('Eredmény'!$A$2:$A$201,$N200))</f>
        <v/>
      </c>
      <c r="C200" s="9">
        <f>IF($N200="","",INDEX('Eredmény'!$M$2:$M$201,$N200))</f>
        <v/>
      </c>
      <c r="D200" s="8">
        <f>IF($N200="","",INDEX('Eredmény'!$O$2:$O$201,$N200))</f>
        <v/>
      </c>
      <c r="E200" s="8">
        <f>IF($N200="","",INDEX('Eredmény'!$P$2:$P$201,$N200))</f>
        <v/>
      </c>
      <c r="F200" s="10">
        <f>IF($N200="","",INDEX('Eredmény'!$V$2:$V$201,$N200))</f>
        <v/>
      </c>
      <c r="G200" s="10">
        <f>IF($N200="","",INDEX('Eredmény'!$X$2:$X$201,$N200))</f>
        <v/>
      </c>
      <c r="H200" s="10">
        <f>IF($N200="","",INDEX('Eredmény'!$Y$2:$Y$201,$N200))</f>
        <v/>
      </c>
      <c r="I200" s="11">
        <f>IF($N200="","",INDEX('Eredmény'!$Z$2:$Z$201,$N200))</f>
        <v/>
      </c>
      <c r="J200" s="8">
        <f>IF($N200="","",INDEX('Eredmény'!$Q$2:$Q$201,$N200))</f>
        <v/>
      </c>
      <c r="K200" s="8">
        <f>IF($N200="","",INDEX('Eredmény'!$R$2:$R$201,$N200))</f>
        <v/>
      </c>
      <c r="L200" s="7">
        <f>IF($N200="","",INDEX('Eredmény'!$AB$2:$AB$201,$N200))</f>
        <v/>
      </c>
      <c r="N200">
        <f>IFERROR(MATCH(LARGE('Eredmény'!$AZ$2:$AZ$201,196),'Eredmény'!$AZ$2:$AZ$201,0),"")</f>
        <v/>
      </c>
    </row>
    <row r="201">
      <c r="A201" s="7">
        <f>IF($N201="","",INDEX('Eredmény'!$N$2:$N$201,$N201))</f>
        <v/>
      </c>
      <c r="B201" s="8">
        <f>IF($N201="","",INDEX('Eredmény'!$A$2:$A$201,$N201))</f>
        <v/>
      </c>
      <c r="C201" s="9">
        <f>IF($N201="","",INDEX('Eredmény'!$M$2:$M$201,$N201))</f>
        <v/>
      </c>
      <c r="D201" s="8">
        <f>IF($N201="","",INDEX('Eredmény'!$O$2:$O$201,$N201))</f>
        <v/>
      </c>
      <c r="E201" s="8">
        <f>IF($N201="","",INDEX('Eredmény'!$P$2:$P$201,$N201))</f>
        <v/>
      </c>
      <c r="F201" s="10">
        <f>IF($N201="","",INDEX('Eredmény'!$V$2:$V$201,$N201))</f>
        <v/>
      </c>
      <c r="G201" s="10">
        <f>IF($N201="","",INDEX('Eredmény'!$X$2:$X$201,$N201))</f>
        <v/>
      </c>
      <c r="H201" s="10">
        <f>IF($N201="","",INDEX('Eredmény'!$Y$2:$Y$201,$N201))</f>
        <v/>
      </c>
      <c r="I201" s="11">
        <f>IF($N201="","",INDEX('Eredmény'!$Z$2:$Z$201,$N201))</f>
        <v/>
      </c>
      <c r="J201" s="8">
        <f>IF($N201="","",INDEX('Eredmény'!$Q$2:$Q$201,$N201))</f>
        <v/>
      </c>
      <c r="K201" s="8">
        <f>IF($N201="","",INDEX('Eredmény'!$R$2:$R$201,$N201))</f>
        <v/>
      </c>
      <c r="L201" s="7">
        <f>IF($N201="","",INDEX('Eredmény'!$AB$2:$AB$201,$N201))</f>
        <v/>
      </c>
      <c r="N201">
        <f>IFERROR(MATCH(LARGE('Eredmény'!$AZ$2:$AZ$201,197),'Eredmény'!$AZ$2:$AZ$201,0),"")</f>
        <v/>
      </c>
    </row>
    <row r="202">
      <c r="A202" s="7">
        <f>IF($N202="","",INDEX('Eredmény'!$N$2:$N$201,$N202))</f>
        <v/>
      </c>
      <c r="B202" s="8">
        <f>IF($N202="","",INDEX('Eredmény'!$A$2:$A$201,$N202))</f>
        <v/>
      </c>
      <c r="C202" s="9">
        <f>IF($N202="","",INDEX('Eredmény'!$M$2:$M$201,$N202))</f>
        <v/>
      </c>
      <c r="D202" s="8">
        <f>IF($N202="","",INDEX('Eredmény'!$O$2:$O$201,$N202))</f>
        <v/>
      </c>
      <c r="E202" s="8">
        <f>IF($N202="","",INDEX('Eredmény'!$P$2:$P$201,$N202))</f>
        <v/>
      </c>
      <c r="F202" s="10">
        <f>IF($N202="","",INDEX('Eredmény'!$V$2:$V$201,$N202))</f>
        <v/>
      </c>
      <c r="G202" s="10">
        <f>IF($N202="","",INDEX('Eredmény'!$X$2:$X$201,$N202))</f>
        <v/>
      </c>
      <c r="H202" s="10">
        <f>IF($N202="","",INDEX('Eredmény'!$Y$2:$Y$201,$N202))</f>
        <v/>
      </c>
      <c r="I202" s="11">
        <f>IF($N202="","",INDEX('Eredmény'!$Z$2:$Z$201,$N202))</f>
        <v/>
      </c>
      <c r="J202" s="8">
        <f>IF($N202="","",INDEX('Eredmény'!$Q$2:$Q$201,$N202))</f>
        <v/>
      </c>
      <c r="K202" s="8">
        <f>IF($N202="","",INDEX('Eredmény'!$R$2:$R$201,$N202))</f>
        <v/>
      </c>
      <c r="L202" s="7">
        <f>IF($N202="","",INDEX('Eredmény'!$AB$2:$AB$201,$N202))</f>
        <v/>
      </c>
      <c r="N202">
        <f>IFERROR(MATCH(LARGE('Eredmény'!$AZ$2:$AZ$201,198),'Eredmény'!$AZ$2:$AZ$201,0),"")</f>
        <v/>
      </c>
    </row>
    <row r="203">
      <c r="A203" s="7">
        <f>IF($N203="","",INDEX('Eredmény'!$N$2:$N$201,$N203))</f>
        <v/>
      </c>
      <c r="B203" s="8">
        <f>IF($N203="","",INDEX('Eredmény'!$A$2:$A$201,$N203))</f>
        <v/>
      </c>
      <c r="C203" s="9">
        <f>IF($N203="","",INDEX('Eredmény'!$M$2:$M$201,$N203))</f>
        <v/>
      </c>
      <c r="D203" s="8">
        <f>IF($N203="","",INDEX('Eredmény'!$O$2:$O$201,$N203))</f>
        <v/>
      </c>
      <c r="E203" s="8">
        <f>IF($N203="","",INDEX('Eredmény'!$P$2:$P$201,$N203))</f>
        <v/>
      </c>
      <c r="F203" s="10">
        <f>IF($N203="","",INDEX('Eredmény'!$V$2:$V$201,$N203))</f>
        <v/>
      </c>
      <c r="G203" s="10">
        <f>IF($N203="","",INDEX('Eredmény'!$X$2:$X$201,$N203))</f>
        <v/>
      </c>
      <c r="H203" s="10">
        <f>IF($N203="","",INDEX('Eredmény'!$Y$2:$Y$201,$N203))</f>
        <v/>
      </c>
      <c r="I203" s="11">
        <f>IF($N203="","",INDEX('Eredmény'!$Z$2:$Z$201,$N203))</f>
        <v/>
      </c>
      <c r="J203" s="8">
        <f>IF($N203="","",INDEX('Eredmény'!$Q$2:$Q$201,$N203))</f>
        <v/>
      </c>
      <c r="K203" s="8">
        <f>IF($N203="","",INDEX('Eredmény'!$R$2:$R$201,$N203))</f>
        <v/>
      </c>
      <c r="L203" s="7">
        <f>IF($N203="","",INDEX('Eredmény'!$AB$2:$AB$201,$N203))</f>
        <v/>
      </c>
      <c r="N203">
        <f>IFERROR(MATCH(LARGE('Eredmény'!$AZ$2:$AZ$201,199),'Eredmény'!$AZ$2:$AZ$201,0),"")</f>
        <v/>
      </c>
    </row>
    <row r="204">
      <c r="A204" s="7">
        <f>IF($N204="","",INDEX('Eredmény'!$N$2:$N$201,$N204))</f>
        <v/>
      </c>
      <c r="B204" s="8">
        <f>IF($N204="","",INDEX('Eredmény'!$A$2:$A$201,$N204))</f>
        <v/>
      </c>
      <c r="C204" s="9">
        <f>IF($N204="","",INDEX('Eredmény'!$M$2:$M$201,$N204))</f>
        <v/>
      </c>
      <c r="D204" s="8">
        <f>IF($N204="","",INDEX('Eredmény'!$O$2:$O$201,$N204))</f>
        <v/>
      </c>
      <c r="E204" s="8">
        <f>IF($N204="","",INDEX('Eredmény'!$P$2:$P$201,$N204))</f>
        <v/>
      </c>
      <c r="F204" s="10">
        <f>IF($N204="","",INDEX('Eredmény'!$V$2:$V$201,$N204))</f>
        <v/>
      </c>
      <c r="G204" s="10">
        <f>IF($N204="","",INDEX('Eredmény'!$X$2:$X$201,$N204))</f>
        <v/>
      </c>
      <c r="H204" s="10">
        <f>IF($N204="","",INDEX('Eredmény'!$Y$2:$Y$201,$N204))</f>
        <v/>
      </c>
      <c r="I204" s="11">
        <f>IF($N204="","",INDEX('Eredmény'!$Z$2:$Z$201,$N204))</f>
        <v/>
      </c>
      <c r="J204" s="8">
        <f>IF($N204="","",INDEX('Eredmény'!$Q$2:$Q$201,$N204))</f>
        <v/>
      </c>
      <c r="K204" s="8">
        <f>IF($N204="","",INDEX('Eredmény'!$R$2:$R$201,$N204))</f>
        <v/>
      </c>
      <c r="L204" s="7">
        <f>IF($N204="","",INDEX('Eredmény'!$AB$2:$AB$201,$N204))</f>
        <v/>
      </c>
      <c r="N204">
        <f>IFERROR(MATCH(LARGE('Eredmény'!$AZ$2:$AZ$201,200),'Eredmény'!$AZ$2:$AZ$201,0),"")</f>
        <v/>
      </c>
    </row>
  </sheetData>
  <conditionalFormatting sqref="D5:D204">
    <cfRule type="expression" priority="1" dxfId="0">
      <formula>D5="A"</formula>
    </cfRule>
    <cfRule type="expression" priority="2" dxfId="1">
      <formula>D5="B"</formula>
    </cfRule>
    <cfRule type="expression" priority="3" dxfId="2">
      <formula>D5="C"</formula>
    </cfRule>
    <cfRule type="expression" priority="4" dxfId="3">
      <formula>D5="D"</formula>
    </cfRule>
  </conditionalFormatting>
  <conditionalFormatting sqref="C5:C204">
    <cfRule type="dataBar" priority="5">
      <dataBar>
        <cfvo type="num" val="0"/>
        <cfvo type="num" val="100"/>
        <color rgb="002E981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4F6C"/>
    <outlinePr summaryBelow="1" summaryRight="1"/>
    <pageSetUpPr/>
  </sheetPr>
  <dimension ref="A1:A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7" customWidth="1" min="14" max="14"/>
    <col width="7" customWidth="1" min="15" max="15"/>
    <col width="18" customWidth="1" min="16" max="16"/>
    <col width="24" customWidth="1" min="17" max="17"/>
    <col width="24" customWidth="1" min="18" max="18"/>
    <col width="14" customWidth="1" min="19" max="19"/>
    <col width="10" customWidth="1" min="20" max="20"/>
    <col width="15" customWidth="1" min="21" max="21"/>
    <col width="15" customWidth="1" min="22" max="22"/>
    <col width="24" customWidth="1" min="23" max="23"/>
    <col width="14" customWidth="1" min="24" max="24"/>
    <col width="13" customWidth="1" min="25" max="25"/>
    <col width="10" customWidth="1" min="26" max="26"/>
    <col width="14" customWidth="1" min="27" max="27"/>
    <col width="10" customWidth="1" min="28" max="28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</cols>
  <sheetData>
    <row r="1" ht="45" customHeight="1">
      <c r="A1" s="4" t="inlineStr">
        <is>
          <t>Ügyfél</t>
        </is>
      </c>
      <c r="B1" s="4" t="inlineStr">
        <is>
          <t>Iparági illeszkedés (pont)</t>
        </is>
      </c>
      <c r="C1" s="4" t="inlineStr">
        <is>
          <t>Éves árbevétel (pont)</t>
        </is>
      </c>
      <c r="D1" s="4" t="inlineStr">
        <is>
          <t>Havi hirdetési keret (pont)</t>
        </is>
      </c>
      <c r="E1" s="4" t="inlineStr">
        <is>
          <t>Marketing-érettség (pont)</t>
        </is>
      </c>
      <c r="F1" s="4" t="inlineStr">
        <is>
          <t>Jelenlegi ROAS (pont)</t>
        </is>
      </c>
      <c r="G1" s="4" t="inlineStr">
        <is>
          <t>Növekedési potenciál (pont)</t>
        </is>
      </c>
      <c r="H1" s="4" t="inlineStr">
        <is>
          <t>Fizetési fegyelem (pont)</t>
        </is>
      </c>
      <c r="I1" s="4" t="inlineStr">
        <is>
          <t>Együttműködés hossza (pont)</t>
        </is>
      </c>
      <c r="J1" s="4" t="inlineStr">
        <is>
          <t>Döntéshozó, együttműködés (pont)</t>
        </is>
      </c>
      <c r="K1" s="4" t="inlineStr">
        <is>
          <t>Kezelhetőség (pont)</t>
        </is>
      </c>
      <c r="L1" s="4" t="inlineStr">
        <is>
          <t>Ajánlási, referenciaérték (pont)</t>
        </is>
      </c>
      <c r="M1" s="4" t="inlineStr">
        <is>
          <t>ICP pontszám (0–100)</t>
        </is>
      </c>
      <c r="N1" s="4" t="inlineStr">
        <is>
          <t>Rang</t>
        </is>
      </c>
      <c r="O1" s="4" t="inlineStr">
        <is>
          <t>Szint</t>
        </is>
      </c>
      <c r="P1" s="4" t="inlineStr">
        <is>
          <t>Szint megnevezése</t>
        </is>
      </c>
      <c r="Q1" s="4" t="inlineStr">
        <is>
          <t>Legerősebb terület</t>
        </is>
      </c>
      <c r="R1" s="4" t="inlineStr">
        <is>
          <t>Leggyengébb terület</t>
        </is>
      </c>
      <c r="S1" s="4" t="inlineStr">
        <is>
          <t>Munkadíj (Ft/hó)</t>
        </is>
      </c>
      <c r="T1" s="4" t="inlineStr">
        <is>
          <t>Szintszorzó</t>
        </is>
      </c>
      <c r="U1" s="4" t="inlineStr">
        <is>
          <t>Keretarányos minimum (Ft/hó)</t>
        </is>
      </c>
      <c r="V1" s="4" t="inlineStr">
        <is>
          <t>Javasolt havi díj (Ft)</t>
        </is>
      </c>
      <c r="W1" s="4" t="inlineStr">
        <is>
          <t>Díj alapja</t>
        </is>
      </c>
      <c r="X1" s="4" t="inlineStr">
        <is>
          <t>Jelenlegi díj (Ft)</t>
        </is>
      </c>
      <c r="Y1" s="4" t="inlineStr">
        <is>
          <t>Eltérés (Ft)</t>
        </is>
      </c>
      <c r="Z1" s="4" t="inlineStr">
        <is>
          <t>Eltérés (%)</t>
        </is>
      </c>
      <c r="AA1" s="4" t="inlineStr">
        <is>
          <t>Opcionális jutalék (Ft/hó)</t>
        </is>
      </c>
      <c r="AB1" s="4" t="inlineStr">
        <is>
          <t>Hiányzó adatok (db)</t>
        </is>
      </c>
      <c r="AD1" s="12" t="inlineStr">
        <is>
          <t>erő: iparag</t>
        </is>
      </c>
      <c r="AE1" s="12" t="inlineStr">
        <is>
          <t>erő: arbevetel</t>
        </is>
      </c>
      <c r="AF1" s="12" t="inlineStr">
        <is>
          <t>erő: keret</t>
        </is>
      </c>
      <c r="AG1" s="12" t="inlineStr">
        <is>
          <t>erő: erettseg</t>
        </is>
      </c>
      <c r="AH1" s="12" t="inlineStr">
        <is>
          <t>erő: roas</t>
        </is>
      </c>
      <c r="AI1" s="12" t="inlineStr">
        <is>
          <t>erő: novekedes</t>
        </is>
      </c>
      <c r="AJ1" s="12" t="inlineStr">
        <is>
          <t>erő: keses</t>
        </is>
      </c>
      <c r="AK1" s="12" t="inlineStr">
        <is>
          <t>erő: hossz</t>
        </is>
      </c>
      <c r="AL1" s="12" t="inlineStr">
        <is>
          <t>erő: egyuttmukodes</t>
        </is>
      </c>
      <c r="AM1" s="12" t="inlineStr">
        <is>
          <t>erő: kezelhetoseg</t>
        </is>
      </c>
      <c r="AN1" s="12" t="inlineStr">
        <is>
          <t>erő: ajanlas</t>
        </is>
      </c>
      <c r="AO1" s="12" t="inlineStr">
        <is>
          <t>veszt: iparag</t>
        </is>
      </c>
      <c r="AP1" s="12" t="inlineStr">
        <is>
          <t>veszt: arbevetel</t>
        </is>
      </c>
      <c r="AQ1" s="12" t="inlineStr">
        <is>
          <t>veszt: keret</t>
        </is>
      </c>
      <c r="AR1" s="12" t="inlineStr">
        <is>
          <t>veszt: erettseg</t>
        </is>
      </c>
      <c r="AS1" s="12" t="inlineStr">
        <is>
          <t>veszt: roas</t>
        </is>
      </c>
      <c r="AT1" s="12" t="inlineStr">
        <is>
          <t>veszt: novekedes</t>
        </is>
      </c>
      <c r="AU1" s="12" t="inlineStr">
        <is>
          <t>veszt: keses</t>
        </is>
      </c>
      <c r="AV1" s="12" t="inlineStr">
        <is>
          <t>veszt: hossz</t>
        </is>
      </c>
      <c r="AW1" s="12" t="inlineStr">
        <is>
          <t>veszt: egyuttmukodes</t>
        </is>
      </c>
      <c r="AX1" s="12" t="inlineStr">
        <is>
          <t>veszt: kezelhetoseg</t>
        </is>
      </c>
      <c r="AY1" s="12" t="inlineStr">
        <is>
          <t>veszt: ajanlas</t>
        </is>
      </c>
      <c r="AZ1" s="12" t="inlineStr">
        <is>
          <t>rendezőkulcs</t>
        </is>
      </c>
    </row>
    <row r="2">
      <c r="A2">
        <f>IF('Ügyfelek'!A2="","",'Ügyfelek'!A2)</f>
        <v/>
      </c>
      <c r="B2">
        <f>IF($A2="","",IF('Ügyfelek'!B2="",'Beállítások'!$B$45,IFERROR(VLOOKUP(TRIM('Ügyfelek'!B2),'Beállítások'!$A$22:$B$41,2,FALSE),'Beállítások'!$B$45)))</f>
        <v/>
      </c>
      <c r="C2">
        <f>IF($A2="","",IF('Ügyfelek'!C2="",'Beállítások'!$B$45,VLOOKUP(MAX('Ügyfelek'!C2,'Beállítások'!$H$7),'Beállítások'!$H$7:$I$11,2,TRUE)))</f>
        <v/>
      </c>
      <c r="D2">
        <f>IF($A2="","",IF('Ügyfelek'!D2="",'Beállítások'!$B$45,VLOOKUP(MAX('Ügyfelek'!D2,'Beállítások'!$K$7),'Beállítások'!$K$7:$L$11,2,TRUE)))</f>
        <v/>
      </c>
      <c r="E2">
        <f>IF($A2="","",IF('Ügyfelek'!L2="",'Beállítások'!$B$45,MIN(5,MAX(1,ROUND('Ügyfelek'!L2,0)))))</f>
        <v/>
      </c>
      <c r="F2">
        <f>IF($A2="","",IF('Ügyfelek'!I2="",'Beállítások'!$B$45,VLOOKUP(MAX('Ügyfelek'!I2,'Beállítások'!$N$7),'Beállítások'!$N$7:$O$11,2,TRUE)))</f>
        <v/>
      </c>
      <c r="G2">
        <f>IF($A2="","",IF('Ügyfelek'!N2="",'Beállítások'!$B$45,MIN(5,MAX(1,ROUND('Ügyfelek'!N2,0)))))</f>
        <v/>
      </c>
      <c r="H2">
        <f>IF($A2="","",IF('Ügyfelek'!J2="",'Beállítások'!$B$45,VLOOKUP(MAX('Ügyfelek'!J2,'Beállítások'!$Q$7),'Beállítások'!$Q$7:$R$11,2,TRUE)))</f>
        <v/>
      </c>
      <c r="I2">
        <f>IF($A2="","",IF('Ügyfelek'!K2="",'Beállítások'!$B$45,VLOOKUP(MAX('Ügyfelek'!K2,'Beállítások'!$T$7),'Beállítások'!$T$7:$U$11,2,TRUE)))</f>
        <v/>
      </c>
      <c r="J2">
        <f>IF($A2="","",IF('Ügyfelek'!M2="",'Beállítások'!$B$45,MIN(5,MAX(1,ROUND('Ügyfelek'!M2,0)))))</f>
        <v/>
      </c>
      <c r="K2">
        <f>IF($A2="","",IF('Ügyfelek'!P2="",'Beállítások'!$B$45,MIN(5,MAX(1,ROUND('Ügyfelek'!P2,0)))))</f>
        <v/>
      </c>
      <c r="L2">
        <f>IF($A2="","",IF('Ügyfelek'!O2="",'Beállítások'!$B$45,MIN(5,MAX(1,ROUND('Ügyfelek'!O2,0)))))</f>
        <v/>
      </c>
      <c r="M2" s="13">
        <f>IF($A2="","",ROUND('Beállítások'!$E$6*(B2-1)/4+'Beállítások'!$E$7*(C2-1)/4+'Beállítások'!$E$8*(D2-1)/4+'Beállítások'!$E$9*(E2-1)/4+'Beállítások'!$E$10*(F2-1)/4+'Beállítások'!$E$11*(G2-1)/4+'Beállítások'!$E$12*(H2-1)/4+'Beállítások'!$E$13*(I2-1)/4+'Beállítások'!$E$14*(J2-1)/4+'Beállítások'!$E$15*(K2-1)/4+'Beállítások'!$E$16*(L2-1)/4,1))</f>
        <v/>
      </c>
      <c r="N2" s="14">
        <f>IF($A2="","",RANK(M2,$M$2:$M$201))</f>
        <v/>
      </c>
      <c r="O2">
        <f>IF($A2="","",VLOOKUP(M2,'Beállítások'!$A$57:$E$60,2,TRUE))</f>
        <v/>
      </c>
      <c r="P2">
        <f>IF($A2="","",VLOOKUP(M2,'Beállítások'!$A$57:$E$60,3,TRUE))</f>
        <v/>
      </c>
      <c r="Q2">
        <f>IF($A2="","",INDEX('Beállítások'!$B$6:$B$16,MATCH(MAX(AD2:AN2),AD2:AN2,0)))</f>
        <v/>
      </c>
      <c r="R2">
        <f>IF($A2="","",IF(MAX(AO2:AY2)=0,"—",INDEX('Beállítások'!$B$6:$B$16,MATCH(MAX(AO2:AY2),AO2:AY2,0))))</f>
        <v/>
      </c>
      <c r="S2" s="5">
        <f>IF($A2="","",'Beállítások'!$B$47*(TRIM('Ügyfelek'!E2)="igen")+'Beállítások'!$B$48*(TRIM('Ügyfelek'!F2)="igen")+'Beállítások'!$B$49*N('Ügyfelek'!G2)+'Beállítások'!$B$46*N('Ügyfelek'!H2))</f>
        <v/>
      </c>
      <c r="T2" s="15">
        <f>IF($A2="","",VLOOKUP(M2,'Beállítások'!$A$57:$E$60,4,TRUE))</f>
        <v/>
      </c>
      <c r="U2" s="5">
        <f>IF($A2="","",N('Ügyfelek'!D2)*'Beállítások'!$B$51)</f>
        <v/>
      </c>
      <c r="V2" s="5">
        <f>IF($A2="","",CEILING(ROUND(MAX('Beállítások'!$B$50,S2*T2,U2),2),'Beállítások'!$B$52))</f>
        <v/>
      </c>
      <c r="W2">
        <f>IF($A2="","",IF(MAX('Beállítások'!$B$50,S2*T2,U2)=S2*T2,"Munkaigény × szintszorzó",IF(MAX('Beállítások'!$B$50,S2*T2,U2)=U2,"Hirdetési keret arányában","Minimumdíj")))</f>
        <v/>
      </c>
      <c r="X2" s="5">
        <f>IF(OR($A2="",'Ügyfelek'!Q2=""),"",'Ügyfelek'!Q2)</f>
        <v/>
      </c>
      <c r="Y2" s="5">
        <f>IF(X2="","",V2-X2)</f>
        <v/>
      </c>
      <c r="Z2" s="16">
        <f>IF(OR(X2="",X2=0),"",Y2/X2)</f>
        <v/>
      </c>
      <c r="AA2" s="5">
        <f>IF(OR($A2="",'Ügyfelek'!R2=""),"",'Ügyfelek'!R2*VLOOKUP(M2,'Beállítások'!$A$57:$E$60,5,TRUE))</f>
        <v/>
      </c>
      <c r="AB2" s="14">
        <f>IF($A2="","",('Ügyfelek'!B2="")+('Ügyfelek'!C2="")+('Ügyfelek'!D2="")+('Ügyfelek'!L2="")+('Ügyfelek'!I2="")+('Ügyfelek'!N2="")+('Ügyfelek'!J2="")+('Ügyfelek'!K2="")+('Ügyfelek'!M2="")+('Ügyfelek'!P2="")+('Ügyfelek'!O2=""))</f>
        <v/>
      </c>
      <c r="AD2">
        <f>IF($A2="","",B2+'Beállítások'!$E$6/1000)</f>
        <v/>
      </c>
      <c r="AE2">
        <f>IF($A2="","",C2+'Beállítások'!$E$7/1000)</f>
        <v/>
      </c>
      <c r="AF2">
        <f>IF($A2="","",D2+'Beállítások'!$E$8/1000)</f>
        <v/>
      </c>
      <c r="AG2">
        <f>IF($A2="","",E2+'Beállítások'!$E$9/1000)</f>
        <v/>
      </c>
      <c r="AH2">
        <f>IF($A2="","",F2+'Beállítások'!$E$10/1000)</f>
        <v/>
      </c>
      <c r="AI2">
        <f>IF($A2="","",G2+'Beállítások'!$E$11/1000)</f>
        <v/>
      </c>
      <c r="AJ2">
        <f>IF($A2="","",H2+'Beállítások'!$E$12/1000)</f>
        <v/>
      </c>
      <c r="AK2">
        <f>IF($A2="","",I2+'Beállítások'!$E$13/1000)</f>
        <v/>
      </c>
      <c r="AL2">
        <f>IF($A2="","",J2+'Beállítások'!$E$14/1000)</f>
        <v/>
      </c>
      <c r="AM2">
        <f>IF($A2="","",K2+'Beállítások'!$E$15/1000)</f>
        <v/>
      </c>
      <c r="AN2">
        <f>IF($A2="","",L2+'Beállítások'!$E$16/1000)</f>
        <v/>
      </c>
      <c r="AO2">
        <f>IF($A2="","",'Beállítások'!$E$6*(5-B2))</f>
        <v/>
      </c>
      <c r="AP2">
        <f>IF($A2="","",'Beállítások'!$E$7*(5-C2))</f>
        <v/>
      </c>
      <c r="AQ2">
        <f>IF($A2="","",'Beállítások'!$E$8*(5-D2))</f>
        <v/>
      </c>
      <c r="AR2">
        <f>IF($A2="","",'Beállítások'!$E$9*(5-E2))</f>
        <v/>
      </c>
      <c r="AS2">
        <f>IF($A2="","",'Beállítások'!$E$10*(5-F2))</f>
        <v/>
      </c>
      <c r="AT2">
        <f>IF($A2="","",'Beállítások'!$E$11*(5-G2))</f>
        <v/>
      </c>
      <c r="AU2">
        <f>IF($A2="","",'Beállítások'!$E$12*(5-H2))</f>
        <v/>
      </c>
      <c r="AV2">
        <f>IF($A2="","",'Beállítások'!$E$13*(5-I2))</f>
        <v/>
      </c>
      <c r="AW2">
        <f>IF($A2="","",'Beállítások'!$E$14*(5-J2))</f>
        <v/>
      </c>
      <c r="AX2">
        <f>IF($A2="","",'Beállítások'!$E$15*(5-K2))</f>
        <v/>
      </c>
      <c r="AY2">
        <f>IF($A2="","",'Beállítások'!$E$16*(5-L2))</f>
        <v/>
      </c>
      <c r="AZ2">
        <f>IF($A2="","",M2-ROW()/100000)</f>
        <v/>
      </c>
    </row>
    <row r="3">
      <c r="A3">
        <f>IF('Ügyfelek'!A3="","",'Ügyfelek'!A3)</f>
        <v/>
      </c>
      <c r="B3">
        <f>IF($A3="","",IF('Ügyfelek'!B3="",'Beállítások'!$B$45,IFERROR(VLOOKUP(TRIM('Ügyfelek'!B3),'Beállítások'!$A$22:$B$41,2,FALSE),'Beállítások'!$B$45)))</f>
        <v/>
      </c>
      <c r="C3">
        <f>IF($A3="","",IF('Ügyfelek'!C3="",'Beállítások'!$B$45,VLOOKUP(MAX('Ügyfelek'!C3,'Beállítások'!$H$7),'Beállítások'!$H$7:$I$11,2,TRUE)))</f>
        <v/>
      </c>
      <c r="D3">
        <f>IF($A3="","",IF('Ügyfelek'!D3="",'Beállítások'!$B$45,VLOOKUP(MAX('Ügyfelek'!D3,'Beállítások'!$K$7),'Beállítások'!$K$7:$L$11,2,TRUE)))</f>
        <v/>
      </c>
      <c r="E3">
        <f>IF($A3="","",IF('Ügyfelek'!L3="",'Beállítások'!$B$45,MIN(5,MAX(1,ROUND('Ügyfelek'!L3,0)))))</f>
        <v/>
      </c>
      <c r="F3">
        <f>IF($A3="","",IF('Ügyfelek'!I3="",'Beállítások'!$B$45,VLOOKUP(MAX('Ügyfelek'!I3,'Beállítások'!$N$7),'Beállítások'!$N$7:$O$11,2,TRUE)))</f>
        <v/>
      </c>
      <c r="G3">
        <f>IF($A3="","",IF('Ügyfelek'!N3="",'Beállítások'!$B$45,MIN(5,MAX(1,ROUND('Ügyfelek'!N3,0)))))</f>
        <v/>
      </c>
      <c r="H3">
        <f>IF($A3="","",IF('Ügyfelek'!J3="",'Beállítások'!$B$45,VLOOKUP(MAX('Ügyfelek'!J3,'Beállítások'!$Q$7),'Beállítások'!$Q$7:$R$11,2,TRUE)))</f>
        <v/>
      </c>
      <c r="I3">
        <f>IF($A3="","",IF('Ügyfelek'!K3="",'Beállítások'!$B$45,VLOOKUP(MAX('Ügyfelek'!K3,'Beállítások'!$T$7),'Beállítások'!$T$7:$U$11,2,TRUE)))</f>
        <v/>
      </c>
      <c r="J3">
        <f>IF($A3="","",IF('Ügyfelek'!M3="",'Beállítások'!$B$45,MIN(5,MAX(1,ROUND('Ügyfelek'!M3,0)))))</f>
        <v/>
      </c>
      <c r="K3">
        <f>IF($A3="","",IF('Ügyfelek'!P3="",'Beállítások'!$B$45,MIN(5,MAX(1,ROUND('Ügyfelek'!P3,0)))))</f>
        <v/>
      </c>
      <c r="L3">
        <f>IF($A3="","",IF('Ügyfelek'!O3="",'Beállítások'!$B$45,MIN(5,MAX(1,ROUND('Ügyfelek'!O3,0)))))</f>
        <v/>
      </c>
      <c r="M3" s="13">
        <f>IF($A3="","",ROUND('Beállítások'!$E$6*(B3-1)/4+'Beállítások'!$E$7*(C3-1)/4+'Beállítások'!$E$8*(D3-1)/4+'Beállítások'!$E$9*(E3-1)/4+'Beállítások'!$E$10*(F3-1)/4+'Beállítások'!$E$11*(G3-1)/4+'Beállítások'!$E$12*(H3-1)/4+'Beállítások'!$E$13*(I3-1)/4+'Beállítások'!$E$14*(J3-1)/4+'Beállítások'!$E$15*(K3-1)/4+'Beállítások'!$E$16*(L3-1)/4,1))</f>
        <v/>
      </c>
      <c r="N3" s="14">
        <f>IF($A3="","",RANK(M3,$M$2:$M$201))</f>
        <v/>
      </c>
      <c r="O3">
        <f>IF($A3="","",VLOOKUP(M3,'Beállítások'!$A$57:$E$60,2,TRUE))</f>
        <v/>
      </c>
      <c r="P3">
        <f>IF($A3="","",VLOOKUP(M3,'Beállítások'!$A$57:$E$60,3,TRUE))</f>
        <v/>
      </c>
      <c r="Q3">
        <f>IF($A3="","",INDEX('Beállítások'!$B$6:$B$16,MATCH(MAX(AD3:AN3),AD3:AN3,0)))</f>
        <v/>
      </c>
      <c r="R3">
        <f>IF($A3="","",IF(MAX(AO3:AY3)=0,"—",INDEX('Beállítások'!$B$6:$B$16,MATCH(MAX(AO3:AY3),AO3:AY3,0))))</f>
        <v/>
      </c>
      <c r="S3" s="5">
        <f>IF($A3="","",'Beállítások'!$B$47*(TRIM('Ügyfelek'!E3)="igen")+'Beállítások'!$B$48*(TRIM('Ügyfelek'!F3)="igen")+'Beállítások'!$B$49*N('Ügyfelek'!G3)+'Beállítások'!$B$46*N('Ügyfelek'!H3))</f>
        <v/>
      </c>
      <c r="T3" s="15">
        <f>IF($A3="","",VLOOKUP(M3,'Beállítások'!$A$57:$E$60,4,TRUE))</f>
        <v/>
      </c>
      <c r="U3" s="5">
        <f>IF($A3="","",N('Ügyfelek'!D3)*'Beállítások'!$B$51)</f>
        <v/>
      </c>
      <c r="V3" s="5">
        <f>IF($A3="","",CEILING(ROUND(MAX('Beállítások'!$B$50,S3*T3,U3),2),'Beállítások'!$B$52))</f>
        <v/>
      </c>
      <c r="W3">
        <f>IF($A3="","",IF(MAX('Beállítások'!$B$50,S3*T3,U3)=S3*T3,"Munkaigény × szintszorzó",IF(MAX('Beállítások'!$B$50,S3*T3,U3)=U3,"Hirdetési keret arányában","Minimumdíj")))</f>
        <v/>
      </c>
      <c r="X3" s="5">
        <f>IF(OR($A3="",'Ügyfelek'!Q3=""),"",'Ügyfelek'!Q3)</f>
        <v/>
      </c>
      <c r="Y3" s="5">
        <f>IF(X3="","",V3-X3)</f>
        <v/>
      </c>
      <c r="Z3" s="16">
        <f>IF(OR(X3="",X3=0),"",Y3/X3)</f>
        <v/>
      </c>
      <c r="AA3" s="5">
        <f>IF(OR($A3="",'Ügyfelek'!R3=""),"",'Ügyfelek'!R3*VLOOKUP(M3,'Beállítások'!$A$57:$E$60,5,TRUE))</f>
        <v/>
      </c>
      <c r="AB3" s="14">
        <f>IF($A3="","",('Ügyfelek'!B3="")+('Ügyfelek'!C3="")+('Ügyfelek'!D3="")+('Ügyfelek'!L3="")+('Ügyfelek'!I3="")+('Ügyfelek'!N3="")+('Ügyfelek'!J3="")+('Ügyfelek'!K3="")+('Ügyfelek'!M3="")+('Ügyfelek'!P3="")+('Ügyfelek'!O3=""))</f>
        <v/>
      </c>
      <c r="AD3">
        <f>IF($A3="","",B3+'Beállítások'!$E$6/1000)</f>
        <v/>
      </c>
      <c r="AE3">
        <f>IF($A3="","",C3+'Beállítások'!$E$7/1000)</f>
        <v/>
      </c>
      <c r="AF3">
        <f>IF($A3="","",D3+'Beállítások'!$E$8/1000)</f>
        <v/>
      </c>
      <c r="AG3">
        <f>IF($A3="","",E3+'Beállítások'!$E$9/1000)</f>
        <v/>
      </c>
      <c r="AH3">
        <f>IF($A3="","",F3+'Beállítások'!$E$10/1000)</f>
        <v/>
      </c>
      <c r="AI3">
        <f>IF($A3="","",G3+'Beállítások'!$E$11/1000)</f>
        <v/>
      </c>
      <c r="AJ3">
        <f>IF($A3="","",H3+'Beállítások'!$E$12/1000)</f>
        <v/>
      </c>
      <c r="AK3">
        <f>IF($A3="","",I3+'Beállítások'!$E$13/1000)</f>
        <v/>
      </c>
      <c r="AL3">
        <f>IF($A3="","",J3+'Beállítások'!$E$14/1000)</f>
        <v/>
      </c>
      <c r="AM3">
        <f>IF($A3="","",K3+'Beállítások'!$E$15/1000)</f>
        <v/>
      </c>
      <c r="AN3">
        <f>IF($A3="","",L3+'Beállítások'!$E$16/1000)</f>
        <v/>
      </c>
      <c r="AO3">
        <f>IF($A3="","",'Beállítások'!$E$6*(5-B3))</f>
        <v/>
      </c>
      <c r="AP3">
        <f>IF($A3="","",'Beállítások'!$E$7*(5-C3))</f>
        <v/>
      </c>
      <c r="AQ3">
        <f>IF($A3="","",'Beállítások'!$E$8*(5-D3))</f>
        <v/>
      </c>
      <c r="AR3">
        <f>IF($A3="","",'Beállítások'!$E$9*(5-E3))</f>
        <v/>
      </c>
      <c r="AS3">
        <f>IF($A3="","",'Beállítások'!$E$10*(5-F3))</f>
        <v/>
      </c>
      <c r="AT3">
        <f>IF($A3="","",'Beállítások'!$E$11*(5-G3))</f>
        <v/>
      </c>
      <c r="AU3">
        <f>IF($A3="","",'Beállítások'!$E$12*(5-H3))</f>
        <v/>
      </c>
      <c r="AV3">
        <f>IF($A3="","",'Beállítások'!$E$13*(5-I3))</f>
        <v/>
      </c>
      <c r="AW3">
        <f>IF($A3="","",'Beállítások'!$E$14*(5-J3))</f>
        <v/>
      </c>
      <c r="AX3">
        <f>IF($A3="","",'Beállítások'!$E$15*(5-K3))</f>
        <v/>
      </c>
      <c r="AY3">
        <f>IF($A3="","",'Beállítások'!$E$16*(5-L3))</f>
        <v/>
      </c>
      <c r="AZ3">
        <f>IF($A3="","",M3-ROW()/100000)</f>
        <v/>
      </c>
    </row>
    <row r="4">
      <c r="A4">
        <f>IF('Ügyfelek'!A4="","",'Ügyfelek'!A4)</f>
        <v/>
      </c>
      <c r="B4">
        <f>IF($A4="","",IF('Ügyfelek'!B4="",'Beállítások'!$B$45,IFERROR(VLOOKUP(TRIM('Ügyfelek'!B4),'Beállítások'!$A$22:$B$41,2,FALSE),'Beállítások'!$B$45)))</f>
        <v/>
      </c>
      <c r="C4">
        <f>IF($A4="","",IF('Ügyfelek'!C4="",'Beállítások'!$B$45,VLOOKUP(MAX('Ügyfelek'!C4,'Beállítások'!$H$7),'Beállítások'!$H$7:$I$11,2,TRUE)))</f>
        <v/>
      </c>
      <c r="D4">
        <f>IF($A4="","",IF('Ügyfelek'!D4="",'Beállítások'!$B$45,VLOOKUP(MAX('Ügyfelek'!D4,'Beállítások'!$K$7),'Beállítások'!$K$7:$L$11,2,TRUE)))</f>
        <v/>
      </c>
      <c r="E4">
        <f>IF($A4="","",IF('Ügyfelek'!L4="",'Beállítások'!$B$45,MIN(5,MAX(1,ROUND('Ügyfelek'!L4,0)))))</f>
        <v/>
      </c>
      <c r="F4">
        <f>IF($A4="","",IF('Ügyfelek'!I4="",'Beállítások'!$B$45,VLOOKUP(MAX('Ügyfelek'!I4,'Beállítások'!$N$7),'Beállítások'!$N$7:$O$11,2,TRUE)))</f>
        <v/>
      </c>
      <c r="G4">
        <f>IF($A4="","",IF('Ügyfelek'!N4="",'Beállítások'!$B$45,MIN(5,MAX(1,ROUND('Ügyfelek'!N4,0)))))</f>
        <v/>
      </c>
      <c r="H4">
        <f>IF($A4="","",IF('Ügyfelek'!J4="",'Beállítások'!$B$45,VLOOKUP(MAX('Ügyfelek'!J4,'Beállítások'!$Q$7),'Beállítások'!$Q$7:$R$11,2,TRUE)))</f>
        <v/>
      </c>
      <c r="I4">
        <f>IF($A4="","",IF('Ügyfelek'!K4="",'Beállítások'!$B$45,VLOOKUP(MAX('Ügyfelek'!K4,'Beállítások'!$T$7),'Beállítások'!$T$7:$U$11,2,TRUE)))</f>
        <v/>
      </c>
      <c r="J4">
        <f>IF($A4="","",IF('Ügyfelek'!M4="",'Beállítások'!$B$45,MIN(5,MAX(1,ROUND('Ügyfelek'!M4,0)))))</f>
        <v/>
      </c>
      <c r="K4">
        <f>IF($A4="","",IF('Ügyfelek'!P4="",'Beállítások'!$B$45,MIN(5,MAX(1,ROUND('Ügyfelek'!P4,0)))))</f>
        <v/>
      </c>
      <c r="L4">
        <f>IF($A4="","",IF('Ügyfelek'!O4="",'Beállítások'!$B$45,MIN(5,MAX(1,ROUND('Ügyfelek'!O4,0)))))</f>
        <v/>
      </c>
      <c r="M4" s="13">
        <f>IF($A4="","",ROUND('Beállítások'!$E$6*(B4-1)/4+'Beállítások'!$E$7*(C4-1)/4+'Beállítások'!$E$8*(D4-1)/4+'Beállítások'!$E$9*(E4-1)/4+'Beállítások'!$E$10*(F4-1)/4+'Beállítások'!$E$11*(G4-1)/4+'Beállítások'!$E$12*(H4-1)/4+'Beállítások'!$E$13*(I4-1)/4+'Beállítások'!$E$14*(J4-1)/4+'Beállítások'!$E$15*(K4-1)/4+'Beállítások'!$E$16*(L4-1)/4,1))</f>
        <v/>
      </c>
      <c r="N4" s="14">
        <f>IF($A4="","",RANK(M4,$M$2:$M$201))</f>
        <v/>
      </c>
      <c r="O4">
        <f>IF($A4="","",VLOOKUP(M4,'Beállítások'!$A$57:$E$60,2,TRUE))</f>
        <v/>
      </c>
      <c r="P4">
        <f>IF($A4="","",VLOOKUP(M4,'Beállítások'!$A$57:$E$60,3,TRUE))</f>
        <v/>
      </c>
      <c r="Q4">
        <f>IF($A4="","",INDEX('Beállítások'!$B$6:$B$16,MATCH(MAX(AD4:AN4),AD4:AN4,0)))</f>
        <v/>
      </c>
      <c r="R4">
        <f>IF($A4="","",IF(MAX(AO4:AY4)=0,"—",INDEX('Beállítások'!$B$6:$B$16,MATCH(MAX(AO4:AY4),AO4:AY4,0))))</f>
        <v/>
      </c>
      <c r="S4" s="5">
        <f>IF($A4="","",'Beállítások'!$B$47*(TRIM('Ügyfelek'!E4)="igen")+'Beállítások'!$B$48*(TRIM('Ügyfelek'!F4)="igen")+'Beállítások'!$B$49*N('Ügyfelek'!G4)+'Beállítások'!$B$46*N('Ügyfelek'!H4))</f>
        <v/>
      </c>
      <c r="T4" s="15">
        <f>IF($A4="","",VLOOKUP(M4,'Beállítások'!$A$57:$E$60,4,TRUE))</f>
        <v/>
      </c>
      <c r="U4" s="5">
        <f>IF($A4="","",N('Ügyfelek'!D4)*'Beállítások'!$B$51)</f>
        <v/>
      </c>
      <c r="V4" s="5">
        <f>IF($A4="","",CEILING(ROUND(MAX('Beállítások'!$B$50,S4*T4,U4),2),'Beállítások'!$B$52))</f>
        <v/>
      </c>
      <c r="W4">
        <f>IF($A4="","",IF(MAX('Beállítások'!$B$50,S4*T4,U4)=S4*T4,"Munkaigény × szintszorzó",IF(MAX('Beállítások'!$B$50,S4*T4,U4)=U4,"Hirdetési keret arányában","Minimumdíj")))</f>
        <v/>
      </c>
      <c r="X4" s="5">
        <f>IF(OR($A4="",'Ügyfelek'!Q4=""),"",'Ügyfelek'!Q4)</f>
        <v/>
      </c>
      <c r="Y4" s="5">
        <f>IF(X4="","",V4-X4)</f>
        <v/>
      </c>
      <c r="Z4" s="16">
        <f>IF(OR(X4="",X4=0),"",Y4/X4)</f>
        <v/>
      </c>
      <c r="AA4" s="5">
        <f>IF(OR($A4="",'Ügyfelek'!R4=""),"",'Ügyfelek'!R4*VLOOKUP(M4,'Beállítások'!$A$57:$E$60,5,TRUE))</f>
        <v/>
      </c>
      <c r="AB4" s="14">
        <f>IF($A4="","",('Ügyfelek'!B4="")+('Ügyfelek'!C4="")+('Ügyfelek'!D4="")+('Ügyfelek'!L4="")+('Ügyfelek'!I4="")+('Ügyfelek'!N4="")+('Ügyfelek'!J4="")+('Ügyfelek'!K4="")+('Ügyfelek'!M4="")+('Ügyfelek'!P4="")+('Ügyfelek'!O4=""))</f>
        <v/>
      </c>
      <c r="AD4">
        <f>IF($A4="","",B4+'Beállítások'!$E$6/1000)</f>
        <v/>
      </c>
      <c r="AE4">
        <f>IF($A4="","",C4+'Beállítások'!$E$7/1000)</f>
        <v/>
      </c>
      <c r="AF4">
        <f>IF($A4="","",D4+'Beállítások'!$E$8/1000)</f>
        <v/>
      </c>
      <c r="AG4">
        <f>IF($A4="","",E4+'Beállítások'!$E$9/1000)</f>
        <v/>
      </c>
      <c r="AH4">
        <f>IF($A4="","",F4+'Beállítások'!$E$10/1000)</f>
        <v/>
      </c>
      <c r="AI4">
        <f>IF($A4="","",G4+'Beállítások'!$E$11/1000)</f>
        <v/>
      </c>
      <c r="AJ4">
        <f>IF($A4="","",H4+'Beállítások'!$E$12/1000)</f>
        <v/>
      </c>
      <c r="AK4">
        <f>IF($A4="","",I4+'Beállítások'!$E$13/1000)</f>
        <v/>
      </c>
      <c r="AL4">
        <f>IF($A4="","",J4+'Beállítások'!$E$14/1000)</f>
        <v/>
      </c>
      <c r="AM4">
        <f>IF($A4="","",K4+'Beállítások'!$E$15/1000)</f>
        <v/>
      </c>
      <c r="AN4">
        <f>IF($A4="","",L4+'Beállítások'!$E$16/1000)</f>
        <v/>
      </c>
      <c r="AO4">
        <f>IF($A4="","",'Beállítások'!$E$6*(5-B4))</f>
        <v/>
      </c>
      <c r="AP4">
        <f>IF($A4="","",'Beállítások'!$E$7*(5-C4))</f>
        <v/>
      </c>
      <c r="AQ4">
        <f>IF($A4="","",'Beállítások'!$E$8*(5-D4))</f>
        <v/>
      </c>
      <c r="AR4">
        <f>IF($A4="","",'Beállítások'!$E$9*(5-E4))</f>
        <v/>
      </c>
      <c r="AS4">
        <f>IF($A4="","",'Beállítások'!$E$10*(5-F4))</f>
        <v/>
      </c>
      <c r="AT4">
        <f>IF($A4="","",'Beállítások'!$E$11*(5-G4))</f>
        <v/>
      </c>
      <c r="AU4">
        <f>IF($A4="","",'Beállítások'!$E$12*(5-H4))</f>
        <v/>
      </c>
      <c r="AV4">
        <f>IF($A4="","",'Beállítások'!$E$13*(5-I4))</f>
        <v/>
      </c>
      <c r="AW4">
        <f>IF($A4="","",'Beállítások'!$E$14*(5-J4))</f>
        <v/>
      </c>
      <c r="AX4">
        <f>IF($A4="","",'Beállítások'!$E$15*(5-K4))</f>
        <v/>
      </c>
      <c r="AY4">
        <f>IF($A4="","",'Beállítások'!$E$16*(5-L4))</f>
        <v/>
      </c>
      <c r="AZ4">
        <f>IF($A4="","",M4-ROW()/100000)</f>
        <v/>
      </c>
    </row>
    <row r="5">
      <c r="A5">
        <f>IF('Ügyfelek'!A5="","",'Ügyfelek'!A5)</f>
        <v/>
      </c>
      <c r="B5">
        <f>IF($A5="","",IF('Ügyfelek'!B5="",'Beállítások'!$B$45,IFERROR(VLOOKUP(TRIM('Ügyfelek'!B5),'Beállítások'!$A$22:$B$41,2,FALSE),'Beállítások'!$B$45)))</f>
        <v/>
      </c>
      <c r="C5">
        <f>IF($A5="","",IF('Ügyfelek'!C5="",'Beállítások'!$B$45,VLOOKUP(MAX('Ügyfelek'!C5,'Beállítások'!$H$7),'Beállítások'!$H$7:$I$11,2,TRUE)))</f>
        <v/>
      </c>
      <c r="D5">
        <f>IF($A5="","",IF('Ügyfelek'!D5="",'Beállítások'!$B$45,VLOOKUP(MAX('Ügyfelek'!D5,'Beállítások'!$K$7),'Beállítások'!$K$7:$L$11,2,TRUE)))</f>
        <v/>
      </c>
      <c r="E5">
        <f>IF($A5="","",IF('Ügyfelek'!L5="",'Beállítások'!$B$45,MIN(5,MAX(1,ROUND('Ügyfelek'!L5,0)))))</f>
        <v/>
      </c>
      <c r="F5">
        <f>IF($A5="","",IF('Ügyfelek'!I5="",'Beállítások'!$B$45,VLOOKUP(MAX('Ügyfelek'!I5,'Beállítások'!$N$7),'Beállítások'!$N$7:$O$11,2,TRUE)))</f>
        <v/>
      </c>
      <c r="G5">
        <f>IF($A5="","",IF('Ügyfelek'!N5="",'Beállítások'!$B$45,MIN(5,MAX(1,ROUND('Ügyfelek'!N5,0)))))</f>
        <v/>
      </c>
      <c r="H5">
        <f>IF($A5="","",IF('Ügyfelek'!J5="",'Beállítások'!$B$45,VLOOKUP(MAX('Ügyfelek'!J5,'Beállítások'!$Q$7),'Beállítások'!$Q$7:$R$11,2,TRUE)))</f>
        <v/>
      </c>
      <c r="I5">
        <f>IF($A5="","",IF('Ügyfelek'!K5="",'Beállítások'!$B$45,VLOOKUP(MAX('Ügyfelek'!K5,'Beállítások'!$T$7),'Beállítások'!$T$7:$U$11,2,TRUE)))</f>
        <v/>
      </c>
      <c r="J5">
        <f>IF($A5="","",IF('Ügyfelek'!M5="",'Beállítások'!$B$45,MIN(5,MAX(1,ROUND('Ügyfelek'!M5,0)))))</f>
        <v/>
      </c>
      <c r="K5">
        <f>IF($A5="","",IF('Ügyfelek'!P5="",'Beállítások'!$B$45,MIN(5,MAX(1,ROUND('Ügyfelek'!P5,0)))))</f>
        <v/>
      </c>
      <c r="L5">
        <f>IF($A5="","",IF('Ügyfelek'!O5="",'Beállítások'!$B$45,MIN(5,MAX(1,ROUND('Ügyfelek'!O5,0)))))</f>
        <v/>
      </c>
      <c r="M5" s="13">
        <f>IF($A5="","",ROUND('Beállítások'!$E$6*(B5-1)/4+'Beállítások'!$E$7*(C5-1)/4+'Beállítások'!$E$8*(D5-1)/4+'Beállítások'!$E$9*(E5-1)/4+'Beállítások'!$E$10*(F5-1)/4+'Beállítások'!$E$11*(G5-1)/4+'Beállítások'!$E$12*(H5-1)/4+'Beállítások'!$E$13*(I5-1)/4+'Beállítások'!$E$14*(J5-1)/4+'Beállítások'!$E$15*(K5-1)/4+'Beállítások'!$E$16*(L5-1)/4,1))</f>
        <v/>
      </c>
      <c r="N5" s="14">
        <f>IF($A5="","",RANK(M5,$M$2:$M$201))</f>
        <v/>
      </c>
      <c r="O5">
        <f>IF($A5="","",VLOOKUP(M5,'Beállítások'!$A$57:$E$60,2,TRUE))</f>
        <v/>
      </c>
      <c r="P5">
        <f>IF($A5="","",VLOOKUP(M5,'Beállítások'!$A$57:$E$60,3,TRUE))</f>
        <v/>
      </c>
      <c r="Q5">
        <f>IF($A5="","",INDEX('Beállítások'!$B$6:$B$16,MATCH(MAX(AD5:AN5),AD5:AN5,0)))</f>
        <v/>
      </c>
      <c r="R5">
        <f>IF($A5="","",IF(MAX(AO5:AY5)=0,"—",INDEX('Beállítások'!$B$6:$B$16,MATCH(MAX(AO5:AY5),AO5:AY5,0))))</f>
        <v/>
      </c>
      <c r="S5" s="5">
        <f>IF($A5="","",'Beállítások'!$B$47*(TRIM('Ügyfelek'!E5)="igen")+'Beállítások'!$B$48*(TRIM('Ügyfelek'!F5)="igen")+'Beállítások'!$B$49*N('Ügyfelek'!G5)+'Beállítások'!$B$46*N('Ügyfelek'!H5))</f>
        <v/>
      </c>
      <c r="T5" s="15">
        <f>IF($A5="","",VLOOKUP(M5,'Beállítások'!$A$57:$E$60,4,TRUE))</f>
        <v/>
      </c>
      <c r="U5" s="5">
        <f>IF($A5="","",N('Ügyfelek'!D5)*'Beállítások'!$B$51)</f>
        <v/>
      </c>
      <c r="V5" s="5">
        <f>IF($A5="","",CEILING(ROUND(MAX('Beállítások'!$B$50,S5*T5,U5),2),'Beállítások'!$B$52))</f>
        <v/>
      </c>
      <c r="W5">
        <f>IF($A5="","",IF(MAX('Beállítások'!$B$50,S5*T5,U5)=S5*T5,"Munkaigény × szintszorzó",IF(MAX('Beállítások'!$B$50,S5*T5,U5)=U5,"Hirdetési keret arányában","Minimumdíj")))</f>
        <v/>
      </c>
      <c r="X5" s="5">
        <f>IF(OR($A5="",'Ügyfelek'!Q5=""),"",'Ügyfelek'!Q5)</f>
        <v/>
      </c>
      <c r="Y5" s="5">
        <f>IF(X5="","",V5-X5)</f>
        <v/>
      </c>
      <c r="Z5" s="16">
        <f>IF(OR(X5="",X5=0),"",Y5/X5)</f>
        <v/>
      </c>
      <c r="AA5" s="5">
        <f>IF(OR($A5="",'Ügyfelek'!R5=""),"",'Ügyfelek'!R5*VLOOKUP(M5,'Beállítások'!$A$57:$E$60,5,TRUE))</f>
        <v/>
      </c>
      <c r="AB5" s="14">
        <f>IF($A5="","",('Ügyfelek'!B5="")+('Ügyfelek'!C5="")+('Ügyfelek'!D5="")+('Ügyfelek'!L5="")+('Ügyfelek'!I5="")+('Ügyfelek'!N5="")+('Ügyfelek'!J5="")+('Ügyfelek'!K5="")+('Ügyfelek'!M5="")+('Ügyfelek'!P5="")+('Ügyfelek'!O5=""))</f>
        <v/>
      </c>
      <c r="AD5">
        <f>IF($A5="","",B5+'Beállítások'!$E$6/1000)</f>
        <v/>
      </c>
      <c r="AE5">
        <f>IF($A5="","",C5+'Beállítások'!$E$7/1000)</f>
        <v/>
      </c>
      <c r="AF5">
        <f>IF($A5="","",D5+'Beállítások'!$E$8/1000)</f>
        <v/>
      </c>
      <c r="AG5">
        <f>IF($A5="","",E5+'Beállítások'!$E$9/1000)</f>
        <v/>
      </c>
      <c r="AH5">
        <f>IF($A5="","",F5+'Beállítások'!$E$10/1000)</f>
        <v/>
      </c>
      <c r="AI5">
        <f>IF($A5="","",G5+'Beállítások'!$E$11/1000)</f>
        <v/>
      </c>
      <c r="AJ5">
        <f>IF($A5="","",H5+'Beállítások'!$E$12/1000)</f>
        <v/>
      </c>
      <c r="AK5">
        <f>IF($A5="","",I5+'Beállítások'!$E$13/1000)</f>
        <v/>
      </c>
      <c r="AL5">
        <f>IF($A5="","",J5+'Beállítások'!$E$14/1000)</f>
        <v/>
      </c>
      <c r="AM5">
        <f>IF($A5="","",K5+'Beállítások'!$E$15/1000)</f>
        <v/>
      </c>
      <c r="AN5">
        <f>IF($A5="","",L5+'Beállítások'!$E$16/1000)</f>
        <v/>
      </c>
      <c r="AO5">
        <f>IF($A5="","",'Beállítások'!$E$6*(5-B5))</f>
        <v/>
      </c>
      <c r="AP5">
        <f>IF($A5="","",'Beállítások'!$E$7*(5-C5))</f>
        <v/>
      </c>
      <c r="AQ5">
        <f>IF($A5="","",'Beállítások'!$E$8*(5-D5))</f>
        <v/>
      </c>
      <c r="AR5">
        <f>IF($A5="","",'Beállítások'!$E$9*(5-E5))</f>
        <v/>
      </c>
      <c r="AS5">
        <f>IF($A5="","",'Beállítások'!$E$10*(5-F5))</f>
        <v/>
      </c>
      <c r="AT5">
        <f>IF($A5="","",'Beállítások'!$E$11*(5-G5))</f>
        <v/>
      </c>
      <c r="AU5">
        <f>IF($A5="","",'Beállítások'!$E$12*(5-H5))</f>
        <v/>
      </c>
      <c r="AV5">
        <f>IF($A5="","",'Beállítások'!$E$13*(5-I5))</f>
        <v/>
      </c>
      <c r="AW5">
        <f>IF($A5="","",'Beállítások'!$E$14*(5-J5))</f>
        <v/>
      </c>
      <c r="AX5">
        <f>IF($A5="","",'Beállítások'!$E$15*(5-K5))</f>
        <v/>
      </c>
      <c r="AY5">
        <f>IF($A5="","",'Beállítások'!$E$16*(5-L5))</f>
        <v/>
      </c>
      <c r="AZ5">
        <f>IF($A5="","",M5-ROW()/100000)</f>
        <v/>
      </c>
    </row>
    <row r="6">
      <c r="A6">
        <f>IF('Ügyfelek'!A6="","",'Ügyfelek'!A6)</f>
        <v/>
      </c>
      <c r="B6">
        <f>IF($A6="","",IF('Ügyfelek'!B6="",'Beállítások'!$B$45,IFERROR(VLOOKUP(TRIM('Ügyfelek'!B6),'Beállítások'!$A$22:$B$41,2,FALSE),'Beállítások'!$B$45)))</f>
        <v/>
      </c>
      <c r="C6">
        <f>IF($A6="","",IF('Ügyfelek'!C6="",'Beállítások'!$B$45,VLOOKUP(MAX('Ügyfelek'!C6,'Beállítások'!$H$7),'Beállítások'!$H$7:$I$11,2,TRUE)))</f>
        <v/>
      </c>
      <c r="D6">
        <f>IF($A6="","",IF('Ügyfelek'!D6="",'Beállítások'!$B$45,VLOOKUP(MAX('Ügyfelek'!D6,'Beállítások'!$K$7),'Beállítások'!$K$7:$L$11,2,TRUE)))</f>
        <v/>
      </c>
      <c r="E6">
        <f>IF($A6="","",IF('Ügyfelek'!L6="",'Beállítások'!$B$45,MIN(5,MAX(1,ROUND('Ügyfelek'!L6,0)))))</f>
        <v/>
      </c>
      <c r="F6">
        <f>IF($A6="","",IF('Ügyfelek'!I6="",'Beállítások'!$B$45,VLOOKUP(MAX('Ügyfelek'!I6,'Beállítások'!$N$7),'Beállítások'!$N$7:$O$11,2,TRUE)))</f>
        <v/>
      </c>
      <c r="G6">
        <f>IF($A6="","",IF('Ügyfelek'!N6="",'Beállítások'!$B$45,MIN(5,MAX(1,ROUND('Ügyfelek'!N6,0)))))</f>
        <v/>
      </c>
      <c r="H6">
        <f>IF($A6="","",IF('Ügyfelek'!J6="",'Beállítások'!$B$45,VLOOKUP(MAX('Ügyfelek'!J6,'Beállítások'!$Q$7),'Beállítások'!$Q$7:$R$11,2,TRUE)))</f>
        <v/>
      </c>
      <c r="I6">
        <f>IF($A6="","",IF('Ügyfelek'!K6="",'Beállítások'!$B$45,VLOOKUP(MAX('Ügyfelek'!K6,'Beállítások'!$T$7),'Beállítások'!$T$7:$U$11,2,TRUE)))</f>
        <v/>
      </c>
      <c r="J6">
        <f>IF($A6="","",IF('Ügyfelek'!M6="",'Beállítások'!$B$45,MIN(5,MAX(1,ROUND('Ügyfelek'!M6,0)))))</f>
        <v/>
      </c>
      <c r="K6">
        <f>IF($A6="","",IF('Ügyfelek'!P6="",'Beállítások'!$B$45,MIN(5,MAX(1,ROUND('Ügyfelek'!P6,0)))))</f>
        <v/>
      </c>
      <c r="L6">
        <f>IF($A6="","",IF('Ügyfelek'!O6="",'Beállítások'!$B$45,MIN(5,MAX(1,ROUND('Ügyfelek'!O6,0)))))</f>
        <v/>
      </c>
      <c r="M6" s="13">
        <f>IF($A6="","",ROUND('Beállítások'!$E$6*(B6-1)/4+'Beállítások'!$E$7*(C6-1)/4+'Beállítások'!$E$8*(D6-1)/4+'Beállítások'!$E$9*(E6-1)/4+'Beállítások'!$E$10*(F6-1)/4+'Beállítások'!$E$11*(G6-1)/4+'Beállítások'!$E$12*(H6-1)/4+'Beállítások'!$E$13*(I6-1)/4+'Beállítások'!$E$14*(J6-1)/4+'Beállítások'!$E$15*(K6-1)/4+'Beállítások'!$E$16*(L6-1)/4,1))</f>
        <v/>
      </c>
      <c r="N6" s="14">
        <f>IF($A6="","",RANK(M6,$M$2:$M$201))</f>
        <v/>
      </c>
      <c r="O6">
        <f>IF($A6="","",VLOOKUP(M6,'Beállítások'!$A$57:$E$60,2,TRUE))</f>
        <v/>
      </c>
      <c r="P6">
        <f>IF($A6="","",VLOOKUP(M6,'Beállítások'!$A$57:$E$60,3,TRUE))</f>
        <v/>
      </c>
      <c r="Q6">
        <f>IF($A6="","",INDEX('Beállítások'!$B$6:$B$16,MATCH(MAX(AD6:AN6),AD6:AN6,0)))</f>
        <v/>
      </c>
      <c r="R6">
        <f>IF($A6="","",IF(MAX(AO6:AY6)=0,"—",INDEX('Beállítások'!$B$6:$B$16,MATCH(MAX(AO6:AY6),AO6:AY6,0))))</f>
        <v/>
      </c>
      <c r="S6" s="5">
        <f>IF($A6="","",'Beállítások'!$B$47*(TRIM('Ügyfelek'!E6)="igen")+'Beállítások'!$B$48*(TRIM('Ügyfelek'!F6)="igen")+'Beállítások'!$B$49*N('Ügyfelek'!G6)+'Beállítások'!$B$46*N('Ügyfelek'!H6))</f>
        <v/>
      </c>
      <c r="T6" s="15">
        <f>IF($A6="","",VLOOKUP(M6,'Beállítások'!$A$57:$E$60,4,TRUE))</f>
        <v/>
      </c>
      <c r="U6" s="5">
        <f>IF($A6="","",N('Ügyfelek'!D6)*'Beállítások'!$B$51)</f>
        <v/>
      </c>
      <c r="V6" s="5">
        <f>IF($A6="","",CEILING(ROUND(MAX('Beállítások'!$B$50,S6*T6,U6),2),'Beállítások'!$B$52))</f>
        <v/>
      </c>
      <c r="W6">
        <f>IF($A6="","",IF(MAX('Beállítások'!$B$50,S6*T6,U6)=S6*T6,"Munkaigény × szintszorzó",IF(MAX('Beállítások'!$B$50,S6*T6,U6)=U6,"Hirdetési keret arányában","Minimumdíj")))</f>
        <v/>
      </c>
      <c r="X6" s="5">
        <f>IF(OR($A6="",'Ügyfelek'!Q6=""),"",'Ügyfelek'!Q6)</f>
        <v/>
      </c>
      <c r="Y6" s="5">
        <f>IF(X6="","",V6-X6)</f>
        <v/>
      </c>
      <c r="Z6" s="16">
        <f>IF(OR(X6="",X6=0),"",Y6/X6)</f>
        <v/>
      </c>
      <c r="AA6" s="5">
        <f>IF(OR($A6="",'Ügyfelek'!R6=""),"",'Ügyfelek'!R6*VLOOKUP(M6,'Beállítások'!$A$57:$E$60,5,TRUE))</f>
        <v/>
      </c>
      <c r="AB6" s="14">
        <f>IF($A6="","",('Ügyfelek'!B6="")+('Ügyfelek'!C6="")+('Ügyfelek'!D6="")+('Ügyfelek'!L6="")+('Ügyfelek'!I6="")+('Ügyfelek'!N6="")+('Ügyfelek'!J6="")+('Ügyfelek'!K6="")+('Ügyfelek'!M6="")+('Ügyfelek'!P6="")+('Ügyfelek'!O6=""))</f>
        <v/>
      </c>
      <c r="AD6">
        <f>IF($A6="","",B6+'Beállítások'!$E$6/1000)</f>
        <v/>
      </c>
      <c r="AE6">
        <f>IF($A6="","",C6+'Beállítások'!$E$7/1000)</f>
        <v/>
      </c>
      <c r="AF6">
        <f>IF($A6="","",D6+'Beállítások'!$E$8/1000)</f>
        <v/>
      </c>
      <c r="AG6">
        <f>IF($A6="","",E6+'Beállítások'!$E$9/1000)</f>
        <v/>
      </c>
      <c r="AH6">
        <f>IF($A6="","",F6+'Beállítások'!$E$10/1000)</f>
        <v/>
      </c>
      <c r="AI6">
        <f>IF($A6="","",G6+'Beállítások'!$E$11/1000)</f>
        <v/>
      </c>
      <c r="AJ6">
        <f>IF($A6="","",H6+'Beállítások'!$E$12/1000)</f>
        <v/>
      </c>
      <c r="AK6">
        <f>IF($A6="","",I6+'Beállítások'!$E$13/1000)</f>
        <v/>
      </c>
      <c r="AL6">
        <f>IF($A6="","",J6+'Beállítások'!$E$14/1000)</f>
        <v/>
      </c>
      <c r="AM6">
        <f>IF($A6="","",K6+'Beállítások'!$E$15/1000)</f>
        <v/>
      </c>
      <c r="AN6">
        <f>IF($A6="","",L6+'Beállítások'!$E$16/1000)</f>
        <v/>
      </c>
      <c r="AO6">
        <f>IF($A6="","",'Beállítások'!$E$6*(5-B6))</f>
        <v/>
      </c>
      <c r="AP6">
        <f>IF($A6="","",'Beállítások'!$E$7*(5-C6))</f>
        <v/>
      </c>
      <c r="AQ6">
        <f>IF($A6="","",'Beállítások'!$E$8*(5-D6))</f>
        <v/>
      </c>
      <c r="AR6">
        <f>IF($A6="","",'Beállítások'!$E$9*(5-E6))</f>
        <v/>
      </c>
      <c r="AS6">
        <f>IF($A6="","",'Beállítások'!$E$10*(5-F6))</f>
        <v/>
      </c>
      <c r="AT6">
        <f>IF($A6="","",'Beállítások'!$E$11*(5-G6))</f>
        <v/>
      </c>
      <c r="AU6">
        <f>IF($A6="","",'Beállítások'!$E$12*(5-H6))</f>
        <v/>
      </c>
      <c r="AV6">
        <f>IF($A6="","",'Beállítások'!$E$13*(5-I6))</f>
        <v/>
      </c>
      <c r="AW6">
        <f>IF($A6="","",'Beállítások'!$E$14*(5-J6))</f>
        <v/>
      </c>
      <c r="AX6">
        <f>IF($A6="","",'Beállítások'!$E$15*(5-K6))</f>
        <v/>
      </c>
      <c r="AY6">
        <f>IF($A6="","",'Beállítások'!$E$16*(5-L6))</f>
        <v/>
      </c>
      <c r="AZ6">
        <f>IF($A6="","",M6-ROW()/100000)</f>
        <v/>
      </c>
    </row>
    <row r="7">
      <c r="A7">
        <f>IF('Ügyfelek'!A7="","",'Ügyfelek'!A7)</f>
        <v/>
      </c>
      <c r="B7">
        <f>IF($A7="","",IF('Ügyfelek'!B7="",'Beállítások'!$B$45,IFERROR(VLOOKUP(TRIM('Ügyfelek'!B7),'Beállítások'!$A$22:$B$41,2,FALSE),'Beállítások'!$B$45)))</f>
        <v/>
      </c>
      <c r="C7">
        <f>IF($A7="","",IF('Ügyfelek'!C7="",'Beállítások'!$B$45,VLOOKUP(MAX('Ügyfelek'!C7,'Beállítások'!$H$7),'Beállítások'!$H$7:$I$11,2,TRUE)))</f>
        <v/>
      </c>
      <c r="D7">
        <f>IF($A7="","",IF('Ügyfelek'!D7="",'Beállítások'!$B$45,VLOOKUP(MAX('Ügyfelek'!D7,'Beállítások'!$K$7),'Beállítások'!$K$7:$L$11,2,TRUE)))</f>
        <v/>
      </c>
      <c r="E7">
        <f>IF($A7="","",IF('Ügyfelek'!L7="",'Beállítások'!$B$45,MIN(5,MAX(1,ROUND('Ügyfelek'!L7,0)))))</f>
        <v/>
      </c>
      <c r="F7">
        <f>IF($A7="","",IF('Ügyfelek'!I7="",'Beállítások'!$B$45,VLOOKUP(MAX('Ügyfelek'!I7,'Beállítások'!$N$7),'Beállítások'!$N$7:$O$11,2,TRUE)))</f>
        <v/>
      </c>
      <c r="G7">
        <f>IF($A7="","",IF('Ügyfelek'!N7="",'Beállítások'!$B$45,MIN(5,MAX(1,ROUND('Ügyfelek'!N7,0)))))</f>
        <v/>
      </c>
      <c r="H7">
        <f>IF($A7="","",IF('Ügyfelek'!J7="",'Beállítások'!$B$45,VLOOKUP(MAX('Ügyfelek'!J7,'Beállítások'!$Q$7),'Beállítások'!$Q$7:$R$11,2,TRUE)))</f>
        <v/>
      </c>
      <c r="I7">
        <f>IF($A7="","",IF('Ügyfelek'!K7="",'Beállítások'!$B$45,VLOOKUP(MAX('Ügyfelek'!K7,'Beállítások'!$T$7),'Beállítások'!$T$7:$U$11,2,TRUE)))</f>
        <v/>
      </c>
      <c r="J7">
        <f>IF($A7="","",IF('Ügyfelek'!M7="",'Beállítások'!$B$45,MIN(5,MAX(1,ROUND('Ügyfelek'!M7,0)))))</f>
        <v/>
      </c>
      <c r="K7">
        <f>IF($A7="","",IF('Ügyfelek'!P7="",'Beállítások'!$B$45,MIN(5,MAX(1,ROUND('Ügyfelek'!P7,0)))))</f>
        <v/>
      </c>
      <c r="L7">
        <f>IF($A7="","",IF('Ügyfelek'!O7="",'Beállítások'!$B$45,MIN(5,MAX(1,ROUND('Ügyfelek'!O7,0)))))</f>
        <v/>
      </c>
      <c r="M7" s="13">
        <f>IF($A7="","",ROUND('Beállítások'!$E$6*(B7-1)/4+'Beállítások'!$E$7*(C7-1)/4+'Beállítások'!$E$8*(D7-1)/4+'Beállítások'!$E$9*(E7-1)/4+'Beállítások'!$E$10*(F7-1)/4+'Beállítások'!$E$11*(G7-1)/4+'Beállítások'!$E$12*(H7-1)/4+'Beállítások'!$E$13*(I7-1)/4+'Beállítások'!$E$14*(J7-1)/4+'Beállítások'!$E$15*(K7-1)/4+'Beállítások'!$E$16*(L7-1)/4,1))</f>
        <v/>
      </c>
      <c r="N7" s="14">
        <f>IF($A7="","",RANK(M7,$M$2:$M$201))</f>
        <v/>
      </c>
      <c r="O7">
        <f>IF($A7="","",VLOOKUP(M7,'Beállítások'!$A$57:$E$60,2,TRUE))</f>
        <v/>
      </c>
      <c r="P7">
        <f>IF($A7="","",VLOOKUP(M7,'Beállítások'!$A$57:$E$60,3,TRUE))</f>
        <v/>
      </c>
      <c r="Q7">
        <f>IF($A7="","",INDEX('Beállítások'!$B$6:$B$16,MATCH(MAX(AD7:AN7),AD7:AN7,0)))</f>
        <v/>
      </c>
      <c r="R7">
        <f>IF($A7="","",IF(MAX(AO7:AY7)=0,"—",INDEX('Beállítások'!$B$6:$B$16,MATCH(MAX(AO7:AY7),AO7:AY7,0))))</f>
        <v/>
      </c>
      <c r="S7" s="5">
        <f>IF($A7="","",'Beállítások'!$B$47*(TRIM('Ügyfelek'!E7)="igen")+'Beállítások'!$B$48*(TRIM('Ügyfelek'!F7)="igen")+'Beállítások'!$B$49*N('Ügyfelek'!G7)+'Beállítások'!$B$46*N('Ügyfelek'!H7))</f>
        <v/>
      </c>
      <c r="T7" s="15">
        <f>IF($A7="","",VLOOKUP(M7,'Beállítások'!$A$57:$E$60,4,TRUE))</f>
        <v/>
      </c>
      <c r="U7" s="5">
        <f>IF($A7="","",N('Ügyfelek'!D7)*'Beállítások'!$B$51)</f>
        <v/>
      </c>
      <c r="V7" s="5">
        <f>IF($A7="","",CEILING(ROUND(MAX('Beállítások'!$B$50,S7*T7,U7),2),'Beállítások'!$B$52))</f>
        <v/>
      </c>
      <c r="W7">
        <f>IF($A7="","",IF(MAX('Beállítások'!$B$50,S7*T7,U7)=S7*T7,"Munkaigény × szintszorzó",IF(MAX('Beállítások'!$B$50,S7*T7,U7)=U7,"Hirdetési keret arányában","Minimumdíj")))</f>
        <v/>
      </c>
      <c r="X7" s="5">
        <f>IF(OR($A7="",'Ügyfelek'!Q7=""),"",'Ügyfelek'!Q7)</f>
        <v/>
      </c>
      <c r="Y7" s="5">
        <f>IF(X7="","",V7-X7)</f>
        <v/>
      </c>
      <c r="Z7" s="16">
        <f>IF(OR(X7="",X7=0),"",Y7/X7)</f>
        <v/>
      </c>
      <c r="AA7" s="5">
        <f>IF(OR($A7="",'Ügyfelek'!R7=""),"",'Ügyfelek'!R7*VLOOKUP(M7,'Beállítások'!$A$57:$E$60,5,TRUE))</f>
        <v/>
      </c>
      <c r="AB7" s="14">
        <f>IF($A7="","",('Ügyfelek'!B7="")+('Ügyfelek'!C7="")+('Ügyfelek'!D7="")+('Ügyfelek'!L7="")+('Ügyfelek'!I7="")+('Ügyfelek'!N7="")+('Ügyfelek'!J7="")+('Ügyfelek'!K7="")+('Ügyfelek'!M7="")+('Ügyfelek'!P7="")+('Ügyfelek'!O7=""))</f>
        <v/>
      </c>
      <c r="AD7">
        <f>IF($A7="","",B7+'Beállítások'!$E$6/1000)</f>
        <v/>
      </c>
      <c r="AE7">
        <f>IF($A7="","",C7+'Beállítások'!$E$7/1000)</f>
        <v/>
      </c>
      <c r="AF7">
        <f>IF($A7="","",D7+'Beállítások'!$E$8/1000)</f>
        <v/>
      </c>
      <c r="AG7">
        <f>IF($A7="","",E7+'Beállítások'!$E$9/1000)</f>
        <v/>
      </c>
      <c r="AH7">
        <f>IF($A7="","",F7+'Beállítások'!$E$10/1000)</f>
        <v/>
      </c>
      <c r="AI7">
        <f>IF($A7="","",G7+'Beállítások'!$E$11/1000)</f>
        <v/>
      </c>
      <c r="AJ7">
        <f>IF($A7="","",H7+'Beállítások'!$E$12/1000)</f>
        <v/>
      </c>
      <c r="AK7">
        <f>IF($A7="","",I7+'Beállítások'!$E$13/1000)</f>
        <v/>
      </c>
      <c r="AL7">
        <f>IF($A7="","",J7+'Beállítások'!$E$14/1000)</f>
        <v/>
      </c>
      <c r="AM7">
        <f>IF($A7="","",K7+'Beállítások'!$E$15/1000)</f>
        <v/>
      </c>
      <c r="AN7">
        <f>IF($A7="","",L7+'Beállítások'!$E$16/1000)</f>
        <v/>
      </c>
      <c r="AO7">
        <f>IF($A7="","",'Beállítások'!$E$6*(5-B7))</f>
        <v/>
      </c>
      <c r="AP7">
        <f>IF($A7="","",'Beállítások'!$E$7*(5-C7))</f>
        <v/>
      </c>
      <c r="AQ7">
        <f>IF($A7="","",'Beállítások'!$E$8*(5-D7))</f>
        <v/>
      </c>
      <c r="AR7">
        <f>IF($A7="","",'Beállítások'!$E$9*(5-E7))</f>
        <v/>
      </c>
      <c r="AS7">
        <f>IF($A7="","",'Beállítások'!$E$10*(5-F7))</f>
        <v/>
      </c>
      <c r="AT7">
        <f>IF($A7="","",'Beállítások'!$E$11*(5-G7))</f>
        <v/>
      </c>
      <c r="AU7">
        <f>IF($A7="","",'Beállítások'!$E$12*(5-H7))</f>
        <v/>
      </c>
      <c r="AV7">
        <f>IF($A7="","",'Beállítások'!$E$13*(5-I7))</f>
        <v/>
      </c>
      <c r="AW7">
        <f>IF($A7="","",'Beállítások'!$E$14*(5-J7))</f>
        <v/>
      </c>
      <c r="AX7">
        <f>IF($A7="","",'Beállítások'!$E$15*(5-K7))</f>
        <v/>
      </c>
      <c r="AY7">
        <f>IF($A7="","",'Beállítások'!$E$16*(5-L7))</f>
        <v/>
      </c>
      <c r="AZ7">
        <f>IF($A7="","",M7-ROW()/100000)</f>
        <v/>
      </c>
    </row>
    <row r="8">
      <c r="A8">
        <f>IF('Ügyfelek'!A8="","",'Ügyfelek'!A8)</f>
        <v/>
      </c>
      <c r="B8">
        <f>IF($A8="","",IF('Ügyfelek'!B8="",'Beállítások'!$B$45,IFERROR(VLOOKUP(TRIM('Ügyfelek'!B8),'Beállítások'!$A$22:$B$41,2,FALSE),'Beállítások'!$B$45)))</f>
        <v/>
      </c>
      <c r="C8">
        <f>IF($A8="","",IF('Ügyfelek'!C8="",'Beállítások'!$B$45,VLOOKUP(MAX('Ügyfelek'!C8,'Beállítások'!$H$7),'Beállítások'!$H$7:$I$11,2,TRUE)))</f>
        <v/>
      </c>
      <c r="D8">
        <f>IF($A8="","",IF('Ügyfelek'!D8="",'Beállítások'!$B$45,VLOOKUP(MAX('Ügyfelek'!D8,'Beállítások'!$K$7),'Beállítások'!$K$7:$L$11,2,TRUE)))</f>
        <v/>
      </c>
      <c r="E8">
        <f>IF($A8="","",IF('Ügyfelek'!L8="",'Beállítások'!$B$45,MIN(5,MAX(1,ROUND('Ügyfelek'!L8,0)))))</f>
        <v/>
      </c>
      <c r="F8">
        <f>IF($A8="","",IF('Ügyfelek'!I8="",'Beállítások'!$B$45,VLOOKUP(MAX('Ügyfelek'!I8,'Beállítások'!$N$7),'Beállítások'!$N$7:$O$11,2,TRUE)))</f>
        <v/>
      </c>
      <c r="G8">
        <f>IF($A8="","",IF('Ügyfelek'!N8="",'Beállítások'!$B$45,MIN(5,MAX(1,ROUND('Ügyfelek'!N8,0)))))</f>
        <v/>
      </c>
      <c r="H8">
        <f>IF($A8="","",IF('Ügyfelek'!J8="",'Beállítások'!$B$45,VLOOKUP(MAX('Ügyfelek'!J8,'Beállítások'!$Q$7),'Beállítások'!$Q$7:$R$11,2,TRUE)))</f>
        <v/>
      </c>
      <c r="I8">
        <f>IF($A8="","",IF('Ügyfelek'!K8="",'Beállítások'!$B$45,VLOOKUP(MAX('Ügyfelek'!K8,'Beállítások'!$T$7),'Beállítások'!$T$7:$U$11,2,TRUE)))</f>
        <v/>
      </c>
      <c r="J8">
        <f>IF($A8="","",IF('Ügyfelek'!M8="",'Beállítások'!$B$45,MIN(5,MAX(1,ROUND('Ügyfelek'!M8,0)))))</f>
        <v/>
      </c>
      <c r="K8">
        <f>IF($A8="","",IF('Ügyfelek'!P8="",'Beállítások'!$B$45,MIN(5,MAX(1,ROUND('Ügyfelek'!P8,0)))))</f>
        <v/>
      </c>
      <c r="L8">
        <f>IF($A8="","",IF('Ügyfelek'!O8="",'Beállítások'!$B$45,MIN(5,MAX(1,ROUND('Ügyfelek'!O8,0)))))</f>
        <v/>
      </c>
      <c r="M8" s="13">
        <f>IF($A8="","",ROUND('Beállítások'!$E$6*(B8-1)/4+'Beállítások'!$E$7*(C8-1)/4+'Beállítások'!$E$8*(D8-1)/4+'Beállítások'!$E$9*(E8-1)/4+'Beállítások'!$E$10*(F8-1)/4+'Beállítások'!$E$11*(G8-1)/4+'Beállítások'!$E$12*(H8-1)/4+'Beállítások'!$E$13*(I8-1)/4+'Beállítások'!$E$14*(J8-1)/4+'Beállítások'!$E$15*(K8-1)/4+'Beállítások'!$E$16*(L8-1)/4,1))</f>
        <v/>
      </c>
      <c r="N8" s="14">
        <f>IF($A8="","",RANK(M8,$M$2:$M$201))</f>
        <v/>
      </c>
      <c r="O8">
        <f>IF($A8="","",VLOOKUP(M8,'Beállítások'!$A$57:$E$60,2,TRUE))</f>
        <v/>
      </c>
      <c r="P8">
        <f>IF($A8="","",VLOOKUP(M8,'Beállítások'!$A$57:$E$60,3,TRUE))</f>
        <v/>
      </c>
      <c r="Q8">
        <f>IF($A8="","",INDEX('Beállítások'!$B$6:$B$16,MATCH(MAX(AD8:AN8),AD8:AN8,0)))</f>
        <v/>
      </c>
      <c r="R8">
        <f>IF($A8="","",IF(MAX(AO8:AY8)=0,"—",INDEX('Beállítások'!$B$6:$B$16,MATCH(MAX(AO8:AY8),AO8:AY8,0))))</f>
        <v/>
      </c>
      <c r="S8" s="5">
        <f>IF($A8="","",'Beállítások'!$B$47*(TRIM('Ügyfelek'!E8)="igen")+'Beállítások'!$B$48*(TRIM('Ügyfelek'!F8)="igen")+'Beállítások'!$B$49*N('Ügyfelek'!G8)+'Beállítások'!$B$46*N('Ügyfelek'!H8))</f>
        <v/>
      </c>
      <c r="T8" s="15">
        <f>IF($A8="","",VLOOKUP(M8,'Beállítások'!$A$57:$E$60,4,TRUE))</f>
        <v/>
      </c>
      <c r="U8" s="5">
        <f>IF($A8="","",N('Ügyfelek'!D8)*'Beállítások'!$B$51)</f>
        <v/>
      </c>
      <c r="V8" s="5">
        <f>IF($A8="","",CEILING(ROUND(MAX('Beállítások'!$B$50,S8*T8,U8),2),'Beállítások'!$B$52))</f>
        <v/>
      </c>
      <c r="W8">
        <f>IF($A8="","",IF(MAX('Beállítások'!$B$50,S8*T8,U8)=S8*T8,"Munkaigény × szintszorzó",IF(MAX('Beállítások'!$B$50,S8*T8,U8)=U8,"Hirdetési keret arányában","Minimumdíj")))</f>
        <v/>
      </c>
      <c r="X8" s="5">
        <f>IF(OR($A8="",'Ügyfelek'!Q8=""),"",'Ügyfelek'!Q8)</f>
        <v/>
      </c>
      <c r="Y8" s="5">
        <f>IF(X8="","",V8-X8)</f>
        <v/>
      </c>
      <c r="Z8" s="16">
        <f>IF(OR(X8="",X8=0),"",Y8/X8)</f>
        <v/>
      </c>
      <c r="AA8" s="5">
        <f>IF(OR($A8="",'Ügyfelek'!R8=""),"",'Ügyfelek'!R8*VLOOKUP(M8,'Beállítások'!$A$57:$E$60,5,TRUE))</f>
        <v/>
      </c>
      <c r="AB8" s="14">
        <f>IF($A8="","",('Ügyfelek'!B8="")+('Ügyfelek'!C8="")+('Ügyfelek'!D8="")+('Ügyfelek'!L8="")+('Ügyfelek'!I8="")+('Ügyfelek'!N8="")+('Ügyfelek'!J8="")+('Ügyfelek'!K8="")+('Ügyfelek'!M8="")+('Ügyfelek'!P8="")+('Ügyfelek'!O8=""))</f>
        <v/>
      </c>
      <c r="AD8">
        <f>IF($A8="","",B8+'Beállítások'!$E$6/1000)</f>
        <v/>
      </c>
      <c r="AE8">
        <f>IF($A8="","",C8+'Beállítások'!$E$7/1000)</f>
        <v/>
      </c>
      <c r="AF8">
        <f>IF($A8="","",D8+'Beállítások'!$E$8/1000)</f>
        <v/>
      </c>
      <c r="AG8">
        <f>IF($A8="","",E8+'Beállítások'!$E$9/1000)</f>
        <v/>
      </c>
      <c r="AH8">
        <f>IF($A8="","",F8+'Beállítások'!$E$10/1000)</f>
        <v/>
      </c>
      <c r="AI8">
        <f>IF($A8="","",G8+'Beállítások'!$E$11/1000)</f>
        <v/>
      </c>
      <c r="AJ8">
        <f>IF($A8="","",H8+'Beállítások'!$E$12/1000)</f>
        <v/>
      </c>
      <c r="AK8">
        <f>IF($A8="","",I8+'Beállítások'!$E$13/1000)</f>
        <v/>
      </c>
      <c r="AL8">
        <f>IF($A8="","",J8+'Beállítások'!$E$14/1000)</f>
        <v/>
      </c>
      <c r="AM8">
        <f>IF($A8="","",K8+'Beállítások'!$E$15/1000)</f>
        <v/>
      </c>
      <c r="AN8">
        <f>IF($A8="","",L8+'Beállítások'!$E$16/1000)</f>
        <v/>
      </c>
      <c r="AO8">
        <f>IF($A8="","",'Beállítások'!$E$6*(5-B8))</f>
        <v/>
      </c>
      <c r="AP8">
        <f>IF($A8="","",'Beállítások'!$E$7*(5-C8))</f>
        <v/>
      </c>
      <c r="AQ8">
        <f>IF($A8="","",'Beállítások'!$E$8*(5-D8))</f>
        <v/>
      </c>
      <c r="AR8">
        <f>IF($A8="","",'Beállítások'!$E$9*(5-E8))</f>
        <v/>
      </c>
      <c r="AS8">
        <f>IF($A8="","",'Beállítások'!$E$10*(5-F8))</f>
        <v/>
      </c>
      <c r="AT8">
        <f>IF($A8="","",'Beállítások'!$E$11*(5-G8))</f>
        <v/>
      </c>
      <c r="AU8">
        <f>IF($A8="","",'Beállítások'!$E$12*(5-H8))</f>
        <v/>
      </c>
      <c r="AV8">
        <f>IF($A8="","",'Beállítások'!$E$13*(5-I8))</f>
        <v/>
      </c>
      <c r="AW8">
        <f>IF($A8="","",'Beállítások'!$E$14*(5-J8))</f>
        <v/>
      </c>
      <c r="AX8">
        <f>IF($A8="","",'Beállítások'!$E$15*(5-K8))</f>
        <v/>
      </c>
      <c r="AY8">
        <f>IF($A8="","",'Beállítások'!$E$16*(5-L8))</f>
        <v/>
      </c>
      <c r="AZ8">
        <f>IF($A8="","",M8-ROW()/100000)</f>
        <v/>
      </c>
    </row>
    <row r="9">
      <c r="A9">
        <f>IF('Ügyfelek'!A9="","",'Ügyfelek'!A9)</f>
        <v/>
      </c>
      <c r="B9">
        <f>IF($A9="","",IF('Ügyfelek'!B9="",'Beállítások'!$B$45,IFERROR(VLOOKUP(TRIM('Ügyfelek'!B9),'Beállítások'!$A$22:$B$41,2,FALSE),'Beállítások'!$B$45)))</f>
        <v/>
      </c>
      <c r="C9">
        <f>IF($A9="","",IF('Ügyfelek'!C9="",'Beállítások'!$B$45,VLOOKUP(MAX('Ügyfelek'!C9,'Beállítások'!$H$7),'Beállítások'!$H$7:$I$11,2,TRUE)))</f>
        <v/>
      </c>
      <c r="D9">
        <f>IF($A9="","",IF('Ügyfelek'!D9="",'Beállítások'!$B$45,VLOOKUP(MAX('Ügyfelek'!D9,'Beállítások'!$K$7),'Beállítások'!$K$7:$L$11,2,TRUE)))</f>
        <v/>
      </c>
      <c r="E9">
        <f>IF($A9="","",IF('Ügyfelek'!L9="",'Beállítások'!$B$45,MIN(5,MAX(1,ROUND('Ügyfelek'!L9,0)))))</f>
        <v/>
      </c>
      <c r="F9">
        <f>IF($A9="","",IF('Ügyfelek'!I9="",'Beállítások'!$B$45,VLOOKUP(MAX('Ügyfelek'!I9,'Beállítások'!$N$7),'Beállítások'!$N$7:$O$11,2,TRUE)))</f>
        <v/>
      </c>
      <c r="G9">
        <f>IF($A9="","",IF('Ügyfelek'!N9="",'Beállítások'!$B$45,MIN(5,MAX(1,ROUND('Ügyfelek'!N9,0)))))</f>
        <v/>
      </c>
      <c r="H9">
        <f>IF($A9="","",IF('Ügyfelek'!J9="",'Beállítások'!$B$45,VLOOKUP(MAX('Ügyfelek'!J9,'Beállítások'!$Q$7),'Beállítások'!$Q$7:$R$11,2,TRUE)))</f>
        <v/>
      </c>
      <c r="I9">
        <f>IF($A9="","",IF('Ügyfelek'!K9="",'Beállítások'!$B$45,VLOOKUP(MAX('Ügyfelek'!K9,'Beállítások'!$T$7),'Beállítások'!$T$7:$U$11,2,TRUE)))</f>
        <v/>
      </c>
      <c r="J9">
        <f>IF($A9="","",IF('Ügyfelek'!M9="",'Beállítások'!$B$45,MIN(5,MAX(1,ROUND('Ügyfelek'!M9,0)))))</f>
        <v/>
      </c>
      <c r="K9">
        <f>IF($A9="","",IF('Ügyfelek'!P9="",'Beállítások'!$B$45,MIN(5,MAX(1,ROUND('Ügyfelek'!P9,0)))))</f>
        <v/>
      </c>
      <c r="L9">
        <f>IF($A9="","",IF('Ügyfelek'!O9="",'Beállítások'!$B$45,MIN(5,MAX(1,ROUND('Ügyfelek'!O9,0)))))</f>
        <v/>
      </c>
      <c r="M9" s="13">
        <f>IF($A9="","",ROUND('Beállítások'!$E$6*(B9-1)/4+'Beállítások'!$E$7*(C9-1)/4+'Beállítások'!$E$8*(D9-1)/4+'Beállítások'!$E$9*(E9-1)/4+'Beállítások'!$E$10*(F9-1)/4+'Beállítások'!$E$11*(G9-1)/4+'Beállítások'!$E$12*(H9-1)/4+'Beállítások'!$E$13*(I9-1)/4+'Beállítások'!$E$14*(J9-1)/4+'Beállítások'!$E$15*(K9-1)/4+'Beállítások'!$E$16*(L9-1)/4,1))</f>
        <v/>
      </c>
      <c r="N9" s="14">
        <f>IF($A9="","",RANK(M9,$M$2:$M$201))</f>
        <v/>
      </c>
      <c r="O9">
        <f>IF($A9="","",VLOOKUP(M9,'Beállítások'!$A$57:$E$60,2,TRUE))</f>
        <v/>
      </c>
      <c r="P9">
        <f>IF($A9="","",VLOOKUP(M9,'Beállítások'!$A$57:$E$60,3,TRUE))</f>
        <v/>
      </c>
      <c r="Q9">
        <f>IF($A9="","",INDEX('Beállítások'!$B$6:$B$16,MATCH(MAX(AD9:AN9),AD9:AN9,0)))</f>
        <v/>
      </c>
      <c r="R9">
        <f>IF($A9="","",IF(MAX(AO9:AY9)=0,"—",INDEX('Beállítások'!$B$6:$B$16,MATCH(MAX(AO9:AY9),AO9:AY9,0))))</f>
        <v/>
      </c>
      <c r="S9" s="5">
        <f>IF($A9="","",'Beállítások'!$B$47*(TRIM('Ügyfelek'!E9)="igen")+'Beállítások'!$B$48*(TRIM('Ügyfelek'!F9)="igen")+'Beállítások'!$B$49*N('Ügyfelek'!G9)+'Beállítások'!$B$46*N('Ügyfelek'!H9))</f>
        <v/>
      </c>
      <c r="T9" s="15">
        <f>IF($A9="","",VLOOKUP(M9,'Beállítások'!$A$57:$E$60,4,TRUE))</f>
        <v/>
      </c>
      <c r="U9" s="5">
        <f>IF($A9="","",N('Ügyfelek'!D9)*'Beállítások'!$B$51)</f>
        <v/>
      </c>
      <c r="V9" s="5">
        <f>IF($A9="","",CEILING(ROUND(MAX('Beállítások'!$B$50,S9*T9,U9),2),'Beállítások'!$B$52))</f>
        <v/>
      </c>
      <c r="W9">
        <f>IF($A9="","",IF(MAX('Beállítások'!$B$50,S9*T9,U9)=S9*T9,"Munkaigény × szintszorzó",IF(MAX('Beállítások'!$B$50,S9*T9,U9)=U9,"Hirdetési keret arányában","Minimumdíj")))</f>
        <v/>
      </c>
      <c r="X9" s="5">
        <f>IF(OR($A9="",'Ügyfelek'!Q9=""),"",'Ügyfelek'!Q9)</f>
        <v/>
      </c>
      <c r="Y9" s="5">
        <f>IF(X9="","",V9-X9)</f>
        <v/>
      </c>
      <c r="Z9" s="16">
        <f>IF(OR(X9="",X9=0),"",Y9/X9)</f>
        <v/>
      </c>
      <c r="AA9" s="5">
        <f>IF(OR($A9="",'Ügyfelek'!R9=""),"",'Ügyfelek'!R9*VLOOKUP(M9,'Beállítások'!$A$57:$E$60,5,TRUE))</f>
        <v/>
      </c>
      <c r="AB9" s="14">
        <f>IF($A9="","",('Ügyfelek'!B9="")+('Ügyfelek'!C9="")+('Ügyfelek'!D9="")+('Ügyfelek'!L9="")+('Ügyfelek'!I9="")+('Ügyfelek'!N9="")+('Ügyfelek'!J9="")+('Ügyfelek'!K9="")+('Ügyfelek'!M9="")+('Ügyfelek'!P9="")+('Ügyfelek'!O9=""))</f>
        <v/>
      </c>
      <c r="AD9">
        <f>IF($A9="","",B9+'Beállítások'!$E$6/1000)</f>
        <v/>
      </c>
      <c r="AE9">
        <f>IF($A9="","",C9+'Beállítások'!$E$7/1000)</f>
        <v/>
      </c>
      <c r="AF9">
        <f>IF($A9="","",D9+'Beállítások'!$E$8/1000)</f>
        <v/>
      </c>
      <c r="AG9">
        <f>IF($A9="","",E9+'Beállítások'!$E$9/1000)</f>
        <v/>
      </c>
      <c r="AH9">
        <f>IF($A9="","",F9+'Beállítások'!$E$10/1000)</f>
        <v/>
      </c>
      <c r="AI9">
        <f>IF($A9="","",G9+'Beállítások'!$E$11/1000)</f>
        <v/>
      </c>
      <c r="AJ9">
        <f>IF($A9="","",H9+'Beállítások'!$E$12/1000)</f>
        <v/>
      </c>
      <c r="AK9">
        <f>IF($A9="","",I9+'Beállítások'!$E$13/1000)</f>
        <v/>
      </c>
      <c r="AL9">
        <f>IF($A9="","",J9+'Beállítások'!$E$14/1000)</f>
        <v/>
      </c>
      <c r="AM9">
        <f>IF($A9="","",K9+'Beállítások'!$E$15/1000)</f>
        <v/>
      </c>
      <c r="AN9">
        <f>IF($A9="","",L9+'Beállítások'!$E$16/1000)</f>
        <v/>
      </c>
      <c r="AO9">
        <f>IF($A9="","",'Beállítások'!$E$6*(5-B9))</f>
        <v/>
      </c>
      <c r="AP9">
        <f>IF($A9="","",'Beállítások'!$E$7*(5-C9))</f>
        <v/>
      </c>
      <c r="AQ9">
        <f>IF($A9="","",'Beállítások'!$E$8*(5-D9))</f>
        <v/>
      </c>
      <c r="AR9">
        <f>IF($A9="","",'Beállítások'!$E$9*(5-E9))</f>
        <v/>
      </c>
      <c r="AS9">
        <f>IF($A9="","",'Beállítások'!$E$10*(5-F9))</f>
        <v/>
      </c>
      <c r="AT9">
        <f>IF($A9="","",'Beállítások'!$E$11*(5-G9))</f>
        <v/>
      </c>
      <c r="AU9">
        <f>IF($A9="","",'Beállítások'!$E$12*(5-H9))</f>
        <v/>
      </c>
      <c r="AV9">
        <f>IF($A9="","",'Beállítások'!$E$13*(5-I9))</f>
        <v/>
      </c>
      <c r="AW9">
        <f>IF($A9="","",'Beállítások'!$E$14*(5-J9))</f>
        <v/>
      </c>
      <c r="AX9">
        <f>IF($A9="","",'Beállítások'!$E$15*(5-K9))</f>
        <v/>
      </c>
      <c r="AY9">
        <f>IF($A9="","",'Beállítások'!$E$16*(5-L9))</f>
        <v/>
      </c>
      <c r="AZ9">
        <f>IF($A9="","",M9-ROW()/100000)</f>
        <v/>
      </c>
    </row>
    <row r="10">
      <c r="A10">
        <f>IF('Ügyfelek'!A10="","",'Ügyfelek'!A10)</f>
        <v/>
      </c>
      <c r="B10">
        <f>IF($A10="","",IF('Ügyfelek'!B10="",'Beállítások'!$B$45,IFERROR(VLOOKUP(TRIM('Ügyfelek'!B10),'Beállítások'!$A$22:$B$41,2,FALSE),'Beállítások'!$B$45)))</f>
        <v/>
      </c>
      <c r="C10">
        <f>IF($A10="","",IF('Ügyfelek'!C10="",'Beállítások'!$B$45,VLOOKUP(MAX('Ügyfelek'!C10,'Beállítások'!$H$7),'Beállítások'!$H$7:$I$11,2,TRUE)))</f>
        <v/>
      </c>
      <c r="D10">
        <f>IF($A10="","",IF('Ügyfelek'!D10="",'Beállítások'!$B$45,VLOOKUP(MAX('Ügyfelek'!D10,'Beállítások'!$K$7),'Beállítások'!$K$7:$L$11,2,TRUE)))</f>
        <v/>
      </c>
      <c r="E10">
        <f>IF($A10="","",IF('Ügyfelek'!L10="",'Beállítások'!$B$45,MIN(5,MAX(1,ROUND('Ügyfelek'!L10,0)))))</f>
        <v/>
      </c>
      <c r="F10">
        <f>IF($A10="","",IF('Ügyfelek'!I10="",'Beállítások'!$B$45,VLOOKUP(MAX('Ügyfelek'!I10,'Beállítások'!$N$7),'Beállítások'!$N$7:$O$11,2,TRUE)))</f>
        <v/>
      </c>
      <c r="G10">
        <f>IF($A10="","",IF('Ügyfelek'!N10="",'Beállítások'!$B$45,MIN(5,MAX(1,ROUND('Ügyfelek'!N10,0)))))</f>
        <v/>
      </c>
      <c r="H10">
        <f>IF($A10="","",IF('Ügyfelek'!J10="",'Beállítások'!$B$45,VLOOKUP(MAX('Ügyfelek'!J10,'Beállítások'!$Q$7),'Beállítások'!$Q$7:$R$11,2,TRUE)))</f>
        <v/>
      </c>
      <c r="I10">
        <f>IF($A10="","",IF('Ügyfelek'!K10="",'Beállítások'!$B$45,VLOOKUP(MAX('Ügyfelek'!K10,'Beállítások'!$T$7),'Beállítások'!$T$7:$U$11,2,TRUE)))</f>
        <v/>
      </c>
      <c r="J10">
        <f>IF($A10="","",IF('Ügyfelek'!M10="",'Beállítások'!$B$45,MIN(5,MAX(1,ROUND('Ügyfelek'!M10,0)))))</f>
        <v/>
      </c>
      <c r="K10">
        <f>IF($A10="","",IF('Ügyfelek'!P10="",'Beállítások'!$B$45,MIN(5,MAX(1,ROUND('Ügyfelek'!P10,0)))))</f>
        <v/>
      </c>
      <c r="L10">
        <f>IF($A10="","",IF('Ügyfelek'!O10="",'Beállítások'!$B$45,MIN(5,MAX(1,ROUND('Ügyfelek'!O10,0)))))</f>
        <v/>
      </c>
      <c r="M10" s="13">
        <f>IF($A10="","",ROUND('Beállítások'!$E$6*(B10-1)/4+'Beállítások'!$E$7*(C10-1)/4+'Beállítások'!$E$8*(D10-1)/4+'Beállítások'!$E$9*(E10-1)/4+'Beállítások'!$E$10*(F10-1)/4+'Beállítások'!$E$11*(G10-1)/4+'Beállítások'!$E$12*(H10-1)/4+'Beállítások'!$E$13*(I10-1)/4+'Beállítások'!$E$14*(J10-1)/4+'Beállítások'!$E$15*(K10-1)/4+'Beállítások'!$E$16*(L10-1)/4,1))</f>
        <v/>
      </c>
      <c r="N10" s="14">
        <f>IF($A10="","",RANK(M10,$M$2:$M$201))</f>
        <v/>
      </c>
      <c r="O10">
        <f>IF($A10="","",VLOOKUP(M10,'Beállítások'!$A$57:$E$60,2,TRUE))</f>
        <v/>
      </c>
      <c r="P10">
        <f>IF($A10="","",VLOOKUP(M10,'Beállítások'!$A$57:$E$60,3,TRUE))</f>
        <v/>
      </c>
      <c r="Q10">
        <f>IF($A10="","",INDEX('Beállítások'!$B$6:$B$16,MATCH(MAX(AD10:AN10),AD10:AN10,0)))</f>
        <v/>
      </c>
      <c r="R10">
        <f>IF($A10="","",IF(MAX(AO10:AY10)=0,"—",INDEX('Beállítások'!$B$6:$B$16,MATCH(MAX(AO10:AY10),AO10:AY10,0))))</f>
        <v/>
      </c>
      <c r="S10" s="5">
        <f>IF($A10="","",'Beállítások'!$B$47*(TRIM('Ügyfelek'!E10)="igen")+'Beállítások'!$B$48*(TRIM('Ügyfelek'!F10)="igen")+'Beállítások'!$B$49*N('Ügyfelek'!G10)+'Beállítások'!$B$46*N('Ügyfelek'!H10))</f>
        <v/>
      </c>
      <c r="T10" s="15">
        <f>IF($A10="","",VLOOKUP(M10,'Beállítások'!$A$57:$E$60,4,TRUE))</f>
        <v/>
      </c>
      <c r="U10" s="5">
        <f>IF($A10="","",N('Ügyfelek'!D10)*'Beállítások'!$B$51)</f>
        <v/>
      </c>
      <c r="V10" s="5">
        <f>IF($A10="","",CEILING(ROUND(MAX('Beállítások'!$B$50,S10*T10,U10),2),'Beállítások'!$B$52))</f>
        <v/>
      </c>
      <c r="W10">
        <f>IF($A10="","",IF(MAX('Beállítások'!$B$50,S10*T10,U10)=S10*T10,"Munkaigény × szintszorzó",IF(MAX('Beállítások'!$B$50,S10*T10,U10)=U10,"Hirdetési keret arányában","Minimumdíj")))</f>
        <v/>
      </c>
      <c r="X10" s="5">
        <f>IF(OR($A10="",'Ügyfelek'!Q10=""),"",'Ügyfelek'!Q10)</f>
        <v/>
      </c>
      <c r="Y10" s="5">
        <f>IF(X10="","",V10-X10)</f>
        <v/>
      </c>
      <c r="Z10" s="16">
        <f>IF(OR(X10="",X10=0),"",Y10/X10)</f>
        <v/>
      </c>
      <c r="AA10" s="5">
        <f>IF(OR($A10="",'Ügyfelek'!R10=""),"",'Ügyfelek'!R10*VLOOKUP(M10,'Beállítások'!$A$57:$E$60,5,TRUE))</f>
        <v/>
      </c>
      <c r="AB10" s="14">
        <f>IF($A10="","",('Ügyfelek'!B10="")+('Ügyfelek'!C10="")+('Ügyfelek'!D10="")+('Ügyfelek'!L10="")+('Ügyfelek'!I10="")+('Ügyfelek'!N10="")+('Ügyfelek'!J10="")+('Ügyfelek'!K10="")+('Ügyfelek'!M10="")+('Ügyfelek'!P10="")+('Ügyfelek'!O10=""))</f>
        <v/>
      </c>
      <c r="AD10">
        <f>IF($A10="","",B10+'Beállítások'!$E$6/1000)</f>
        <v/>
      </c>
      <c r="AE10">
        <f>IF($A10="","",C10+'Beállítások'!$E$7/1000)</f>
        <v/>
      </c>
      <c r="AF10">
        <f>IF($A10="","",D10+'Beállítások'!$E$8/1000)</f>
        <v/>
      </c>
      <c r="AG10">
        <f>IF($A10="","",E10+'Beállítások'!$E$9/1000)</f>
        <v/>
      </c>
      <c r="AH10">
        <f>IF($A10="","",F10+'Beállítások'!$E$10/1000)</f>
        <v/>
      </c>
      <c r="AI10">
        <f>IF($A10="","",G10+'Beállítások'!$E$11/1000)</f>
        <v/>
      </c>
      <c r="AJ10">
        <f>IF($A10="","",H10+'Beállítások'!$E$12/1000)</f>
        <v/>
      </c>
      <c r="AK10">
        <f>IF($A10="","",I10+'Beállítások'!$E$13/1000)</f>
        <v/>
      </c>
      <c r="AL10">
        <f>IF($A10="","",J10+'Beállítások'!$E$14/1000)</f>
        <v/>
      </c>
      <c r="AM10">
        <f>IF($A10="","",K10+'Beállítások'!$E$15/1000)</f>
        <v/>
      </c>
      <c r="AN10">
        <f>IF($A10="","",L10+'Beállítások'!$E$16/1000)</f>
        <v/>
      </c>
      <c r="AO10">
        <f>IF($A10="","",'Beállítások'!$E$6*(5-B10))</f>
        <v/>
      </c>
      <c r="AP10">
        <f>IF($A10="","",'Beállítások'!$E$7*(5-C10))</f>
        <v/>
      </c>
      <c r="AQ10">
        <f>IF($A10="","",'Beállítások'!$E$8*(5-D10))</f>
        <v/>
      </c>
      <c r="AR10">
        <f>IF($A10="","",'Beállítások'!$E$9*(5-E10))</f>
        <v/>
      </c>
      <c r="AS10">
        <f>IF($A10="","",'Beállítások'!$E$10*(5-F10))</f>
        <v/>
      </c>
      <c r="AT10">
        <f>IF($A10="","",'Beállítások'!$E$11*(5-G10))</f>
        <v/>
      </c>
      <c r="AU10">
        <f>IF($A10="","",'Beállítások'!$E$12*(5-H10))</f>
        <v/>
      </c>
      <c r="AV10">
        <f>IF($A10="","",'Beállítások'!$E$13*(5-I10))</f>
        <v/>
      </c>
      <c r="AW10">
        <f>IF($A10="","",'Beállítások'!$E$14*(5-J10))</f>
        <v/>
      </c>
      <c r="AX10">
        <f>IF($A10="","",'Beállítások'!$E$15*(5-K10))</f>
        <v/>
      </c>
      <c r="AY10">
        <f>IF($A10="","",'Beállítások'!$E$16*(5-L10))</f>
        <v/>
      </c>
      <c r="AZ10">
        <f>IF($A10="","",M10-ROW()/100000)</f>
        <v/>
      </c>
    </row>
    <row r="11">
      <c r="A11">
        <f>IF('Ügyfelek'!A11="","",'Ügyfelek'!A11)</f>
        <v/>
      </c>
      <c r="B11">
        <f>IF($A11="","",IF('Ügyfelek'!B11="",'Beállítások'!$B$45,IFERROR(VLOOKUP(TRIM('Ügyfelek'!B11),'Beállítások'!$A$22:$B$41,2,FALSE),'Beállítások'!$B$45)))</f>
        <v/>
      </c>
      <c r="C11">
        <f>IF($A11="","",IF('Ügyfelek'!C11="",'Beállítások'!$B$45,VLOOKUP(MAX('Ügyfelek'!C11,'Beállítások'!$H$7),'Beállítások'!$H$7:$I$11,2,TRUE)))</f>
        <v/>
      </c>
      <c r="D11">
        <f>IF($A11="","",IF('Ügyfelek'!D11="",'Beállítások'!$B$45,VLOOKUP(MAX('Ügyfelek'!D11,'Beállítások'!$K$7),'Beállítások'!$K$7:$L$11,2,TRUE)))</f>
        <v/>
      </c>
      <c r="E11">
        <f>IF($A11="","",IF('Ügyfelek'!L11="",'Beállítások'!$B$45,MIN(5,MAX(1,ROUND('Ügyfelek'!L11,0)))))</f>
        <v/>
      </c>
      <c r="F11">
        <f>IF($A11="","",IF('Ügyfelek'!I11="",'Beállítások'!$B$45,VLOOKUP(MAX('Ügyfelek'!I11,'Beállítások'!$N$7),'Beállítások'!$N$7:$O$11,2,TRUE)))</f>
        <v/>
      </c>
      <c r="G11">
        <f>IF($A11="","",IF('Ügyfelek'!N11="",'Beállítások'!$B$45,MIN(5,MAX(1,ROUND('Ügyfelek'!N11,0)))))</f>
        <v/>
      </c>
      <c r="H11">
        <f>IF($A11="","",IF('Ügyfelek'!J11="",'Beállítások'!$B$45,VLOOKUP(MAX('Ügyfelek'!J11,'Beállítások'!$Q$7),'Beállítások'!$Q$7:$R$11,2,TRUE)))</f>
        <v/>
      </c>
      <c r="I11">
        <f>IF($A11="","",IF('Ügyfelek'!K11="",'Beállítások'!$B$45,VLOOKUP(MAX('Ügyfelek'!K11,'Beállítások'!$T$7),'Beállítások'!$T$7:$U$11,2,TRUE)))</f>
        <v/>
      </c>
      <c r="J11">
        <f>IF($A11="","",IF('Ügyfelek'!M11="",'Beállítások'!$B$45,MIN(5,MAX(1,ROUND('Ügyfelek'!M11,0)))))</f>
        <v/>
      </c>
      <c r="K11">
        <f>IF($A11="","",IF('Ügyfelek'!P11="",'Beállítások'!$B$45,MIN(5,MAX(1,ROUND('Ügyfelek'!P11,0)))))</f>
        <v/>
      </c>
      <c r="L11">
        <f>IF($A11="","",IF('Ügyfelek'!O11="",'Beállítások'!$B$45,MIN(5,MAX(1,ROUND('Ügyfelek'!O11,0)))))</f>
        <v/>
      </c>
      <c r="M11" s="13">
        <f>IF($A11="","",ROUND('Beállítások'!$E$6*(B11-1)/4+'Beállítások'!$E$7*(C11-1)/4+'Beállítások'!$E$8*(D11-1)/4+'Beállítások'!$E$9*(E11-1)/4+'Beállítások'!$E$10*(F11-1)/4+'Beállítások'!$E$11*(G11-1)/4+'Beállítások'!$E$12*(H11-1)/4+'Beállítások'!$E$13*(I11-1)/4+'Beállítások'!$E$14*(J11-1)/4+'Beállítások'!$E$15*(K11-1)/4+'Beállítások'!$E$16*(L11-1)/4,1))</f>
        <v/>
      </c>
      <c r="N11" s="14">
        <f>IF($A11="","",RANK(M11,$M$2:$M$201))</f>
        <v/>
      </c>
      <c r="O11">
        <f>IF($A11="","",VLOOKUP(M11,'Beállítások'!$A$57:$E$60,2,TRUE))</f>
        <v/>
      </c>
      <c r="P11">
        <f>IF($A11="","",VLOOKUP(M11,'Beállítások'!$A$57:$E$60,3,TRUE))</f>
        <v/>
      </c>
      <c r="Q11">
        <f>IF($A11="","",INDEX('Beállítások'!$B$6:$B$16,MATCH(MAX(AD11:AN11),AD11:AN11,0)))</f>
        <v/>
      </c>
      <c r="R11">
        <f>IF($A11="","",IF(MAX(AO11:AY11)=0,"—",INDEX('Beállítások'!$B$6:$B$16,MATCH(MAX(AO11:AY11),AO11:AY11,0))))</f>
        <v/>
      </c>
      <c r="S11" s="5">
        <f>IF($A11="","",'Beállítások'!$B$47*(TRIM('Ügyfelek'!E11)="igen")+'Beállítások'!$B$48*(TRIM('Ügyfelek'!F11)="igen")+'Beállítások'!$B$49*N('Ügyfelek'!G11)+'Beállítások'!$B$46*N('Ügyfelek'!H11))</f>
        <v/>
      </c>
      <c r="T11" s="15">
        <f>IF($A11="","",VLOOKUP(M11,'Beállítások'!$A$57:$E$60,4,TRUE))</f>
        <v/>
      </c>
      <c r="U11" s="5">
        <f>IF($A11="","",N('Ügyfelek'!D11)*'Beállítások'!$B$51)</f>
        <v/>
      </c>
      <c r="V11" s="5">
        <f>IF($A11="","",CEILING(ROUND(MAX('Beállítások'!$B$50,S11*T11,U11),2),'Beállítások'!$B$52))</f>
        <v/>
      </c>
      <c r="W11">
        <f>IF($A11="","",IF(MAX('Beállítások'!$B$50,S11*T11,U11)=S11*T11,"Munkaigény × szintszorzó",IF(MAX('Beállítások'!$B$50,S11*T11,U11)=U11,"Hirdetési keret arányában","Minimumdíj")))</f>
        <v/>
      </c>
      <c r="X11" s="5">
        <f>IF(OR($A11="",'Ügyfelek'!Q11=""),"",'Ügyfelek'!Q11)</f>
        <v/>
      </c>
      <c r="Y11" s="5">
        <f>IF(X11="","",V11-X11)</f>
        <v/>
      </c>
      <c r="Z11" s="16">
        <f>IF(OR(X11="",X11=0),"",Y11/X11)</f>
        <v/>
      </c>
      <c r="AA11" s="5">
        <f>IF(OR($A11="",'Ügyfelek'!R11=""),"",'Ügyfelek'!R11*VLOOKUP(M11,'Beállítások'!$A$57:$E$60,5,TRUE))</f>
        <v/>
      </c>
      <c r="AB11" s="14">
        <f>IF($A11="","",('Ügyfelek'!B11="")+('Ügyfelek'!C11="")+('Ügyfelek'!D11="")+('Ügyfelek'!L11="")+('Ügyfelek'!I11="")+('Ügyfelek'!N11="")+('Ügyfelek'!J11="")+('Ügyfelek'!K11="")+('Ügyfelek'!M11="")+('Ügyfelek'!P11="")+('Ügyfelek'!O11=""))</f>
        <v/>
      </c>
      <c r="AD11">
        <f>IF($A11="","",B11+'Beállítások'!$E$6/1000)</f>
        <v/>
      </c>
      <c r="AE11">
        <f>IF($A11="","",C11+'Beállítások'!$E$7/1000)</f>
        <v/>
      </c>
      <c r="AF11">
        <f>IF($A11="","",D11+'Beállítások'!$E$8/1000)</f>
        <v/>
      </c>
      <c r="AG11">
        <f>IF($A11="","",E11+'Beállítások'!$E$9/1000)</f>
        <v/>
      </c>
      <c r="AH11">
        <f>IF($A11="","",F11+'Beállítások'!$E$10/1000)</f>
        <v/>
      </c>
      <c r="AI11">
        <f>IF($A11="","",G11+'Beállítások'!$E$11/1000)</f>
        <v/>
      </c>
      <c r="AJ11">
        <f>IF($A11="","",H11+'Beállítások'!$E$12/1000)</f>
        <v/>
      </c>
      <c r="AK11">
        <f>IF($A11="","",I11+'Beállítások'!$E$13/1000)</f>
        <v/>
      </c>
      <c r="AL11">
        <f>IF($A11="","",J11+'Beállítások'!$E$14/1000)</f>
        <v/>
      </c>
      <c r="AM11">
        <f>IF($A11="","",K11+'Beállítások'!$E$15/1000)</f>
        <v/>
      </c>
      <c r="AN11">
        <f>IF($A11="","",L11+'Beállítások'!$E$16/1000)</f>
        <v/>
      </c>
      <c r="AO11">
        <f>IF($A11="","",'Beállítások'!$E$6*(5-B11))</f>
        <v/>
      </c>
      <c r="AP11">
        <f>IF($A11="","",'Beállítások'!$E$7*(5-C11))</f>
        <v/>
      </c>
      <c r="AQ11">
        <f>IF($A11="","",'Beállítások'!$E$8*(5-D11))</f>
        <v/>
      </c>
      <c r="AR11">
        <f>IF($A11="","",'Beállítások'!$E$9*(5-E11))</f>
        <v/>
      </c>
      <c r="AS11">
        <f>IF($A11="","",'Beállítások'!$E$10*(5-F11))</f>
        <v/>
      </c>
      <c r="AT11">
        <f>IF($A11="","",'Beállítások'!$E$11*(5-G11))</f>
        <v/>
      </c>
      <c r="AU11">
        <f>IF($A11="","",'Beállítások'!$E$12*(5-H11))</f>
        <v/>
      </c>
      <c r="AV11">
        <f>IF($A11="","",'Beállítások'!$E$13*(5-I11))</f>
        <v/>
      </c>
      <c r="AW11">
        <f>IF($A11="","",'Beállítások'!$E$14*(5-J11))</f>
        <v/>
      </c>
      <c r="AX11">
        <f>IF($A11="","",'Beállítások'!$E$15*(5-K11))</f>
        <v/>
      </c>
      <c r="AY11">
        <f>IF($A11="","",'Beállítások'!$E$16*(5-L11))</f>
        <v/>
      </c>
      <c r="AZ11">
        <f>IF($A11="","",M11-ROW()/100000)</f>
        <v/>
      </c>
    </row>
    <row r="12">
      <c r="A12">
        <f>IF('Ügyfelek'!A12="","",'Ügyfelek'!A12)</f>
        <v/>
      </c>
      <c r="B12">
        <f>IF($A12="","",IF('Ügyfelek'!B12="",'Beállítások'!$B$45,IFERROR(VLOOKUP(TRIM('Ügyfelek'!B12),'Beállítások'!$A$22:$B$41,2,FALSE),'Beállítások'!$B$45)))</f>
        <v/>
      </c>
      <c r="C12">
        <f>IF($A12="","",IF('Ügyfelek'!C12="",'Beállítások'!$B$45,VLOOKUP(MAX('Ügyfelek'!C12,'Beállítások'!$H$7),'Beállítások'!$H$7:$I$11,2,TRUE)))</f>
        <v/>
      </c>
      <c r="D12">
        <f>IF($A12="","",IF('Ügyfelek'!D12="",'Beállítások'!$B$45,VLOOKUP(MAX('Ügyfelek'!D12,'Beállítások'!$K$7),'Beállítások'!$K$7:$L$11,2,TRUE)))</f>
        <v/>
      </c>
      <c r="E12">
        <f>IF($A12="","",IF('Ügyfelek'!L12="",'Beállítások'!$B$45,MIN(5,MAX(1,ROUND('Ügyfelek'!L12,0)))))</f>
        <v/>
      </c>
      <c r="F12">
        <f>IF($A12="","",IF('Ügyfelek'!I12="",'Beállítások'!$B$45,VLOOKUP(MAX('Ügyfelek'!I12,'Beállítások'!$N$7),'Beállítások'!$N$7:$O$11,2,TRUE)))</f>
        <v/>
      </c>
      <c r="G12">
        <f>IF($A12="","",IF('Ügyfelek'!N12="",'Beállítások'!$B$45,MIN(5,MAX(1,ROUND('Ügyfelek'!N12,0)))))</f>
        <v/>
      </c>
      <c r="H12">
        <f>IF($A12="","",IF('Ügyfelek'!J12="",'Beállítások'!$B$45,VLOOKUP(MAX('Ügyfelek'!J12,'Beállítások'!$Q$7),'Beállítások'!$Q$7:$R$11,2,TRUE)))</f>
        <v/>
      </c>
      <c r="I12">
        <f>IF($A12="","",IF('Ügyfelek'!K12="",'Beállítások'!$B$45,VLOOKUP(MAX('Ügyfelek'!K12,'Beállítások'!$T$7),'Beállítások'!$T$7:$U$11,2,TRUE)))</f>
        <v/>
      </c>
      <c r="J12">
        <f>IF($A12="","",IF('Ügyfelek'!M12="",'Beállítások'!$B$45,MIN(5,MAX(1,ROUND('Ügyfelek'!M12,0)))))</f>
        <v/>
      </c>
      <c r="K12">
        <f>IF($A12="","",IF('Ügyfelek'!P12="",'Beállítások'!$B$45,MIN(5,MAX(1,ROUND('Ügyfelek'!P12,0)))))</f>
        <v/>
      </c>
      <c r="L12">
        <f>IF($A12="","",IF('Ügyfelek'!O12="",'Beállítások'!$B$45,MIN(5,MAX(1,ROUND('Ügyfelek'!O12,0)))))</f>
        <v/>
      </c>
      <c r="M12" s="13">
        <f>IF($A12="","",ROUND('Beállítások'!$E$6*(B12-1)/4+'Beállítások'!$E$7*(C12-1)/4+'Beállítások'!$E$8*(D12-1)/4+'Beállítások'!$E$9*(E12-1)/4+'Beállítások'!$E$10*(F12-1)/4+'Beállítások'!$E$11*(G12-1)/4+'Beállítások'!$E$12*(H12-1)/4+'Beállítások'!$E$13*(I12-1)/4+'Beállítások'!$E$14*(J12-1)/4+'Beállítások'!$E$15*(K12-1)/4+'Beállítások'!$E$16*(L12-1)/4,1))</f>
        <v/>
      </c>
      <c r="N12" s="14">
        <f>IF($A12="","",RANK(M12,$M$2:$M$201))</f>
        <v/>
      </c>
      <c r="O12">
        <f>IF($A12="","",VLOOKUP(M12,'Beállítások'!$A$57:$E$60,2,TRUE))</f>
        <v/>
      </c>
      <c r="P12">
        <f>IF($A12="","",VLOOKUP(M12,'Beállítások'!$A$57:$E$60,3,TRUE))</f>
        <v/>
      </c>
      <c r="Q12">
        <f>IF($A12="","",INDEX('Beállítások'!$B$6:$B$16,MATCH(MAX(AD12:AN12),AD12:AN12,0)))</f>
        <v/>
      </c>
      <c r="R12">
        <f>IF($A12="","",IF(MAX(AO12:AY12)=0,"—",INDEX('Beállítások'!$B$6:$B$16,MATCH(MAX(AO12:AY12),AO12:AY12,0))))</f>
        <v/>
      </c>
      <c r="S12" s="5">
        <f>IF($A12="","",'Beállítások'!$B$47*(TRIM('Ügyfelek'!E12)="igen")+'Beállítások'!$B$48*(TRIM('Ügyfelek'!F12)="igen")+'Beállítások'!$B$49*N('Ügyfelek'!G12)+'Beállítások'!$B$46*N('Ügyfelek'!H12))</f>
        <v/>
      </c>
      <c r="T12" s="15">
        <f>IF($A12="","",VLOOKUP(M12,'Beállítások'!$A$57:$E$60,4,TRUE))</f>
        <v/>
      </c>
      <c r="U12" s="5">
        <f>IF($A12="","",N('Ügyfelek'!D12)*'Beállítások'!$B$51)</f>
        <v/>
      </c>
      <c r="V12" s="5">
        <f>IF($A12="","",CEILING(ROUND(MAX('Beállítások'!$B$50,S12*T12,U12),2),'Beállítások'!$B$52))</f>
        <v/>
      </c>
      <c r="W12">
        <f>IF($A12="","",IF(MAX('Beállítások'!$B$50,S12*T12,U12)=S12*T12,"Munkaigény × szintszorzó",IF(MAX('Beállítások'!$B$50,S12*T12,U12)=U12,"Hirdetési keret arányában","Minimumdíj")))</f>
        <v/>
      </c>
      <c r="X12" s="5">
        <f>IF(OR($A12="",'Ügyfelek'!Q12=""),"",'Ügyfelek'!Q12)</f>
        <v/>
      </c>
      <c r="Y12" s="5">
        <f>IF(X12="","",V12-X12)</f>
        <v/>
      </c>
      <c r="Z12" s="16">
        <f>IF(OR(X12="",X12=0),"",Y12/X12)</f>
        <v/>
      </c>
      <c r="AA12" s="5">
        <f>IF(OR($A12="",'Ügyfelek'!R12=""),"",'Ügyfelek'!R12*VLOOKUP(M12,'Beállítások'!$A$57:$E$60,5,TRUE))</f>
        <v/>
      </c>
      <c r="AB12" s="14">
        <f>IF($A12="","",('Ügyfelek'!B12="")+('Ügyfelek'!C12="")+('Ügyfelek'!D12="")+('Ügyfelek'!L12="")+('Ügyfelek'!I12="")+('Ügyfelek'!N12="")+('Ügyfelek'!J12="")+('Ügyfelek'!K12="")+('Ügyfelek'!M12="")+('Ügyfelek'!P12="")+('Ügyfelek'!O12=""))</f>
        <v/>
      </c>
      <c r="AD12">
        <f>IF($A12="","",B12+'Beállítások'!$E$6/1000)</f>
        <v/>
      </c>
      <c r="AE12">
        <f>IF($A12="","",C12+'Beállítások'!$E$7/1000)</f>
        <v/>
      </c>
      <c r="AF12">
        <f>IF($A12="","",D12+'Beállítások'!$E$8/1000)</f>
        <v/>
      </c>
      <c r="AG12">
        <f>IF($A12="","",E12+'Beállítások'!$E$9/1000)</f>
        <v/>
      </c>
      <c r="AH12">
        <f>IF($A12="","",F12+'Beállítások'!$E$10/1000)</f>
        <v/>
      </c>
      <c r="AI12">
        <f>IF($A12="","",G12+'Beállítások'!$E$11/1000)</f>
        <v/>
      </c>
      <c r="AJ12">
        <f>IF($A12="","",H12+'Beállítások'!$E$12/1000)</f>
        <v/>
      </c>
      <c r="AK12">
        <f>IF($A12="","",I12+'Beállítások'!$E$13/1000)</f>
        <v/>
      </c>
      <c r="AL12">
        <f>IF($A12="","",J12+'Beállítások'!$E$14/1000)</f>
        <v/>
      </c>
      <c r="AM12">
        <f>IF($A12="","",K12+'Beállítások'!$E$15/1000)</f>
        <v/>
      </c>
      <c r="AN12">
        <f>IF($A12="","",L12+'Beállítások'!$E$16/1000)</f>
        <v/>
      </c>
      <c r="AO12">
        <f>IF($A12="","",'Beállítások'!$E$6*(5-B12))</f>
        <v/>
      </c>
      <c r="AP12">
        <f>IF($A12="","",'Beállítások'!$E$7*(5-C12))</f>
        <v/>
      </c>
      <c r="AQ12">
        <f>IF($A12="","",'Beállítások'!$E$8*(5-D12))</f>
        <v/>
      </c>
      <c r="AR12">
        <f>IF($A12="","",'Beállítások'!$E$9*(5-E12))</f>
        <v/>
      </c>
      <c r="AS12">
        <f>IF($A12="","",'Beállítások'!$E$10*(5-F12))</f>
        <v/>
      </c>
      <c r="AT12">
        <f>IF($A12="","",'Beállítások'!$E$11*(5-G12))</f>
        <v/>
      </c>
      <c r="AU12">
        <f>IF($A12="","",'Beállítások'!$E$12*(5-H12))</f>
        <v/>
      </c>
      <c r="AV12">
        <f>IF($A12="","",'Beállítások'!$E$13*(5-I12))</f>
        <v/>
      </c>
      <c r="AW12">
        <f>IF($A12="","",'Beállítások'!$E$14*(5-J12))</f>
        <v/>
      </c>
      <c r="AX12">
        <f>IF($A12="","",'Beállítások'!$E$15*(5-K12))</f>
        <v/>
      </c>
      <c r="AY12">
        <f>IF($A12="","",'Beállítások'!$E$16*(5-L12))</f>
        <v/>
      </c>
      <c r="AZ12">
        <f>IF($A12="","",M12-ROW()/100000)</f>
        <v/>
      </c>
    </row>
    <row r="13">
      <c r="A13">
        <f>IF('Ügyfelek'!A13="","",'Ügyfelek'!A13)</f>
        <v/>
      </c>
      <c r="B13">
        <f>IF($A13="","",IF('Ügyfelek'!B13="",'Beállítások'!$B$45,IFERROR(VLOOKUP(TRIM('Ügyfelek'!B13),'Beállítások'!$A$22:$B$41,2,FALSE),'Beállítások'!$B$45)))</f>
        <v/>
      </c>
      <c r="C13">
        <f>IF($A13="","",IF('Ügyfelek'!C13="",'Beállítások'!$B$45,VLOOKUP(MAX('Ügyfelek'!C13,'Beállítások'!$H$7),'Beállítások'!$H$7:$I$11,2,TRUE)))</f>
        <v/>
      </c>
      <c r="D13">
        <f>IF($A13="","",IF('Ügyfelek'!D13="",'Beállítások'!$B$45,VLOOKUP(MAX('Ügyfelek'!D13,'Beállítások'!$K$7),'Beállítások'!$K$7:$L$11,2,TRUE)))</f>
        <v/>
      </c>
      <c r="E13">
        <f>IF($A13="","",IF('Ügyfelek'!L13="",'Beállítások'!$B$45,MIN(5,MAX(1,ROUND('Ügyfelek'!L13,0)))))</f>
        <v/>
      </c>
      <c r="F13">
        <f>IF($A13="","",IF('Ügyfelek'!I13="",'Beállítások'!$B$45,VLOOKUP(MAX('Ügyfelek'!I13,'Beállítások'!$N$7),'Beállítások'!$N$7:$O$11,2,TRUE)))</f>
        <v/>
      </c>
      <c r="G13">
        <f>IF($A13="","",IF('Ügyfelek'!N13="",'Beállítások'!$B$45,MIN(5,MAX(1,ROUND('Ügyfelek'!N13,0)))))</f>
        <v/>
      </c>
      <c r="H13">
        <f>IF($A13="","",IF('Ügyfelek'!J13="",'Beállítások'!$B$45,VLOOKUP(MAX('Ügyfelek'!J13,'Beállítások'!$Q$7),'Beállítások'!$Q$7:$R$11,2,TRUE)))</f>
        <v/>
      </c>
      <c r="I13">
        <f>IF($A13="","",IF('Ügyfelek'!K13="",'Beállítások'!$B$45,VLOOKUP(MAX('Ügyfelek'!K13,'Beállítások'!$T$7),'Beállítások'!$T$7:$U$11,2,TRUE)))</f>
        <v/>
      </c>
      <c r="J13">
        <f>IF($A13="","",IF('Ügyfelek'!M13="",'Beállítások'!$B$45,MIN(5,MAX(1,ROUND('Ügyfelek'!M13,0)))))</f>
        <v/>
      </c>
      <c r="K13">
        <f>IF($A13="","",IF('Ügyfelek'!P13="",'Beállítások'!$B$45,MIN(5,MAX(1,ROUND('Ügyfelek'!P13,0)))))</f>
        <v/>
      </c>
      <c r="L13">
        <f>IF($A13="","",IF('Ügyfelek'!O13="",'Beállítások'!$B$45,MIN(5,MAX(1,ROUND('Ügyfelek'!O13,0)))))</f>
        <v/>
      </c>
      <c r="M13" s="13">
        <f>IF($A13="","",ROUND('Beállítások'!$E$6*(B13-1)/4+'Beállítások'!$E$7*(C13-1)/4+'Beállítások'!$E$8*(D13-1)/4+'Beállítások'!$E$9*(E13-1)/4+'Beállítások'!$E$10*(F13-1)/4+'Beállítások'!$E$11*(G13-1)/4+'Beállítások'!$E$12*(H13-1)/4+'Beállítások'!$E$13*(I13-1)/4+'Beállítások'!$E$14*(J13-1)/4+'Beállítások'!$E$15*(K13-1)/4+'Beállítások'!$E$16*(L13-1)/4,1))</f>
        <v/>
      </c>
      <c r="N13" s="14">
        <f>IF($A13="","",RANK(M13,$M$2:$M$201))</f>
        <v/>
      </c>
      <c r="O13">
        <f>IF($A13="","",VLOOKUP(M13,'Beállítások'!$A$57:$E$60,2,TRUE))</f>
        <v/>
      </c>
      <c r="P13">
        <f>IF($A13="","",VLOOKUP(M13,'Beállítások'!$A$57:$E$60,3,TRUE))</f>
        <v/>
      </c>
      <c r="Q13">
        <f>IF($A13="","",INDEX('Beállítások'!$B$6:$B$16,MATCH(MAX(AD13:AN13),AD13:AN13,0)))</f>
        <v/>
      </c>
      <c r="R13">
        <f>IF($A13="","",IF(MAX(AO13:AY13)=0,"—",INDEX('Beállítások'!$B$6:$B$16,MATCH(MAX(AO13:AY13),AO13:AY13,0))))</f>
        <v/>
      </c>
      <c r="S13" s="5">
        <f>IF($A13="","",'Beállítások'!$B$47*(TRIM('Ügyfelek'!E13)="igen")+'Beállítások'!$B$48*(TRIM('Ügyfelek'!F13)="igen")+'Beállítások'!$B$49*N('Ügyfelek'!G13)+'Beállítások'!$B$46*N('Ügyfelek'!H13))</f>
        <v/>
      </c>
      <c r="T13" s="15">
        <f>IF($A13="","",VLOOKUP(M13,'Beállítások'!$A$57:$E$60,4,TRUE))</f>
        <v/>
      </c>
      <c r="U13" s="5">
        <f>IF($A13="","",N('Ügyfelek'!D13)*'Beállítások'!$B$51)</f>
        <v/>
      </c>
      <c r="V13" s="5">
        <f>IF($A13="","",CEILING(ROUND(MAX('Beállítások'!$B$50,S13*T13,U13),2),'Beállítások'!$B$52))</f>
        <v/>
      </c>
      <c r="W13">
        <f>IF($A13="","",IF(MAX('Beállítások'!$B$50,S13*T13,U13)=S13*T13,"Munkaigény × szintszorzó",IF(MAX('Beállítások'!$B$50,S13*T13,U13)=U13,"Hirdetési keret arányában","Minimumdíj")))</f>
        <v/>
      </c>
      <c r="X13" s="5">
        <f>IF(OR($A13="",'Ügyfelek'!Q13=""),"",'Ügyfelek'!Q13)</f>
        <v/>
      </c>
      <c r="Y13" s="5">
        <f>IF(X13="","",V13-X13)</f>
        <v/>
      </c>
      <c r="Z13" s="16">
        <f>IF(OR(X13="",X13=0),"",Y13/X13)</f>
        <v/>
      </c>
      <c r="AA13" s="5">
        <f>IF(OR($A13="",'Ügyfelek'!R13=""),"",'Ügyfelek'!R13*VLOOKUP(M13,'Beállítások'!$A$57:$E$60,5,TRUE))</f>
        <v/>
      </c>
      <c r="AB13" s="14">
        <f>IF($A13="","",('Ügyfelek'!B13="")+('Ügyfelek'!C13="")+('Ügyfelek'!D13="")+('Ügyfelek'!L13="")+('Ügyfelek'!I13="")+('Ügyfelek'!N13="")+('Ügyfelek'!J13="")+('Ügyfelek'!K13="")+('Ügyfelek'!M13="")+('Ügyfelek'!P13="")+('Ügyfelek'!O13=""))</f>
        <v/>
      </c>
      <c r="AD13">
        <f>IF($A13="","",B13+'Beállítások'!$E$6/1000)</f>
        <v/>
      </c>
      <c r="AE13">
        <f>IF($A13="","",C13+'Beállítások'!$E$7/1000)</f>
        <v/>
      </c>
      <c r="AF13">
        <f>IF($A13="","",D13+'Beállítások'!$E$8/1000)</f>
        <v/>
      </c>
      <c r="AG13">
        <f>IF($A13="","",E13+'Beállítások'!$E$9/1000)</f>
        <v/>
      </c>
      <c r="AH13">
        <f>IF($A13="","",F13+'Beállítások'!$E$10/1000)</f>
        <v/>
      </c>
      <c r="AI13">
        <f>IF($A13="","",G13+'Beállítások'!$E$11/1000)</f>
        <v/>
      </c>
      <c r="AJ13">
        <f>IF($A13="","",H13+'Beállítások'!$E$12/1000)</f>
        <v/>
      </c>
      <c r="AK13">
        <f>IF($A13="","",I13+'Beállítások'!$E$13/1000)</f>
        <v/>
      </c>
      <c r="AL13">
        <f>IF($A13="","",J13+'Beállítások'!$E$14/1000)</f>
        <v/>
      </c>
      <c r="AM13">
        <f>IF($A13="","",K13+'Beállítások'!$E$15/1000)</f>
        <v/>
      </c>
      <c r="AN13">
        <f>IF($A13="","",L13+'Beállítások'!$E$16/1000)</f>
        <v/>
      </c>
      <c r="AO13">
        <f>IF($A13="","",'Beállítások'!$E$6*(5-B13))</f>
        <v/>
      </c>
      <c r="AP13">
        <f>IF($A13="","",'Beállítások'!$E$7*(5-C13))</f>
        <v/>
      </c>
      <c r="AQ13">
        <f>IF($A13="","",'Beállítások'!$E$8*(5-D13))</f>
        <v/>
      </c>
      <c r="AR13">
        <f>IF($A13="","",'Beállítások'!$E$9*(5-E13))</f>
        <v/>
      </c>
      <c r="AS13">
        <f>IF($A13="","",'Beállítások'!$E$10*(5-F13))</f>
        <v/>
      </c>
      <c r="AT13">
        <f>IF($A13="","",'Beállítások'!$E$11*(5-G13))</f>
        <v/>
      </c>
      <c r="AU13">
        <f>IF($A13="","",'Beállítások'!$E$12*(5-H13))</f>
        <v/>
      </c>
      <c r="AV13">
        <f>IF($A13="","",'Beállítások'!$E$13*(5-I13))</f>
        <v/>
      </c>
      <c r="AW13">
        <f>IF($A13="","",'Beállítások'!$E$14*(5-J13))</f>
        <v/>
      </c>
      <c r="AX13">
        <f>IF($A13="","",'Beállítások'!$E$15*(5-K13))</f>
        <v/>
      </c>
      <c r="AY13">
        <f>IF($A13="","",'Beállítások'!$E$16*(5-L13))</f>
        <v/>
      </c>
      <c r="AZ13">
        <f>IF($A13="","",M13-ROW()/100000)</f>
        <v/>
      </c>
    </row>
    <row r="14">
      <c r="A14">
        <f>IF('Ügyfelek'!A14="","",'Ügyfelek'!A14)</f>
        <v/>
      </c>
      <c r="B14">
        <f>IF($A14="","",IF('Ügyfelek'!B14="",'Beállítások'!$B$45,IFERROR(VLOOKUP(TRIM('Ügyfelek'!B14),'Beállítások'!$A$22:$B$41,2,FALSE),'Beállítások'!$B$45)))</f>
        <v/>
      </c>
      <c r="C14">
        <f>IF($A14="","",IF('Ügyfelek'!C14="",'Beállítások'!$B$45,VLOOKUP(MAX('Ügyfelek'!C14,'Beállítások'!$H$7),'Beállítások'!$H$7:$I$11,2,TRUE)))</f>
        <v/>
      </c>
      <c r="D14">
        <f>IF($A14="","",IF('Ügyfelek'!D14="",'Beállítások'!$B$45,VLOOKUP(MAX('Ügyfelek'!D14,'Beállítások'!$K$7),'Beállítások'!$K$7:$L$11,2,TRUE)))</f>
        <v/>
      </c>
      <c r="E14">
        <f>IF($A14="","",IF('Ügyfelek'!L14="",'Beállítások'!$B$45,MIN(5,MAX(1,ROUND('Ügyfelek'!L14,0)))))</f>
        <v/>
      </c>
      <c r="F14">
        <f>IF($A14="","",IF('Ügyfelek'!I14="",'Beállítások'!$B$45,VLOOKUP(MAX('Ügyfelek'!I14,'Beállítások'!$N$7),'Beállítások'!$N$7:$O$11,2,TRUE)))</f>
        <v/>
      </c>
      <c r="G14">
        <f>IF($A14="","",IF('Ügyfelek'!N14="",'Beállítások'!$B$45,MIN(5,MAX(1,ROUND('Ügyfelek'!N14,0)))))</f>
        <v/>
      </c>
      <c r="H14">
        <f>IF($A14="","",IF('Ügyfelek'!J14="",'Beállítások'!$B$45,VLOOKUP(MAX('Ügyfelek'!J14,'Beállítások'!$Q$7),'Beállítások'!$Q$7:$R$11,2,TRUE)))</f>
        <v/>
      </c>
      <c r="I14">
        <f>IF($A14="","",IF('Ügyfelek'!K14="",'Beállítások'!$B$45,VLOOKUP(MAX('Ügyfelek'!K14,'Beállítások'!$T$7),'Beállítások'!$T$7:$U$11,2,TRUE)))</f>
        <v/>
      </c>
      <c r="J14">
        <f>IF($A14="","",IF('Ügyfelek'!M14="",'Beállítások'!$B$45,MIN(5,MAX(1,ROUND('Ügyfelek'!M14,0)))))</f>
        <v/>
      </c>
      <c r="K14">
        <f>IF($A14="","",IF('Ügyfelek'!P14="",'Beállítások'!$B$45,MIN(5,MAX(1,ROUND('Ügyfelek'!P14,0)))))</f>
        <v/>
      </c>
      <c r="L14">
        <f>IF($A14="","",IF('Ügyfelek'!O14="",'Beállítások'!$B$45,MIN(5,MAX(1,ROUND('Ügyfelek'!O14,0)))))</f>
        <v/>
      </c>
      <c r="M14" s="13">
        <f>IF($A14="","",ROUND('Beállítások'!$E$6*(B14-1)/4+'Beállítások'!$E$7*(C14-1)/4+'Beállítások'!$E$8*(D14-1)/4+'Beállítások'!$E$9*(E14-1)/4+'Beállítások'!$E$10*(F14-1)/4+'Beállítások'!$E$11*(G14-1)/4+'Beállítások'!$E$12*(H14-1)/4+'Beállítások'!$E$13*(I14-1)/4+'Beállítások'!$E$14*(J14-1)/4+'Beállítások'!$E$15*(K14-1)/4+'Beállítások'!$E$16*(L14-1)/4,1))</f>
        <v/>
      </c>
      <c r="N14" s="14">
        <f>IF($A14="","",RANK(M14,$M$2:$M$201))</f>
        <v/>
      </c>
      <c r="O14">
        <f>IF($A14="","",VLOOKUP(M14,'Beállítások'!$A$57:$E$60,2,TRUE))</f>
        <v/>
      </c>
      <c r="P14">
        <f>IF($A14="","",VLOOKUP(M14,'Beállítások'!$A$57:$E$60,3,TRUE))</f>
        <v/>
      </c>
      <c r="Q14">
        <f>IF($A14="","",INDEX('Beállítások'!$B$6:$B$16,MATCH(MAX(AD14:AN14),AD14:AN14,0)))</f>
        <v/>
      </c>
      <c r="R14">
        <f>IF($A14="","",IF(MAX(AO14:AY14)=0,"—",INDEX('Beállítások'!$B$6:$B$16,MATCH(MAX(AO14:AY14),AO14:AY14,0))))</f>
        <v/>
      </c>
      <c r="S14" s="5">
        <f>IF($A14="","",'Beállítások'!$B$47*(TRIM('Ügyfelek'!E14)="igen")+'Beállítások'!$B$48*(TRIM('Ügyfelek'!F14)="igen")+'Beállítások'!$B$49*N('Ügyfelek'!G14)+'Beállítások'!$B$46*N('Ügyfelek'!H14))</f>
        <v/>
      </c>
      <c r="T14" s="15">
        <f>IF($A14="","",VLOOKUP(M14,'Beállítások'!$A$57:$E$60,4,TRUE))</f>
        <v/>
      </c>
      <c r="U14" s="5">
        <f>IF($A14="","",N('Ügyfelek'!D14)*'Beállítások'!$B$51)</f>
        <v/>
      </c>
      <c r="V14" s="5">
        <f>IF($A14="","",CEILING(ROUND(MAX('Beállítások'!$B$50,S14*T14,U14),2),'Beállítások'!$B$52))</f>
        <v/>
      </c>
      <c r="W14">
        <f>IF($A14="","",IF(MAX('Beállítások'!$B$50,S14*T14,U14)=S14*T14,"Munkaigény × szintszorzó",IF(MAX('Beállítások'!$B$50,S14*T14,U14)=U14,"Hirdetési keret arányában","Minimumdíj")))</f>
        <v/>
      </c>
      <c r="X14" s="5">
        <f>IF(OR($A14="",'Ügyfelek'!Q14=""),"",'Ügyfelek'!Q14)</f>
        <v/>
      </c>
      <c r="Y14" s="5">
        <f>IF(X14="","",V14-X14)</f>
        <v/>
      </c>
      <c r="Z14" s="16">
        <f>IF(OR(X14="",X14=0),"",Y14/X14)</f>
        <v/>
      </c>
      <c r="AA14" s="5">
        <f>IF(OR($A14="",'Ügyfelek'!R14=""),"",'Ügyfelek'!R14*VLOOKUP(M14,'Beállítások'!$A$57:$E$60,5,TRUE))</f>
        <v/>
      </c>
      <c r="AB14" s="14">
        <f>IF($A14="","",('Ügyfelek'!B14="")+('Ügyfelek'!C14="")+('Ügyfelek'!D14="")+('Ügyfelek'!L14="")+('Ügyfelek'!I14="")+('Ügyfelek'!N14="")+('Ügyfelek'!J14="")+('Ügyfelek'!K14="")+('Ügyfelek'!M14="")+('Ügyfelek'!P14="")+('Ügyfelek'!O14=""))</f>
        <v/>
      </c>
      <c r="AD14">
        <f>IF($A14="","",B14+'Beállítások'!$E$6/1000)</f>
        <v/>
      </c>
      <c r="AE14">
        <f>IF($A14="","",C14+'Beállítások'!$E$7/1000)</f>
        <v/>
      </c>
      <c r="AF14">
        <f>IF($A14="","",D14+'Beállítások'!$E$8/1000)</f>
        <v/>
      </c>
      <c r="AG14">
        <f>IF($A14="","",E14+'Beállítások'!$E$9/1000)</f>
        <v/>
      </c>
      <c r="AH14">
        <f>IF($A14="","",F14+'Beállítások'!$E$10/1000)</f>
        <v/>
      </c>
      <c r="AI14">
        <f>IF($A14="","",G14+'Beállítások'!$E$11/1000)</f>
        <v/>
      </c>
      <c r="AJ14">
        <f>IF($A14="","",H14+'Beállítások'!$E$12/1000)</f>
        <v/>
      </c>
      <c r="AK14">
        <f>IF($A14="","",I14+'Beállítások'!$E$13/1000)</f>
        <v/>
      </c>
      <c r="AL14">
        <f>IF($A14="","",J14+'Beállítások'!$E$14/1000)</f>
        <v/>
      </c>
      <c r="AM14">
        <f>IF($A14="","",K14+'Beállítások'!$E$15/1000)</f>
        <v/>
      </c>
      <c r="AN14">
        <f>IF($A14="","",L14+'Beállítások'!$E$16/1000)</f>
        <v/>
      </c>
      <c r="AO14">
        <f>IF($A14="","",'Beállítások'!$E$6*(5-B14))</f>
        <v/>
      </c>
      <c r="AP14">
        <f>IF($A14="","",'Beállítások'!$E$7*(5-C14))</f>
        <v/>
      </c>
      <c r="AQ14">
        <f>IF($A14="","",'Beállítások'!$E$8*(5-D14))</f>
        <v/>
      </c>
      <c r="AR14">
        <f>IF($A14="","",'Beállítások'!$E$9*(5-E14))</f>
        <v/>
      </c>
      <c r="AS14">
        <f>IF($A14="","",'Beállítások'!$E$10*(5-F14))</f>
        <v/>
      </c>
      <c r="AT14">
        <f>IF($A14="","",'Beállítások'!$E$11*(5-G14))</f>
        <v/>
      </c>
      <c r="AU14">
        <f>IF($A14="","",'Beállítások'!$E$12*(5-H14))</f>
        <v/>
      </c>
      <c r="AV14">
        <f>IF($A14="","",'Beállítások'!$E$13*(5-I14))</f>
        <v/>
      </c>
      <c r="AW14">
        <f>IF($A14="","",'Beállítások'!$E$14*(5-J14))</f>
        <v/>
      </c>
      <c r="AX14">
        <f>IF($A14="","",'Beállítások'!$E$15*(5-K14))</f>
        <v/>
      </c>
      <c r="AY14">
        <f>IF($A14="","",'Beállítások'!$E$16*(5-L14))</f>
        <v/>
      </c>
      <c r="AZ14">
        <f>IF($A14="","",M14-ROW()/100000)</f>
        <v/>
      </c>
    </row>
    <row r="15">
      <c r="A15">
        <f>IF('Ügyfelek'!A15="","",'Ügyfelek'!A15)</f>
        <v/>
      </c>
      <c r="B15">
        <f>IF($A15="","",IF('Ügyfelek'!B15="",'Beállítások'!$B$45,IFERROR(VLOOKUP(TRIM('Ügyfelek'!B15),'Beállítások'!$A$22:$B$41,2,FALSE),'Beállítások'!$B$45)))</f>
        <v/>
      </c>
      <c r="C15">
        <f>IF($A15="","",IF('Ügyfelek'!C15="",'Beállítások'!$B$45,VLOOKUP(MAX('Ügyfelek'!C15,'Beállítások'!$H$7),'Beállítások'!$H$7:$I$11,2,TRUE)))</f>
        <v/>
      </c>
      <c r="D15">
        <f>IF($A15="","",IF('Ügyfelek'!D15="",'Beállítások'!$B$45,VLOOKUP(MAX('Ügyfelek'!D15,'Beállítások'!$K$7),'Beállítások'!$K$7:$L$11,2,TRUE)))</f>
        <v/>
      </c>
      <c r="E15">
        <f>IF($A15="","",IF('Ügyfelek'!L15="",'Beállítások'!$B$45,MIN(5,MAX(1,ROUND('Ügyfelek'!L15,0)))))</f>
        <v/>
      </c>
      <c r="F15">
        <f>IF($A15="","",IF('Ügyfelek'!I15="",'Beállítások'!$B$45,VLOOKUP(MAX('Ügyfelek'!I15,'Beállítások'!$N$7),'Beállítások'!$N$7:$O$11,2,TRUE)))</f>
        <v/>
      </c>
      <c r="G15">
        <f>IF($A15="","",IF('Ügyfelek'!N15="",'Beállítások'!$B$45,MIN(5,MAX(1,ROUND('Ügyfelek'!N15,0)))))</f>
        <v/>
      </c>
      <c r="H15">
        <f>IF($A15="","",IF('Ügyfelek'!J15="",'Beállítások'!$B$45,VLOOKUP(MAX('Ügyfelek'!J15,'Beállítások'!$Q$7),'Beállítások'!$Q$7:$R$11,2,TRUE)))</f>
        <v/>
      </c>
      <c r="I15">
        <f>IF($A15="","",IF('Ügyfelek'!K15="",'Beállítások'!$B$45,VLOOKUP(MAX('Ügyfelek'!K15,'Beállítások'!$T$7),'Beállítások'!$T$7:$U$11,2,TRUE)))</f>
        <v/>
      </c>
      <c r="J15">
        <f>IF($A15="","",IF('Ügyfelek'!M15="",'Beállítások'!$B$45,MIN(5,MAX(1,ROUND('Ügyfelek'!M15,0)))))</f>
        <v/>
      </c>
      <c r="K15">
        <f>IF($A15="","",IF('Ügyfelek'!P15="",'Beállítások'!$B$45,MIN(5,MAX(1,ROUND('Ügyfelek'!P15,0)))))</f>
        <v/>
      </c>
      <c r="L15">
        <f>IF($A15="","",IF('Ügyfelek'!O15="",'Beállítások'!$B$45,MIN(5,MAX(1,ROUND('Ügyfelek'!O15,0)))))</f>
        <v/>
      </c>
      <c r="M15" s="13">
        <f>IF($A15="","",ROUND('Beállítások'!$E$6*(B15-1)/4+'Beállítások'!$E$7*(C15-1)/4+'Beállítások'!$E$8*(D15-1)/4+'Beállítások'!$E$9*(E15-1)/4+'Beállítások'!$E$10*(F15-1)/4+'Beállítások'!$E$11*(G15-1)/4+'Beállítások'!$E$12*(H15-1)/4+'Beállítások'!$E$13*(I15-1)/4+'Beállítások'!$E$14*(J15-1)/4+'Beállítások'!$E$15*(K15-1)/4+'Beállítások'!$E$16*(L15-1)/4,1))</f>
        <v/>
      </c>
      <c r="N15" s="14">
        <f>IF($A15="","",RANK(M15,$M$2:$M$201))</f>
        <v/>
      </c>
      <c r="O15">
        <f>IF($A15="","",VLOOKUP(M15,'Beállítások'!$A$57:$E$60,2,TRUE))</f>
        <v/>
      </c>
      <c r="P15">
        <f>IF($A15="","",VLOOKUP(M15,'Beállítások'!$A$57:$E$60,3,TRUE))</f>
        <v/>
      </c>
      <c r="Q15">
        <f>IF($A15="","",INDEX('Beállítások'!$B$6:$B$16,MATCH(MAX(AD15:AN15),AD15:AN15,0)))</f>
        <v/>
      </c>
      <c r="R15">
        <f>IF($A15="","",IF(MAX(AO15:AY15)=0,"—",INDEX('Beállítások'!$B$6:$B$16,MATCH(MAX(AO15:AY15),AO15:AY15,0))))</f>
        <v/>
      </c>
      <c r="S15" s="5">
        <f>IF($A15="","",'Beállítások'!$B$47*(TRIM('Ügyfelek'!E15)="igen")+'Beállítások'!$B$48*(TRIM('Ügyfelek'!F15)="igen")+'Beállítások'!$B$49*N('Ügyfelek'!G15)+'Beállítások'!$B$46*N('Ügyfelek'!H15))</f>
        <v/>
      </c>
      <c r="T15" s="15">
        <f>IF($A15="","",VLOOKUP(M15,'Beállítások'!$A$57:$E$60,4,TRUE))</f>
        <v/>
      </c>
      <c r="U15" s="5">
        <f>IF($A15="","",N('Ügyfelek'!D15)*'Beállítások'!$B$51)</f>
        <v/>
      </c>
      <c r="V15" s="5">
        <f>IF($A15="","",CEILING(ROUND(MAX('Beállítások'!$B$50,S15*T15,U15),2),'Beállítások'!$B$52))</f>
        <v/>
      </c>
      <c r="W15">
        <f>IF($A15="","",IF(MAX('Beállítások'!$B$50,S15*T15,U15)=S15*T15,"Munkaigény × szintszorzó",IF(MAX('Beállítások'!$B$50,S15*T15,U15)=U15,"Hirdetési keret arányában","Minimumdíj")))</f>
        <v/>
      </c>
      <c r="X15" s="5">
        <f>IF(OR($A15="",'Ügyfelek'!Q15=""),"",'Ügyfelek'!Q15)</f>
        <v/>
      </c>
      <c r="Y15" s="5">
        <f>IF(X15="","",V15-X15)</f>
        <v/>
      </c>
      <c r="Z15" s="16">
        <f>IF(OR(X15="",X15=0),"",Y15/X15)</f>
        <v/>
      </c>
      <c r="AA15" s="5">
        <f>IF(OR($A15="",'Ügyfelek'!R15=""),"",'Ügyfelek'!R15*VLOOKUP(M15,'Beállítások'!$A$57:$E$60,5,TRUE))</f>
        <v/>
      </c>
      <c r="AB15" s="14">
        <f>IF($A15="","",('Ügyfelek'!B15="")+('Ügyfelek'!C15="")+('Ügyfelek'!D15="")+('Ügyfelek'!L15="")+('Ügyfelek'!I15="")+('Ügyfelek'!N15="")+('Ügyfelek'!J15="")+('Ügyfelek'!K15="")+('Ügyfelek'!M15="")+('Ügyfelek'!P15="")+('Ügyfelek'!O15=""))</f>
        <v/>
      </c>
      <c r="AD15">
        <f>IF($A15="","",B15+'Beállítások'!$E$6/1000)</f>
        <v/>
      </c>
      <c r="AE15">
        <f>IF($A15="","",C15+'Beállítások'!$E$7/1000)</f>
        <v/>
      </c>
      <c r="AF15">
        <f>IF($A15="","",D15+'Beállítások'!$E$8/1000)</f>
        <v/>
      </c>
      <c r="AG15">
        <f>IF($A15="","",E15+'Beállítások'!$E$9/1000)</f>
        <v/>
      </c>
      <c r="AH15">
        <f>IF($A15="","",F15+'Beállítások'!$E$10/1000)</f>
        <v/>
      </c>
      <c r="AI15">
        <f>IF($A15="","",G15+'Beállítások'!$E$11/1000)</f>
        <v/>
      </c>
      <c r="AJ15">
        <f>IF($A15="","",H15+'Beállítások'!$E$12/1000)</f>
        <v/>
      </c>
      <c r="AK15">
        <f>IF($A15="","",I15+'Beállítások'!$E$13/1000)</f>
        <v/>
      </c>
      <c r="AL15">
        <f>IF($A15="","",J15+'Beállítások'!$E$14/1000)</f>
        <v/>
      </c>
      <c r="AM15">
        <f>IF($A15="","",K15+'Beállítások'!$E$15/1000)</f>
        <v/>
      </c>
      <c r="AN15">
        <f>IF($A15="","",L15+'Beállítások'!$E$16/1000)</f>
        <v/>
      </c>
      <c r="AO15">
        <f>IF($A15="","",'Beállítások'!$E$6*(5-B15))</f>
        <v/>
      </c>
      <c r="AP15">
        <f>IF($A15="","",'Beállítások'!$E$7*(5-C15))</f>
        <v/>
      </c>
      <c r="AQ15">
        <f>IF($A15="","",'Beállítások'!$E$8*(5-D15))</f>
        <v/>
      </c>
      <c r="AR15">
        <f>IF($A15="","",'Beállítások'!$E$9*(5-E15))</f>
        <v/>
      </c>
      <c r="AS15">
        <f>IF($A15="","",'Beállítások'!$E$10*(5-F15))</f>
        <v/>
      </c>
      <c r="AT15">
        <f>IF($A15="","",'Beállítások'!$E$11*(5-G15))</f>
        <v/>
      </c>
      <c r="AU15">
        <f>IF($A15="","",'Beállítások'!$E$12*(5-H15))</f>
        <v/>
      </c>
      <c r="AV15">
        <f>IF($A15="","",'Beállítások'!$E$13*(5-I15))</f>
        <v/>
      </c>
      <c r="AW15">
        <f>IF($A15="","",'Beállítások'!$E$14*(5-J15))</f>
        <v/>
      </c>
      <c r="AX15">
        <f>IF($A15="","",'Beállítások'!$E$15*(5-K15))</f>
        <v/>
      </c>
      <c r="AY15">
        <f>IF($A15="","",'Beállítások'!$E$16*(5-L15))</f>
        <v/>
      </c>
      <c r="AZ15">
        <f>IF($A15="","",M15-ROW()/100000)</f>
        <v/>
      </c>
    </row>
    <row r="16">
      <c r="A16">
        <f>IF('Ügyfelek'!A16="","",'Ügyfelek'!A16)</f>
        <v/>
      </c>
      <c r="B16">
        <f>IF($A16="","",IF('Ügyfelek'!B16="",'Beállítások'!$B$45,IFERROR(VLOOKUP(TRIM('Ügyfelek'!B16),'Beállítások'!$A$22:$B$41,2,FALSE),'Beállítások'!$B$45)))</f>
        <v/>
      </c>
      <c r="C16">
        <f>IF($A16="","",IF('Ügyfelek'!C16="",'Beállítások'!$B$45,VLOOKUP(MAX('Ügyfelek'!C16,'Beállítások'!$H$7),'Beállítások'!$H$7:$I$11,2,TRUE)))</f>
        <v/>
      </c>
      <c r="D16">
        <f>IF($A16="","",IF('Ügyfelek'!D16="",'Beállítások'!$B$45,VLOOKUP(MAX('Ügyfelek'!D16,'Beállítások'!$K$7),'Beállítások'!$K$7:$L$11,2,TRUE)))</f>
        <v/>
      </c>
      <c r="E16">
        <f>IF($A16="","",IF('Ügyfelek'!L16="",'Beállítások'!$B$45,MIN(5,MAX(1,ROUND('Ügyfelek'!L16,0)))))</f>
        <v/>
      </c>
      <c r="F16">
        <f>IF($A16="","",IF('Ügyfelek'!I16="",'Beállítások'!$B$45,VLOOKUP(MAX('Ügyfelek'!I16,'Beállítások'!$N$7),'Beállítások'!$N$7:$O$11,2,TRUE)))</f>
        <v/>
      </c>
      <c r="G16">
        <f>IF($A16="","",IF('Ügyfelek'!N16="",'Beállítások'!$B$45,MIN(5,MAX(1,ROUND('Ügyfelek'!N16,0)))))</f>
        <v/>
      </c>
      <c r="H16">
        <f>IF($A16="","",IF('Ügyfelek'!J16="",'Beállítások'!$B$45,VLOOKUP(MAX('Ügyfelek'!J16,'Beállítások'!$Q$7),'Beállítások'!$Q$7:$R$11,2,TRUE)))</f>
        <v/>
      </c>
      <c r="I16">
        <f>IF($A16="","",IF('Ügyfelek'!K16="",'Beállítások'!$B$45,VLOOKUP(MAX('Ügyfelek'!K16,'Beállítások'!$T$7),'Beállítások'!$T$7:$U$11,2,TRUE)))</f>
        <v/>
      </c>
      <c r="J16">
        <f>IF($A16="","",IF('Ügyfelek'!M16="",'Beállítások'!$B$45,MIN(5,MAX(1,ROUND('Ügyfelek'!M16,0)))))</f>
        <v/>
      </c>
      <c r="K16">
        <f>IF($A16="","",IF('Ügyfelek'!P16="",'Beállítások'!$B$45,MIN(5,MAX(1,ROUND('Ügyfelek'!P16,0)))))</f>
        <v/>
      </c>
      <c r="L16">
        <f>IF($A16="","",IF('Ügyfelek'!O16="",'Beállítások'!$B$45,MIN(5,MAX(1,ROUND('Ügyfelek'!O16,0)))))</f>
        <v/>
      </c>
      <c r="M16" s="13">
        <f>IF($A16="","",ROUND('Beállítások'!$E$6*(B16-1)/4+'Beállítások'!$E$7*(C16-1)/4+'Beállítások'!$E$8*(D16-1)/4+'Beállítások'!$E$9*(E16-1)/4+'Beállítások'!$E$10*(F16-1)/4+'Beállítások'!$E$11*(G16-1)/4+'Beállítások'!$E$12*(H16-1)/4+'Beállítások'!$E$13*(I16-1)/4+'Beállítások'!$E$14*(J16-1)/4+'Beállítások'!$E$15*(K16-1)/4+'Beállítások'!$E$16*(L16-1)/4,1))</f>
        <v/>
      </c>
      <c r="N16" s="14">
        <f>IF($A16="","",RANK(M16,$M$2:$M$201))</f>
        <v/>
      </c>
      <c r="O16">
        <f>IF($A16="","",VLOOKUP(M16,'Beállítások'!$A$57:$E$60,2,TRUE))</f>
        <v/>
      </c>
      <c r="P16">
        <f>IF($A16="","",VLOOKUP(M16,'Beállítások'!$A$57:$E$60,3,TRUE))</f>
        <v/>
      </c>
      <c r="Q16">
        <f>IF($A16="","",INDEX('Beállítások'!$B$6:$B$16,MATCH(MAX(AD16:AN16),AD16:AN16,0)))</f>
        <v/>
      </c>
      <c r="R16">
        <f>IF($A16="","",IF(MAX(AO16:AY16)=0,"—",INDEX('Beállítások'!$B$6:$B$16,MATCH(MAX(AO16:AY16),AO16:AY16,0))))</f>
        <v/>
      </c>
      <c r="S16" s="5">
        <f>IF($A16="","",'Beállítások'!$B$47*(TRIM('Ügyfelek'!E16)="igen")+'Beállítások'!$B$48*(TRIM('Ügyfelek'!F16)="igen")+'Beállítások'!$B$49*N('Ügyfelek'!G16)+'Beállítások'!$B$46*N('Ügyfelek'!H16))</f>
        <v/>
      </c>
      <c r="T16" s="15">
        <f>IF($A16="","",VLOOKUP(M16,'Beállítások'!$A$57:$E$60,4,TRUE))</f>
        <v/>
      </c>
      <c r="U16" s="5">
        <f>IF($A16="","",N('Ügyfelek'!D16)*'Beállítások'!$B$51)</f>
        <v/>
      </c>
      <c r="V16" s="5">
        <f>IF($A16="","",CEILING(ROUND(MAX('Beállítások'!$B$50,S16*T16,U16),2),'Beállítások'!$B$52))</f>
        <v/>
      </c>
      <c r="W16">
        <f>IF($A16="","",IF(MAX('Beállítások'!$B$50,S16*T16,U16)=S16*T16,"Munkaigény × szintszorzó",IF(MAX('Beállítások'!$B$50,S16*T16,U16)=U16,"Hirdetési keret arányában","Minimumdíj")))</f>
        <v/>
      </c>
      <c r="X16" s="5">
        <f>IF(OR($A16="",'Ügyfelek'!Q16=""),"",'Ügyfelek'!Q16)</f>
        <v/>
      </c>
      <c r="Y16" s="5">
        <f>IF(X16="","",V16-X16)</f>
        <v/>
      </c>
      <c r="Z16" s="16">
        <f>IF(OR(X16="",X16=0),"",Y16/X16)</f>
        <v/>
      </c>
      <c r="AA16" s="5">
        <f>IF(OR($A16="",'Ügyfelek'!R16=""),"",'Ügyfelek'!R16*VLOOKUP(M16,'Beállítások'!$A$57:$E$60,5,TRUE))</f>
        <v/>
      </c>
      <c r="AB16" s="14">
        <f>IF($A16="","",('Ügyfelek'!B16="")+('Ügyfelek'!C16="")+('Ügyfelek'!D16="")+('Ügyfelek'!L16="")+('Ügyfelek'!I16="")+('Ügyfelek'!N16="")+('Ügyfelek'!J16="")+('Ügyfelek'!K16="")+('Ügyfelek'!M16="")+('Ügyfelek'!P16="")+('Ügyfelek'!O16=""))</f>
        <v/>
      </c>
      <c r="AD16">
        <f>IF($A16="","",B16+'Beállítások'!$E$6/1000)</f>
        <v/>
      </c>
      <c r="AE16">
        <f>IF($A16="","",C16+'Beállítások'!$E$7/1000)</f>
        <v/>
      </c>
      <c r="AF16">
        <f>IF($A16="","",D16+'Beállítások'!$E$8/1000)</f>
        <v/>
      </c>
      <c r="AG16">
        <f>IF($A16="","",E16+'Beállítások'!$E$9/1000)</f>
        <v/>
      </c>
      <c r="AH16">
        <f>IF($A16="","",F16+'Beállítások'!$E$10/1000)</f>
        <v/>
      </c>
      <c r="AI16">
        <f>IF($A16="","",G16+'Beállítások'!$E$11/1000)</f>
        <v/>
      </c>
      <c r="AJ16">
        <f>IF($A16="","",H16+'Beállítások'!$E$12/1000)</f>
        <v/>
      </c>
      <c r="AK16">
        <f>IF($A16="","",I16+'Beállítások'!$E$13/1000)</f>
        <v/>
      </c>
      <c r="AL16">
        <f>IF($A16="","",J16+'Beállítások'!$E$14/1000)</f>
        <v/>
      </c>
      <c r="AM16">
        <f>IF($A16="","",K16+'Beállítások'!$E$15/1000)</f>
        <v/>
      </c>
      <c r="AN16">
        <f>IF($A16="","",L16+'Beállítások'!$E$16/1000)</f>
        <v/>
      </c>
      <c r="AO16">
        <f>IF($A16="","",'Beállítások'!$E$6*(5-B16))</f>
        <v/>
      </c>
      <c r="AP16">
        <f>IF($A16="","",'Beállítások'!$E$7*(5-C16))</f>
        <v/>
      </c>
      <c r="AQ16">
        <f>IF($A16="","",'Beállítások'!$E$8*(5-D16))</f>
        <v/>
      </c>
      <c r="AR16">
        <f>IF($A16="","",'Beállítások'!$E$9*(5-E16))</f>
        <v/>
      </c>
      <c r="AS16">
        <f>IF($A16="","",'Beállítások'!$E$10*(5-F16))</f>
        <v/>
      </c>
      <c r="AT16">
        <f>IF($A16="","",'Beállítások'!$E$11*(5-G16))</f>
        <v/>
      </c>
      <c r="AU16">
        <f>IF($A16="","",'Beállítások'!$E$12*(5-H16))</f>
        <v/>
      </c>
      <c r="AV16">
        <f>IF($A16="","",'Beállítások'!$E$13*(5-I16))</f>
        <v/>
      </c>
      <c r="AW16">
        <f>IF($A16="","",'Beállítások'!$E$14*(5-J16))</f>
        <v/>
      </c>
      <c r="AX16">
        <f>IF($A16="","",'Beállítások'!$E$15*(5-K16))</f>
        <v/>
      </c>
      <c r="AY16">
        <f>IF($A16="","",'Beállítások'!$E$16*(5-L16))</f>
        <v/>
      </c>
      <c r="AZ16">
        <f>IF($A16="","",M16-ROW()/100000)</f>
        <v/>
      </c>
    </row>
    <row r="17">
      <c r="A17">
        <f>IF('Ügyfelek'!A17="","",'Ügyfelek'!A17)</f>
        <v/>
      </c>
      <c r="B17">
        <f>IF($A17="","",IF('Ügyfelek'!B17="",'Beállítások'!$B$45,IFERROR(VLOOKUP(TRIM('Ügyfelek'!B17),'Beállítások'!$A$22:$B$41,2,FALSE),'Beállítások'!$B$45)))</f>
        <v/>
      </c>
      <c r="C17">
        <f>IF($A17="","",IF('Ügyfelek'!C17="",'Beállítások'!$B$45,VLOOKUP(MAX('Ügyfelek'!C17,'Beállítások'!$H$7),'Beállítások'!$H$7:$I$11,2,TRUE)))</f>
        <v/>
      </c>
      <c r="D17">
        <f>IF($A17="","",IF('Ügyfelek'!D17="",'Beállítások'!$B$45,VLOOKUP(MAX('Ügyfelek'!D17,'Beállítások'!$K$7),'Beállítások'!$K$7:$L$11,2,TRUE)))</f>
        <v/>
      </c>
      <c r="E17">
        <f>IF($A17="","",IF('Ügyfelek'!L17="",'Beállítások'!$B$45,MIN(5,MAX(1,ROUND('Ügyfelek'!L17,0)))))</f>
        <v/>
      </c>
      <c r="F17">
        <f>IF($A17="","",IF('Ügyfelek'!I17="",'Beállítások'!$B$45,VLOOKUP(MAX('Ügyfelek'!I17,'Beállítások'!$N$7),'Beállítások'!$N$7:$O$11,2,TRUE)))</f>
        <v/>
      </c>
      <c r="G17">
        <f>IF($A17="","",IF('Ügyfelek'!N17="",'Beállítások'!$B$45,MIN(5,MAX(1,ROUND('Ügyfelek'!N17,0)))))</f>
        <v/>
      </c>
      <c r="H17">
        <f>IF($A17="","",IF('Ügyfelek'!J17="",'Beállítások'!$B$45,VLOOKUP(MAX('Ügyfelek'!J17,'Beállítások'!$Q$7),'Beállítások'!$Q$7:$R$11,2,TRUE)))</f>
        <v/>
      </c>
      <c r="I17">
        <f>IF($A17="","",IF('Ügyfelek'!K17="",'Beállítások'!$B$45,VLOOKUP(MAX('Ügyfelek'!K17,'Beállítások'!$T$7),'Beállítások'!$T$7:$U$11,2,TRUE)))</f>
        <v/>
      </c>
      <c r="J17">
        <f>IF($A17="","",IF('Ügyfelek'!M17="",'Beállítások'!$B$45,MIN(5,MAX(1,ROUND('Ügyfelek'!M17,0)))))</f>
        <v/>
      </c>
      <c r="K17">
        <f>IF($A17="","",IF('Ügyfelek'!P17="",'Beállítások'!$B$45,MIN(5,MAX(1,ROUND('Ügyfelek'!P17,0)))))</f>
        <v/>
      </c>
      <c r="L17">
        <f>IF($A17="","",IF('Ügyfelek'!O17="",'Beállítások'!$B$45,MIN(5,MAX(1,ROUND('Ügyfelek'!O17,0)))))</f>
        <v/>
      </c>
      <c r="M17" s="13">
        <f>IF($A17="","",ROUND('Beállítások'!$E$6*(B17-1)/4+'Beállítások'!$E$7*(C17-1)/4+'Beállítások'!$E$8*(D17-1)/4+'Beállítások'!$E$9*(E17-1)/4+'Beállítások'!$E$10*(F17-1)/4+'Beállítások'!$E$11*(G17-1)/4+'Beállítások'!$E$12*(H17-1)/4+'Beállítások'!$E$13*(I17-1)/4+'Beállítások'!$E$14*(J17-1)/4+'Beállítások'!$E$15*(K17-1)/4+'Beállítások'!$E$16*(L17-1)/4,1))</f>
        <v/>
      </c>
      <c r="N17" s="14">
        <f>IF($A17="","",RANK(M17,$M$2:$M$201))</f>
        <v/>
      </c>
      <c r="O17">
        <f>IF($A17="","",VLOOKUP(M17,'Beállítások'!$A$57:$E$60,2,TRUE))</f>
        <v/>
      </c>
      <c r="P17">
        <f>IF($A17="","",VLOOKUP(M17,'Beállítások'!$A$57:$E$60,3,TRUE))</f>
        <v/>
      </c>
      <c r="Q17">
        <f>IF($A17="","",INDEX('Beállítások'!$B$6:$B$16,MATCH(MAX(AD17:AN17),AD17:AN17,0)))</f>
        <v/>
      </c>
      <c r="R17">
        <f>IF($A17="","",IF(MAX(AO17:AY17)=0,"—",INDEX('Beállítások'!$B$6:$B$16,MATCH(MAX(AO17:AY17),AO17:AY17,0))))</f>
        <v/>
      </c>
      <c r="S17" s="5">
        <f>IF($A17="","",'Beállítások'!$B$47*(TRIM('Ügyfelek'!E17)="igen")+'Beállítások'!$B$48*(TRIM('Ügyfelek'!F17)="igen")+'Beállítások'!$B$49*N('Ügyfelek'!G17)+'Beállítások'!$B$46*N('Ügyfelek'!H17))</f>
        <v/>
      </c>
      <c r="T17" s="15">
        <f>IF($A17="","",VLOOKUP(M17,'Beállítások'!$A$57:$E$60,4,TRUE))</f>
        <v/>
      </c>
      <c r="U17" s="5">
        <f>IF($A17="","",N('Ügyfelek'!D17)*'Beállítások'!$B$51)</f>
        <v/>
      </c>
      <c r="V17" s="5">
        <f>IF($A17="","",CEILING(ROUND(MAX('Beállítások'!$B$50,S17*T17,U17),2),'Beállítások'!$B$52))</f>
        <v/>
      </c>
      <c r="W17">
        <f>IF($A17="","",IF(MAX('Beállítások'!$B$50,S17*T17,U17)=S17*T17,"Munkaigény × szintszorzó",IF(MAX('Beállítások'!$B$50,S17*T17,U17)=U17,"Hirdetési keret arányában","Minimumdíj")))</f>
        <v/>
      </c>
      <c r="X17" s="5">
        <f>IF(OR($A17="",'Ügyfelek'!Q17=""),"",'Ügyfelek'!Q17)</f>
        <v/>
      </c>
      <c r="Y17" s="5">
        <f>IF(X17="","",V17-X17)</f>
        <v/>
      </c>
      <c r="Z17" s="16">
        <f>IF(OR(X17="",X17=0),"",Y17/X17)</f>
        <v/>
      </c>
      <c r="AA17" s="5">
        <f>IF(OR($A17="",'Ügyfelek'!R17=""),"",'Ügyfelek'!R17*VLOOKUP(M17,'Beállítások'!$A$57:$E$60,5,TRUE))</f>
        <v/>
      </c>
      <c r="AB17" s="14">
        <f>IF($A17="","",('Ügyfelek'!B17="")+('Ügyfelek'!C17="")+('Ügyfelek'!D17="")+('Ügyfelek'!L17="")+('Ügyfelek'!I17="")+('Ügyfelek'!N17="")+('Ügyfelek'!J17="")+('Ügyfelek'!K17="")+('Ügyfelek'!M17="")+('Ügyfelek'!P17="")+('Ügyfelek'!O17=""))</f>
        <v/>
      </c>
      <c r="AD17">
        <f>IF($A17="","",B17+'Beállítások'!$E$6/1000)</f>
        <v/>
      </c>
      <c r="AE17">
        <f>IF($A17="","",C17+'Beállítások'!$E$7/1000)</f>
        <v/>
      </c>
      <c r="AF17">
        <f>IF($A17="","",D17+'Beállítások'!$E$8/1000)</f>
        <v/>
      </c>
      <c r="AG17">
        <f>IF($A17="","",E17+'Beállítások'!$E$9/1000)</f>
        <v/>
      </c>
      <c r="AH17">
        <f>IF($A17="","",F17+'Beállítások'!$E$10/1000)</f>
        <v/>
      </c>
      <c r="AI17">
        <f>IF($A17="","",G17+'Beállítások'!$E$11/1000)</f>
        <v/>
      </c>
      <c r="AJ17">
        <f>IF($A17="","",H17+'Beállítások'!$E$12/1000)</f>
        <v/>
      </c>
      <c r="AK17">
        <f>IF($A17="","",I17+'Beállítások'!$E$13/1000)</f>
        <v/>
      </c>
      <c r="AL17">
        <f>IF($A17="","",J17+'Beállítások'!$E$14/1000)</f>
        <v/>
      </c>
      <c r="AM17">
        <f>IF($A17="","",K17+'Beállítások'!$E$15/1000)</f>
        <v/>
      </c>
      <c r="AN17">
        <f>IF($A17="","",L17+'Beállítások'!$E$16/1000)</f>
        <v/>
      </c>
      <c r="AO17">
        <f>IF($A17="","",'Beállítások'!$E$6*(5-B17))</f>
        <v/>
      </c>
      <c r="AP17">
        <f>IF($A17="","",'Beállítások'!$E$7*(5-C17))</f>
        <v/>
      </c>
      <c r="AQ17">
        <f>IF($A17="","",'Beállítások'!$E$8*(5-D17))</f>
        <v/>
      </c>
      <c r="AR17">
        <f>IF($A17="","",'Beállítások'!$E$9*(5-E17))</f>
        <v/>
      </c>
      <c r="AS17">
        <f>IF($A17="","",'Beállítások'!$E$10*(5-F17))</f>
        <v/>
      </c>
      <c r="AT17">
        <f>IF($A17="","",'Beállítások'!$E$11*(5-G17))</f>
        <v/>
      </c>
      <c r="AU17">
        <f>IF($A17="","",'Beállítások'!$E$12*(5-H17))</f>
        <v/>
      </c>
      <c r="AV17">
        <f>IF($A17="","",'Beállítások'!$E$13*(5-I17))</f>
        <v/>
      </c>
      <c r="AW17">
        <f>IF($A17="","",'Beállítások'!$E$14*(5-J17))</f>
        <v/>
      </c>
      <c r="AX17">
        <f>IF($A17="","",'Beállítások'!$E$15*(5-K17))</f>
        <v/>
      </c>
      <c r="AY17">
        <f>IF($A17="","",'Beállítások'!$E$16*(5-L17))</f>
        <v/>
      </c>
      <c r="AZ17">
        <f>IF($A17="","",M17-ROW()/100000)</f>
        <v/>
      </c>
    </row>
    <row r="18">
      <c r="A18">
        <f>IF('Ügyfelek'!A18="","",'Ügyfelek'!A18)</f>
        <v/>
      </c>
      <c r="B18">
        <f>IF($A18="","",IF('Ügyfelek'!B18="",'Beállítások'!$B$45,IFERROR(VLOOKUP(TRIM('Ügyfelek'!B18),'Beállítások'!$A$22:$B$41,2,FALSE),'Beállítások'!$B$45)))</f>
        <v/>
      </c>
      <c r="C18">
        <f>IF($A18="","",IF('Ügyfelek'!C18="",'Beállítások'!$B$45,VLOOKUP(MAX('Ügyfelek'!C18,'Beállítások'!$H$7),'Beállítások'!$H$7:$I$11,2,TRUE)))</f>
        <v/>
      </c>
      <c r="D18">
        <f>IF($A18="","",IF('Ügyfelek'!D18="",'Beállítások'!$B$45,VLOOKUP(MAX('Ügyfelek'!D18,'Beállítások'!$K$7),'Beállítások'!$K$7:$L$11,2,TRUE)))</f>
        <v/>
      </c>
      <c r="E18">
        <f>IF($A18="","",IF('Ügyfelek'!L18="",'Beállítások'!$B$45,MIN(5,MAX(1,ROUND('Ügyfelek'!L18,0)))))</f>
        <v/>
      </c>
      <c r="F18">
        <f>IF($A18="","",IF('Ügyfelek'!I18="",'Beállítások'!$B$45,VLOOKUP(MAX('Ügyfelek'!I18,'Beállítások'!$N$7),'Beállítások'!$N$7:$O$11,2,TRUE)))</f>
        <v/>
      </c>
      <c r="G18">
        <f>IF($A18="","",IF('Ügyfelek'!N18="",'Beállítások'!$B$45,MIN(5,MAX(1,ROUND('Ügyfelek'!N18,0)))))</f>
        <v/>
      </c>
      <c r="H18">
        <f>IF($A18="","",IF('Ügyfelek'!J18="",'Beállítások'!$B$45,VLOOKUP(MAX('Ügyfelek'!J18,'Beállítások'!$Q$7),'Beállítások'!$Q$7:$R$11,2,TRUE)))</f>
        <v/>
      </c>
      <c r="I18">
        <f>IF($A18="","",IF('Ügyfelek'!K18="",'Beállítások'!$B$45,VLOOKUP(MAX('Ügyfelek'!K18,'Beállítások'!$T$7),'Beállítások'!$T$7:$U$11,2,TRUE)))</f>
        <v/>
      </c>
      <c r="J18">
        <f>IF($A18="","",IF('Ügyfelek'!M18="",'Beállítások'!$B$45,MIN(5,MAX(1,ROUND('Ügyfelek'!M18,0)))))</f>
        <v/>
      </c>
      <c r="K18">
        <f>IF($A18="","",IF('Ügyfelek'!P18="",'Beállítások'!$B$45,MIN(5,MAX(1,ROUND('Ügyfelek'!P18,0)))))</f>
        <v/>
      </c>
      <c r="L18">
        <f>IF($A18="","",IF('Ügyfelek'!O18="",'Beállítások'!$B$45,MIN(5,MAX(1,ROUND('Ügyfelek'!O18,0)))))</f>
        <v/>
      </c>
      <c r="M18" s="13">
        <f>IF($A18="","",ROUND('Beállítások'!$E$6*(B18-1)/4+'Beállítások'!$E$7*(C18-1)/4+'Beállítások'!$E$8*(D18-1)/4+'Beállítások'!$E$9*(E18-1)/4+'Beállítások'!$E$10*(F18-1)/4+'Beállítások'!$E$11*(G18-1)/4+'Beállítások'!$E$12*(H18-1)/4+'Beállítások'!$E$13*(I18-1)/4+'Beállítások'!$E$14*(J18-1)/4+'Beállítások'!$E$15*(K18-1)/4+'Beállítások'!$E$16*(L18-1)/4,1))</f>
        <v/>
      </c>
      <c r="N18" s="14">
        <f>IF($A18="","",RANK(M18,$M$2:$M$201))</f>
        <v/>
      </c>
      <c r="O18">
        <f>IF($A18="","",VLOOKUP(M18,'Beállítások'!$A$57:$E$60,2,TRUE))</f>
        <v/>
      </c>
      <c r="P18">
        <f>IF($A18="","",VLOOKUP(M18,'Beállítások'!$A$57:$E$60,3,TRUE))</f>
        <v/>
      </c>
      <c r="Q18">
        <f>IF($A18="","",INDEX('Beállítások'!$B$6:$B$16,MATCH(MAX(AD18:AN18),AD18:AN18,0)))</f>
        <v/>
      </c>
      <c r="R18">
        <f>IF($A18="","",IF(MAX(AO18:AY18)=0,"—",INDEX('Beállítások'!$B$6:$B$16,MATCH(MAX(AO18:AY18),AO18:AY18,0))))</f>
        <v/>
      </c>
      <c r="S18" s="5">
        <f>IF($A18="","",'Beállítások'!$B$47*(TRIM('Ügyfelek'!E18)="igen")+'Beállítások'!$B$48*(TRIM('Ügyfelek'!F18)="igen")+'Beállítások'!$B$49*N('Ügyfelek'!G18)+'Beállítások'!$B$46*N('Ügyfelek'!H18))</f>
        <v/>
      </c>
      <c r="T18" s="15">
        <f>IF($A18="","",VLOOKUP(M18,'Beállítások'!$A$57:$E$60,4,TRUE))</f>
        <v/>
      </c>
      <c r="U18" s="5">
        <f>IF($A18="","",N('Ügyfelek'!D18)*'Beállítások'!$B$51)</f>
        <v/>
      </c>
      <c r="V18" s="5">
        <f>IF($A18="","",CEILING(ROUND(MAX('Beállítások'!$B$50,S18*T18,U18),2),'Beállítások'!$B$52))</f>
        <v/>
      </c>
      <c r="W18">
        <f>IF($A18="","",IF(MAX('Beállítások'!$B$50,S18*T18,U18)=S18*T18,"Munkaigény × szintszorzó",IF(MAX('Beállítások'!$B$50,S18*T18,U18)=U18,"Hirdetési keret arányában","Minimumdíj")))</f>
        <v/>
      </c>
      <c r="X18" s="5">
        <f>IF(OR($A18="",'Ügyfelek'!Q18=""),"",'Ügyfelek'!Q18)</f>
        <v/>
      </c>
      <c r="Y18" s="5">
        <f>IF(X18="","",V18-X18)</f>
        <v/>
      </c>
      <c r="Z18" s="16">
        <f>IF(OR(X18="",X18=0),"",Y18/X18)</f>
        <v/>
      </c>
      <c r="AA18" s="5">
        <f>IF(OR($A18="",'Ügyfelek'!R18=""),"",'Ügyfelek'!R18*VLOOKUP(M18,'Beállítások'!$A$57:$E$60,5,TRUE))</f>
        <v/>
      </c>
      <c r="AB18" s="14">
        <f>IF($A18="","",('Ügyfelek'!B18="")+('Ügyfelek'!C18="")+('Ügyfelek'!D18="")+('Ügyfelek'!L18="")+('Ügyfelek'!I18="")+('Ügyfelek'!N18="")+('Ügyfelek'!J18="")+('Ügyfelek'!K18="")+('Ügyfelek'!M18="")+('Ügyfelek'!P18="")+('Ügyfelek'!O18=""))</f>
        <v/>
      </c>
      <c r="AD18">
        <f>IF($A18="","",B18+'Beállítások'!$E$6/1000)</f>
        <v/>
      </c>
      <c r="AE18">
        <f>IF($A18="","",C18+'Beállítások'!$E$7/1000)</f>
        <v/>
      </c>
      <c r="AF18">
        <f>IF($A18="","",D18+'Beállítások'!$E$8/1000)</f>
        <v/>
      </c>
      <c r="AG18">
        <f>IF($A18="","",E18+'Beállítások'!$E$9/1000)</f>
        <v/>
      </c>
      <c r="AH18">
        <f>IF($A18="","",F18+'Beállítások'!$E$10/1000)</f>
        <v/>
      </c>
      <c r="AI18">
        <f>IF($A18="","",G18+'Beállítások'!$E$11/1000)</f>
        <v/>
      </c>
      <c r="AJ18">
        <f>IF($A18="","",H18+'Beállítások'!$E$12/1000)</f>
        <v/>
      </c>
      <c r="AK18">
        <f>IF($A18="","",I18+'Beállítások'!$E$13/1000)</f>
        <v/>
      </c>
      <c r="AL18">
        <f>IF($A18="","",J18+'Beállítások'!$E$14/1000)</f>
        <v/>
      </c>
      <c r="AM18">
        <f>IF($A18="","",K18+'Beállítások'!$E$15/1000)</f>
        <v/>
      </c>
      <c r="AN18">
        <f>IF($A18="","",L18+'Beállítások'!$E$16/1000)</f>
        <v/>
      </c>
      <c r="AO18">
        <f>IF($A18="","",'Beállítások'!$E$6*(5-B18))</f>
        <v/>
      </c>
      <c r="AP18">
        <f>IF($A18="","",'Beállítások'!$E$7*(5-C18))</f>
        <v/>
      </c>
      <c r="AQ18">
        <f>IF($A18="","",'Beállítások'!$E$8*(5-D18))</f>
        <v/>
      </c>
      <c r="AR18">
        <f>IF($A18="","",'Beállítások'!$E$9*(5-E18))</f>
        <v/>
      </c>
      <c r="AS18">
        <f>IF($A18="","",'Beállítások'!$E$10*(5-F18))</f>
        <v/>
      </c>
      <c r="AT18">
        <f>IF($A18="","",'Beállítások'!$E$11*(5-G18))</f>
        <v/>
      </c>
      <c r="AU18">
        <f>IF($A18="","",'Beállítások'!$E$12*(5-H18))</f>
        <v/>
      </c>
      <c r="AV18">
        <f>IF($A18="","",'Beállítások'!$E$13*(5-I18))</f>
        <v/>
      </c>
      <c r="AW18">
        <f>IF($A18="","",'Beállítások'!$E$14*(5-J18))</f>
        <v/>
      </c>
      <c r="AX18">
        <f>IF($A18="","",'Beállítások'!$E$15*(5-K18))</f>
        <v/>
      </c>
      <c r="AY18">
        <f>IF($A18="","",'Beállítások'!$E$16*(5-L18))</f>
        <v/>
      </c>
      <c r="AZ18">
        <f>IF($A18="","",M18-ROW()/100000)</f>
        <v/>
      </c>
    </row>
    <row r="19">
      <c r="A19">
        <f>IF('Ügyfelek'!A19="","",'Ügyfelek'!A19)</f>
        <v/>
      </c>
      <c r="B19">
        <f>IF($A19="","",IF('Ügyfelek'!B19="",'Beállítások'!$B$45,IFERROR(VLOOKUP(TRIM('Ügyfelek'!B19),'Beállítások'!$A$22:$B$41,2,FALSE),'Beállítások'!$B$45)))</f>
        <v/>
      </c>
      <c r="C19">
        <f>IF($A19="","",IF('Ügyfelek'!C19="",'Beállítások'!$B$45,VLOOKUP(MAX('Ügyfelek'!C19,'Beállítások'!$H$7),'Beállítások'!$H$7:$I$11,2,TRUE)))</f>
        <v/>
      </c>
      <c r="D19">
        <f>IF($A19="","",IF('Ügyfelek'!D19="",'Beállítások'!$B$45,VLOOKUP(MAX('Ügyfelek'!D19,'Beállítások'!$K$7),'Beállítások'!$K$7:$L$11,2,TRUE)))</f>
        <v/>
      </c>
      <c r="E19">
        <f>IF($A19="","",IF('Ügyfelek'!L19="",'Beállítások'!$B$45,MIN(5,MAX(1,ROUND('Ügyfelek'!L19,0)))))</f>
        <v/>
      </c>
      <c r="F19">
        <f>IF($A19="","",IF('Ügyfelek'!I19="",'Beállítások'!$B$45,VLOOKUP(MAX('Ügyfelek'!I19,'Beállítások'!$N$7),'Beállítások'!$N$7:$O$11,2,TRUE)))</f>
        <v/>
      </c>
      <c r="G19">
        <f>IF($A19="","",IF('Ügyfelek'!N19="",'Beállítások'!$B$45,MIN(5,MAX(1,ROUND('Ügyfelek'!N19,0)))))</f>
        <v/>
      </c>
      <c r="H19">
        <f>IF($A19="","",IF('Ügyfelek'!J19="",'Beállítások'!$B$45,VLOOKUP(MAX('Ügyfelek'!J19,'Beállítások'!$Q$7),'Beállítások'!$Q$7:$R$11,2,TRUE)))</f>
        <v/>
      </c>
      <c r="I19">
        <f>IF($A19="","",IF('Ügyfelek'!K19="",'Beállítások'!$B$45,VLOOKUP(MAX('Ügyfelek'!K19,'Beállítások'!$T$7),'Beállítások'!$T$7:$U$11,2,TRUE)))</f>
        <v/>
      </c>
      <c r="J19">
        <f>IF($A19="","",IF('Ügyfelek'!M19="",'Beállítások'!$B$45,MIN(5,MAX(1,ROUND('Ügyfelek'!M19,0)))))</f>
        <v/>
      </c>
      <c r="K19">
        <f>IF($A19="","",IF('Ügyfelek'!P19="",'Beállítások'!$B$45,MIN(5,MAX(1,ROUND('Ügyfelek'!P19,0)))))</f>
        <v/>
      </c>
      <c r="L19">
        <f>IF($A19="","",IF('Ügyfelek'!O19="",'Beállítások'!$B$45,MIN(5,MAX(1,ROUND('Ügyfelek'!O19,0)))))</f>
        <v/>
      </c>
      <c r="M19" s="13">
        <f>IF($A19="","",ROUND('Beállítások'!$E$6*(B19-1)/4+'Beállítások'!$E$7*(C19-1)/4+'Beállítások'!$E$8*(D19-1)/4+'Beállítások'!$E$9*(E19-1)/4+'Beállítások'!$E$10*(F19-1)/4+'Beállítások'!$E$11*(G19-1)/4+'Beállítások'!$E$12*(H19-1)/4+'Beállítások'!$E$13*(I19-1)/4+'Beállítások'!$E$14*(J19-1)/4+'Beállítások'!$E$15*(K19-1)/4+'Beállítások'!$E$16*(L19-1)/4,1))</f>
        <v/>
      </c>
      <c r="N19" s="14">
        <f>IF($A19="","",RANK(M19,$M$2:$M$201))</f>
        <v/>
      </c>
      <c r="O19">
        <f>IF($A19="","",VLOOKUP(M19,'Beállítások'!$A$57:$E$60,2,TRUE))</f>
        <v/>
      </c>
      <c r="P19">
        <f>IF($A19="","",VLOOKUP(M19,'Beállítások'!$A$57:$E$60,3,TRUE))</f>
        <v/>
      </c>
      <c r="Q19">
        <f>IF($A19="","",INDEX('Beállítások'!$B$6:$B$16,MATCH(MAX(AD19:AN19),AD19:AN19,0)))</f>
        <v/>
      </c>
      <c r="R19">
        <f>IF($A19="","",IF(MAX(AO19:AY19)=0,"—",INDEX('Beállítások'!$B$6:$B$16,MATCH(MAX(AO19:AY19),AO19:AY19,0))))</f>
        <v/>
      </c>
      <c r="S19" s="5">
        <f>IF($A19="","",'Beállítások'!$B$47*(TRIM('Ügyfelek'!E19)="igen")+'Beállítások'!$B$48*(TRIM('Ügyfelek'!F19)="igen")+'Beállítások'!$B$49*N('Ügyfelek'!G19)+'Beállítások'!$B$46*N('Ügyfelek'!H19))</f>
        <v/>
      </c>
      <c r="T19" s="15">
        <f>IF($A19="","",VLOOKUP(M19,'Beállítások'!$A$57:$E$60,4,TRUE))</f>
        <v/>
      </c>
      <c r="U19" s="5">
        <f>IF($A19="","",N('Ügyfelek'!D19)*'Beállítások'!$B$51)</f>
        <v/>
      </c>
      <c r="V19" s="5">
        <f>IF($A19="","",CEILING(ROUND(MAX('Beállítások'!$B$50,S19*T19,U19),2),'Beállítások'!$B$52))</f>
        <v/>
      </c>
      <c r="W19">
        <f>IF($A19="","",IF(MAX('Beállítások'!$B$50,S19*T19,U19)=S19*T19,"Munkaigény × szintszorzó",IF(MAX('Beállítások'!$B$50,S19*T19,U19)=U19,"Hirdetési keret arányában","Minimumdíj")))</f>
        <v/>
      </c>
      <c r="X19" s="5">
        <f>IF(OR($A19="",'Ügyfelek'!Q19=""),"",'Ügyfelek'!Q19)</f>
        <v/>
      </c>
      <c r="Y19" s="5">
        <f>IF(X19="","",V19-X19)</f>
        <v/>
      </c>
      <c r="Z19" s="16">
        <f>IF(OR(X19="",X19=0),"",Y19/X19)</f>
        <v/>
      </c>
      <c r="AA19" s="5">
        <f>IF(OR($A19="",'Ügyfelek'!R19=""),"",'Ügyfelek'!R19*VLOOKUP(M19,'Beállítások'!$A$57:$E$60,5,TRUE))</f>
        <v/>
      </c>
      <c r="AB19" s="14">
        <f>IF($A19="","",('Ügyfelek'!B19="")+('Ügyfelek'!C19="")+('Ügyfelek'!D19="")+('Ügyfelek'!L19="")+('Ügyfelek'!I19="")+('Ügyfelek'!N19="")+('Ügyfelek'!J19="")+('Ügyfelek'!K19="")+('Ügyfelek'!M19="")+('Ügyfelek'!P19="")+('Ügyfelek'!O19=""))</f>
        <v/>
      </c>
      <c r="AD19">
        <f>IF($A19="","",B19+'Beállítások'!$E$6/1000)</f>
        <v/>
      </c>
      <c r="AE19">
        <f>IF($A19="","",C19+'Beállítások'!$E$7/1000)</f>
        <v/>
      </c>
      <c r="AF19">
        <f>IF($A19="","",D19+'Beállítások'!$E$8/1000)</f>
        <v/>
      </c>
      <c r="AG19">
        <f>IF($A19="","",E19+'Beállítások'!$E$9/1000)</f>
        <v/>
      </c>
      <c r="AH19">
        <f>IF($A19="","",F19+'Beállítások'!$E$10/1000)</f>
        <v/>
      </c>
      <c r="AI19">
        <f>IF($A19="","",G19+'Beállítások'!$E$11/1000)</f>
        <v/>
      </c>
      <c r="AJ19">
        <f>IF($A19="","",H19+'Beállítások'!$E$12/1000)</f>
        <v/>
      </c>
      <c r="AK19">
        <f>IF($A19="","",I19+'Beállítások'!$E$13/1000)</f>
        <v/>
      </c>
      <c r="AL19">
        <f>IF($A19="","",J19+'Beállítások'!$E$14/1000)</f>
        <v/>
      </c>
      <c r="AM19">
        <f>IF($A19="","",K19+'Beállítások'!$E$15/1000)</f>
        <v/>
      </c>
      <c r="AN19">
        <f>IF($A19="","",L19+'Beállítások'!$E$16/1000)</f>
        <v/>
      </c>
      <c r="AO19">
        <f>IF($A19="","",'Beállítások'!$E$6*(5-B19))</f>
        <v/>
      </c>
      <c r="AP19">
        <f>IF($A19="","",'Beállítások'!$E$7*(5-C19))</f>
        <v/>
      </c>
      <c r="AQ19">
        <f>IF($A19="","",'Beállítások'!$E$8*(5-D19))</f>
        <v/>
      </c>
      <c r="AR19">
        <f>IF($A19="","",'Beállítások'!$E$9*(5-E19))</f>
        <v/>
      </c>
      <c r="AS19">
        <f>IF($A19="","",'Beállítások'!$E$10*(5-F19))</f>
        <v/>
      </c>
      <c r="AT19">
        <f>IF($A19="","",'Beállítások'!$E$11*(5-G19))</f>
        <v/>
      </c>
      <c r="AU19">
        <f>IF($A19="","",'Beállítások'!$E$12*(5-H19))</f>
        <v/>
      </c>
      <c r="AV19">
        <f>IF($A19="","",'Beállítások'!$E$13*(5-I19))</f>
        <v/>
      </c>
      <c r="AW19">
        <f>IF($A19="","",'Beállítások'!$E$14*(5-J19))</f>
        <v/>
      </c>
      <c r="AX19">
        <f>IF($A19="","",'Beállítások'!$E$15*(5-K19))</f>
        <v/>
      </c>
      <c r="AY19">
        <f>IF($A19="","",'Beállítások'!$E$16*(5-L19))</f>
        <v/>
      </c>
      <c r="AZ19">
        <f>IF($A19="","",M19-ROW()/100000)</f>
        <v/>
      </c>
    </row>
    <row r="20">
      <c r="A20">
        <f>IF('Ügyfelek'!A20="","",'Ügyfelek'!A20)</f>
        <v/>
      </c>
      <c r="B20">
        <f>IF($A20="","",IF('Ügyfelek'!B20="",'Beállítások'!$B$45,IFERROR(VLOOKUP(TRIM('Ügyfelek'!B20),'Beállítások'!$A$22:$B$41,2,FALSE),'Beállítások'!$B$45)))</f>
        <v/>
      </c>
      <c r="C20">
        <f>IF($A20="","",IF('Ügyfelek'!C20="",'Beállítások'!$B$45,VLOOKUP(MAX('Ügyfelek'!C20,'Beállítások'!$H$7),'Beállítások'!$H$7:$I$11,2,TRUE)))</f>
        <v/>
      </c>
      <c r="D20">
        <f>IF($A20="","",IF('Ügyfelek'!D20="",'Beállítások'!$B$45,VLOOKUP(MAX('Ügyfelek'!D20,'Beállítások'!$K$7),'Beállítások'!$K$7:$L$11,2,TRUE)))</f>
        <v/>
      </c>
      <c r="E20">
        <f>IF($A20="","",IF('Ügyfelek'!L20="",'Beállítások'!$B$45,MIN(5,MAX(1,ROUND('Ügyfelek'!L20,0)))))</f>
        <v/>
      </c>
      <c r="F20">
        <f>IF($A20="","",IF('Ügyfelek'!I20="",'Beállítások'!$B$45,VLOOKUP(MAX('Ügyfelek'!I20,'Beállítások'!$N$7),'Beállítások'!$N$7:$O$11,2,TRUE)))</f>
        <v/>
      </c>
      <c r="G20">
        <f>IF($A20="","",IF('Ügyfelek'!N20="",'Beállítások'!$B$45,MIN(5,MAX(1,ROUND('Ügyfelek'!N20,0)))))</f>
        <v/>
      </c>
      <c r="H20">
        <f>IF($A20="","",IF('Ügyfelek'!J20="",'Beállítások'!$B$45,VLOOKUP(MAX('Ügyfelek'!J20,'Beállítások'!$Q$7),'Beállítások'!$Q$7:$R$11,2,TRUE)))</f>
        <v/>
      </c>
      <c r="I20">
        <f>IF($A20="","",IF('Ügyfelek'!K20="",'Beállítások'!$B$45,VLOOKUP(MAX('Ügyfelek'!K20,'Beállítások'!$T$7),'Beállítások'!$T$7:$U$11,2,TRUE)))</f>
        <v/>
      </c>
      <c r="J20">
        <f>IF($A20="","",IF('Ügyfelek'!M20="",'Beállítások'!$B$45,MIN(5,MAX(1,ROUND('Ügyfelek'!M20,0)))))</f>
        <v/>
      </c>
      <c r="K20">
        <f>IF($A20="","",IF('Ügyfelek'!P20="",'Beállítások'!$B$45,MIN(5,MAX(1,ROUND('Ügyfelek'!P20,0)))))</f>
        <v/>
      </c>
      <c r="L20">
        <f>IF($A20="","",IF('Ügyfelek'!O20="",'Beállítások'!$B$45,MIN(5,MAX(1,ROUND('Ügyfelek'!O20,0)))))</f>
        <v/>
      </c>
      <c r="M20" s="13">
        <f>IF($A20="","",ROUND('Beállítások'!$E$6*(B20-1)/4+'Beállítások'!$E$7*(C20-1)/4+'Beállítások'!$E$8*(D20-1)/4+'Beállítások'!$E$9*(E20-1)/4+'Beállítások'!$E$10*(F20-1)/4+'Beállítások'!$E$11*(G20-1)/4+'Beállítások'!$E$12*(H20-1)/4+'Beállítások'!$E$13*(I20-1)/4+'Beállítások'!$E$14*(J20-1)/4+'Beállítások'!$E$15*(K20-1)/4+'Beállítások'!$E$16*(L20-1)/4,1))</f>
        <v/>
      </c>
      <c r="N20" s="14">
        <f>IF($A20="","",RANK(M20,$M$2:$M$201))</f>
        <v/>
      </c>
      <c r="O20">
        <f>IF($A20="","",VLOOKUP(M20,'Beállítások'!$A$57:$E$60,2,TRUE))</f>
        <v/>
      </c>
      <c r="P20">
        <f>IF($A20="","",VLOOKUP(M20,'Beállítások'!$A$57:$E$60,3,TRUE))</f>
        <v/>
      </c>
      <c r="Q20">
        <f>IF($A20="","",INDEX('Beállítások'!$B$6:$B$16,MATCH(MAX(AD20:AN20),AD20:AN20,0)))</f>
        <v/>
      </c>
      <c r="R20">
        <f>IF($A20="","",IF(MAX(AO20:AY20)=0,"—",INDEX('Beállítások'!$B$6:$B$16,MATCH(MAX(AO20:AY20),AO20:AY20,0))))</f>
        <v/>
      </c>
      <c r="S20" s="5">
        <f>IF($A20="","",'Beállítások'!$B$47*(TRIM('Ügyfelek'!E20)="igen")+'Beállítások'!$B$48*(TRIM('Ügyfelek'!F20)="igen")+'Beállítások'!$B$49*N('Ügyfelek'!G20)+'Beállítások'!$B$46*N('Ügyfelek'!H20))</f>
        <v/>
      </c>
      <c r="T20" s="15">
        <f>IF($A20="","",VLOOKUP(M20,'Beállítások'!$A$57:$E$60,4,TRUE))</f>
        <v/>
      </c>
      <c r="U20" s="5">
        <f>IF($A20="","",N('Ügyfelek'!D20)*'Beállítások'!$B$51)</f>
        <v/>
      </c>
      <c r="V20" s="5">
        <f>IF($A20="","",CEILING(ROUND(MAX('Beállítások'!$B$50,S20*T20,U20),2),'Beállítások'!$B$52))</f>
        <v/>
      </c>
      <c r="W20">
        <f>IF($A20="","",IF(MAX('Beállítások'!$B$50,S20*T20,U20)=S20*T20,"Munkaigény × szintszorzó",IF(MAX('Beállítások'!$B$50,S20*T20,U20)=U20,"Hirdetési keret arányában","Minimumdíj")))</f>
        <v/>
      </c>
      <c r="X20" s="5">
        <f>IF(OR($A20="",'Ügyfelek'!Q20=""),"",'Ügyfelek'!Q20)</f>
        <v/>
      </c>
      <c r="Y20" s="5">
        <f>IF(X20="","",V20-X20)</f>
        <v/>
      </c>
      <c r="Z20" s="16">
        <f>IF(OR(X20="",X20=0),"",Y20/X20)</f>
        <v/>
      </c>
      <c r="AA20" s="5">
        <f>IF(OR($A20="",'Ügyfelek'!R20=""),"",'Ügyfelek'!R20*VLOOKUP(M20,'Beállítások'!$A$57:$E$60,5,TRUE))</f>
        <v/>
      </c>
      <c r="AB20" s="14">
        <f>IF($A20="","",('Ügyfelek'!B20="")+('Ügyfelek'!C20="")+('Ügyfelek'!D20="")+('Ügyfelek'!L20="")+('Ügyfelek'!I20="")+('Ügyfelek'!N20="")+('Ügyfelek'!J20="")+('Ügyfelek'!K20="")+('Ügyfelek'!M20="")+('Ügyfelek'!P20="")+('Ügyfelek'!O20=""))</f>
        <v/>
      </c>
      <c r="AD20">
        <f>IF($A20="","",B20+'Beállítások'!$E$6/1000)</f>
        <v/>
      </c>
      <c r="AE20">
        <f>IF($A20="","",C20+'Beállítások'!$E$7/1000)</f>
        <v/>
      </c>
      <c r="AF20">
        <f>IF($A20="","",D20+'Beállítások'!$E$8/1000)</f>
        <v/>
      </c>
      <c r="AG20">
        <f>IF($A20="","",E20+'Beállítások'!$E$9/1000)</f>
        <v/>
      </c>
      <c r="AH20">
        <f>IF($A20="","",F20+'Beállítások'!$E$10/1000)</f>
        <v/>
      </c>
      <c r="AI20">
        <f>IF($A20="","",G20+'Beállítások'!$E$11/1000)</f>
        <v/>
      </c>
      <c r="AJ20">
        <f>IF($A20="","",H20+'Beállítások'!$E$12/1000)</f>
        <v/>
      </c>
      <c r="AK20">
        <f>IF($A20="","",I20+'Beállítások'!$E$13/1000)</f>
        <v/>
      </c>
      <c r="AL20">
        <f>IF($A20="","",J20+'Beállítások'!$E$14/1000)</f>
        <v/>
      </c>
      <c r="AM20">
        <f>IF($A20="","",K20+'Beállítások'!$E$15/1000)</f>
        <v/>
      </c>
      <c r="AN20">
        <f>IF($A20="","",L20+'Beállítások'!$E$16/1000)</f>
        <v/>
      </c>
      <c r="AO20">
        <f>IF($A20="","",'Beállítások'!$E$6*(5-B20))</f>
        <v/>
      </c>
      <c r="AP20">
        <f>IF($A20="","",'Beállítások'!$E$7*(5-C20))</f>
        <v/>
      </c>
      <c r="AQ20">
        <f>IF($A20="","",'Beállítások'!$E$8*(5-D20))</f>
        <v/>
      </c>
      <c r="AR20">
        <f>IF($A20="","",'Beállítások'!$E$9*(5-E20))</f>
        <v/>
      </c>
      <c r="AS20">
        <f>IF($A20="","",'Beállítások'!$E$10*(5-F20))</f>
        <v/>
      </c>
      <c r="AT20">
        <f>IF($A20="","",'Beállítások'!$E$11*(5-G20))</f>
        <v/>
      </c>
      <c r="AU20">
        <f>IF($A20="","",'Beállítások'!$E$12*(5-H20))</f>
        <v/>
      </c>
      <c r="AV20">
        <f>IF($A20="","",'Beállítások'!$E$13*(5-I20))</f>
        <v/>
      </c>
      <c r="AW20">
        <f>IF($A20="","",'Beállítások'!$E$14*(5-J20))</f>
        <v/>
      </c>
      <c r="AX20">
        <f>IF($A20="","",'Beállítások'!$E$15*(5-K20))</f>
        <v/>
      </c>
      <c r="AY20">
        <f>IF($A20="","",'Beállítások'!$E$16*(5-L20))</f>
        <v/>
      </c>
      <c r="AZ20">
        <f>IF($A20="","",M20-ROW()/100000)</f>
        <v/>
      </c>
    </row>
    <row r="21">
      <c r="A21">
        <f>IF('Ügyfelek'!A21="","",'Ügyfelek'!A21)</f>
        <v/>
      </c>
      <c r="B21">
        <f>IF($A21="","",IF('Ügyfelek'!B21="",'Beállítások'!$B$45,IFERROR(VLOOKUP(TRIM('Ügyfelek'!B21),'Beállítások'!$A$22:$B$41,2,FALSE),'Beállítások'!$B$45)))</f>
        <v/>
      </c>
      <c r="C21">
        <f>IF($A21="","",IF('Ügyfelek'!C21="",'Beállítások'!$B$45,VLOOKUP(MAX('Ügyfelek'!C21,'Beállítások'!$H$7),'Beállítások'!$H$7:$I$11,2,TRUE)))</f>
        <v/>
      </c>
      <c r="D21">
        <f>IF($A21="","",IF('Ügyfelek'!D21="",'Beállítások'!$B$45,VLOOKUP(MAX('Ügyfelek'!D21,'Beállítások'!$K$7),'Beállítások'!$K$7:$L$11,2,TRUE)))</f>
        <v/>
      </c>
      <c r="E21">
        <f>IF($A21="","",IF('Ügyfelek'!L21="",'Beállítások'!$B$45,MIN(5,MAX(1,ROUND('Ügyfelek'!L21,0)))))</f>
        <v/>
      </c>
      <c r="F21">
        <f>IF($A21="","",IF('Ügyfelek'!I21="",'Beállítások'!$B$45,VLOOKUP(MAX('Ügyfelek'!I21,'Beállítások'!$N$7),'Beállítások'!$N$7:$O$11,2,TRUE)))</f>
        <v/>
      </c>
      <c r="G21">
        <f>IF($A21="","",IF('Ügyfelek'!N21="",'Beállítások'!$B$45,MIN(5,MAX(1,ROUND('Ügyfelek'!N21,0)))))</f>
        <v/>
      </c>
      <c r="H21">
        <f>IF($A21="","",IF('Ügyfelek'!J21="",'Beállítások'!$B$45,VLOOKUP(MAX('Ügyfelek'!J21,'Beállítások'!$Q$7),'Beállítások'!$Q$7:$R$11,2,TRUE)))</f>
        <v/>
      </c>
      <c r="I21">
        <f>IF($A21="","",IF('Ügyfelek'!K21="",'Beállítások'!$B$45,VLOOKUP(MAX('Ügyfelek'!K21,'Beállítások'!$T$7),'Beállítások'!$T$7:$U$11,2,TRUE)))</f>
        <v/>
      </c>
      <c r="J21">
        <f>IF($A21="","",IF('Ügyfelek'!M21="",'Beállítások'!$B$45,MIN(5,MAX(1,ROUND('Ügyfelek'!M21,0)))))</f>
        <v/>
      </c>
      <c r="K21">
        <f>IF($A21="","",IF('Ügyfelek'!P21="",'Beállítások'!$B$45,MIN(5,MAX(1,ROUND('Ügyfelek'!P21,0)))))</f>
        <v/>
      </c>
      <c r="L21">
        <f>IF($A21="","",IF('Ügyfelek'!O21="",'Beállítások'!$B$45,MIN(5,MAX(1,ROUND('Ügyfelek'!O21,0)))))</f>
        <v/>
      </c>
      <c r="M21" s="13">
        <f>IF($A21="","",ROUND('Beállítások'!$E$6*(B21-1)/4+'Beállítások'!$E$7*(C21-1)/4+'Beállítások'!$E$8*(D21-1)/4+'Beállítások'!$E$9*(E21-1)/4+'Beállítások'!$E$10*(F21-1)/4+'Beállítások'!$E$11*(G21-1)/4+'Beállítások'!$E$12*(H21-1)/4+'Beállítások'!$E$13*(I21-1)/4+'Beállítások'!$E$14*(J21-1)/4+'Beállítások'!$E$15*(K21-1)/4+'Beállítások'!$E$16*(L21-1)/4,1))</f>
        <v/>
      </c>
      <c r="N21" s="14">
        <f>IF($A21="","",RANK(M21,$M$2:$M$201))</f>
        <v/>
      </c>
      <c r="O21">
        <f>IF($A21="","",VLOOKUP(M21,'Beállítások'!$A$57:$E$60,2,TRUE))</f>
        <v/>
      </c>
      <c r="P21">
        <f>IF($A21="","",VLOOKUP(M21,'Beállítások'!$A$57:$E$60,3,TRUE))</f>
        <v/>
      </c>
      <c r="Q21">
        <f>IF($A21="","",INDEX('Beállítások'!$B$6:$B$16,MATCH(MAX(AD21:AN21),AD21:AN21,0)))</f>
        <v/>
      </c>
      <c r="R21">
        <f>IF($A21="","",IF(MAX(AO21:AY21)=0,"—",INDEX('Beállítások'!$B$6:$B$16,MATCH(MAX(AO21:AY21),AO21:AY21,0))))</f>
        <v/>
      </c>
      <c r="S21" s="5">
        <f>IF($A21="","",'Beállítások'!$B$47*(TRIM('Ügyfelek'!E21)="igen")+'Beállítások'!$B$48*(TRIM('Ügyfelek'!F21)="igen")+'Beállítások'!$B$49*N('Ügyfelek'!G21)+'Beállítások'!$B$46*N('Ügyfelek'!H21))</f>
        <v/>
      </c>
      <c r="T21" s="15">
        <f>IF($A21="","",VLOOKUP(M21,'Beállítások'!$A$57:$E$60,4,TRUE))</f>
        <v/>
      </c>
      <c r="U21" s="5">
        <f>IF($A21="","",N('Ügyfelek'!D21)*'Beállítások'!$B$51)</f>
        <v/>
      </c>
      <c r="V21" s="5">
        <f>IF($A21="","",CEILING(ROUND(MAX('Beállítások'!$B$50,S21*T21,U21),2),'Beállítások'!$B$52))</f>
        <v/>
      </c>
      <c r="W21">
        <f>IF($A21="","",IF(MAX('Beállítások'!$B$50,S21*T21,U21)=S21*T21,"Munkaigény × szintszorzó",IF(MAX('Beállítások'!$B$50,S21*T21,U21)=U21,"Hirdetési keret arányában","Minimumdíj")))</f>
        <v/>
      </c>
      <c r="X21" s="5">
        <f>IF(OR($A21="",'Ügyfelek'!Q21=""),"",'Ügyfelek'!Q21)</f>
        <v/>
      </c>
      <c r="Y21" s="5">
        <f>IF(X21="","",V21-X21)</f>
        <v/>
      </c>
      <c r="Z21" s="16">
        <f>IF(OR(X21="",X21=0),"",Y21/X21)</f>
        <v/>
      </c>
      <c r="AA21" s="5">
        <f>IF(OR($A21="",'Ügyfelek'!R21=""),"",'Ügyfelek'!R21*VLOOKUP(M21,'Beállítások'!$A$57:$E$60,5,TRUE))</f>
        <v/>
      </c>
      <c r="AB21" s="14">
        <f>IF($A21="","",('Ügyfelek'!B21="")+('Ügyfelek'!C21="")+('Ügyfelek'!D21="")+('Ügyfelek'!L21="")+('Ügyfelek'!I21="")+('Ügyfelek'!N21="")+('Ügyfelek'!J21="")+('Ügyfelek'!K21="")+('Ügyfelek'!M21="")+('Ügyfelek'!P21="")+('Ügyfelek'!O21=""))</f>
        <v/>
      </c>
      <c r="AD21">
        <f>IF($A21="","",B21+'Beállítások'!$E$6/1000)</f>
        <v/>
      </c>
      <c r="AE21">
        <f>IF($A21="","",C21+'Beállítások'!$E$7/1000)</f>
        <v/>
      </c>
      <c r="AF21">
        <f>IF($A21="","",D21+'Beállítások'!$E$8/1000)</f>
        <v/>
      </c>
      <c r="AG21">
        <f>IF($A21="","",E21+'Beállítások'!$E$9/1000)</f>
        <v/>
      </c>
      <c r="AH21">
        <f>IF($A21="","",F21+'Beállítások'!$E$10/1000)</f>
        <v/>
      </c>
      <c r="AI21">
        <f>IF($A21="","",G21+'Beállítások'!$E$11/1000)</f>
        <v/>
      </c>
      <c r="AJ21">
        <f>IF($A21="","",H21+'Beállítások'!$E$12/1000)</f>
        <v/>
      </c>
      <c r="AK21">
        <f>IF($A21="","",I21+'Beállítások'!$E$13/1000)</f>
        <v/>
      </c>
      <c r="AL21">
        <f>IF($A21="","",J21+'Beállítások'!$E$14/1000)</f>
        <v/>
      </c>
      <c r="AM21">
        <f>IF($A21="","",K21+'Beállítások'!$E$15/1000)</f>
        <v/>
      </c>
      <c r="AN21">
        <f>IF($A21="","",L21+'Beállítások'!$E$16/1000)</f>
        <v/>
      </c>
      <c r="AO21">
        <f>IF($A21="","",'Beállítások'!$E$6*(5-B21))</f>
        <v/>
      </c>
      <c r="AP21">
        <f>IF($A21="","",'Beállítások'!$E$7*(5-C21))</f>
        <v/>
      </c>
      <c r="AQ21">
        <f>IF($A21="","",'Beállítások'!$E$8*(5-D21))</f>
        <v/>
      </c>
      <c r="AR21">
        <f>IF($A21="","",'Beállítások'!$E$9*(5-E21))</f>
        <v/>
      </c>
      <c r="AS21">
        <f>IF($A21="","",'Beállítások'!$E$10*(5-F21))</f>
        <v/>
      </c>
      <c r="AT21">
        <f>IF($A21="","",'Beállítások'!$E$11*(5-G21))</f>
        <v/>
      </c>
      <c r="AU21">
        <f>IF($A21="","",'Beállítások'!$E$12*(5-H21))</f>
        <v/>
      </c>
      <c r="AV21">
        <f>IF($A21="","",'Beállítások'!$E$13*(5-I21))</f>
        <v/>
      </c>
      <c r="AW21">
        <f>IF($A21="","",'Beállítások'!$E$14*(5-J21))</f>
        <v/>
      </c>
      <c r="AX21">
        <f>IF($A21="","",'Beállítások'!$E$15*(5-K21))</f>
        <v/>
      </c>
      <c r="AY21">
        <f>IF($A21="","",'Beállítások'!$E$16*(5-L21))</f>
        <v/>
      </c>
      <c r="AZ21">
        <f>IF($A21="","",M21-ROW()/100000)</f>
        <v/>
      </c>
    </row>
    <row r="22">
      <c r="A22">
        <f>IF('Ügyfelek'!A22="","",'Ügyfelek'!A22)</f>
        <v/>
      </c>
      <c r="B22">
        <f>IF($A22="","",IF('Ügyfelek'!B22="",'Beállítások'!$B$45,IFERROR(VLOOKUP(TRIM('Ügyfelek'!B22),'Beállítások'!$A$22:$B$41,2,FALSE),'Beállítások'!$B$45)))</f>
        <v/>
      </c>
      <c r="C22">
        <f>IF($A22="","",IF('Ügyfelek'!C22="",'Beállítások'!$B$45,VLOOKUP(MAX('Ügyfelek'!C22,'Beállítások'!$H$7),'Beállítások'!$H$7:$I$11,2,TRUE)))</f>
        <v/>
      </c>
      <c r="D22">
        <f>IF($A22="","",IF('Ügyfelek'!D22="",'Beállítások'!$B$45,VLOOKUP(MAX('Ügyfelek'!D22,'Beállítások'!$K$7),'Beállítások'!$K$7:$L$11,2,TRUE)))</f>
        <v/>
      </c>
      <c r="E22">
        <f>IF($A22="","",IF('Ügyfelek'!L22="",'Beállítások'!$B$45,MIN(5,MAX(1,ROUND('Ügyfelek'!L22,0)))))</f>
        <v/>
      </c>
      <c r="F22">
        <f>IF($A22="","",IF('Ügyfelek'!I22="",'Beállítások'!$B$45,VLOOKUP(MAX('Ügyfelek'!I22,'Beállítások'!$N$7),'Beállítások'!$N$7:$O$11,2,TRUE)))</f>
        <v/>
      </c>
      <c r="G22">
        <f>IF($A22="","",IF('Ügyfelek'!N22="",'Beállítások'!$B$45,MIN(5,MAX(1,ROUND('Ügyfelek'!N22,0)))))</f>
        <v/>
      </c>
      <c r="H22">
        <f>IF($A22="","",IF('Ügyfelek'!J22="",'Beállítások'!$B$45,VLOOKUP(MAX('Ügyfelek'!J22,'Beállítások'!$Q$7),'Beállítások'!$Q$7:$R$11,2,TRUE)))</f>
        <v/>
      </c>
      <c r="I22">
        <f>IF($A22="","",IF('Ügyfelek'!K22="",'Beállítások'!$B$45,VLOOKUP(MAX('Ügyfelek'!K22,'Beállítások'!$T$7),'Beállítások'!$T$7:$U$11,2,TRUE)))</f>
        <v/>
      </c>
      <c r="J22">
        <f>IF($A22="","",IF('Ügyfelek'!M22="",'Beállítások'!$B$45,MIN(5,MAX(1,ROUND('Ügyfelek'!M22,0)))))</f>
        <v/>
      </c>
      <c r="K22">
        <f>IF($A22="","",IF('Ügyfelek'!P22="",'Beállítások'!$B$45,MIN(5,MAX(1,ROUND('Ügyfelek'!P22,0)))))</f>
        <v/>
      </c>
      <c r="L22">
        <f>IF($A22="","",IF('Ügyfelek'!O22="",'Beállítások'!$B$45,MIN(5,MAX(1,ROUND('Ügyfelek'!O22,0)))))</f>
        <v/>
      </c>
      <c r="M22" s="13">
        <f>IF($A22="","",ROUND('Beállítások'!$E$6*(B22-1)/4+'Beállítások'!$E$7*(C22-1)/4+'Beállítások'!$E$8*(D22-1)/4+'Beállítások'!$E$9*(E22-1)/4+'Beállítások'!$E$10*(F22-1)/4+'Beállítások'!$E$11*(G22-1)/4+'Beállítások'!$E$12*(H22-1)/4+'Beállítások'!$E$13*(I22-1)/4+'Beállítások'!$E$14*(J22-1)/4+'Beállítások'!$E$15*(K22-1)/4+'Beállítások'!$E$16*(L22-1)/4,1))</f>
        <v/>
      </c>
      <c r="N22" s="14">
        <f>IF($A22="","",RANK(M22,$M$2:$M$201))</f>
        <v/>
      </c>
      <c r="O22">
        <f>IF($A22="","",VLOOKUP(M22,'Beállítások'!$A$57:$E$60,2,TRUE))</f>
        <v/>
      </c>
      <c r="P22">
        <f>IF($A22="","",VLOOKUP(M22,'Beállítások'!$A$57:$E$60,3,TRUE))</f>
        <v/>
      </c>
      <c r="Q22">
        <f>IF($A22="","",INDEX('Beállítások'!$B$6:$B$16,MATCH(MAX(AD22:AN22),AD22:AN22,0)))</f>
        <v/>
      </c>
      <c r="R22">
        <f>IF($A22="","",IF(MAX(AO22:AY22)=0,"—",INDEX('Beállítások'!$B$6:$B$16,MATCH(MAX(AO22:AY22),AO22:AY22,0))))</f>
        <v/>
      </c>
      <c r="S22" s="5">
        <f>IF($A22="","",'Beállítások'!$B$47*(TRIM('Ügyfelek'!E22)="igen")+'Beállítások'!$B$48*(TRIM('Ügyfelek'!F22)="igen")+'Beállítások'!$B$49*N('Ügyfelek'!G22)+'Beállítások'!$B$46*N('Ügyfelek'!H22))</f>
        <v/>
      </c>
      <c r="T22" s="15">
        <f>IF($A22="","",VLOOKUP(M22,'Beállítások'!$A$57:$E$60,4,TRUE))</f>
        <v/>
      </c>
      <c r="U22" s="5">
        <f>IF($A22="","",N('Ügyfelek'!D22)*'Beállítások'!$B$51)</f>
        <v/>
      </c>
      <c r="V22" s="5">
        <f>IF($A22="","",CEILING(ROUND(MAX('Beállítások'!$B$50,S22*T22,U22),2),'Beállítások'!$B$52))</f>
        <v/>
      </c>
      <c r="W22">
        <f>IF($A22="","",IF(MAX('Beállítások'!$B$50,S22*T22,U22)=S22*T22,"Munkaigény × szintszorzó",IF(MAX('Beállítások'!$B$50,S22*T22,U22)=U22,"Hirdetési keret arányában","Minimumdíj")))</f>
        <v/>
      </c>
      <c r="X22" s="5">
        <f>IF(OR($A22="",'Ügyfelek'!Q22=""),"",'Ügyfelek'!Q22)</f>
        <v/>
      </c>
      <c r="Y22" s="5">
        <f>IF(X22="","",V22-X22)</f>
        <v/>
      </c>
      <c r="Z22" s="16">
        <f>IF(OR(X22="",X22=0),"",Y22/X22)</f>
        <v/>
      </c>
      <c r="AA22" s="5">
        <f>IF(OR($A22="",'Ügyfelek'!R22=""),"",'Ügyfelek'!R22*VLOOKUP(M22,'Beállítások'!$A$57:$E$60,5,TRUE))</f>
        <v/>
      </c>
      <c r="AB22" s="14">
        <f>IF($A22="","",('Ügyfelek'!B22="")+('Ügyfelek'!C22="")+('Ügyfelek'!D22="")+('Ügyfelek'!L22="")+('Ügyfelek'!I22="")+('Ügyfelek'!N22="")+('Ügyfelek'!J22="")+('Ügyfelek'!K22="")+('Ügyfelek'!M22="")+('Ügyfelek'!P22="")+('Ügyfelek'!O22=""))</f>
        <v/>
      </c>
      <c r="AD22">
        <f>IF($A22="","",B22+'Beállítások'!$E$6/1000)</f>
        <v/>
      </c>
      <c r="AE22">
        <f>IF($A22="","",C22+'Beállítások'!$E$7/1000)</f>
        <v/>
      </c>
      <c r="AF22">
        <f>IF($A22="","",D22+'Beállítások'!$E$8/1000)</f>
        <v/>
      </c>
      <c r="AG22">
        <f>IF($A22="","",E22+'Beállítások'!$E$9/1000)</f>
        <v/>
      </c>
      <c r="AH22">
        <f>IF($A22="","",F22+'Beállítások'!$E$10/1000)</f>
        <v/>
      </c>
      <c r="AI22">
        <f>IF($A22="","",G22+'Beállítások'!$E$11/1000)</f>
        <v/>
      </c>
      <c r="AJ22">
        <f>IF($A22="","",H22+'Beállítások'!$E$12/1000)</f>
        <v/>
      </c>
      <c r="AK22">
        <f>IF($A22="","",I22+'Beállítások'!$E$13/1000)</f>
        <v/>
      </c>
      <c r="AL22">
        <f>IF($A22="","",J22+'Beállítások'!$E$14/1000)</f>
        <v/>
      </c>
      <c r="AM22">
        <f>IF($A22="","",K22+'Beállítások'!$E$15/1000)</f>
        <v/>
      </c>
      <c r="AN22">
        <f>IF($A22="","",L22+'Beállítások'!$E$16/1000)</f>
        <v/>
      </c>
      <c r="AO22">
        <f>IF($A22="","",'Beállítások'!$E$6*(5-B22))</f>
        <v/>
      </c>
      <c r="AP22">
        <f>IF($A22="","",'Beállítások'!$E$7*(5-C22))</f>
        <v/>
      </c>
      <c r="AQ22">
        <f>IF($A22="","",'Beállítások'!$E$8*(5-D22))</f>
        <v/>
      </c>
      <c r="AR22">
        <f>IF($A22="","",'Beállítások'!$E$9*(5-E22))</f>
        <v/>
      </c>
      <c r="AS22">
        <f>IF($A22="","",'Beállítások'!$E$10*(5-F22))</f>
        <v/>
      </c>
      <c r="AT22">
        <f>IF($A22="","",'Beállítások'!$E$11*(5-G22))</f>
        <v/>
      </c>
      <c r="AU22">
        <f>IF($A22="","",'Beállítások'!$E$12*(5-H22))</f>
        <v/>
      </c>
      <c r="AV22">
        <f>IF($A22="","",'Beállítások'!$E$13*(5-I22))</f>
        <v/>
      </c>
      <c r="AW22">
        <f>IF($A22="","",'Beállítások'!$E$14*(5-J22))</f>
        <v/>
      </c>
      <c r="AX22">
        <f>IF($A22="","",'Beállítások'!$E$15*(5-K22))</f>
        <v/>
      </c>
      <c r="AY22">
        <f>IF($A22="","",'Beállítások'!$E$16*(5-L22))</f>
        <v/>
      </c>
      <c r="AZ22">
        <f>IF($A22="","",M22-ROW()/100000)</f>
        <v/>
      </c>
    </row>
    <row r="23">
      <c r="A23">
        <f>IF('Ügyfelek'!A23="","",'Ügyfelek'!A23)</f>
        <v/>
      </c>
      <c r="B23">
        <f>IF($A23="","",IF('Ügyfelek'!B23="",'Beállítások'!$B$45,IFERROR(VLOOKUP(TRIM('Ügyfelek'!B23),'Beállítások'!$A$22:$B$41,2,FALSE),'Beállítások'!$B$45)))</f>
        <v/>
      </c>
      <c r="C23">
        <f>IF($A23="","",IF('Ügyfelek'!C23="",'Beállítások'!$B$45,VLOOKUP(MAX('Ügyfelek'!C23,'Beállítások'!$H$7),'Beállítások'!$H$7:$I$11,2,TRUE)))</f>
        <v/>
      </c>
      <c r="D23">
        <f>IF($A23="","",IF('Ügyfelek'!D23="",'Beállítások'!$B$45,VLOOKUP(MAX('Ügyfelek'!D23,'Beállítások'!$K$7),'Beállítások'!$K$7:$L$11,2,TRUE)))</f>
        <v/>
      </c>
      <c r="E23">
        <f>IF($A23="","",IF('Ügyfelek'!L23="",'Beállítások'!$B$45,MIN(5,MAX(1,ROUND('Ügyfelek'!L23,0)))))</f>
        <v/>
      </c>
      <c r="F23">
        <f>IF($A23="","",IF('Ügyfelek'!I23="",'Beállítások'!$B$45,VLOOKUP(MAX('Ügyfelek'!I23,'Beállítások'!$N$7),'Beállítások'!$N$7:$O$11,2,TRUE)))</f>
        <v/>
      </c>
      <c r="G23">
        <f>IF($A23="","",IF('Ügyfelek'!N23="",'Beállítások'!$B$45,MIN(5,MAX(1,ROUND('Ügyfelek'!N23,0)))))</f>
        <v/>
      </c>
      <c r="H23">
        <f>IF($A23="","",IF('Ügyfelek'!J23="",'Beállítások'!$B$45,VLOOKUP(MAX('Ügyfelek'!J23,'Beállítások'!$Q$7),'Beállítások'!$Q$7:$R$11,2,TRUE)))</f>
        <v/>
      </c>
      <c r="I23">
        <f>IF($A23="","",IF('Ügyfelek'!K23="",'Beállítások'!$B$45,VLOOKUP(MAX('Ügyfelek'!K23,'Beállítások'!$T$7),'Beállítások'!$T$7:$U$11,2,TRUE)))</f>
        <v/>
      </c>
      <c r="J23">
        <f>IF($A23="","",IF('Ügyfelek'!M23="",'Beállítások'!$B$45,MIN(5,MAX(1,ROUND('Ügyfelek'!M23,0)))))</f>
        <v/>
      </c>
      <c r="K23">
        <f>IF($A23="","",IF('Ügyfelek'!P23="",'Beállítások'!$B$45,MIN(5,MAX(1,ROUND('Ügyfelek'!P23,0)))))</f>
        <v/>
      </c>
      <c r="L23">
        <f>IF($A23="","",IF('Ügyfelek'!O23="",'Beállítások'!$B$45,MIN(5,MAX(1,ROUND('Ügyfelek'!O23,0)))))</f>
        <v/>
      </c>
      <c r="M23" s="13">
        <f>IF($A23="","",ROUND('Beállítások'!$E$6*(B23-1)/4+'Beállítások'!$E$7*(C23-1)/4+'Beállítások'!$E$8*(D23-1)/4+'Beállítások'!$E$9*(E23-1)/4+'Beállítások'!$E$10*(F23-1)/4+'Beállítások'!$E$11*(G23-1)/4+'Beállítások'!$E$12*(H23-1)/4+'Beállítások'!$E$13*(I23-1)/4+'Beállítások'!$E$14*(J23-1)/4+'Beállítások'!$E$15*(K23-1)/4+'Beállítások'!$E$16*(L23-1)/4,1))</f>
        <v/>
      </c>
      <c r="N23" s="14">
        <f>IF($A23="","",RANK(M23,$M$2:$M$201))</f>
        <v/>
      </c>
      <c r="O23">
        <f>IF($A23="","",VLOOKUP(M23,'Beállítások'!$A$57:$E$60,2,TRUE))</f>
        <v/>
      </c>
      <c r="P23">
        <f>IF($A23="","",VLOOKUP(M23,'Beállítások'!$A$57:$E$60,3,TRUE))</f>
        <v/>
      </c>
      <c r="Q23">
        <f>IF($A23="","",INDEX('Beállítások'!$B$6:$B$16,MATCH(MAX(AD23:AN23),AD23:AN23,0)))</f>
        <v/>
      </c>
      <c r="R23">
        <f>IF($A23="","",IF(MAX(AO23:AY23)=0,"—",INDEX('Beállítások'!$B$6:$B$16,MATCH(MAX(AO23:AY23),AO23:AY23,0))))</f>
        <v/>
      </c>
      <c r="S23" s="5">
        <f>IF($A23="","",'Beállítások'!$B$47*(TRIM('Ügyfelek'!E23)="igen")+'Beállítások'!$B$48*(TRIM('Ügyfelek'!F23)="igen")+'Beállítások'!$B$49*N('Ügyfelek'!G23)+'Beállítások'!$B$46*N('Ügyfelek'!H23))</f>
        <v/>
      </c>
      <c r="T23" s="15">
        <f>IF($A23="","",VLOOKUP(M23,'Beállítások'!$A$57:$E$60,4,TRUE))</f>
        <v/>
      </c>
      <c r="U23" s="5">
        <f>IF($A23="","",N('Ügyfelek'!D23)*'Beállítások'!$B$51)</f>
        <v/>
      </c>
      <c r="V23" s="5">
        <f>IF($A23="","",CEILING(ROUND(MAX('Beállítások'!$B$50,S23*T23,U23),2),'Beállítások'!$B$52))</f>
        <v/>
      </c>
      <c r="W23">
        <f>IF($A23="","",IF(MAX('Beállítások'!$B$50,S23*T23,U23)=S23*T23,"Munkaigény × szintszorzó",IF(MAX('Beállítások'!$B$50,S23*T23,U23)=U23,"Hirdetési keret arányában","Minimumdíj")))</f>
        <v/>
      </c>
      <c r="X23" s="5">
        <f>IF(OR($A23="",'Ügyfelek'!Q23=""),"",'Ügyfelek'!Q23)</f>
        <v/>
      </c>
      <c r="Y23" s="5">
        <f>IF(X23="","",V23-X23)</f>
        <v/>
      </c>
      <c r="Z23" s="16">
        <f>IF(OR(X23="",X23=0),"",Y23/X23)</f>
        <v/>
      </c>
      <c r="AA23" s="5">
        <f>IF(OR($A23="",'Ügyfelek'!R23=""),"",'Ügyfelek'!R23*VLOOKUP(M23,'Beállítások'!$A$57:$E$60,5,TRUE))</f>
        <v/>
      </c>
      <c r="AB23" s="14">
        <f>IF($A23="","",('Ügyfelek'!B23="")+('Ügyfelek'!C23="")+('Ügyfelek'!D23="")+('Ügyfelek'!L23="")+('Ügyfelek'!I23="")+('Ügyfelek'!N23="")+('Ügyfelek'!J23="")+('Ügyfelek'!K23="")+('Ügyfelek'!M23="")+('Ügyfelek'!P23="")+('Ügyfelek'!O23=""))</f>
        <v/>
      </c>
      <c r="AD23">
        <f>IF($A23="","",B23+'Beállítások'!$E$6/1000)</f>
        <v/>
      </c>
      <c r="AE23">
        <f>IF($A23="","",C23+'Beállítások'!$E$7/1000)</f>
        <v/>
      </c>
      <c r="AF23">
        <f>IF($A23="","",D23+'Beállítások'!$E$8/1000)</f>
        <v/>
      </c>
      <c r="AG23">
        <f>IF($A23="","",E23+'Beállítások'!$E$9/1000)</f>
        <v/>
      </c>
      <c r="AH23">
        <f>IF($A23="","",F23+'Beállítások'!$E$10/1000)</f>
        <v/>
      </c>
      <c r="AI23">
        <f>IF($A23="","",G23+'Beállítások'!$E$11/1000)</f>
        <v/>
      </c>
      <c r="AJ23">
        <f>IF($A23="","",H23+'Beállítások'!$E$12/1000)</f>
        <v/>
      </c>
      <c r="AK23">
        <f>IF($A23="","",I23+'Beállítások'!$E$13/1000)</f>
        <v/>
      </c>
      <c r="AL23">
        <f>IF($A23="","",J23+'Beállítások'!$E$14/1000)</f>
        <v/>
      </c>
      <c r="AM23">
        <f>IF($A23="","",K23+'Beállítások'!$E$15/1000)</f>
        <v/>
      </c>
      <c r="AN23">
        <f>IF($A23="","",L23+'Beállítások'!$E$16/1000)</f>
        <v/>
      </c>
      <c r="AO23">
        <f>IF($A23="","",'Beállítások'!$E$6*(5-B23))</f>
        <v/>
      </c>
      <c r="AP23">
        <f>IF($A23="","",'Beállítások'!$E$7*(5-C23))</f>
        <v/>
      </c>
      <c r="AQ23">
        <f>IF($A23="","",'Beállítások'!$E$8*(5-D23))</f>
        <v/>
      </c>
      <c r="AR23">
        <f>IF($A23="","",'Beállítások'!$E$9*(5-E23))</f>
        <v/>
      </c>
      <c r="AS23">
        <f>IF($A23="","",'Beállítások'!$E$10*(5-F23))</f>
        <v/>
      </c>
      <c r="AT23">
        <f>IF($A23="","",'Beállítások'!$E$11*(5-G23))</f>
        <v/>
      </c>
      <c r="AU23">
        <f>IF($A23="","",'Beállítások'!$E$12*(5-H23))</f>
        <v/>
      </c>
      <c r="AV23">
        <f>IF($A23="","",'Beállítások'!$E$13*(5-I23))</f>
        <v/>
      </c>
      <c r="AW23">
        <f>IF($A23="","",'Beállítások'!$E$14*(5-J23))</f>
        <v/>
      </c>
      <c r="AX23">
        <f>IF($A23="","",'Beállítások'!$E$15*(5-K23))</f>
        <v/>
      </c>
      <c r="AY23">
        <f>IF($A23="","",'Beállítások'!$E$16*(5-L23))</f>
        <v/>
      </c>
      <c r="AZ23">
        <f>IF($A23="","",M23-ROW()/100000)</f>
        <v/>
      </c>
    </row>
    <row r="24">
      <c r="A24">
        <f>IF('Ügyfelek'!A24="","",'Ügyfelek'!A24)</f>
        <v/>
      </c>
      <c r="B24">
        <f>IF($A24="","",IF('Ügyfelek'!B24="",'Beállítások'!$B$45,IFERROR(VLOOKUP(TRIM('Ügyfelek'!B24),'Beállítások'!$A$22:$B$41,2,FALSE),'Beállítások'!$B$45)))</f>
        <v/>
      </c>
      <c r="C24">
        <f>IF($A24="","",IF('Ügyfelek'!C24="",'Beállítások'!$B$45,VLOOKUP(MAX('Ügyfelek'!C24,'Beállítások'!$H$7),'Beállítások'!$H$7:$I$11,2,TRUE)))</f>
        <v/>
      </c>
      <c r="D24">
        <f>IF($A24="","",IF('Ügyfelek'!D24="",'Beállítások'!$B$45,VLOOKUP(MAX('Ügyfelek'!D24,'Beállítások'!$K$7),'Beállítások'!$K$7:$L$11,2,TRUE)))</f>
        <v/>
      </c>
      <c r="E24">
        <f>IF($A24="","",IF('Ügyfelek'!L24="",'Beállítások'!$B$45,MIN(5,MAX(1,ROUND('Ügyfelek'!L24,0)))))</f>
        <v/>
      </c>
      <c r="F24">
        <f>IF($A24="","",IF('Ügyfelek'!I24="",'Beállítások'!$B$45,VLOOKUP(MAX('Ügyfelek'!I24,'Beállítások'!$N$7),'Beállítások'!$N$7:$O$11,2,TRUE)))</f>
        <v/>
      </c>
      <c r="G24">
        <f>IF($A24="","",IF('Ügyfelek'!N24="",'Beállítások'!$B$45,MIN(5,MAX(1,ROUND('Ügyfelek'!N24,0)))))</f>
        <v/>
      </c>
      <c r="H24">
        <f>IF($A24="","",IF('Ügyfelek'!J24="",'Beállítások'!$B$45,VLOOKUP(MAX('Ügyfelek'!J24,'Beállítások'!$Q$7),'Beállítások'!$Q$7:$R$11,2,TRUE)))</f>
        <v/>
      </c>
      <c r="I24">
        <f>IF($A24="","",IF('Ügyfelek'!K24="",'Beállítások'!$B$45,VLOOKUP(MAX('Ügyfelek'!K24,'Beállítások'!$T$7),'Beállítások'!$T$7:$U$11,2,TRUE)))</f>
        <v/>
      </c>
      <c r="J24">
        <f>IF($A24="","",IF('Ügyfelek'!M24="",'Beállítások'!$B$45,MIN(5,MAX(1,ROUND('Ügyfelek'!M24,0)))))</f>
        <v/>
      </c>
      <c r="K24">
        <f>IF($A24="","",IF('Ügyfelek'!P24="",'Beállítások'!$B$45,MIN(5,MAX(1,ROUND('Ügyfelek'!P24,0)))))</f>
        <v/>
      </c>
      <c r="L24">
        <f>IF($A24="","",IF('Ügyfelek'!O24="",'Beállítások'!$B$45,MIN(5,MAX(1,ROUND('Ügyfelek'!O24,0)))))</f>
        <v/>
      </c>
      <c r="M24" s="13">
        <f>IF($A24="","",ROUND('Beállítások'!$E$6*(B24-1)/4+'Beállítások'!$E$7*(C24-1)/4+'Beállítások'!$E$8*(D24-1)/4+'Beállítások'!$E$9*(E24-1)/4+'Beállítások'!$E$10*(F24-1)/4+'Beállítások'!$E$11*(G24-1)/4+'Beállítások'!$E$12*(H24-1)/4+'Beállítások'!$E$13*(I24-1)/4+'Beállítások'!$E$14*(J24-1)/4+'Beállítások'!$E$15*(K24-1)/4+'Beállítások'!$E$16*(L24-1)/4,1))</f>
        <v/>
      </c>
      <c r="N24" s="14">
        <f>IF($A24="","",RANK(M24,$M$2:$M$201))</f>
        <v/>
      </c>
      <c r="O24">
        <f>IF($A24="","",VLOOKUP(M24,'Beállítások'!$A$57:$E$60,2,TRUE))</f>
        <v/>
      </c>
      <c r="P24">
        <f>IF($A24="","",VLOOKUP(M24,'Beállítások'!$A$57:$E$60,3,TRUE))</f>
        <v/>
      </c>
      <c r="Q24">
        <f>IF($A24="","",INDEX('Beállítások'!$B$6:$B$16,MATCH(MAX(AD24:AN24),AD24:AN24,0)))</f>
        <v/>
      </c>
      <c r="R24">
        <f>IF($A24="","",IF(MAX(AO24:AY24)=0,"—",INDEX('Beállítások'!$B$6:$B$16,MATCH(MAX(AO24:AY24),AO24:AY24,0))))</f>
        <v/>
      </c>
      <c r="S24" s="5">
        <f>IF($A24="","",'Beállítások'!$B$47*(TRIM('Ügyfelek'!E24)="igen")+'Beállítások'!$B$48*(TRIM('Ügyfelek'!F24)="igen")+'Beállítások'!$B$49*N('Ügyfelek'!G24)+'Beállítások'!$B$46*N('Ügyfelek'!H24))</f>
        <v/>
      </c>
      <c r="T24" s="15">
        <f>IF($A24="","",VLOOKUP(M24,'Beállítások'!$A$57:$E$60,4,TRUE))</f>
        <v/>
      </c>
      <c r="U24" s="5">
        <f>IF($A24="","",N('Ügyfelek'!D24)*'Beállítások'!$B$51)</f>
        <v/>
      </c>
      <c r="V24" s="5">
        <f>IF($A24="","",CEILING(ROUND(MAX('Beállítások'!$B$50,S24*T24,U24),2),'Beállítások'!$B$52))</f>
        <v/>
      </c>
      <c r="W24">
        <f>IF($A24="","",IF(MAX('Beállítások'!$B$50,S24*T24,U24)=S24*T24,"Munkaigény × szintszorzó",IF(MAX('Beállítások'!$B$50,S24*T24,U24)=U24,"Hirdetési keret arányában","Minimumdíj")))</f>
        <v/>
      </c>
      <c r="X24" s="5">
        <f>IF(OR($A24="",'Ügyfelek'!Q24=""),"",'Ügyfelek'!Q24)</f>
        <v/>
      </c>
      <c r="Y24" s="5">
        <f>IF(X24="","",V24-X24)</f>
        <v/>
      </c>
      <c r="Z24" s="16">
        <f>IF(OR(X24="",X24=0),"",Y24/X24)</f>
        <v/>
      </c>
      <c r="AA24" s="5">
        <f>IF(OR($A24="",'Ügyfelek'!R24=""),"",'Ügyfelek'!R24*VLOOKUP(M24,'Beállítások'!$A$57:$E$60,5,TRUE))</f>
        <v/>
      </c>
      <c r="AB24" s="14">
        <f>IF($A24="","",('Ügyfelek'!B24="")+('Ügyfelek'!C24="")+('Ügyfelek'!D24="")+('Ügyfelek'!L24="")+('Ügyfelek'!I24="")+('Ügyfelek'!N24="")+('Ügyfelek'!J24="")+('Ügyfelek'!K24="")+('Ügyfelek'!M24="")+('Ügyfelek'!P24="")+('Ügyfelek'!O24=""))</f>
        <v/>
      </c>
      <c r="AD24">
        <f>IF($A24="","",B24+'Beállítások'!$E$6/1000)</f>
        <v/>
      </c>
      <c r="AE24">
        <f>IF($A24="","",C24+'Beállítások'!$E$7/1000)</f>
        <v/>
      </c>
      <c r="AF24">
        <f>IF($A24="","",D24+'Beállítások'!$E$8/1000)</f>
        <v/>
      </c>
      <c r="AG24">
        <f>IF($A24="","",E24+'Beállítások'!$E$9/1000)</f>
        <v/>
      </c>
      <c r="AH24">
        <f>IF($A24="","",F24+'Beállítások'!$E$10/1000)</f>
        <v/>
      </c>
      <c r="AI24">
        <f>IF($A24="","",G24+'Beállítások'!$E$11/1000)</f>
        <v/>
      </c>
      <c r="AJ24">
        <f>IF($A24="","",H24+'Beállítások'!$E$12/1000)</f>
        <v/>
      </c>
      <c r="AK24">
        <f>IF($A24="","",I24+'Beállítások'!$E$13/1000)</f>
        <v/>
      </c>
      <c r="AL24">
        <f>IF($A24="","",J24+'Beállítások'!$E$14/1000)</f>
        <v/>
      </c>
      <c r="AM24">
        <f>IF($A24="","",K24+'Beállítások'!$E$15/1000)</f>
        <v/>
      </c>
      <c r="AN24">
        <f>IF($A24="","",L24+'Beállítások'!$E$16/1000)</f>
        <v/>
      </c>
      <c r="AO24">
        <f>IF($A24="","",'Beállítások'!$E$6*(5-B24))</f>
        <v/>
      </c>
      <c r="AP24">
        <f>IF($A24="","",'Beállítások'!$E$7*(5-C24))</f>
        <v/>
      </c>
      <c r="AQ24">
        <f>IF($A24="","",'Beállítások'!$E$8*(5-D24))</f>
        <v/>
      </c>
      <c r="AR24">
        <f>IF($A24="","",'Beállítások'!$E$9*(5-E24))</f>
        <v/>
      </c>
      <c r="AS24">
        <f>IF($A24="","",'Beállítások'!$E$10*(5-F24))</f>
        <v/>
      </c>
      <c r="AT24">
        <f>IF($A24="","",'Beállítások'!$E$11*(5-G24))</f>
        <v/>
      </c>
      <c r="AU24">
        <f>IF($A24="","",'Beállítások'!$E$12*(5-H24))</f>
        <v/>
      </c>
      <c r="AV24">
        <f>IF($A24="","",'Beállítások'!$E$13*(5-I24))</f>
        <v/>
      </c>
      <c r="AW24">
        <f>IF($A24="","",'Beállítások'!$E$14*(5-J24))</f>
        <v/>
      </c>
      <c r="AX24">
        <f>IF($A24="","",'Beállítások'!$E$15*(5-K24))</f>
        <v/>
      </c>
      <c r="AY24">
        <f>IF($A24="","",'Beállítások'!$E$16*(5-L24))</f>
        <v/>
      </c>
      <c r="AZ24">
        <f>IF($A24="","",M24-ROW()/100000)</f>
        <v/>
      </c>
    </row>
    <row r="25">
      <c r="A25">
        <f>IF('Ügyfelek'!A25="","",'Ügyfelek'!A25)</f>
        <v/>
      </c>
      <c r="B25">
        <f>IF($A25="","",IF('Ügyfelek'!B25="",'Beállítások'!$B$45,IFERROR(VLOOKUP(TRIM('Ügyfelek'!B25),'Beállítások'!$A$22:$B$41,2,FALSE),'Beállítások'!$B$45)))</f>
        <v/>
      </c>
      <c r="C25">
        <f>IF($A25="","",IF('Ügyfelek'!C25="",'Beállítások'!$B$45,VLOOKUP(MAX('Ügyfelek'!C25,'Beállítások'!$H$7),'Beállítások'!$H$7:$I$11,2,TRUE)))</f>
        <v/>
      </c>
      <c r="D25">
        <f>IF($A25="","",IF('Ügyfelek'!D25="",'Beállítások'!$B$45,VLOOKUP(MAX('Ügyfelek'!D25,'Beállítások'!$K$7),'Beállítások'!$K$7:$L$11,2,TRUE)))</f>
        <v/>
      </c>
      <c r="E25">
        <f>IF($A25="","",IF('Ügyfelek'!L25="",'Beállítások'!$B$45,MIN(5,MAX(1,ROUND('Ügyfelek'!L25,0)))))</f>
        <v/>
      </c>
      <c r="F25">
        <f>IF($A25="","",IF('Ügyfelek'!I25="",'Beállítások'!$B$45,VLOOKUP(MAX('Ügyfelek'!I25,'Beállítások'!$N$7),'Beállítások'!$N$7:$O$11,2,TRUE)))</f>
        <v/>
      </c>
      <c r="G25">
        <f>IF($A25="","",IF('Ügyfelek'!N25="",'Beállítások'!$B$45,MIN(5,MAX(1,ROUND('Ügyfelek'!N25,0)))))</f>
        <v/>
      </c>
      <c r="H25">
        <f>IF($A25="","",IF('Ügyfelek'!J25="",'Beállítások'!$B$45,VLOOKUP(MAX('Ügyfelek'!J25,'Beállítások'!$Q$7),'Beállítások'!$Q$7:$R$11,2,TRUE)))</f>
        <v/>
      </c>
      <c r="I25">
        <f>IF($A25="","",IF('Ügyfelek'!K25="",'Beállítások'!$B$45,VLOOKUP(MAX('Ügyfelek'!K25,'Beállítások'!$T$7),'Beállítások'!$T$7:$U$11,2,TRUE)))</f>
        <v/>
      </c>
      <c r="J25">
        <f>IF($A25="","",IF('Ügyfelek'!M25="",'Beállítások'!$B$45,MIN(5,MAX(1,ROUND('Ügyfelek'!M25,0)))))</f>
        <v/>
      </c>
      <c r="K25">
        <f>IF($A25="","",IF('Ügyfelek'!P25="",'Beállítások'!$B$45,MIN(5,MAX(1,ROUND('Ügyfelek'!P25,0)))))</f>
        <v/>
      </c>
      <c r="L25">
        <f>IF($A25="","",IF('Ügyfelek'!O25="",'Beállítások'!$B$45,MIN(5,MAX(1,ROUND('Ügyfelek'!O25,0)))))</f>
        <v/>
      </c>
      <c r="M25" s="13">
        <f>IF($A25="","",ROUND('Beállítások'!$E$6*(B25-1)/4+'Beállítások'!$E$7*(C25-1)/4+'Beállítások'!$E$8*(D25-1)/4+'Beállítások'!$E$9*(E25-1)/4+'Beállítások'!$E$10*(F25-1)/4+'Beállítások'!$E$11*(G25-1)/4+'Beállítások'!$E$12*(H25-1)/4+'Beállítások'!$E$13*(I25-1)/4+'Beállítások'!$E$14*(J25-1)/4+'Beállítások'!$E$15*(K25-1)/4+'Beállítások'!$E$16*(L25-1)/4,1))</f>
        <v/>
      </c>
      <c r="N25" s="14">
        <f>IF($A25="","",RANK(M25,$M$2:$M$201))</f>
        <v/>
      </c>
      <c r="O25">
        <f>IF($A25="","",VLOOKUP(M25,'Beállítások'!$A$57:$E$60,2,TRUE))</f>
        <v/>
      </c>
      <c r="P25">
        <f>IF($A25="","",VLOOKUP(M25,'Beállítások'!$A$57:$E$60,3,TRUE))</f>
        <v/>
      </c>
      <c r="Q25">
        <f>IF($A25="","",INDEX('Beállítások'!$B$6:$B$16,MATCH(MAX(AD25:AN25),AD25:AN25,0)))</f>
        <v/>
      </c>
      <c r="R25">
        <f>IF($A25="","",IF(MAX(AO25:AY25)=0,"—",INDEX('Beállítások'!$B$6:$B$16,MATCH(MAX(AO25:AY25),AO25:AY25,0))))</f>
        <v/>
      </c>
      <c r="S25" s="5">
        <f>IF($A25="","",'Beállítások'!$B$47*(TRIM('Ügyfelek'!E25)="igen")+'Beállítások'!$B$48*(TRIM('Ügyfelek'!F25)="igen")+'Beállítások'!$B$49*N('Ügyfelek'!G25)+'Beállítások'!$B$46*N('Ügyfelek'!H25))</f>
        <v/>
      </c>
      <c r="T25" s="15">
        <f>IF($A25="","",VLOOKUP(M25,'Beállítások'!$A$57:$E$60,4,TRUE))</f>
        <v/>
      </c>
      <c r="U25" s="5">
        <f>IF($A25="","",N('Ügyfelek'!D25)*'Beállítások'!$B$51)</f>
        <v/>
      </c>
      <c r="V25" s="5">
        <f>IF($A25="","",CEILING(ROUND(MAX('Beállítások'!$B$50,S25*T25,U25),2),'Beállítások'!$B$52))</f>
        <v/>
      </c>
      <c r="W25">
        <f>IF($A25="","",IF(MAX('Beállítások'!$B$50,S25*T25,U25)=S25*T25,"Munkaigény × szintszorzó",IF(MAX('Beállítások'!$B$50,S25*T25,U25)=U25,"Hirdetési keret arányában","Minimumdíj")))</f>
        <v/>
      </c>
      <c r="X25" s="5">
        <f>IF(OR($A25="",'Ügyfelek'!Q25=""),"",'Ügyfelek'!Q25)</f>
        <v/>
      </c>
      <c r="Y25" s="5">
        <f>IF(X25="","",V25-X25)</f>
        <v/>
      </c>
      <c r="Z25" s="16">
        <f>IF(OR(X25="",X25=0),"",Y25/X25)</f>
        <v/>
      </c>
      <c r="AA25" s="5">
        <f>IF(OR($A25="",'Ügyfelek'!R25=""),"",'Ügyfelek'!R25*VLOOKUP(M25,'Beállítások'!$A$57:$E$60,5,TRUE))</f>
        <v/>
      </c>
      <c r="AB25" s="14">
        <f>IF($A25="","",('Ügyfelek'!B25="")+('Ügyfelek'!C25="")+('Ügyfelek'!D25="")+('Ügyfelek'!L25="")+('Ügyfelek'!I25="")+('Ügyfelek'!N25="")+('Ügyfelek'!J25="")+('Ügyfelek'!K25="")+('Ügyfelek'!M25="")+('Ügyfelek'!P25="")+('Ügyfelek'!O25=""))</f>
        <v/>
      </c>
      <c r="AD25">
        <f>IF($A25="","",B25+'Beállítások'!$E$6/1000)</f>
        <v/>
      </c>
      <c r="AE25">
        <f>IF($A25="","",C25+'Beállítások'!$E$7/1000)</f>
        <v/>
      </c>
      <c r="AF25">
        <f>IF($A25="","",D25+'Beállítások'!$E$8/1000)</f>
        <v/>
      </c>
      <c r="AG25">
        <f>IF($A25="","",E25+'Beállítások'!$E$9/1000)</f>
        <v/>
      </c>
      <c r="AH25">
        <f>IF($A25="","",F25+'Beállítások'!$E$10/1000)</f>
        <v/>
      </c>
      <c r="AI25">
        <f>IF($A25="","",G25+'Beállítások'!$E$11/1000)</f>
        <v/>
      </c>
      <c r="AJ25">
        <f>IF($A25="","",H25+'Beállítások'!$E$12/1000)</f>
        <v/>
      </c>
      <c r="AK25">
        <f>IF($A25="","",I25+'Beállítások'!$E$13/1000)</f>
        <v/>
      </c>
      <c r="AL25">
        <f>IF($A25="","",J25+'Beállítások'!$E$14/1000)</f>
        <v/>
      </c>
      <c r="AM25">
        <f>IF($A25="","",K25+'Beállítások'!$E$15/1000)</f>
        <v/>
      </c>
      <c r="AN25">
        <f>IF($A25="","",L25+'Beállítások'!$E$16/1000)</f>
        <v/>
      </c>
      <c r="AO25">
        <f>IF($A25="","",'Beállítások'!$E$6*(5-B25))</f>
        <v/>
      </c>
      <c r="AP25">
        <f>IF($A25="","",'Beállítások'!$E$7*(5-C25))</f>
        <v/>
      </c>
      <c r="AQ25">
        <f>IF($A25="","",'Beállítások'!$E$8*(5-D25))</f>
        <v/>
      </c>
      <c r="AR25">
        <f>IF($A25="","",'Beállítások'!$E$9*(5-E25))</f>
        <v/>
      </c>
      <c r="AS25">
        <f>IF($A25="","",'Beállítások'!$E$10*(5-F25))</f>
        <v/>
      </c>
      <c r="AT25">
        <f>IF($A25="","",'Beállítások'!$E$11*(5-G25))</f>
        <v/>
      </c>
      <c r="AU25">
        <f>IF($A25="","",'Beállítások'!$E$12*(5-H25))</f>
        <v/>
      </c>
      <c r="AV25">
        <f>IF($A25="","",'Beállítások'!$E$13*(5-I25))</f>
        <v/>
      </c>
      <c r="AW25">
        <f>IF($A25="","",'Beállítások'!$E$14*(5-J25))</f>
        <v/>
      </c>
      <c r="AX25">
        <f>IF($A25="","",'Beállítások'!$E$15*(5-K25))</f>
        <v/>
      </c>
      <c r="AY25">
        <f>IF($A25="","",'Beállítások'!$E$16*(5-L25))</f>
        <v/>
      </c>
      <c r="AZ25">
        <f>IF($A25="","",M25-ROW()/100000)</f>
        <v/>
      </c>
    </row>
    <row r="26">
      <c r="A26">
        <f>IF('Ügyfelek'!A26="","",'Ügyfelek'!A26)</f>
        <v/>
      </c>
      <c r="B26">
        <f>IF($A26="","",IF('Ügyfelek'!B26="",'Beállítások'!$B$45,IFERROR(VLOOKUP(TRIM('Ügyfelek'!B26),'Beállítások'!$A$22:$B$41,2,FALSE),'Beállítások'!$B$45)))</f>
        <v/>
      </c>
      <c r="C26">
        <f>IF($A26="","",IF('Ügyfelek'!C26="",'Beállítások'!$B$45,VLOOKUP(MAX('Ügyfelek'!C26,'Beállítások'!$H$7),'Beállítások'!$H$7:$I$11,2,TRUE)))</f>
        <v/>
      </c>
      <c r="D26">
        <f>IF($A26="","",IF('Ügyfelek'!D26="",'Beállítások'!$B$45,VLOOKUP(MAX('Ügyfelek'!D26,'Beállítások'!$K$7),'Beállítások'!$K$7:$L$11,2,TRUE)))</f>
        <v/>
      </c>
      <c r="E26">
        <f>IF($A26="","",IF('Ügyfelek'!L26="",'Beállítások'!$B$45,MIN(5,MAX(1,ROUND('Ügyfelek'!L26,0)))))</f>
        <v/>
      </c>
      <c r="F26">
        <f>IF($A26="","",IF('Ügyfelek'!I26="",'Beállítások'!$B$45,VLOOKUP(MAX('Ügyfelek'!I26,'Beállítások'!$N$7),'Beállítások'!$N$7:$O$11,2,TRUE)))</f>
        <v/>
      </c>
      <c r="G26">
        <f>IF($A26="","",IF('Ügyfelek'!N26="",'Beállítások'!$B$45,MIN(5,MAX(1,ROUND('Ügyfelek'!N26,0)))))</f>
        <v/>
      </c>
      <c r="H26">
        <f>IF($A26="","",IF('Ügyfelek'!J26="",'Beállítások'!$B$45,VLOOKUP(MAX('Ügyfelek'!J26,'Beállítások'!$Q$7),'Beállítások'!$Q$7:$R$11,2,TRUE)))</f>
        <v/>
      </c>
      <c r="I26">
        <f>IF($A26="","",IF('Ügyfelek'!K26="",'Beállítások'!$B$45,VLOOKUP(MAX('Ügyfelek'!K26,'Beállítások'!$T$7),'Beállítások'!$T$7:$U$11,2,TRUE)))</f>
        <v/>
      </c>
      <c r="J26">
        <f>IF($A26="","",IF('Ügyfelek'!M26="",'Beállítások'!$B$45,MIN(5,MAX(1,ROUND('Ügyfelek'!M26,0)))))</f>
        <v/>
      </c>
      <c r="K26">
        <f>IF($A26="","",IF('Ügyfelek'!P26="",'Beállítások'!$B$45,MIN(5,MAX(1,ROUND('Ügyfelek'!P26,0)))))</f>
        <v/>
      </c>
      <c r="L26">
        <f>IF($A26="","",IF('Ügyfelek'!O26="",'Beállítások'!$B$45,MIN(5,MAX(1,ROUND('Ügyfelek'!O26,0)))))</f>
        <v/>
      </c>
      <c r="M26" s="13">
        <f>IF($A26="","",ROUND('Beállítások'!$E$6*(B26-1)/4+'Beállítások'!$E$7*(C26-1)/4+'Beállítások'!$E$8*(D26-1)/4+'Beállítások'!$E$9*(E26-1)/4+'Beállítások'!$E$10*(F26-1)/4+'Beállítások'!$E$11*(G26-1)/4+'Beállítások'!$E$12*(H26-1)/4+'Beállítások'!$E$13*(I26-1)/4+'Beállítások'!$E$14*(J26-1)/4+'Beállítások'!$E$15*(K26-1)/4+'Beállítások'!$E$16*(L26-1)/4,1))</f>
        <v/>
      </c>
      <c r="N26" s="14">
        <f>IF($A26="","",RANK(M26,$M$2:$M$201))</f>
        <v/>
      </c>
      <c r="O26">
        <f>IF($A26="","",VLOOKUP(M26,'Beállítások'!$A$57:$E$60,2,TRUE))</f>
        <v/>
      </c>
      <c r="P26">
        <f>IF($A26="","",VLOOKUP(M26,'Beállítások'!$A$57:$E$60,3,TRUE))</f>
        <v/>
      </c>
      <c r="Q26">
        <f>IF($A26="","",INDEX('Beállítások'!$B$6:$B$16,MATCH(MAX(AD26:AN26),AD26:AN26,0)))</f>
        <v/>
      </c>
      <c r="R26">
        <f>IF($A26="","",IF(MAX(AO26:AY26)=0,"—",INDEX('Beállítások'!$B$6:$B$16,MATCH(MAX(AO26:AY26),AO26:AY26,0))))</f>
        <v/>
      </c>
      <c r="S26" s="5">
        <f>IF($A26="","",'Beállítások'!$B$47*(TRIM('Ügyfelek'!E26)="igen")+'Beállítások'!$B$48*(TRIM('Ügyfelek'!F26)="igen")+'Beállítások'!$B$49*N('Ügyfelek'!G26)+'Beállítások'!$B$46*N('Ügyfelek'!H26))</f>
        <v/>
      </c>
      <c r="T26" s="15">
        <f>IF($A26="","",VLOOKUP(M26,'Beállítások'!$A$57:$E$60,4,TRUE))</f>
        <v/>
      </c>
      <c r="U26" s="5">
        <f>IF($A26="","",N('Ügyfelek'!D26)*'Beállítások'!$B$51)</f>
        <v/>
      </c>
      <c r="V26" s="5">
        <f>IF($A26="","",CEILING(ROUND(MAX('Beállítások'!$B$50,S26*T26,U26),2),'Beállítások'!$B$52))</f>
        <v/>
      </c>
      <c r="W26">
        <f>IF($A26="","",IF(MAX('Beállítások'!$B$50,S26*T26,U26)=S26*T26,"Munkaigény × szintszorzó",IF(MAX('Beállítások'!$B$50,S26*T26,U26)=U26,"Hirdetési keret arányában","Minimumdíj")))</f>
        <v/>
      </c>
      <c r="X26" s="5">
        <f>IF(OR($A26="",'Ügyfelek'!Q26=""),"",'Ügyfelek'!Q26)</f>
        <v/>
      </c>
      <c r="Y26" s="5">
        <f>IF(X26="","",V26-X26)</f>
        <v/>
      </c>
      <c r="Z26" s="16">
        <f>IF(OR(X26="",X26=0),"",Y26/X26)</f>
        <v/>
      </c>
      <c r="AA26" s="5">
        <f>IF(OR($A26="",'Ügyfelek'!R26=""),"",'Ügyfelek'!R26*VLOOKUP(M26,'Beállítások'!$A$57:$E$60,5,TRUE))</f>
        <v/>
      </c>
      <c r="AB26" s="14">
        <f>IF($A26="","",('Ügyfelek'!B26="")+('Ügyfelek'!C26="")+('Ügyfelek'!D26="")+('Ügyfelek'!L26="")+('Ügyfelek'!I26="")+('Ügyfelek'!N26="")+('Ügyfelek'!J26="")+('Ügyfelek'!K26="")+('Ügyfelek'!M26="")+('Ügyfelek'!P26="")+('Ügyfelek'!O26=""))</f>
        <v/>
      </c>
      <c r="AD26">
        <f>IF($A26="","",B26+'Beállítások'!$E$6/1000)</f>
        <v/>
      </c>
      <c r="AE26">
        <f>IF($A26="","",C26+'Beállítások'!$E$7/1000)</f>
        <v/>
      </c>
      <c r="AF26">
        <f>IF($A26="","",D26+'Beállítások'!$E$8/1000)</f>
        <v/>
      </c>
      <c r="AG26">
        <f>IF($A26="","",E26+'Beállítások'!$E$9/1000)</f>
        <v/>
      </c>
      <c r="AH26">
        <f>IF($A26="","",F26+'Beállítások'!$E$10/1000)</f>
        <v/>
      </c>
      <c r="AI26">
        <f>IF($A26="","",G26+'Beállítások'!$E$11/1000)</f>
        <v/>
      </c>
      <c r="AJ26">
        <f>IF($A26="","",H26+'Beállítások'!$E$12/1000)</f>
        <v/>
      </c>
      <c r="AK26">
        <f>IF($A26="","",I26+'Beállítások'!$E$13/1000)</f>
        <v/>
      </c>
      <c r="AL26">
        <f>IF($A26="","",J26+'Beállítások'!$E$14/1000)</f>
        <v/>
      </c>
      <c r="AM26">
        <f>IF($A26="","",K26+'Beállítások'!$E$15/1000)</f>
        <v/>
      </c>
      <c r="AN26">
        <f>IF($A26="","",L26+'Beállítások'!$E$16/1000)</f>
        <v/>
      </c>
      <c r="AO26">
        <f>IF($A26="","",'Beállítások'!$E$6*(5-B26))</f>
        <v/>
      </c>
      <c r="AP26">
        <f>IF($A26="","",'Beállítások'!$E$7*(5-C26))</f>
        <v/>
      </c>
      <c r="AQ26">
        <f>IF($A26="","",'Beállítások'!$E$8*(5-D26))</f>
        <v/>
      </c>
      <c r="AR26">
        <f>IF($A26="","",'Beállítások'!$E$9*(5-E26))</f>
        <v/>
      </c>
      <c r="AS26">
        <f>IF($A26="","",'Beállítások'!$E$10*(5-F26))</f>
        <v/>
      </c>
      <c r="AT26">
        <f>IF($A26="","",'Beállítások'!$E$11*(5-G26))</f>
        <v/>
      </c>
      <c r="AU26">
        <f>IF($A26="","",'Beállítások'!$E$12*(5-H26))</f>
        <v/>
      </c>
      <c r="AV26">
        <f>IF($A26="","",'Beállítások'!$E$13*(5-I26))</f>
        <v/>
      </c>
      <c r="AW26">
        <f>IF($A26="","",'Beállítások'!$E$14*(5-J26))</f>
        <v/>
      </c>
      <c r="AX26">
        <f>IF($A26="","",'Beállítások'!$E$15*(5-K26))</f>
        <v/>
      </c>
      <c r="AY26">
        <f>IF($A26="","",'Beállítások'!$E$16*(5-L26))</f>
        <v/>
      </c>
      <c r="AZ26">
        <f>IF($A26="","",M26-ROW()/100000)</f>
        <v/>
      </c>
    </row>
    <row r="27">
      <c r="A27">
        <f>IF('Ügyfelek'!A27="","",'Ügyfelek'!A27)</f>
        <v/>
      </c>
      <c r="B27">
        <f>IF($A27="","",IF('Ügyfelek'!B27="",'Beállítások'!$B$45,IFERROR(VLOOKUP(TRIM('Ügyfelek'!B27),'Beállítások'!$A$22:$B$41,2,FALSE),'Beállítások'!$B$45)))</f>
        <v/>
      </c>
      <c r="C27">
        <f>IF($A27="","",IF('Ügyfelek'!C27="",'Beállítások'!$B$45,VLOOKUP(MAX('Ügyfelek'!C27,'Beállítások'!$H$7),'Beállítások'!$H$7:$I$11,2,TRUE)))</f>
        <v/>
      </c>
      <c r="D27">
        <f>IF($A27="","",IF('Ügyfelek'!D27="",'Beállítások'!$B$45,VLOOKUP(MAX('Ügyfelek'!D27,'Beállítások'!$K$7),'Beállítások'!$K$7:$L$11,2,TRUE)))</f>
        <v/>
      </c>
      <c r="E27">
        <f>IF($A27="","",IF('Ügyfelek'!L27="",'Beállítások'!$B$45,MIN(5,MAX(1,ROUND('Ügyfelek'!L27,0)))))</f>
        <v/>
      </c>
      <c r="F27">
        <f>IF($A27="","",IF('Ügyfelek'!I27="",'Beállítások'!$B$45,VLOOKUP(MAX('Ügyfelek'!I27,'Beállítások'!$N$7),'Beállítások'!$N$7:$O$11,2,TRUE)))</f>
        <v/>
      </c>
      <c r="G27">
        <f>IF($A27="","",IF('Ügyfelek'!N27="",'Beállítások'!$B$45,MIN(5,MAX(1,ROUND('Ügyfelek'!N27,0)))))</f>
        <v/>
      </c>
      <c r="H27">
        <f>IF($A27="","",IF('Ügyfelek'!J27="",'Beállítások'!$B$45,VLOOKUP(MAX('Ügyfelek'!J27,'Beállítások'!$Q$7),'Beállítások'!$Q$7:$R$11,2,TRUE)))</f>
        <v/>
      </c>
      <c r="I27">
        <f>IF($A27="","",IF('Ügyfelek'!K27="",'Beállítások'!$B$45,VLOOKUP(MAX('Ügyfelek'!K27,'Beállítások'!$T$7),'Beállítások'!$T$7:$U$11,2,TRUE)))</f>
        <v/>
      </c>
      <c r="J27">
        <f>IF($A27="","",IF('Ügyfelek'!M27="",'Beállítások'!$B$45,MIN(5,MAX(1,ROUND('Ügyfelek'!M27,0)))))</f>
        <v/>
      </c>
      <c r="K27">
        <f>IF($A27="","",IF('Ügyfelek'!P27="",'Beállítások'!$B$45,MIN(5,MAX(1,ROUND('Ügyfelek'!P27,0)))))</f>
        <v/>
      </c>
      <c r="L27">
        <f>IF($A27="","",IF('Ügyfelek'!O27="",'Beállítások'!$B$45,MIN(5,MAX(1,ROUND('Ügyfelek'!O27,0)))))</f>
        <v/>
      </c>
      <c r="M27" s="13">
        <f>IF($A27="","",ROUND('Beállítások'!$E$6*(B27-1)/4+'Beállítások'!$E$7*(C27-1)/4+'Beállítások'!$E$8*(D27-1)/4+'Beállítások'!$E$9*(E27-1)/4+'Beállítások'!$E$10*(F27-1)/4+'Beállítások'!$E$11*(G27-1)/4+'Beállítások'!$E$12*(H27-1)/4+'Beállítások'!$E$13*(I27-1)/4+'Beállítások'!$E$14*(J27-1)/4+'Beállítások'!$E$15*(K27-1)/4+'Beállítások'!$E$16*(L27-1)/4,1))</f>
        <v/>
      </c>
      <c r="N27" s="14">
        <f>IF($A27="","",RANK(M27,$M$2:$M$201))</f>
        <v/>
      </c>
      <c r="O27">
        <f>IF($A27="","",VLOOKUP(M27,'Beállítások'!$A$57:$E$60,2,TRUE))</f>
        <v/>
      </c>
      <c r="P27">
        <f>IF($A27="","",VLOOKUP(M27,'Beállítások'!$A$57:$E$60,3,TRUE))</f>
        <v/>
      </c>
      <c r="Q27">
        <f>IF($A27="","",INDEX('Beállítások'!$B$6:$B$16,MATCH(MAX(AD27:AN27),AD27:AN27,0)))</f>
        <v/>
      </c>
      <c r="R27">
        <f>IF($A27="","",IF(MAX(AO27:AY27)=0,"—",INDEX('Beállítások'!$B$6:$B$16,MATCH(MAX(AO27:AY27),AO27:AY27,0))))</f>
        <v/>
      </c>
      <c r="S27" s="5">
        <f>IF($A27="","",'Beállítások'!$B$47*(TRIM('Ügyfelek'!E27)="igen")+'Beállítások'!$B$48*(TRIM('Ügyfelek'!F27)="igen")+'Beállítások'!$B$49*N('Ügyfelek'!G27)+'Beállítások'!$B$46*N('Ügyfelek'!H27))</f>
        <v/>
      </c>
      <c r="T27" s="15">
        <f>IF($A27="","",VLOOKUP(M27,'Beállítások'!$A$57:$E$60,4,TRUE))</f>
        <v/>
      </c>
      <c r="U27" s="5">
        <f>IF($A27="","",N('Ügyfelek'!D27)*'Beállítások'!$B$51)</f>
        <v/>
      </c>
      <c r="V27" s="5">
        <f>IF($A27="","",CEILING(ROUND(MAX('Beállítások'!$B$50,S27*T27,U27),2),'Beállítások'!$B$52))</f>
        <v/>
      </c>
      <c r="W27">
        <f>IF($A27="","",IF(MAX('Beállítások'!$B$50,S27*T27,U27)=S27*T27,"Munkaigény × szintszorzó",IF(MAX('Beállítások'!$B$50,S27*T27,U27)=U27,"Hirdetési keret arányában","Minimumdíj")))</f>
        <v/>
      </c>
      <c r="X27" s="5">
        <f>IF(OR($A27="",'Ügyfelek'!Q27=""),"",'Ügyfelek'!Q27)</f>
        <v/>
      </c>
      <c r="Y27" s="5">
        <f>IF(X27="","",V27-X27)</f>
        <v/>
      </c>
      <c r="Z27" s="16">
        <f>IF(OR(X27="",X27=0),"",Y27/X27)</f>
        <v/>
      </c>
      <c r="AA27" s="5">
        <f>IF(OR($A27="",'Ügyfelek'!R27=""),"",'Ügyfelek'!R27*VLOOKUP(M27,'Beállítások'!$A$57:$E$60,5,TRUE))</f>
        <v/>
      </c>
      <c r="AB27" s="14">
        <f>IF($A27="","",('Ügyfelek'!B27="")+('Ügyfelek'!C27="")+('Ügyfelek'!D27="")+('Ügyfelek'!L27="")+('Ügyfelek'!I27="")+('Ügyfelek'!N27="")+('Ügyfelek'!J27="")+('Ügyfelek'!K27="")+('Ügyfelek'!M27="")+('Ügyfelek'!P27="")+('Ügyfelek'!O27=""))</f>
        <v/>
      </c>
      <c r="AD27">
        <f>IF($A27="","",B27+'Beállítások'!$E$6/1000)</f>
        <v/>
      </c>
      <c r="AE27">
        <f>IF($A27="","",C27+'Beállítások'!$E$7/1000)</f>
        <v/>
      </c>
      <c r="AF27">
        <f>IF($A27="","",D27+'Beállítások'!$E$8/1000)</f>
        <v/>
      </c>
      <c r="AG27">
        <f>IF($A27="","",E27+'Beállítások'!$E$9/1000)</f>
        <v/>
      </c>
      <c r="AH27">
        <f>IF($A27="","",F27+'Beállítások'!$E$10/1000)</f>
        <v/>
      </c>
      <c r="AI27">
        <f>IF($A27="","",G27+'Beállítások'!$E$11/1000)</f>
        <v/>
      </c>
      <c r="AJ27">
        <f>IF($A27="","",H27+'Beállítások'!$E$12/1000)</f>
        <v/>
      </c>
      <c r="AK27">
        <f>IF($A27="","",I27+'Beállítások'!$E$13/1000)</f>
        <v/>
      </c>
      <c r="AL27">
        <f>IF($A27="","",J27+'Beállítások'!$E$14/1000)</f>
        <v/>
      </c>
      <c r="AM27">
        <f>IF($A27="","",K27+'Beállítások'!$E$15/1000)</f>
        <v/>
      </c>
      <c r="AN27">
        <f>IF($A27="","",L27+'Beállítások'!$E$16/1000)</f>
        <v/>
      </c>
      <c r="AO27">
        <f>IF($A27="","",'Beállítások'!$E$6*(5-B27))</f>
        <v/>
      </c>
      <c r="AP27">
        <f>IF($A27="","",'Beállítások'!$E$7*(5-C27))</f>
        <v/>
      </c>
      <c r="AQ27">
        <f>IF($A27="","",'Beállítások'!$E$8*(5-D27))</f>
        <v/>
      </c>
      <c r="AR27">
        <f>IF($A27="","",'Beállítások'!$E$9*(5-E27))</f>
        <v/>
      </c>
      <c r="AS27">
        <f>IF($A27="","",'Beállítások'!$E$10*(5-F27))</f>
        <v/>
      </c>
      <c r="AT27">
        <f>IF($A27="","",'Beállítások'!$E$11*(5-G27))</f>
        <v/>
      </c>
      <c r="AU27">
        <f>IF($A27="","",'Beállítások'!$E$12*(5-H27))</f>
        <v/>
      </c>
      <c r="AV27">
        <f>IF($A27="","",'Beállítások'!$E$13*(5-I27))</f>
        <v/>
      </c>
      <c r="AW27">
        <f>IF($A27="","",'Beállítások'!$E$14*(5-J27))</f>
        <v/>
      </c>
      <c r="AX27">
        <f>IF($A27="","",'Beállítások'!$E$15*(5-K27))</f>
        <v/>
      </c>
      <c r="AY27">
        <f>IF($A27="","",'Beállítások'!$E$16*(5-L27))</f>
        <v/>
      </c>
      <c r="AZ27">
        <f>IF($A27="","",M27-ROW()/100000)</f>
        <v/>
      </c>
    </row>
    <row r="28">
      <c r="A28">
        <f>IF('Ügyfelek'!A28="","",'Ügyfelek'!A28)</f>
        <v/>
      </c>
      <c r="B28">
        <f>IF($A28="","",IF('Ügyfelek'!B28="",'Beállítások'!$B$45,IFERROR(VLOOKUP(TRIM('Ügyfelek'!B28),'Beállítások'!$A$22:$B$41,2,FALSE),'Beállítások'!$B$45)))</f>
        <v/>
      </c>
      <c r="C28">
        <f>IF($A28="","",IF('Ügyfelek'!C28="",'Beállítások'!$B$45,VLOOKUP(MAX('Ügyfelek'!C28,'Beállítások'!$H$7),'Beállítások'!$H$7:$I$11,2,TRUE)))</f>
        <v/>
      </c>
      <c r="D28">
        <f>IF($A28="","",IF('Ügyfelek'!D28="",'Beállítások'!$B$45,VLOOKUP(MAX('Ügyfelek'!D28,'Beállítások'!$K$7),'Beállítások'!$K$7:$L$11,2,TRUE)))</f>
        <v/>
      </c>
      <c r="E28">
        <f>IF($A28="","",IF('Ügyfelek'!L28="",'Beállítások'!$B$45,MIN(5,MAX(1,ROUND('Ügyfelek'!L28,0)))))</f>
        <v/>
      </c>
      <c r="F28">
        <f>IF($A28="","",IF('Ügyfelek'!I28="",'Beállítások'!$B$45,VLOOKUP(MAX('Ügyfelek'!I28,'Beállítások'!$N$7),'Beállítások'!$N$7:$O$11,2,TRUE)))</f>
        <v/>
      </c>
      <c r="G28">
        <f>IF($A28="","",IF('Ügyfelek'!N28="",'Beállítások'!$B$45,MIN(5,MAX(1,ROUND('Ügyfelek'!N28,0)))))</f>
        <v/>
      </c>
      <c r="H28">
        <f>IF($A28="","",IF('Ügyfelek'!J28="",'Beállítások'!$B$45,VLOOKUP(MAX('Ügyfelek'!J28,'Beállítások'!$Q$7),'Beállítások'!$Q$7:$R$11,2,TRUE)))</f>
        <v/>
      </c>
      <c r="I28">
        <f>IF($A28="","",IF('Ügyfelek'!K28="",'Beállítások'!$B$45,VLOOKUP(MAX('Ügyfelek'!K28,'Beállítások'!$T$7),'Beállítások'!$T$7:$U$11,2,TRUE)))</f>
        <v/>
      </c>
      <c r="J28">
        <f>IF($A28="","",IF('Ügyfelek'!M28="",'Beállítások'!$B$45,MIN(5,MAX(1,ROUND('Ügyfelek'!M28,0)))))</f>
        <v/>
      </c>
      <c r="K28">
        <f>IF($A28="","",IF('Ügyfelek'!P28="",'Beállítások'!$B$45,MIN(5,MAX(1,ROUND('Ügyfelek'!P28,0)))))</f>
        <v/>
      </c>
      <c r="L28">
        <f>IF($A28="","",IF('Ügyfelek'!O28="",'Beállítások'!$B$45,MIN(5,MAX(1,ROUND('Ügyfelek'!O28,0)))))</f>
        <v/>
      </c>
      <c r="M28" s="13">
        <f>IF($A28="","",ROUND('Beállítások'!$E$6*(B28-1)/4+'Beállítások'!$E$7*(C28-1)/4+'Beállítások'!$E$8*(D28-1)/4+'Beállítások'!$E$9*(E28-1)/4+'Beállítások'!$E$10*(F28-1)/4+'Beállítások'!$E$11*(G28-1)/4+'Beállítások'!$E$12*(H28-1)/4+'Beállítások'!$E$13*(I28-1)/4+'Beállítások'!$E$14*(J28-1)/4+'Beállítások'!$E$15*(K28-1)/4+'Beállítások'!$E$16*(L28-1)/4,1))</f>
        <v/>
      </c>
      <c r="N28" s="14">
        <f>IF($A28="","",RANK(M28,$M$2:$M$201))</f>
        <v/>
      </c>
      <c r="O28">
        <f>IF($A28="","",VLOOKUP(M28,'Beállítások'!$A$57:$E$60,2,TRUE))</f>
        <v/>
      </c>
      <c r="P28">
        <f>IF($A28="","",VLOOKUP(M28,'Beállítások'!$A$57:$E$60,3,TRUE))</f>
        <v/>
      </c>
      <c r="Q28">
        <f>IF($A28="","",INDEX('Beállítások'!$B$6:$B$16,MATCH(MAX(AD28:AN28),AD28:AN28,0)))</f>
        <v/>
      </c>
      <c r="R28">
        <f>IF($A28="","",IF(MAX(AO28:AY28)=0,"—",INDEX('Beállítások'!$B$6:$B$16,MATCH(MAX(AO28:AY28),AO28:AY28,0))))</f>
        <v/>
      </c>
      <c r="S28" s="5">
        <f>IF($A28="","",'Beállítások'!$B$47*(TRIM('Ügyfelek'!E28)="igen")+'Beállítások'!$B$48*(TRIM('Ügyfelek'!F28)="igen")+'Beállítások'!$B$49*N('Ügyfelek'!G28)+'Beállítások'!$B$46*N('Ügyfelek'!H28))</f>
        <v/>
      </c>
      <c r="T28" s="15">
        <f>IF($A28="","",VLOOKUP(M28,'Beállítások'!$A$57:$E$60,4,TRUE))</f>
        <v/>
      </c>
      <c r="U28" s="5">
        <f>IF($A28="","",N('Ügyfelek'!D28)*'Beállítások'!$B$51)</f>
        <v/>
      </c>
      <c r="V28" s="5">
        <f>IF($A28="","",CEILING(ROUND(MAX('Beállítások'!$B$50,S28*T28,U28),2),'Beállítások'!$B$52))</f>
        <v/>
      </c>
      <c r="W28">
        <f>IF($A28="","",IF(MAX('Beállítások'!$B$50,S28*T28,U28)=S28*T28,"Munkaigény × szintszorzó",IF(MAX('Beállítások'!$B$50,S28*T28,U28)=U28,"Hirdetési keret arányában","Minimumdíj")))</f>
        <v/>
      </c>
      <c r="X28" s="5">
        <f>IF(OR($A28="",'Ügyfelek'!Q28=""),"",'Ügyfelek'!Q28)</f>
        <v/>
      </c>
      <c r="Y28" s="5">
        <f>IF(X28="","",V28-X28)</f>
        <v/>
      </c>
      <c r="Z28" s="16">
        <f>IF(OR(X28="",X28=0),"",Y28/X28)</f>
        <v/>
      </c>
      <c r="AA28" s="5">
        <f>IF(OR($A28="",'Ügyfelek'!R28=""),"",'Ügyfelek'!R28*VLOOKUP(M28,'Beállítások'!$A$57:$E$60,5,TRUE))</f>
        <v/>
      </c>
      <c r="AB28" s="14">
        <f>IF($A28="","",('Ügyfelek'!B28="")+('Ügyfelek'!C28="")+('Ügyfelek'!D28="")+('Ügyfelek'!L28="")+('Ügyfelek'!I28="")+('Ügyfelek'!N28="")+('Ügyfelek'!J28="")+('Ügyfelek'!K28="")+('Ügyfelek'!M28="")+('Ügyfelek'!P28="")+('Ügyfelek'!O28=""))</f>
        <v/>
      </c>
      <c r="AD28">
        <f>IF($A28="","",B28+'Beállítások'!$E$6/1000)</f>
        <v/>
      </c>
      <c r="AE28">
        <f>IF($A28="","",C28+'Beállítások'!$E$7/1000)</f>
        <v/>
      </c>
      <c r="AF28">
        <f>IF($A28="","",D28+'Beállítások'!$E$8/1000)</f>
        <v/>
      </c>
      <c r="AG28">
        <f>IF($A28="","",E28+'Beállítások'!$E$9/1000)</f>
        <v/>
      </c>
      <c r="AH28">
        <f>IF($A28="","",F28+'Beállítások'!$E$10/1000)</f>
        <v/>
      </c>
      <c r="AI28">
        <f>IF($A28="","",G28+'Beállítások'!$E$11/1000)</f>
        <v/>
      </c>
      <c r="AJ28">
        <f>IF($A28="","",H28+'Beállítások'!$E$12/1000)</f>
        <v/>
      </c>
      <c r="AK28">
        <f>IF($A28="","",I28+'Beállítások'!$E$13/1000)</f>
        <v/>
      </c>
      <c r="AL28">
        <f>IF($A28="","",J28+'Beállítások'!$E$14/1000)</f>
        <v/>
      </c>
      <c r="AM28">
        <f>IF($A28="","",K28+'Beállítások'!$E$15/1000)</f>
        <v/>
      </c>
      <c r="AN28">
        <f>IF($A28="","",L28+'Beállítások'!$E$16/1000)</f>
        <v/>
      </c>
      <c r="AO28">
        <f>IF($A28="","",'Beállítások'!$E$6*(5-B28))</f>
        <v/>
      </c>
      <c r="AP28">
        <f>IF($A28="","",'Beállítások'!$E$7*(5-C28))</f>
        <v/>
      </c>
      <c r="AQ28">
        <f>IF($A28="","",'Beállítások'!$E$8*(5-D28))</f>
        <v/>
      </c>
      <c r="AR28">
        <f>IF($A28="","",'Beállítások'!$E$9*(5-E28))</f>
        <v/>
      </c>
      <c r="AS28">
        <f>IF($A28="","",'Beállítások'!$E$10*(5-F28))</f>
        <v/>
      </c>
      <c r="AT28">
        <f>IF($A28="","",'Beállítások'!$E$11*(5-G28))</f>
        <v/>
      </c>
      <c r="AU28">
        <f>IF($A28="","",'Beállítások'!$E$12*(5-H28))</f>
        <v/>
      </c>
      <c r="AV28">
        <f>IF($A28="","",'Beállítások'!$E$13*(5-I28))</f>
        <v/>
      </c>
      <c r="AW28">
        <f>IF($A28="","",'Beállítások'!$E$14*(5-J28))</f>
        <v/>
      </c>
      <c r="AX28">
        <f>IF($A28="","",'Beállítások'!$E$15*(5-K28))</f>
        <v/>
      </c>
      <c r="AY28">
        <f>IF($A28="","",'Beállítások'!$E$16*(5-L28))</f>
        <v/>
      </c>
      <c r="AZ28">
        <f>IF($A28="","",M28-ROW()/100000)</f>
        <v/>
      </c>
    </row>
    <row r="29">
      <c r="A29">
        <f>IF('Ügyfelek'!A29="","",'Ügyfelek'!A29)</f>
        <v/>
      </c>
      <c r="B29">
        <f>IF($A29="","",IF('Ügyfelek'!B29="",'Beállítások'!$B$45,IFERROR(VLOOKUP(TRIM('Ügyfelek'!B29),'Beállítások'!$A$22:$B$41,2,FALSE),'Beállítások'!$B$45)))</f>
        <v/>
      </c>
      <c r="C29">
        <f>IF($A29="","",IF('Ügyfelek'!C29="",'Beállítások'!$B$45,VLOOKUP(MAX('Ügyfelek'!C29,'Beállítások'!$H$7),'Beállítások'!$H$7:$I$11,2,TRUE)))</f>
        <v/>
      </c>
      <c r="D29">
        <f>IF($A29="","",IF('Ügyfelek'!D29="",'Beállítások'!$B$45,VLOOKUP(MAX('Ügyfelek'!D29,'Beállítások'!$K$7),'Beállítások'!$K$7:$L$11,2,TRUE)))</f>
        <v/>
      </c>
      <c r="E29">
        <f>IF($A29="","",IF('Ügyfelek'!L29="",'Beállítások'!$B$45,MIN(5,MAX(1,ROUND('Ügyfelek'!L29,0)))))</f>
        <v/>
      </c>
      <c r="F29">
        <f>IF($A29="","",IF('Ügyfelek'!I29="",'Beállítások'!$B$45,VLOOKUP(MAX('Ügyfelek'!I29,'Beállítások'!$N$7),'Beállítások'!$N$7:$O$11,2,TRUE)))</f>
        <v/>
      </c>
      <c r="G29">
        <f>IF($A29="","",IF('Ügyfelek'!N29="",'Beállítások'!$B$45,MIN(5,MAX(1,ROUND('Ügyfelek'!N29,0)))))</f>
        <v/>
      </c>
      <c r="H29">
        <f>IF($A29="","",IF('Ügyfelek'!J29="",'Beállítások'!$B$45,VLOOKUP(MAX('Ügyfelek'!J29,'Beállítások'!$Q$7),'Beállítások'!$Q$7:$R$11,2,TRUE)))</f>
        <v/>
      </c>
      <c r="I29">
        <f>IF($A29="","",IF('Ügyfelek'!K29="",'Beállítások'!$B$45,VLOOKUP(MAX('Ügyfelek'!K29,'Beállítások'!$T$7),'Beállítások'!$T$7:$U$11,2,TRUE)))</f>
        <v/>
      </c>
      <c r="J29">
        <f>IF($A29="","",IF('Ügyfelek'!M29="",'Beállítások'!$B$45,MIN(5,MAX(1,ROUND('Ügyfelek'!M29,0)))))</f>
        <v/>
      </c>
      <c r="K29">
        <f>IF($A29="","",IF('Ügyfelek'!P29="",'Beállítások'!$B$45,MIN(5,MAX(1,ROUND('Ügyfelek'!P29,0)))))</f>
        <v/>
      </c>
      <c r="L29">
        <f>IF($A29="","",IF('Ügyfelek'!O29="",'Beállítások'!$B$45,MIN(5,MAX(1,ROUND('Ügyfelek'!O29,0)))))</f>
        <v/>
      </c>
      <c r="M29" s="13">
        <f>IF($A29="","",ROUND('Beállítások'!$E$6*(B29-1)/4+'Beállítások'!$E$7*(C29-1)/4+'Beállítások'!$E$8*(D29-1)/4+'Beállítások'!$E$9*(E29-1)/4+'Beállítások'!$E$10*(F29-1)/4+'Beállítások'!$E$11*(G29-1)/4+'Beállítások'!$E$12*(H29-1)/4+'Beállítások'!$E$13*(I29-1)/4+'Beállítások'!$E$14*(J29-1)/4+'Beállítások'!$E$15*(K29-1)/4+'Beállítások'!$E$16*(L29-1)/4,1))</f>
        <v/>
      </c>
      <c r="N29" s="14">
        <f>IF($A29="","",RANK(M29,$M$2:$M$201))</f>
        <v/>
      </c>
      <c r="O29">
        <f>IF($A29="","",VLOOKUP(M29,'Beállítások'!$A$57:$E$60,2,TRUE))</f>
        <v/>
      </c>
      <c r="P29">
        <f>IF($A29="","",VLOOKUP(M29,'Beállítások'!$A$57:$E$60,3,TRUE))</f>
        <v/>
      </c>
      <c r="Q29">
        <f>IF($A29="","",INDEX('Beállítások'!$B$6:$B$16,MATCH(MAX(AD29:AN29),AD29:AN29,0)))</f>
        <v/>
      </c>
      <c r="R29">
        <f>IF($A29="","",IF(MAX(AO29:AY29)=0,"—",INDEX('Beállítások'!$B$6:$B$16,MATCH(MAX(AO29:AY29),AO29:AY29,0))))</f>
        <v/>
      </c>
      <c r="S29" s="5">
        <f>IF($A29="","",'Beállítások'!$B$47*(TRIM('Ügyfelek'!E29)="igen")+'Beállítások'!$B$48*(TRIM('Ügyfelek'!F29)="igen")+'Beállítások'!$B$49*N('Ügyfelek'!G29)+'Beállítások'!$B$46*N('Ügyfelek'!H29))</f>
        <v/>
      </c>
      <c r="T29" s="15">
        <f>IF($A29="","",VLOOKUP(M29,'Beállítások'!$A$57:$E$60,4,TRUE))</f>
        <v/>
      </c>
      <c r="U29" s="5">
        <f>IF($A29="","",N('Ügyfelek'!D29)*'Beállítások'!$B$51)</f>
        <v/>
      </c>
      <c r="V29" s="5">
        <f>IF($A29="","",CEILING(ROUND(MAX('Beállítások'!$B$50,S29*T29,U29),2),'Beállítások'!$B$52))</f>
        <v/>
      </c>
      <c r="W29">
        <f>IF($A29="","",IF(MAX('Beállítások'!$B$50,S29*T29,U29)=S29*T29,"Munkaigény × szintszorzó",IF(MAX('Beállítások'!$B$50,S29*T29,U29)=U29,"Hirdetési keret arányában","Minimumdíj")))</f>
        <v/>
      </c>
      <c r="X29" s="5">
        <f>IF(OR($A29="",'Ügyfelek'!Q29=""),"",'Ügyfelek'!Q29)</f>
        <v/>
      </c>
      <c r="Y29" s="5">
        <f>IF(X29="","",V29-X29)</f>
        <v/>
      </c>
      <c r="Z29" s="16">
        <f>IF(OR(X29="",X29=0),"",Y29/X29)</f>
        <v/>
      </c>
      <c r="AA29" s="5">
        <f>IF(OR($A29="",'Ügyfelek'!R29=""),"",'Ügyfelek'!R29*VLOOKUP(M29,'Beállítások'!$A$57:$E$60,5,TRUE))</f>
        <v/>
      </c>
      <c r="AB29" s="14">
        <f>IF($A29="","",('Ügyfelek'!B29="")+('Ügyfelek'!C29="")+('Ügyfelek'!D29="")+('Ügyfelek'!L29="")+('Ügyfelek'!I29="")+('Ügyfelek'!N29="")+('Ügyfelek'!J29="")+('Ügyfelek'!K29="")+('Ügyfelek'!M29="")+('Ügyfelek'!P29="")+('Ügyfelek'!O29=""))</f>
        <v/>
      </c>
      <c r="AD29">
        <f>IF($A29="","",B29+'Beállítások'!$E$6/1000)</f>
        <v/>
      </c>
      <c r="AE29">
        <f>IF($A29="","",C29+'Beállítások'!$E$7/1000)</f>
        <v/>
      </c>
      <c r="AF29">
        <f>IF($A29="","",D29+'Beállítások'!$E$8/1000)</f>
        <v/>
      </c>
      <c r="AG29">
        <f>IF($A29="","",E29+'Beállítások'!$E$9/1000)</f>
        <v/>
      </c>
      <c r="AH29">
        <f>IF($A29="","",F29+'Beállítások'!$E$10/1000)</f>
        <v/>
      </c>
      <c r="AI29">
        <f>IF($A29="","",G29+'Beállítások'!$E$11/1000)</f>
        <v/>
      </c>
      <c r="AJ29">
        <f>IF($A29="","",H29+'Beállítások'!$E$12/1000)</f>
        <v/>
      </c>
      <c r="AK29">
        <f>IF($A29="","",I29+'Beállítások'!$E$13/1000)</f>
        <v/>
      </c>
      <c r="AL29">
        <f>IF($A29="","",J29+'Beállítások'!$E$14/1000)</f>
        <v/>
      </c>
      <c r="AM29">
        <f>IF($A29="","",K29+'Beállítások'!$E$15/1000)</f>
        <v/>
      </c>
      <c r="AN29">
        <f>IF($A29="","",L29+'Beállítások'!$E$16/1000)</f>
        <v/>
      </c>
      <c r="AO29">
        <f>IF($A29="","",'Beállítások'!$E$6*(5-B29))</f>
        <v/>
      </c>
      <c r="AP29">
        <f>IF($A29="","",'Beállítások'!$E$7*(5-C29))</f>
        <v/>
      </c>
      <c r="AQ29">
        <f>IF($A29="","",'Beállítások'!$E$8*(5-D29))</f>
        <v/>
      </c>
      <c r="AR29">
        <f>IF($A29="","",'Beállítások'!$E$9*(5-E29))</f>
        <v/>
      </c>
      <c r="AS29">
        <f>IF($A29="","",'Beállítások'!$E$10*(5-F29))</f>
        <v/>
      </c>
      <c r="AT29">
        <f>IF($A29="","",'Beállítások'!$E$11*(5-G29))</f>
        <v/>
      </c>
      <c r="AU29">
        <f>IF($A29="","",'Beállítások'!$E$12*(5-H29))</f>
        <v/>
      </c>
      <c r="AV29">
        <f>IF($A29="","",'Beállítások'!$E$13*(5-I29))</f>
        <v/>
      </c>
      <c r="AW29">
        <f>IF($A29="","",'Beállítások'!$E$14*(5-J29))</f>
        <v/>
      </c>
      <c r="AX29">
        <f>IF($A29="","",'Beállítások'!$E$15*(5-K29))</f>
        <v/>
      </c>
      <c r="AY29">
        <f>IF($A29="","",'Beállítások'!$E$16*(5-L29))</f>
        <v/>
      </c>
      <c r="AZ29">
        <f>IF($A29="","",M29-ROW()/100000)</f>
        <v/>
      </c>
    </row>
    <row r="30">
      <c r="A30">
        <f>IF('Ügyfelek'!A30="","",'Ügyfelek'!A30)</f>
        <v/>
      </c>
      <c r="B30">
        <f>IF($A30="","",IF('Ügyfelek'!B30="",'Beállítások'!$B$45,IFERROR(VLOOKUP(TRIM('Ügyfelek'!B30),'Beállítások'!$A$22:$B$41,2,FALSE),'Beállítások'!$B$45)))</f>
        <v/>
      </c>
      <c r="C30">
        <f>IF($A30="","",IF('Ügyfelek'!C30="",'Beállítások'!$B$45,VLOOKUP(MAX('Ügyfelek'!C30,'Beállítások'!$H$7),'Beállítások'!$H$7:$I$11,2,TRUE)))</f>
        <v/>
      </c>
      <c r="D30">
        <f>IF($A30="","",IF('Ügyfelek'!D30="",'Beállítások'!$B$45,VLOOKUP(MAX('Ügyfelek'!D30,'Beállítások'!$K$7),'Beállítások'!$K$7:$L$11,2,TRUE)))</f>
        <v/>
      </c>
      <c r="E30">
        <f>IF($A30="","",IF('Ügyfelek'!L30="",'Beállítások'!$B$45,MIN(5,MAX(1,ROUND('Ügyfelek'!L30,0)))))</f>
        <v/>
      </c>
      <c r="F30">
        <f>IF($A30="","",IF('Ügyfelek'!I30="",'Beállítások'!$B$45,VLOOKUP(MAX('Ügyfelek'!I30,'Beállítások'!$N$7),'Beállítások'!$N$7:$O$11,2,TRUE)))</f>
        <v/>
      </c>
      <c r="G30">
        <f>IF($A30="","",IF('Ügyfelek'!N30="",'Beállítások'!$B$45,MIN(5,MAX(1,ROUND('Ügyfelek'!N30,0)))))</f>
        <v/>
      </c>
      <c r="H30">
        <f>IF($A30="","",IF('Ügyfelek'!J30="",'Beállítások'!$B$45,VLOOKUP(MAX('Ügyfelek'!J30,'Beállítások'!$Q$7),'Beállítások'!$Q$7:$R$11,2,TRUE)))</f>
        <v/>
      </c>
      <c r="I30">
        <f>IF($A30="","",IF('Ügyfelek'!K30="",'Beállítások'!$B$45,VLOOKUP(MAX('Ügyfelek'!K30,'Beállítások'!$T$7),'Beállítások'!$T$7:$U$11,2,TRUE)))</f>
        <v/>
      </c>
      <c r="J30">
        <f>IF($A30="","",IF('Ügyfelek'!M30="",'Beállítások'!$B$45,MIN(5,MAX(1,ROUND('Ügyfelek'!M30,0)))))</f>
        <v/>
      </c>
      <c r="K30">
        <f>IF($A30="","",IF('Ügyfelek'!P30="",'Beállítások'!$B$45,MIN(5,MAX(1,ROUND('Ügyfelek'!P30,0)))))</f>
        <v/>
      </c>
      <c r="L30">
        <f>IF($A30="","",IF('Ügyfelek'!O30="",'Beállítások'!$B$45,MIN(5,MAX(1,ROUND('Ügyfelek'!O30,0)))))</f>
        <v/>
      </c>
      <c r="M30" s="13">
        <f>IF($A30="","",ROUND('Beállítások'!$E$6*(B30-1)/4+'Beállítások'!$E$7*(C30-1)/4+'Beállítások'!$E$8*(D30-1)/4+'Beállítások'!$E$9*(E30-1)/4+'Beállítások'!$E$10*(F30-1)/4+'Beállítások'!$E$11*(G30-1)/4+'Beállítások'!$E$12*(H30-1)/4+'Beállítások'!$E$13*(I30-1)/4+'Beállítások'!$E$14*(J30-1)/4+'Beállítások'!$E$15*(K30-1)/4+'Beállítások'!$E$16*(L30-1)/4,1))</f>
        <v/>
      </c>
      <c r="N30" s="14">
        <f>IF($A30="","",RANK(M30,$M$2:$M$201))</f>
        <v/>
      </c>
      <c r="O30">
        <f>IF($A30="","",VLOOKUP(M30,'Beállítások'!$A$57:$E$60,2,TRUE))</f>
        <v/>
      </c>
      <c r="P30">
        <f>IF($A30="","",VLOOKUP(M30,'Beállítások'!$A$57:$E$60,3,TRUE))</f>
        <v/>
      </c>
      <c r="Q30">
        <f>IF($A30="","",INDEX('Beállítások'!$B$6:$B$16,MATCH(MAX(AD30:AN30),AD30:AN30,0)))</f>
        <v/>
      </c>
      <c r="R30">
        <f>IF($A30="","",IF(MAX(AO30:AY30)=0,"—",INDEX('Beállítások'!$B$6:$B$16,MATCH(MAX(AO30:AY30),AO30:AY30,0))))</f>
        <v/>
      </c>
      <c r="S30" s="5">
        <f>IF($A30="","",'Beállítások'!$B$47*(TRIM('Ügyfelek'!E30)="igen")+'Beállítások'!$B$48*(TRIM('Ügyfelek'!F30)="igen")+'Beállítások'!$B$49*N('Ügyfelek'!G30)+'Beállítások'!$B$46*N('Ügyfelek'!H30))</f>
        <v/>
      </c>
      <c r="T30" s="15">
        <f>IF($A30="","",VLOOKUP(M30,'Beállítások'!$A$57:$E$60,4,TRUE))</f>
        <v/>
      </c>
      <c r="U30" s="5">
        <f>IF($A30="","",N('Ügyfelek'!D30)*'Beállítások'!$B$51)</f>
        <v/>
      </c>
      <c r="V30" s="5">
        <f>IF($A30="","",CEILING(ROUND(MAX('Beállítások'!$B$50,S30*T30,U30),2),'Beállítások'!$B$52))</f>
        <v/>
      </c>
      <c r="W30">
        <f>IF($A30="","",IF(MAX('Beállítások'!$B$50,S30*T30,U30)=S30*T30,"Munkaigény × szintszorzó",IF(MAX('Beállítások'!$B$50,S30*T30,U30)=U30,"Hirdetési keret arányában","Minimumdíj")))</f>
        <v/>
      </c>
      <c r="X30" s="5">
        <f>IF(OR($A30="",'Ügyfelek'!Q30=""),"",'Ügyfelek'!Q30)</f>
        <v/>
      </c>
      <c r="Y30" s="5">
        <f>IF(X30="","",V30-X30)</f>
        <v/>
      </c>
      <c r="Z30" s="16">
        <f>IF(OR(X30="",X30=0),"",Y30/X30)</f>
        <v/>
      </c>
      <c r="AA30" s="5">
        <f>IF(OR($A30="",'Ügyfelek'!R30=""),"",'Ügyfelek'!R30*VLOOKUP(M30,'Beállítások'!$A$57:$E$60,5,TRUE))</f>
        <v/>
      </c>
      <c r="AB30" s="14">
        <f>IF($A30="","",('Ügyfelek'!B30="")+('Ügyfelek'!C30="")+('Ügyfelek'!D30="")+('Ügyfelek'!L30="")+('Ügyfelek'!I30="")+('Ügyfelek'!N30="")+('Ügyfelek'!J30="")+('Ügyfelek'!K30="")+('Ügyfelek'!M30="")+('Ügyfelek'!P30="")+('Ügyfelek'!O30=""))</f>
        <v/>
      </c>
      <c r="AD30">
        <f>IF($A30="","",B30+'Beállítások'!$E$6/1000)</f>
        <v/>
      </c>
      <c r="AE30">
        <f>IF($A30="","",C30+'Beállítások'!$E$7/1000)</f>
        <v/>
      </c>
      <c r="AF30">
        <f>IF($A30="","",D30+'Beállítások'!$E$8/1000)</f>
        <v/>
      </c>
      <c r="AG30">
        <f>IF($A30="","",E30+'Beállítások'!$E$9/1000)</f>
        <v/>
      </c>
      <c r="AH30">
        <f>IF($A30="","",F30+'Beállítások'!$E$10/1000)</f>
        <v/>
      </c>
      <c r="AI30">
        <f>IF($A30="","",G30+'Beállítások'!$E$11/1000)</f>
        <v/>
      </c>
      <c r="AJ30">
        <f>IF($A30="","",H30+'Beállítások'!$E$12/1000)</f>
        <v/>
      </c>
      <c r="AK30">
        <f>IF($A30="","",I30+'Beállítások'!$E$13/1000)</f>
        <v/>
      </c>
      <c r="AL30">
        <f>IF($A30="","",J30+'Beállítások'!$E$14/1000)</f>
        <v/>
      </c>
      <c r="AM30">
        <f>IF($A30="","",K30+'Beállítások'!$E$15/1000)</f>
        <v/>
      </c>
      <c r="AN30">
        <f>IF($A30="","",L30+'Beállítások'!$E$16/1000)</f>
        <v/>
      </c>
      <c r="AO30">
        <f>IF($A30="","",'Beállítások'!$E$6*(5-B30))</f>
        <v/>
      </c>
      <c r="AP30">
        <f>IF($A30="","",'Beállítások'!$E$7*(5-C30))</f>
        <v/>
      </c>
      <c r="AQ30">
        <f>IF($A30="","",'Beállítások'!$E$8*(5-D30))</f>
        <v/>
      </c>
      <c r="AR30">
        <f>IF($A30="","",'Beállítások'!$E$9*(5-E30))</f>
        <v/>
      </c>
      <c r="AS30">
        <f>IF($A30="","",'Beállítások'!$E$10*(5-F30))</f>
        <v/>
      </c>
      <c r="AT30">
        <f>IF($A30="","",'Beállítások'!$E$11*(5-G30))</f>
        <v/>
      </c>
      <c r="AU30">
        <f>IF($A30="","",'Beállítások'!$E$12*(5-H30))</f>
        <v/>
      </c>
      <c r="AV30">
        <f>IF($A30="","",'Beállítások'!$E$13*(5-I30))</f>
        <v/>
      </c>
      <c r="AW30">
        <f>IF($A30="","",'Beállítások'!$E$14*(5-J30))</f>
        <v/>
      </c>
      <c r="AX30">
        <f>IF($A30="","",'Beállítások'!$E$15*(5-K30))</f>
        <v/>
      </c>
      <c r="AY30">
        <f>IF($A30="","",'Beállítások'!$E$16*(5-L30))</f>
        <v/>
      </c>
      <c r="AZ30">
        <f>IF($A30="","",M30-ROW()/100000)</f>
        <v/>
      </c>
    </row>
    <row r="31">
      <c r="A31">
        <f>IF('Ügyfelek'!A31="","",'Ügyfelek'!A31)</f>
        <v/>
      </c>
      <c r="B31">
        <f>IF($A31="","",IF('Ügyfelek'!B31="",'Beállítások'!$B$45,IFERROR(VLOOKUP(TRIM('Ügyfelek'!B31),'Beállítások'!$A$22:$B$41,2,FALSE),'Beállítások'!$B$45)))</f>
        <v/>
      </c>
      <c r="C31">
        <f>IF($A31="","",IF('Ügyfelek'!C31="",'Beállítások'!$B$45,VLOOKUP(MAX('Ügyfelek'!C31,'Beállítások'!$H$7),'Beállítások'!$H$7:$I$11,2,TRUE)))</f>
        <v/>
      </c>
      <c r="D31">
        <f>IF($A31="","",IF('Ügyfelek'!D31="",'Beállítások'!$B$45,VLOOKUP(MAX('Ügyfelek'!D31,'Beállítások'!$K$7),'Beállítások'!$K$7:$L$11,2,TRUE)))</f>
        <v/>
      </c>
      <c r="E31">
        <f>IF($A31="","",IF('Ügyfelek'!L31="",'Beállítások'!$B$45,MIN(5,MAX(1,ROUND('Ügyfelek'!L31,0)))))</f>
        <v/>
      </c>
      <c r="F31">
        <f>IF($A31="","",IF('Ügyfelek'!I31="",'Beállítások'!$B$45,VLOOKUP(MAX('Ügyfelek'!I31,'Beállítások'!$N$7),'Beállítások'!$N$7:$O$11,2,TRUE)))</f>
        <v/>
      </c>
      <c r="G31">
        <f>IF($A31="","",IF('Ügyfelek'!N31="",'Beállítások'!$B$45,MIN(5,MAX(1,ROUND('Ügyfelek'!N31,0)))))</f>
        <v/>
      </c>
      <c r="H31">
        <f>IF($A31="","",IF('Ügyfelek'!J31="",'Beállítások'!$B$45,VLOOKUP(MAX('Ügyfelek'!J31,'Beállítások'!$Q$7),'Beállítások'!$Q$7:$R$11,2,TRUE)))</f>
        <v/>
      </c>
      <c r="I31">
        <f>IF($A31="","",IF('Ügyfelek'!K31="",'Beállítások'!$B$45,VLOOKUP(MAX('Ügyfelek'!K31,'Beállítások'!$T$7),'Beállítások'!$T$7:$U$11,2,TRUE)))</f>
        <v/>
      </c>
      <c r="J31">
        <f>IF($A31="","",IF('Ügyfelek'!M31="",'Beállítások'!$B$45,MIN(5,MAX(1,ROUND('Ügyfelek'!M31,0)))))</f>
        <v/>
      </c>
      <c r="K31">
        <f>IF($A31="","",IF('Ügyfelek'!P31="",'Beállítások'!$B$45,MIN(5,MAX(1,ROUND('Ügyfelek'!P31,0)))))</f>
        <v/>
      </c>
      <c r="L31">
        <f>IF($A31="","",IF('Ügyfelek'!O31="",'Beállítások'!$B$45,MIN(5,MAX(1,ROUND('Ügyfelek'!O31,0)))))</f>
        <v/>
      </c>
      <c r="M31" s="13">
        <f>IF($A31="","",ROUND('Beállítások'!$E$6*(B31-1)/4+'Beállítások'!$E$7*(C31-1)/4+'Beállítások'!$E$8*(D31-1)/4+'Beállítások'!$E$9*(E31-1)/4+'Beállítások'!$E$10*(F31-1)/4+'Beállítások'!$E$11*(G31-1)/4+'Beállítások'!$E$12*(H31-1)/4+'Beállítások'!$E$13*(I31-1)/4+'Beállítások'!$E$14*(J31-1)/4+'Beállítások'!$E$15*(K31-1)/4+'Beállítások'!$E$16*(L31-1)/4,1))</f>
        <v/>
      </c>
      <c r="N31" s="14">
        <f>IF($A31="","",RANK(M31,$M$2:$M$201))</f>
        <v/>
      </c>
      <c r="O31">
        <f>IF($A31="","",VLOOKUP(M31,'Beállítások'!$A$57:$E$60,2,TRUE))</f>
        <v/>
      </c>
      <c r="P31">
        <f>IF($A31="","",VLOOKUP(M31,'Beállítások'!$A$57:$E$60,3,TRUE))</f>
        <v/>
      </c>
      <c r="Q31">
        <f>IF($A31="","",INDEX('Beállítások'!$B$6:$B$16,MATCH(MAX(AD31:AN31),AD31:AN31,0)))</f>
        <v/>
      </c>
      <c r="R31">
        <f>IF($A31="","",IF(MAX(AO31:AY31)=0,"—",INDEX('Beállítások'!$B$6:$B$16,MATCH(MAX(AO31:AY31),AO31:AY31,0))))</f>
        <v/>
      </c>
      <c r="S31" s="5">
        <f>IF($A31="","",'Beállítások'!$B$47*(TRIM('Ügyfelek'!E31)="igen")+'Beállítások'!$B$48*(TRIM('Ügyfelek'!F31)="igen")+'Beállítások'!$B$49*N('Ügyfelek'!G31)+'Beállítások'!$B$46*N('Ügyfelek'!H31))</f>
        <v/>
      </c>
      <c r="T31" s="15">
        <f>IF($A31="","",VLOOKUP(M31,'Beállítások'!$A$57:$E$60,4,TRUE))</f>
        <v/>
      </c>
      <c r="U31" s="5">
        <f>IF($A31="","",N('Ügyfelek'!D31)*'Beállítások'!$B$51)</f>
        <v/>
      </c>
      <c r="V31" s="5">
        <f>IF($A31="","",CEILING(ROUND(MAX('Beállítások'!$B$50,S31*T31,U31),2),'Beállítások'!$B$52))</f>
        <v/>
      </c>
      <c r="W31">
        <f>IF($A31="","",IF(MAX('Beállítások'!$B$50,S31*T31,U31)=S31*T31,"Munkaigény × szintszorzó",IF(MAX('Beállítások'!$B$50,S31*T31,U31)=U31,"Hirdetési keret arányában","Minimumdíj")))</f>
        <v/>
      </c>
      <c r="X31" s="5">
        <f>IF(OR($A31="",'Ügyfelek'!Q31=""),"",'Ügyfelek'!Q31)</f>
        <v/>
      </c>
      <c r="Y31" s="5">
        <f>IF(X31="","",V31-X31)</f>
        <v/>
      </c>
      <c r="Z31" s="16">
        <f>IF(OR(X31="",X31=0),"",Y31/X31)</f>
        <v/>
      </c>
      <c r="AA31" s="5">
        <f>IF(OR($A31="",'Ügyfelek'!R31=""),"",'Ügyfelek'!R31*VLOOKUP(M31,'Beállítások'!$A$57:$E$60,5,TRUE))</f>
        <v/>
      </c>
      <c r="AB31" s="14">
        <f>IF($A31="","",('Ügyfelek'!B31="")+('Ügyfelek'!C31="")+('Ügyfelek'!D31="")+('Ügyfelek'!L31="")+('Ügyfelek'!I31="")+('Ügyfelek'!N31="")+('Ügyfelek'!J31="")+('Ügyfelek'!K31="")+('Ügyfelek'!M31="")+('Ügyfelek'!P31="")+('Ügyfelek'!O31=""))</f>
        <v/>
      </c>
      <c r="AD31">
        <f>IF($A31="","",B31+'Beállítások'!$E$6/1000)</f>
        <v/>
      </c>
      <c r="AE31">
        <f>IF($A31="","",C31+'Beállítások'!$E$7/1000)</f>
        <v/>
      </c>
      <c r="AF31">
        <f>IF($A31="","",D31+'Beállítások'!$E$8/1000)</f>
        <v/>
      </c>
      <c r="AG31">
        <f>IF($A31="","",E31+'Beállítások'!$E$9/1000)</f>
        <v/>
      </c>
      <c r="AH31">
        <f>IF($A31="","",F31+'Beállítások'!$E$10/1000)</f>
        <v/>
      </c>
      <c r="AI31">
        <f>IF($A31="","",G31+'Beállítások'!$E$11/1000)</f>
        <v/>
      </c>
      <c r="AJ31">
        <f>IF($A31="","",H31+'Beállítások'!$E$12/1000)</f>
        <v/>
      </c>
      <c r="AK31">
        <f>IF($A31="","",I31+'Beállítások'!$E$13/1000)</f>
        <v/>
      </c>
      <c r="AL31">
        <f>IF($A31="","",J31+'Beállítások'!$E$14/1000)</f>
        <v/>
      </c>
      <c r="AM31">
        <f>IF($A31="","",K31+'Beállítások'!$E$15/1000)</f>
        <v/>
      </c>
      <c r="AN31">
        <f>IF($A31="","",L31+'Beállítások'!$E$16/1000)</f>
        <v/>
      </c>
      <c r="AO31">
        <f>IF($A31="","",'Beállítások'!$E$6*(5-B31))</f>
        <v/>
      </c>
      <c r="AP31">
        <f>IF($A31="","",'Beállítások'!$E$7*(5-C31))</f>
        <v/>
      </c>
      <c r="AQ31">
        <f>IF($A31="","",'Beállítások'!$E$8*(5-D31))</f>
        <v/>
      </c>
      <c r="AR31">
        <f>IF($A31="","",'Beállítások'!$E$9*(5-E31))</f>
        <v/>
      </c>
      <c r="AS31">
        <f>IF($A31="","",'Beállítások'!$E$10*(5-F31))</f>
        <v/>
      </c>
      <c r="AT31">
        <f>IF($A31="","",'Beállítások'!$E$11*(5-G31))</f>
        <v/>
      </c>
      <c r="AU31">
        <f>IF($A31="","",'Beállítások'!$E$12*(5-H31))</f>
        <v/>
      </c>
      <c r="AV31">
        <f>IF($A31="","",'Beállítások'!$E$13*(5-I31))</f>
        <v/>
      </c>
      <c r="AW31">
        <f>IF($A31="","",'Beállítások'!$E$14*(5-J31))</f>
        <v/>
      </c>
      <c r="AX31">
        <f>IF($A31="","",'Beállítások'!$E$15*(5-K31))</f>
        <v/>
      </c>
      <c r="AY31">
        <f>IF($A31="","",'Beállítások'!$E$16*(5-L31))</f>
        <v/>
      </c>
      <c r="AZ31">
        <f>IF($A31="","",M31-ROW()/100000)</f>
        <v/>
      </c>
    </row>
    <row r="32">
      <c r="A32">
        <f>IF('Ügyfelek'!A32="","",'Ügyfelek'!A32)</f>
        <v/>
      </c>
      <c r="B32">
        <f>IF($A32="","",IF('Ügyfelek'!B32="",'Beállítások'!$B$45,IFERROR(VLOOKUP(TRIM('Ügyfelek'!B32),'Beállítások'!$A$22:$B$41,2,FALSE),'Beállítások'!$B$45)))</f>
        <v/>
      </c>
      <c r="C32">
        <f>IF($A32="","",IF('Ügyfelek'!C32="",'Beállítások'!$B$45,VLOOKUP(MAX('Ügyfelek'!C32,'Beállítások'!$H$7),'Beállítások'!$H$7:$I$11,2,TRUE)))</f>
        <v/>
      </c>
      <c r="D32">
        <f>IF($A32="","",IF('Ügyfelek'!D32="",'Beállítások'!$B$45,VLOOKUP(MAX('Ügyfelek'!D32,'Beállítások'!$K$7),'Beállítások'!$K$7:$L$11,2,TRUE)))</f>
        <v/>
      </c>
      <c r="E32">
        <f>IF($A32="","",IF('Ügyfelek'!L32="",'Beállítások'!$B$45,MIN(5,MAX(1,ROUND('Ügyfelek'!L32,0)))))</f>
        <v/>
      </c>
      <c r="F32">
        <f>IF($A32="","",IF('Ügyfelek'!I32="",'Beállítások'!$B$45,VLOOKUP(MAX('Ügyfelek'!I32,'Beállítások'!$N$7),'Beállítások'!$N$7:$O$11,2,TRUE)))</f>
        <v/>
      </c>
      <c r="G32">
        <f>IF($A32="","",IF('Ügyfelek'!N32="",'Beállítások'!$B$45,MIN(5,MAX(1,ROUND('Ügyfelek'!N32,0)))))</f>
        <v/>
      </c>
      <c r="H32">
        <f>IF($A32="","",IF('Ügyfelek'!J32="",'Beállítások'!$B$45,VLOOKUP(MAX('Ügyfelek'!J32,'Beállítások'!$Q$7),'Beállítások'!$Q$7:$R$11,2,TRUE)))</f>
        <v/>
      </c>
      <c r="I32">
        <f>IF($A32="","",IF('Ügyfelek'!K32="",'Beállítások'!$B$45,VLOOKUP(MAX('Ügyfelek'!K32,'Beállítások'!$T$7),'Beállítások'!$T$7:$U$11,2,TRUE)))</f>
        <v/>
      </c>
      <c r="J32">
        <f>IF($A32="","",IF('Ügyfelek'!M32="",'Beállítások'!$B$45,MIN(5,MAX(1,ROUND('Ügyfelek'!M32,0)))))</f>
        <v/>
      </c>
      <c r="K32">
        <f>IF($A32="","",IF('Ügyfelek'!P32="",'Beállítások'!$B$45,MIN(5,MAX(1,ROUND('Ügyfelek'!P32,0)))))</f>
        <v/>
      </c>
      <c r="L32">
        <f>IF($A32="","",IF('Ügyfelek'!O32="",'Beállítások'!$B$45,MIN(5,MAX(1,ROUND('Ügyfelek'!O32,0)))))</f>
        <v/>
      </c>
      <c r="M32" s="13">
        <f>IF($A32="","",ROUND('Beállítások'!$E$6*(B32-1)/4+'Beállítások'!$E$7*(C32-1)/4+'Beállítások'!$E$8*(D32-1)/4+'Beállítások'!$E$9*(E32-1)/4+'Beállítások'!$E$10*(F32-1)/4+'Beállítások'!$E$11*(G32-1)/4+'Beállítások'!$E$12*(H32-1)/4+'Beállítások'!$E$13*(I32-1)/4+'Beállítások'!$E$14*(J32-1)/4+'Beállítások'!$E$15*(K32-1)/4+'Beállítások'!$E$16*(L32-1)/4,1))</f>
        <v/>
      </c>
      <c r="N32" s="14">
        <f>IF($A32="","",RANK(M32,$M$2:$M$201))</f>
        <v/>
      </c>
      <c r="O32">
        <f>IF($A32="","",VLOOKUP(M32,'Beállítások'!$A$57:$E$60,2,TRUE))</f>
        <v/>
      </c>
      <c r="P32">
        <f>IF($A32="","",VLOOKUP(M32,'Beállítások'!$A$57:$E$60,3,TRUE))</f>
        <v/>
      </c>
      <c r="Q32">
        <f>IF($A32="","",INDEX('Beállítások'!$B$6:$B$16,MATCH(MAX(AD32:AN32),AD32:AN32,0)))</f>
        <v/>
      </c>
      <c r="R32">
        <f>IF($A32="","",IF(MAX(AO32:AY32)=0,"—",INDEX('Beállítások'!$B$6:$B$16,MATCH(MAX(AO32:AY32),AO32:AY32,0))))</f>
        <v/>
      </c>
      <c r="S32" s="5">
        <f>IF($A32="","",'Beállítások'!$B$47*(TRIM('Ügyfelek'!E32)="igen")+'Beállítások'!$B$48*(TRIM('Ügyfelek'!F32)="igen")+'Beállítások'!$B$49*N('Ügyfelek'!G32)+'Beállítások'!$B$46*N('Ügyfelek'!H32))</f>
        <v/>
      </c>
      <c r="T32" s="15">
        <f>IF($A32="","",VLOOKUP(M32,'Beállítások'!$A$57:$E$60,4,TRUE))</f>
        <v/>
      </c>
      <c r="U32" s="5">
        <f>IF($A32="","",N('Ügyfelek'!D32)*'Beállítások'!$B$51)</f>
        <v/>
      </c>
      <c r="V32" s="5">
        <f>IF($A32="","",CEILING(ROUND(MAX('Beállítások'!$B$50,S32*T32,U32),2),'Beállítások'!$B$52))</f>
        <v/>
      </c>
      <c r="W32">
        <f>IF($A32="","",IF(MAX('Beállítások'!$B$50,S32*T32,U32)=S32*T32,"Munkaigény × szintszorzó",IF(MAX('Beállítások'!$B$50,S32*T32,U32)=U32,"Hirdetési keret arányában","Minimumdíj")))</f>
        <v/>
      </c>
      <c r="X32" s="5">
        <f>IF(OR($A32="",'Ügyfelek'!Q32=""),"",'Ügyfelek'!Q32)</f>
        <v/>
      </c>
      <c r="Y32" s="5">
        <f>IF(X32="","",V32-X32)</f>
        <v/>
      </c>
      <c r="Z32" s="16">
        <f>IF(OR(X32="",X32=0),"",Y32/X32)</f>
        <v/>
      </c>
      <c r="AA32" s="5">
        <f>IF(OR($A32="",'Ügyfelek'!R32=""),"",'Ügyfelek'!R32*VLOOKUP(M32,'Beállítások'!$A$57:$E$60,5,TRUE))</f>
        <v/>
      </c>
      <c r="AB32" s="14">
        <f>IF($A32="","",('Ügyfelek'!B32="")+('Ügyfelek'!C32="")+('Ügyfelek'!D32="")+('Ügyfelek'!L32="")+('Ügyfelek'!I32="")+('Ügyfelek'!N32="")+('Ügyfelek'!J32="")+('Ügyfelek'!K32="")+('Ügyfelek'!M32="")+('Ügyfelek'!P32="")+('Ügyfelek'!O32=""))</f>
        <v/>
      </c>
      <c r="AD32">
        <f>IF($A32="","",B32+'Beállítások'!$E$6/1000)</f>
        <v/>
      </c>
      <c r="AE32">
        <f>IF($A32="","",C32+'Beállítások'!$E$7/1000)</f>
        <v/>
      </c>
      <c r="AF32">
        <f>IF($A32="","",D32+'Beállítások'!$E$8/1000)</f>
        <v/>
      </c>
      <c r="AG32">
        <f>IF($A32="","",E32+'Beállítások'!$E$9/1000)</f>
        <v/>
      </c>
      <c r="AH32">
        <f>IF($A32="","",F32+'Beállítások'!$E$10/1000)</f>
        <v/>
      </c>
      <c r="AI32">
        <f>IF($A32="","",G32+'Beállítások'!$E$11/1000)</f>
        <v/>
      </c>
      <c r="AJ32">
        <f>IF($A32="","",H32+'Beállítások'!$E$12/1000)</f>
        <v/>
      </c>
      <c r="AK32">
        <f>IF($A32="","",I32+'Beállítások'!$E$13/1000)</f>
        <v/>
      </c>
      <c r="AL32">
        <f>IF($A32="","",J32+'Beállítások'!$E$14/1000)</f>
        <v/>
      </c>
      <c r="AM32">
        <f>IF($A32="","",K32+'Beállítások'!$E$15/1000)</f>
        <v/>
      </c>
      <c r="AN32">
        <f>IF($A32="","",L32+'Beállítások'!$E$16/1000)</f>
        <v/>
      </c>
      <c r="AO32">
        <f>IF($A32="","",'Beállítások'!$E$6*(5-B32))</f>
        <v/>
      </c>
      <c r="AP32">
        <f>IF($A32="","",'Beállítások'!$E$7*(5-C32))</f>
        <v/>
      </c>
      <c r="AQ32">
        <f>IF($A32="","",'Beállítások'!$E$8*(5-D32))</f>
        <v/>
      </c>
      <c r="AR32">
        <f>IF($A32="","",'Beállítások'!$E$9*(5-E32))</f>
        <v/>
      </c>
      <c r="AS32">
        <f>IF($A32="","",'Beállítások'!$E$10*(5-F32))</f>
        <v/>
      </c>
      <c r="AT32">
        <f>IF($A32="","",'Beállítások'!$E$11*(5-G32))</f>
        <v/>
      </c>
      <c r="AU32">
        <f>IF($A32="","",'Beállítások'!$E$12*(5-H32))</f>
        <v/>
      </c>
      <c r="AV32">
        <f>IF($A32="","",'Beállítások'!$E$13*(5-I32))</f>
        <v/>
      </c>
      <c r="AW32">
        <f>IF($A32="","",'Beállítások'!$E$14*(5-J32))</f>
        <v/>
      </c>
      <c r="AX32">
        <f>IF($A32="","",'Beállítások'!$E$15*(5-K32))</f>
        <v/>
      </c>
      <c r="AY32">
        <f>IF($A32="","",'Beállítások'!$E$16*(5-L32))</f>
        <v/>
      </c>
      <c r="AZ32">
        <f>IF($A32="","",M32-ROW()/100000)</f>
        <v/>
      </c>
    </row>
    <row r="33">
      <c r="A33">
        <f>IF('Ügyfelek'!A33="","",'Ügyfelek'!A33)</f>
        <v/>
      </c>
      <c r="B33">
        <f>IF($A33="","",IF('Ügyfelek'!B33="",'Beállítások'!$B$45,IFERROR(VLOOKUP(TRIM('Ügyfelek'!B33),'Beállítások'!$A$22:$B$41,2,FALSE),'Beállítások'!$B$45)))</f>
        <v/>
      </c>
      <c r="C33">
        <f>IF($A33="","",IF('Ügyfelek'!C33="",'Beállítások'!$B$45,VLOOKUP(MAX('Ügyfelek'!C33,'Beállítások'!$H$7),'Beállítások'!$H$7:$I$11,2,TRUE)))</f>
        <v/>
      </c>
      <c r="D33">
        <f>IF($A33="","",IF('Ügyfelek'!D33="",'Beállítások'!$B$45,VLOOKUP(MAX('Ügyfelek'!D33,'Beállítások'!$K$7),'Beállítások'!$K$7:$L$11,2,TRUE)))</f>
        <v/>
      </c>
      <c r="E33">
        <f>IF($A33="","",IF('Ügyfelek'!L33="",'Beállítások'!$B$45,MIN(5,MAX(1,ROUND('Ügyfelek'!L33,0)))))</f>
        <v/>
      </c>
      <c r="F33">
        <f>IF($A33="","",IF('Ügyfelek'!I33="",'Beállítások'!$B$45,VLOOKUP(MAX('Ügyfelek'!I33,'Beállítások'!$N$7),'Beállítások'!$N$7:$O$11,2,TRUE)))</f>
        <v/>
      </c>
      <c r="G33">
        <f>IF($A33="","",IF('Ügyfelek'!N33="",'Beállítások'!$B$45,MIN(5,MAX(1,ROUND('Ügyfelek'!N33,0)))))</f>
        <v/>
      </c>
      <c r="H33">
        <f>IF($A33="","",IF('Ügyfelek'!J33="",'Beállítások'!$B$45,VLOOKUP(MAX('Ügyfelek'!J33,'Beállítások'!$Q$7),'Beállítások'!$Q$7:$R$11,2,TRUE)))</f>
        <v/>
      </c>
      <c r="I33">
        <f>IF($A33="","",IF('Ügyfelek'!K33="",'Beállítások'!$B$45,VLOOKUP(MAX('Ügyfelek'!K33,'Beállítások'!$T$7),'Beállítások'!$T$7:$U$11,2,TRUE)))</f>
        <v/>
      </c>
      <c r="J33">
        <f>IF($A33="","",IF('Ügyfelek'!M33="",'Beállítások'!$B$45,MIN(5,MAX(1,ROUND('Ügyfelek'!M33,0)))))</f>
        <v/>
      </c>
      <c r="K33">
        <f>IF($A33="","",IF('Ügyfelek'!P33="",'Beállítások'!$B$45,MIN(5,MAX(1,ROUND('Ügyfelek'!P33,0)))))</f>
        <v/>
      </c>
      <c r="L33">
        <f>IF($A33="","",IF('Ügyfelek'!O33="",'Beállítások'!$B$45,MIN(5,MAX(1,ROUND('Ügyfelek'!O33,0)))))</f>
        <v/>
      </c>
      <c r="M33" s="13">
        <f>IF($A33="","",ROUND('Beállítások'!$E$6*(B33-1)/4+'Beállítások'!$E$7*(C33-1)/4+'Beállítások'!$E$8*(D33-1)/4+'Beállítások'!$E$9*(E33-1)/4+'Beállítások'!$E$10*(F33-1)/4+'Beállítások'!$E$11*(G33-1)/4+'Beállítások'!$E$12*(H33-1)/4+'Beállítások'!$E$13*(I33-1)/4+'Beállítások'!$E$14*(J33-1)/4+'Beállítások'!$E$15*(K33-1)/4+'Beállítások'!$E$16*(L33-1)/4,1))</f>
        <v/>
      </c>
      <c r="N33" s="14">
        <f>IF($A33="","",RANK(M33,$M$2:$M$201))</f>
        <v/>
      </c>
      <c r="O33">
        <f>IF($A33="","",VLOOKUP(M33,'Beállítások'!$A$57:$E$60,2,TRUE))</f>
        <v/>
      </c>
      <c r="P33">
        <f>IF($A33="","",VLOOKUP(M33,'Beállítások'!$A$57:$E$60,3,TRUE))</f>
        <v/>
      </c>
      <c r="Q33">
        <f>IF($A33="","",INDEX('Beállítások'!$B$6:$B$16,MATCH(MAX(AD33:AN33),AD33:AN33,0)))</f>
        <v/>
      </c>
      <c r="R33">
        <f>IF($A33="","",IF(MAX(AO33:AY33)=0,"—",INDEX('Beállítások'!$B$6:$B$16,MATCH(MAX(AO33:AY33),AO33:AY33,0))))</f>
        <v/>
      </c>
      <c r="S33" s="5">
        <f>IF($A33="","",'Beállítások'!$B$47*(TRIM('Ügyfelek'!E33)="igen")+'Beállítások'!$B$48*(TRIM('Ügyfelek'!F33)="igen")+'Beállítások'!$B$49*N('Ügyfelek'!G33)+'Beállítások'!$B$46*N('Ügyfelek'!H33))</f>
        <v/>
      </c>
      <c r="T33" s="15">
        <f>IF($A33="","",VLOOKUP(M33,'Beállítások'!$A$57:$E$60,4,TRUE))</f>
        <v/>
      </c>
      <c r="U33" s="5">
        <f>IF($A33="","",N('Ügyfelek'!D33)*'Beállítások'!$B$51)</f>
        <v/>
      </c>
      <c r="V33" s="5">
        <f>IF($A33="","",CEILING(ROUND(MAX('Beállítások'!$B$50,S33*T33,U33),2),'Beállítások'!$B$52))</f>
        <v/>
      </c>
      <c r="W33">
        <f>IF($A33="","",IF(MAX('Beállítások'!$B$50,S33*T33,U33)=S33*T33,"Munkaigény × szintszorzó",IF(MAX('Beállítások'!$B$50,S33*T33,U33)=U33,"Hirdetési keret arányában","Minimumdíj")))</f>
        <v/>
      </c>
      <c r="X33" s="5">
        <f>IF(OR($A33="",'Ügyfelek'!Q33=""),"",'Ügyfelek'!Q33)</f>
        <v/>
      </c>
      <c r="Y33" s="5">
        <f>IF(X33="","",V33-X33)</f>
        <v/>
      </c>
      <c r="Z33" s="16">
        <f>IF(OR(X33="",X33=0),"",Y33/X33)</f>
        <v/>
      </c>
      <c r="AA33" s="5">
        <f>IF(OR($A33="",'Ügyfelek'!R33=""),"",'Ügyfelek'!R33*VLOOKUP(M33,'Beállítások'!$A$57:$E$60,5,TRUE))</f>
        <v/>
      </c>
      <c r="AB33" s="14">
        <f>IF($A33="","",('Ügyfelek'!B33="")+('Ügyfelek'!C33="")+('Ügyfelek'!D33="")+('Ügyfelek'!L33="")+('Ügyfelek'!I33="")+('Ügyfelek'!N33="")+('Ügyfelek'!J33="")+('Ügyfelek'!K33="")+('Ügyfelek'!M33="")+('Ügyfelek'!P33="")+('Ügyfelek'!O33=""))</f>
        <v/>
      </c>
      <c r="AD33">
        <f>IF($A33="","",B33+'Beállítások'!$E$6/1000)</f>
        <v/>
      </c>
      <c r="AE33">
        <f>IF($A33="","",C33+'Beállítások'!$E$7/1000)</f>
        <v/>
      </c>
      <c r="AF33">
        <f>IF($A33="","",D33+'Beállítások'!$E$8/1000)</f>
        <v/>
      </c>
      <c r="AG33">
        <f>IF($A33="","",E33+'Beállítások'!$E$9/1000)</f>
        <v/>
      </c>
      <c r="AH33">
        <f>IF($A33="","",F33+'Beállítások'!$E$10/1000)</f>
        <v/>
      </c>
      <c r="AI33">
        <f>IF($A33="","",G33+'Beállítások'!$E$11/1000)</f>
        <v/>
      </c>
      <c r="AJ33">
        <f>IF($A33="","",H33+'Beállítások'!$E$12/1000)</f>
        <v/>
      </c>
      <c r="AK33">
        <f>IF($A33="","",I33+'Beállítások'!$E$13/1000)</f>
        <v/>
      </c>
      <c r="AL33">
        <f>IF($A33="","",J33+'Beállítások'!$E$14/1000)</f>
        <v/>
      </c>
      <c r="AM33">
        <f>IF($A33="","",K33+'Beállítások'!$E$15/1000)</f>
        <v/>
      </c>
      <c r="AN33">
        <f>IF($A33="","",L33+'Beállítások'!$E$16/1000)</f>
        <v/>
      </c>
      <c r="AO33">
        <f>IF($A33="","",'Beállítások'!$E$6*(5-B33))</f>
        <v/>
      </c>
      <c r="AP33">
        <f>IF($A33="","",'Beállítások'!$E$7*(5-C33))</f>
        <v/>
      </c>
      <c r="AQ33">
        <f>IF($A33="","",'Beállítások'!$E$8*(5-D33))</f>
        <v/>
      </c>
      <c r="AR33">
        <f>IF($A33="","",'Beállítások'!$E$9*(5-E33))</f>
        <v/>
      </c>
      <c r="AS33">
        <f>IF($A33="","",'Beállítások'!$E$10*(5-F33))</f>
        <v/>
      </c>
      <c r="AT33">
        <f>IF($A33="","",'Beállítások'!$E$11*(5-G33))</f>
        <v/>
      </c>
      <c r="AU33">
        <f>IF($A33="","",'Beállítások'!$E$12*(5-H33))</f>
        <v/>
      </c>
      <c r="AV33">
        <f>IF($A33="","",'Beállítások'!$E$13*(5-I33))</f>
        <v/>
      </c>
      <c r="AW33">
        <f>IF($A33="","",'Beállítások'!$E$14*(5-J33))</f>
        <v/>
      </c>
      <c r="AX33">
        <f>IF($A33="","",'Beállítások'!$E$15*(5-K33))</f>
        <v/>
      </c>
      <c r="AY33">
        <f>IF($A33="","",'Beállítások'!$E$16*(5-L33))</f>
        <v/>
      </c>
      <c r="AZ33">
        <f>IF($A33="","",M33-ROW()/100000)</f>
        <v/>
      </c>
    </row>
    <row r="34">
      <c r="A34">
        <f>IF('Ügyfelek'!A34="","",'Ügyfelek'!A34)</f>
        <v/>
      </c>
      <c r="B34">
        <f>IF($A34="","",IF('Ügyfelek'!B34="",'Beállítások'!$B$45,IFERROR(VLOOKUP(TRIM('Ügyfelek'!B34),'Beállítások'!$A$22:$B$41,2,FALSE),'Beállítások'!$B$45)))</f>
        <v/>
      </c>
      <c r="C34">
        <f>IF($A34="","",IF('Ügyfelek'!C34="",'Beállítások'!$B$45,VLOOKUP(MAX('Ügyfelek'!C34,'Beállítások'!$H$7),'Beállítások'!$H$7:$I$11,2,TRUE)))</f>
        <v/>
      </c>
      <c r="D34">
        <f>IF($A34="","",IF('Ügyfelek'!D34="",'Beállítások'!$B$45,VLOOKUP(MAX('Ügyfelek'!D34,'Beállítások'!$K$7),'Beállítások'!$K$7:$L$11,2,TRUE)))</f>
        <v/>
      </c>
      <c r="E34">
        <f>IF($A34="","",IF('Ügyfelek'!L34="",'Beállítások'!$B$45,MIN(5,MAX(1,ROUND('Ügyfelek'!L34,0)))))</f>
        <v/>
      </c>
      <c r="F34">
        <f>IF($A34="","",IF('Ügyfelek'!I34="",'Beállítások'!$B$45,VLOOKUP(MAX('Ügyfelek'!I34,'Beállítások'!$N$7),'Beállítások'!$N$7:$O$11,2,TRUE)))</f>
        <v/>
      </c>
      <c r="G34">
        <f>IF($A34="","",IF('Ügyfelek'!N34="",'Beállítások'!$B$45,MIN(5,MAX(1,ROUND('Ügyfelek'!N34,0)))))</f>
        <v/>
      </c>
      <c r="H34">
        <f>IF($A34="","",IF('Ügyfelek'!J34="",'Beállítások'!$B$45,VLOOKUP(MAX('Ügyfelek'!J34,'Beállítások'!$Q$7),'Beállítások'!$Q$7:$R$11,2,TRUE)))</f>
        <v/>
      </c>
      <c r="I34">
        <f>IF($A34="","",IF('Ügyfelek'!K34="",'Beállítások'!$B$45,VLOOKUP(MAX('Ügyfelek'!K34,'Beállítások'!$T$7),'Beállítások'!$T$7:$U$11,2,TRUE)))</f>
        <v/>
      </c>
      <c r="J34">
        <f>IF($A34="","",IF('Ügyfelek'!M34="",'Beállítások'!$B$45,MIN(5,MAX(1,ROUND('Ügyfelek'!M34,0)))))</f>
        <v/>
      </c>
      <c r="K34">
        <f>IF($A34="","",IF('Ügyfelek'!P34="",'Beállítások'!$B$45,MIN(5,MAX(1,ROUND('Ügyfelek'!P34,0)))))</f>
        <v/>
      </c>
      <c r="L34">
        <f>IF($A34="","",IF('Ügyfelek'!O34="",'Beállítások'!$B$45,MIN(5,MAX(1,ROUND('Ügyfelek'!O34,0)))))</f>
        <v/>
      </c>
      <c r="M34" s="13">
        <f>IF($A34="","",ROUND('Beállítások'!$E$6*(B34-1)/4+'Beállítások'!$E$7*(C34-1)/4+'Beállítások'!$E$8*(D34-1)/4+'Beállítások'!$E$9*(E34-1)/4+'Beállítások'!$E$10*(F34-1)/4+'Beállítások'!$E$11*(G34-1)/4+'Beállítások'!$E$12*(H34-1)/4+'Beállítások'!$E$13*(I34-1)/4+'Beállítások'!$E$14*(J34-1)/4+'Beállítások'!$E$15*(K34-1)/4+'Beállítások'!$E$16*(L34-1)/4,1))</f>
        <v/>
      </c>
      <c r="N34" s="14">
        <f>IF($A34="","",RANK(M34,$M$2:$M$201))</f>
        <v/>
      </c>
      <c r="O34">
        <f>IF($A34="","",VLOOKUP(M34,'Beállítások'!$A$57:$E$60,2,TRUE))</f>
        <v/>
      </c>
      <c r="P34">
        <f>IF($A34="","",VLOOKUP(M34,'Beállítások'!$A$57:$E$60,3,TRUE))</f>
        <v/>
      </c>
      <c r="Q34">
        <f>IF($A34="","",INDEX('Beállítások'!$B$6:$B$16,MATCH(MAX(AD34:AN34),AD34:AN34,0)))</f>
        <v/>
      </c>
      <c r="R34">
        <f>IF($A34="","",IF(MAX(AO34:AY34)=0,"—",INDEX('Beállítások'!$B$6:$B$16,MATCH(MAX(AO34:AY34),AO34:AY34,0))))</f>
        <v/>
      </c>
      <c r="S34" s="5">
        <f>IF($A34="","",'Beállítások'!$B$47*(TRIM('Ügyfelek'!E34)="igen")+'Beállítások'!$B$48*(TRIM('Ügyfelek'!F34)="igen")+'Beállítások'!$B$49*N('Ügyfelek'!G34)+'Beállítások'!$B$46*N('Ügyfelek'!H34))</f>
        <v/>
      </c>
      <c r="T34" s="15">
        <f>IF($A34="","",VLOOKUP(M34,'Beállítások'!$A$57:$E$60,4,TRUE))</f>
        <v/>
      </c>
      <c r="U34" s="5">
        <f>IF($A34="","",N('Ügyfelek'!D34)*'Beállítások'!$B$51)</f>
        <v/>
      </c>
      <c r="V34" s="5">
        <f>IF($A34="","",CEILING(ROUND(MAX('Beállítások'!$B$50,S34*T34,U34),2),'Beállítások'!$B$52))</f>
        <v/>
      </c>
      <c r="W34">
        <f>IF($A34="","",IF(MAX('Beállítások'!$B$50,S34*T34,U34)=S34*T34,"Munkaigény × szintszorzó",IF(MAX('Beállítások'!$B$50,S34*T34,U34)=U34,"Hirdetési keret arányában","Minimumdíj")))</f>
        <v/>
      </c>
      <c r="X34" s="5">
        <f>IF(OR($A34="",'Ügyfelek'!Q34=""),"",'Ügyfelek'!Q34)</f>
        <v/>
      </c>
      <c r="Y34" s="5">
        <f>IF(X34="","",V34-X34)</f>
        <v/>
      </c>
      <c r="Z34" s="16">
        <f>IF(OR(X34="",X34=0),"",Y34/X34)</f>
        <v/>
      </c>
      <c r="AA34" s="5">
        <f>IF(OR($A34="",'Ügyfelek'!R34=""),"",'Ügyfelek'!R34*VLOOKUP(M34,'Beállítások'!$A$57:$E$60,5,TRUE))</f>
        <v/>
      </c>
      <c r="AB34" s="14">
        <f>IF($A34="","",('Ügyfelek'!B34="")+('Ügyfelek'!C34="")+('Ügyfelek'!D34="")+('Ügyfelek'!L34="")+('Ügyfelek'!I34="")+('Ügyfelek'!N34="")+('Ügyfelek'!J34="")+('Ügyfelek'!K34="")+('Ügyfelek'!M34="")+('Ügyfelek'!P34="")+('Ügyfelek'!O34=""))</f>
        <v/>
      </c>
      <c r="AD34">
        <f>IF($A34="","",B34+'Beállítások'!$E$6/1000)</f>
        <v/>
      </c>
      <c r="AE34">
        <f>IF($A34="","",C34+'Beállítások'!$E$7/1000)</f>
        <v/>
      </c>
      <c r="AF34">
        <f>IF($A34="","",D34+'Beállítások'!$E$8/1000)</f>
        <v/>
      </c>
      <c r="AG34">
        <f>IF($A34="","",E34+'Beállítások'!$E$9/1000)</f>
        <v/>
      </c>
      <c r="AH34">
        <f>IF($A34="","",F34+'Beállítások'!$E$10/1000)</f>
        <v/>
      </c>
      <c r="AI34">
        <f>IF($A34="","",G34+'Beállítások'!$E$11/1000)</f>
        <v/>
      </c>
      <c r="AJ34">
        <f>IF($A34="","",H34+'Beállítások'!$E$12/1000)</f>
        <v/>
      </c>
      <c r="AK34">
        <f>IF($A34="","",I34+'Beállítások'!$E$13/1000)</f>
        <v/>
      </c>
      <c r="AL34">
        <f>IF($A34="","",J34+'Beállítások'!$E$14/1000)</f>
        <v/>
      </c>
      <c r="AM34">
        <f>IF($A34="","",K34+'Beállítások'!$E$15/1000)</f>
        <v/>
      </c>
      <c r="AN34">
        <f>IF($A34="","",L34+'Beállítások'!$E$16/1000)</f>
        <v/>
      </c>
      <c r="AO34">
        <f>IF($A34="","",'Beállítások'!$E$6*(5-B34))</f>
        <v/>
      </c>
      <c r="AP34">
        <f>IF($A34="","",'Beállítások'!$E$7*(5-C34))</f>
        <v/>
      </c>
      <c r="AQ34">
        <f>IF($A34="","",'Beállítások'!$E$8*(5-D34))</f>
        <v/>
      </c>
      <c r="AR34">
        <f>IF($A34="","",'Beállítások'!$E$9*(5-E34))</f>
        <v/>
      </c>
      <c r="AS34">
        <f>IF($A34="","",'Beállítások'!$E$10*(5-F34))</f>
        <v/>
      </c>
      <c r="AT34">
        <f>IF($A34="","",'Beállítások'!$E$11*(5-G34))</f>
        <v/>
      </c>
      <c r="AU34">
        <f>IF($A34="","",'Beállítások'!$E$12*(5-H34))</f>
        <v/>
      </c>
      <c r="AV34">
        <f>IF($A34="","",'Beállítások'!$E$13*(5-I34))</f>
        <v/>
      </c>
      <c r="AW34">
        <f>IF($A34="","",'Beállítások'!$E$14*(5-J34))</f>
        <v/>
      </c>
      <c r="AX34">
        <f>IF($A34="","",'Beállítások'!$E$15*(5-K34))</f>
        <v/>
      </c>
      <c r="AY34">
        <f>IF($A34="","",'Beállítások'!$E$16*(5-L34))</f>
        <v/>
      </c>
      <c r="AZ34">
        <f>IF($A34="","",M34-ROW()/100000)</f>
        <v/>
      </c>
    </row>
    <row r="35">
      <c r="A35">
        <f>IF('Ügyfelek'!A35="","",'Ügyfelek'!A35)</f>
        <v/>
      </c>
      <c r="B35">
        <f>IF($A35="","",IF('Ügyfelek'!B35="",'Beállítások'!$B$45,IFERROR(VLOOKUP(TRIM('Ügyfelek'!B35),'Beállítások'!$A$22:$B$41,2,FALSE),'Beállítások'!$B$45)))</f>
        <v/>
      </c>
      <c r="C35">
        <f>IF($A35="","",IF('Ügyfelek'!C35="",'Beállítások'!$B$45,VLOOKUP(MAX('Ügyfelek'!C35,'Beállítások'!$H$7),'Beállítások'!$H$7:$I$11,2,TRUE)))</f>
        <v/>
      </c>
      <c r="D35">
        <f>IF($A35="","",IF('Ügyfelek'!D35="",'Beállítások'!$B$45,VLOOKUP(MAX('Ügyfelek'!D35,'Beállítások'!$K$7),'Beállítások'!$K$7:$L$11,2,TRUE)))</f>
        <v/>
      </c>
      <c r="E35">
        <f>IF($A35="","",IF('Ügyfelek'!L35="",'Beállítások'!$B$45,MIN(5,MAX(1,ROUND('Ügyfelek'!L35,0)))))</f>
        <v/>
      </c>
      <c r="F35">
        <f>IF($A35="","",IF('Ügyfelek'!I35="",'Beállítások'!$B$45,VLOOKUP(MAX('Ügyfelek'!I35,'Beállítások'!$N$7),'Beállítások'!$N$7:$O$11,2,TRUE)))</f>
        <v/>
      </c>
      <c r="G35">
        <f>IF($A35="","",IF('Ügyfelek'!N35="",'Beállítások'!$B$45,MIN(5,MAX(1,ROUND('Ügyfelek'!N35,0)))))</f>
        <v/>
      </c>
      <c r="H35">
        <f>IF($A35="","",IF('Ügyfelek'!J35="",'Beállítások'!$B$45,VLOOKUP(MAX('Ügyfelek'!J35,'Beállítások'!$Q$7),'Beállítások'!$Q$7:$R$11,2,TRUE)))</f>
        <v/>
      </c>
      <c r="I35">
        <f>IF($A35="","",IF('Ügyfelek'!K35="",'Beállítások'!$B$45,VLOOKUP(MAX('Ügyfelek'!K35,'Beállítások'!$T$7),'Beállítások'!$T$7:$U$11,2,TRUE)))</f>
        <v/>
      </c>
      <c r="J35">
        <f>IF($A35="","",IF('Ügyfelek'!M35="",'Beállítások'!$B$45,MIN(5,MAX(1,ROUND('Ügyfelek'!M35,0)))))</f>
        <v/>
      </c>
      <c r="K35">
        <f>IF($A35="","",IF('Ügyfelek'!P35="",'Beállítások'!$B$45,MIN(5,MAX(1,ROUND('Ügyfelek'!P35,0)))))</f>
        <v/>
      </c>
      <c r="L35">
        <f>IF($A35="","",IF('Ügyfelek'!O35="",'Beállítások'!$B$45,MIN(5,MAX(1,ROUND('Ügyfelek'!O35,0)))))</f>
        <v/>
      </c>
      <c r="M35" s="13">
        <f>IF($A35="","",ROUND('Beállítások'!$E$6*(B35-1)/4+'Beállítások'!$E$7*(C35-1)/4+'Beállítások'!$E$8*(D35-1)/4+'Beállítások'!$E$9*(E35-1)/4+'Beállítások'!$E$10*(F35-1)/4+'Beállítások'!$E$11*(G35-1)/4+'Beállítások'!$E$12*(H35-1)/4+'Beállítások'!$E$13*(I35-1)/4+'Beállítások'!$E$14*(J35-1)/4+'Beállítások'!$E$15*(K35-1)/4+'Beállítások'!$E$16*(L35-1)/4,1))</f>
        <v/>
      </c>
      <c r="N35" s="14">
        <f>IF($A35="","",RANK(M35,$M$2:$M$201))</f>
        <v/>
      </c>
      <c r="O35">
        <f>IF($A35="","",VLOOKUP(M35,'Beállítások'!$A$57:$E$60,2,TRUE))</f>
        <v/>
      </c>
      <c r="P35">
        <f>IF($A35="","",VLOOKUP(M35,'Beállítások'!$A$57:$E$60,3,TRUE))</f>
        <v/>
      </c>
      <c r="Q35">
        <f>IF($A35="","",INDEX('Beállítások'!$B$6:$B$16,MATCH(MAX(AD35:AN35),AD35:AN35,0)))</f>
        <v/>
      </c>
      <c r="R35">
        <f>IF($A35="","",IF(MAX(AO35:AY35)=0,"—",INDEX('Beállítások'!$B$6:$B$16,MATCH(MAX(AO35:AY35),AO35:AY35,0))))</f>
        <v/>
      </c>
      <c r="S35" s="5">
        <f>IF($A35="","",'Beállítások'!$B$47*(TRIM('Ügyfelek'!E35)="igen")+'Beállítások'!$B$48*(TRIM('Ügyfelek'!F35)="igen")+'Beállítások'!$B$49*N('Ügyfelek'!G35)+'Beállítások'!$B$46*N('Ügyfelek'!H35))</f>
        <v/>
      </c>
      <c r="T35" s="15">
        <f>IF($A35="","",VLOOKUP(M35,'Beállítások'!$A$57:$E$60,4,TRUE))</f>
        <v/>
      </c>
      <c r="U35" s="5">
        <f>IF($A35="","",N('Ügyfelek'!D35)*'Beállítások'!$B$51)</f>
        <v/>
      </c>
      <c r="V35" s="5">
        <f>IF($A35="","",CEILING(ROUND(MAX('Beállítások'!$B$50,S35*T35,U35),2),'Beállítások'!$B$52))</f>
        <v/>
      </c>
      <c r="W35">
        <f>IF($A35="","",IF(MAX('Beállítások'!$B$50,S35*T35,U35)=S35*T35,"Munkaigény × szintszorzó",IF(MAX('Beállítások'!$B$50,S35*T35,U35)=U35,"Hirdetési keret arányában","Minimumdíj")))</f>
        <v/>
      </c>
      <c r="X35" s="5">
        <f>IF(OR($A35="",'Ügyfelek'!Q35=""),"",'Ügyfelek'!Q35)</f>
        <v/>
      </c>
      <c r="Y35" s="5">
        <f>IF(X35="","",V35-X35)</f>
        <v/>
      </c>
      <c r="Z35" s="16">
        <f>IF(OR(X35="",X35=0),"",Y35/X35)</f>
        <v/>
      </c>
      <c r="AA35" s="5">
        <f>IF(OR($A35="",'Ügyfelek'!R35=""),"",'Ügyfelek'!R35*VLOOKUP(M35,'Beállítások'!$A$57:$E$60,5,TRUE))</f>
        <v/>
      </c>
      <c r="AB35" s="14">
        <f>IF($A35="","",('Ügyfelek'!B35="")+('Ügyfelek'!C35="")+('Ügyfelek'!D35="")+('Ügyfelek'!L35="")+('Ügyfelek'!I35="")+('Ügyfelek'!N35="")+('Ügyfelek'!J35="")+('Ügyfelek'!K35="")+('Ügyfelek'!M35="")+('Ügyfelek'!P35="")+('Ügyfelek'!O35=""))</f>
        <v/>
      </c>
      <c r="AD35">
        <f>IF($A35="","",B35+'Beállítások'!$E$6/1000)</f>
        <v/>
      </c>
      <c r="AE35">
        <f>IF($A35="","",C35+'Beállítások'!$E$7/1000)</f>
        <v/>
      </c>
      <c r="AF35">
        <f>IF($A35="","",D35+'Beállítások'!$E$8/1000)</f>
        <v/>
      </c>
      <c r="AG35">
        <f>IF($A35="","",E35+'Beállítások'!$E$9/1000)</f>
        <v/>
      </c>
      <c r="AH35">
        <f>IF($A35="","",F35+'Beállítások'!$E$10/1000)</f>
        <v/>
      </c>
      <c r="AI35">
        <f>IF($A35="","",G35+'Beállítások'!$E$11/1000)</f>
        <v/>
      </c>
      <c r="AJ35">
        <f>IF($A35="","",H35+'Beállítások'!$E$12/1000)</f>
        <v/>
      </c>
      <c r="AK35">
        <f>IF($A35="","",I35+'Beállítások'!$E$13/1000)</f>
        <v/>
      </c>
      <c r="AL35">
        <f>IF($A35="","",J35+'Beállítások'!$E$14/1000)</f>
        <v/>
      </c>
      <c r="AM35">
        <f>IF($A35="","",K35+'Beállítások'!$E$15/1000)</f>
        <v/>
      </c>
      <c r="AN35">
        <f>IF($A35="","",L35+'Beállítások'!$E$16/1000)</f>
        <v/>
      </c>
      <c r="AO35">
        <f>IF($A35="","",'Beállítások'!$E$6*(5-B35))</f>
        <v/>
      </c>
      <c r="AP35">
        <f>IF($A35="","",'Beállítások'!$E$7*(5-C35))</f>
        <v/>
      </c>
      <c r="AQ35">
        <f>IF($A35="","",'Beállítások'!$E$8*(5-D35))</f>
        <v/>
      </c>
      <c r="AR35">
        <f>IF($A35="","",'Beállítások'!$E$9*(5-E35))</f>
        <v/>
      </c>
      <c r="AS35">
        <f>IF($A35="","",'Beállítások'!$E$10*(5-F35))</f>
        <v/>
      </c>
      <c r="AT35">
        <f>IF($A35="","",'Beállítások'!$E$11*(5-G35))</f>
        <v/>
      </c>
      <c r="AU35">
        <f>IF($A35="","",'Beállítások'!$E$12*(5-H35))</f>
        <v/>
      </c>
      <c r="AV35">
        <f>IF($A35="","",'Beállítások'!$E$13*(5-I35))</f>
        <v/>
      </c>
      <c r="AW35">
        <f>IF($A35="","",'Beállítások'!$E$14*(5-J35))</f>
        <v/>
      </c>
      <c r="AX35">
        <f>IF($A35="","",'Beállítások'!$E$15*(5-K35))</f>
        <v/>
      </c>
      <c r="AY35">
        <f>IF($A35="","",'Beállítások'!$E$16*(5-L35))</f>
        <v/>
      </c>
      <c r="AZ35">
        <f>IF($A35="","",M35-ROW()/100000)</f>
        <v/>
      </c>
    </row>
    <row r="36">
      <c r="A36">
        <f>IF('Ügyfelek'!A36="","",'Ügyfelek'!A36)</f>
        <v/>
      </c>
      <c r="B36">
        <f>IF($A36="","",IF('Ügyfelek'!B36="",'Beállítások'!$B$45,IFERROR(VLOOKUP(TRIM('Ügyfelek'!B36),'Beállítások'!$A$22:$B$41,2,FALSE),'Beállítások'!$B$45)))</f>
        <v/>
      </c>
      <c r="C36">
        <f>IF($A36="","",IF('Ügyfelek'!C36="",'Beállítások'!$B$45,VLOOKUP(MAX('Ügyfelek'!C36,'Beállítások'!$H$7),'Beállítások'!$H$7:$I$11,2,TRUE)))</f>
        <v/>
      </c>
      <c r="D36">
        <f>IF($A36="","",IF('Ügyfelek'!D36="",'Beállítások'!$B$45,VLOOKUP(MAX('Ügyfelek'!D36,'Beállítások'!$K$7),'Beállítások'!$K$7:$L$11,2,TRUE)))</f>
        <v/>
      </c>
      <c r="E36">
        <f>IF($A36="","",IF('Ügyfelek'!L36="",'Beállítások'!$B$45,MIN(5,MAX(1,ROUND('Ügyfelek'!L36,0)))))</f>
        <v/>
      </c>
      <c r="F36">
        <f>IF($A36="","",IF('Ügyfelek'!I36="",'Beállítások'!$B$45,VLOOKUP(MAX('Ügyfelek'!I36,'Beállítások'!$N$7),'Beállítások'!$N$7:$O$11,2,TRUE)))</f>
        <v/>
      </c>
      <c r="G36">
        <f>IF($A36="","",IF('Ügyfelek'!N36="",'Beállítások'!$B$45,MIN(5,MAX(1,ROUND('Ügyfelek'!N36,0)))))</f>
        <v/>
      </c>
      <c r="H36">
        <f>IF($A36="","",IF('Ügyfelek'!J36="",'Beállítások'!$B$45,VLOOKUP(MAX('Ügyfelek'!J36,'Beállítások'!$Q$7),'Beállítások'!$Q$7:$R$11,2,TRUE)))</f>
        <v/>
      </c>
      <c r="I36">
        <f>IF($A36="","",IF('Ügyfelek'!K36="",'Beállítások'!$B$45,VLOOKUP(MAX('Ügyfelek'!K36,'Beállítások'!$T$7),'Beállítások'!$T$7:$U$11,2,TRUE)))</f>
        <v/>
      </c>
      <c r="J36">
        <f>IF($A36="","",IF('Ügyfelek'!M36="",'Beállítások'!$B$45,MIN(5,MAX(1,ROUND('Ügyfelek'!M36,0)))))</f>
        <v/>
      </c>
      <c r="K36">
        <f>IF($A36="","",IF('Ügyfelek'!P36="",'Beállítások'!$B$45,MIN(5,MAX(1,ROUND('Ügyfelek'!P36,0)))))</f>
        <v/>
      </c>
      <c r="L36">
        <f>IF($A36="","",IF('Ügyfelek'!O36="",'Beállítások'!$B$45,MIN(5,MAX(1,ROUND('Ügyfelek'!O36,0)))))</f>
        <v/>
      </c>
      <c r="M36" s="13">
        <f>IF($A36="","",ROUND('Beállítások'!$E$6*(B36-1)/4+'Beállítások'!$E$7*(C36-1)/4+'Beállítások'!$E$8*(D36-1)/4+'Beállítások'!$E$9*(E36-1)/4+'Beállítások'!$E$10*(F36-1)/4+'Beállítások'!$E$11*(G36-1)/4+'Beállítások'!$E$12*(H36-1)/4+'Beállítások'!$E$13*(I36-1)/4+'Beállítások'!$E$14*(J36-1)/4+'Beállítások'!$E$15*(K36-1)/4+'Beállítások'!$E$16*(L36-1)/4,1))</f>
        <v/>
      </c>
      <c r="N36" s="14">
        <f>IF($A36="","",RANK(M36,$M$2:$M$201))</f>
        <v/>
      </c>
      <c r="O36">
        <f>IF($A36="","",VLOOKUP(M36,'Beállítások'!$A$57:$E$60,2,TRUE))</f>
        <v/>
      </c>
      <c r="P36">
        <f>IF($A36="","",VLOOKUP(M36,'Beállítások'!$A$57:$E$60,3,TRUE))</f>
        <v/>
      </c>
      <c r="Q36">
        <f>IF($A36="","",INDEX('Beállítások'!$B$6:$B$16,MATCH(MAX(AD36:AN36),AD36:AN36,0)))</f>
        <v/>
      </c>
      <c r="R36">
        <f>IF($A36="","",IF(MAX(AO36:AY36)=0,"—",INDEX('Beállítások'!$B$6:$B$16,MATCH(MAX(AO36:AY36),AO36:AY36,0))))</f>
        <v/>
      </c>
      <c r="S36" s="5">
        <f>IF($A36="","",'Beállítások'!$B$47*(TRIM('Ügyfelek'!E36)="igen")+'Beállítások'!$B$48*(TRIM('Ügyfelek'!F36)="igen")+'Beállítások'!$B$49*N('Ügyfelek'!G36)+'Beállítások'!$B$46*N('Ügyfelek'!H36))</f>
        <v/>
      </c>
      <c r="T36" s="15">
        <f>IF($A36="","",VLOOKUP(M36,'Beállítások'!$A$57:$E$60,4,TRUE))</f>
        <v/>
      </c>
      <c r="U36" s="5">
        <f>IF($A36="","",N('Ügyfelek'!D36)*'Beállítások'!$B$51)</f>
        <v/>
      </c>
      <c r="V36" s="5">
        <f>IF($A36="","",CEILING(ROUND(MAX('Beállítások'!$B$50,S36*T36,U36),2),'Beállítások'!$B$52))</f>
        <v/>
      </c>
      <c r="W36">
        <f>IF($A36="","",IF(MAX('Beállítások'!$B$50,S36*T36,U36)=S36*T36,"Munkaigény × szintszorzó",IF(MAX('Beállítások'!$B$50,S36*T36,U36)=U36,"Hirdetési keret arányában","Minimumdíj")))</f>
        <v/>
      </c>
      <c r="X36" s="5">
        <f>IF(OR($A36="",'Ügyfelek'!Q36=""),"",'Ügyfelek'!Q36)</f>
        <v/>
      </c>
      <c r="Y36" s="5">
        <f>IF(X36="","",V36-X36)</f>
        <v/>
      </c>
      <c r="Z36" s="16">
        <f>IF(OR(X36="",X36=0),"",Y36/X36)</f>
        <v/>
      </c>
      <c r="AA36" s="5">
        <f>IF(OR($A36="",'Ügyfelek'!R36=""),"",'Ügyfelek'!R36*VLOOKUP(M36,'Beállítások'!$A$57:$E$60,5,TRUE))</f>
        <v/>
      </c>
      <c r="AB36" s="14">
        <f>IF($A36="","",('Ügyfelek'!B36="")+('Ügyfelek'!C36="")+('Ügyfelek'!D36="")+('Ügyfelek'!L36="")+('Ügyfelek'!I36="")+('Ügyfelek'!N36="")+('Ügyfelek'!J36="")+('Ügyfelek'!K36="")+('Ügyfelek'!M36="")+('Ügyfelek'!P36="")+('Ügyfelek'!O36=""))</f>
        <v/>
      </c>
      <c r="AD36">
        <f>IF($A36="","",B36+'Beállítások'!$E$6/1000)</f>
        <v/>
      </c>
      <c r="AE36">
        <f>IF($A36="","",C36+'Beállítások'!$E$7/1000)</f>
        <v/>
      </c>
      <c r="AF36">
        <f>IF($A36="","",D36+'Beállítások'!$E$8/1000)</f>
        <v/>
      </c>
      <c r="AG36">
        <f>IF($A36="","",E36+'Beállítások'!$E$9/1000)</f>
        <v/>
      </c>
      <c r="AH36">
        <f>IF($A36="","",F36+'Beállítások'!$E$10/1000)</f>
        <v/>
      </c>
      <c r="AI36">
        <f>IF($A36="","",G36+'Beállítások'!$E$11/1000)</f>
        <v/>
      </c>
      <c r="AJ36">
        <f>IF($A36="","",H36+'Beállítások'!$E$12/1000)</f>
        <v/>
      </c>
      <c r="AK36">
        <f>IF($A36="","",I36+'Beállítások'!$E$13/1000)</f>
        <v/>
      </c>
      <c r="AL36">
        <f>IF($A36="","",J36+'Beállítások'!$E$14/1000)</f>
        <v/>
      </c>
      <c r="AM36">
        <f>IF($A36="","",K36+'Beállítások'!$E$15/1000)</f>
        <v/>
      </c>
      <c r="AN36">
        <f>IF($A36="","",L36+'Beállítások'!$E$16/1000)</f>
        <v/>
      </c>
      <c r="AO36">
        <f>IF($A36="","",'Beállítások'!$E$6*(5-B36))</f>
        <v/>
      </c>
      <c r="AP36">
        <f>IF($A36="","",'Beállítások'!$E$7*(5-C36))</f>
        <v/>
      </c>
      <c r="AQ36">
        <f>IF($A36="","",'Beállítások'!$E$8*(5-D36))</f>
        <v/>
      </c>
      <c r="AR36">
        <f>IF($A36="","",'Beállítások'!$E$9*(5-E36))</f>
        <v/>
      </c>
      <c r="AS36">
        <f>IF($A36="","",'Beállítások'!$E$10*(5-F36))</f>
        <v/>
      </c>
      <c r="AT36">
        <f>IF($A36="","",'Beállítások'!$E$11*(5-G36))</f>
        <v/>
      </c>
      <c r="AU36">
        <f>IF($A36="","",'Beállítások'!$E$12*(5-H36))</f>
        <v/>
      </c>
      <c r="AV36">
        <f>IF($A36="","",'Beállítások'!$E$13*(5-I36))</f>
        <v/>
      </c>
      <c r="AW36">
        <f>IF($A36="","",'Beállítások'!$E$14*(5-J36))</f>
        <v/>
      </c>
      <c r="AX36">
        <f>IF($A36="","",'Beállítások'!$E$15*(5-K36))</f>
        <v/>
      </c>
      <c r="AY36">
        <f>IF($A36="","",'Beállítások'!$E$16*(5-L36))</f>
        <v/>
      </c>
      <c r="AZ36">
        <f>IF($A36="","",M36-ROW()/100000)</f>
        <v/>
      </c>
    </row>
    <row r="37">
      <c r="A37">
        <f>IF('Ügyfelek'!A37="","",'Ügyfelek'!A37)</f>
        <v/>
      </c>
      <c r="B37">
        <f>IF($A37="","",IF('Ügyfelek'!B37="",'Beállítások'!$B$45,IFERROR(VLOOKUP(TRIM('Ügyfelek'!B37),'Beállítások'!$A$22:$B$41,2,FALSE),'Beállítások'!$B$45)))</f>
        <v/>
      </c>
      <c r="C37">
        <f>IF($A37="","",IF('Ügyfelek'!C37="",'Beállítások'!$B$45,VLOOKUP(MAX('Ügyfelek'!C37,'Beállítások'!$H$7),'Beállítások'!$H$7:$I$11,2,TRUE)))</f>
        <v/>
      </c>
      <c r="D37">
        <f>IF($A37="","",IF('Ügyfelek'!D37="",'Beállítások'!$B$45,VLOOKUP(MAX('Ügyfelek'!D37,'Beállítások'!$K$7),'Beállítások'!$K$7:$L$11,2,TRUE)))</f>
        <v/>
      </c>
      <c r="E37">
        <f>IF($A37="","",IF('Ügyfelek'!L37="",'Beállítások'!$B$45,MIN(5,MAX(1,ROUND('Ügyfelek'!L37,0)))))</f>
        <v/>
      </c>
      <c r="F37">
        <f>IF($A37="","",IF('Ügyfelek'!I37="",'Beállítások'!$B$45,VLOOKUP(MAX('Ügyfelek'!I37,'Beállítások'!$N$7),'Beállítások'!$N$7:$O$11,2,TRUE)))</f>
        <v/>
      </c>
      <c r="G37">
        <f>IF($A37="","",IF('Ügyfelek'!N37="",'Beállítások'!$B$45,MIN(5,MAX(1,ROUND('Ügyfelek'!N37,0)))))</f>
        <v/>
      </c>
      <c r="H37">
        <f>IF($A37="","",IF('Ügyfelek'!J37="",'Beállítások'!$B$45,VLOOKUP(MAX('Ügyfelek'!J37,'Beállítások'!$Q$7),'Beállítások'!$Q$7:$R$11,2,TRUE)))</f>
        <v/>
      </c>
      <c r="I37">
        <f>IF($A37="","",IF('Ügyfelek'!K37="",'Beállítások'!$B$45,VLOOKUP(MAX('Ügyfelek'!K37,'Beállítások'!$T$7),'Beállítások'!$T$7:$U$11,2,TRUE)))</f>
        <v/>
      </c>
      <c r="J37">
        <f>IF($A37="","",IF('Ügyfelek'!M37="",'Beállítások'!$B$45,MIN(5,MAX(1,ROUND('Ügyfelek'!M37,0)))))</f>
        <v/>
      </c>
      <c r="K37">
        <f>IF($A37="","",IF('Ügyfelek'!P37="",'Beállítások'!$B$45,MIN(5,MAX(1,ROUND('Ügyfelek'!P37,0)))))</f>
        <v/>
      </c>
      <c r="L37">
        <f>IF($A37="","",IF('Ügyfelek'!O37="",'Beállítások'!$B$45,MIN(5,MAX(1,ROUND('Ügyfelek'!O37,0)))))</f>
        <v/>
      </c>
      <c r="M37" s="13">
        <f>IF($A37="","",ROUND('Beállítások'!$E$6*(B37-1)/4+'Beállítások'!$E$7*(C37-1)/4+'Beállítások'!$E$8*(D37-1)/4+'Beállítások'!$E$9*(E37-1)/4+'Beállítások'!$E$10*(F37-1)/4+'Beállítások'!$E$11*(G37-1)/4+'Beállítások'!$E$12*(H37-1)/4+'Beállítások'!$E$13*(I37-1)/4+'Beállítások'!$E$14*(J37-1)/4+'Beállítások'!$E$15*(K37-1)/4+'Beállítások'!$E$16*(L37-1)/4,1))</f>
        <v/>
      </c>
      <c r="N37" s="14">
        <f>IF($A37="","",RANK(M37,$M$2:$M$201))</f>
        <v/>
      </c>
      <c r="O37">
        <f>IF($A37="","",VLOOKUP(M37,'Beállítások'!$A$57:$E$60,2,TRUE))</f>
        <v/>
      </c>
      <c r="P37">
        <f>IF($A37="","",VLOOKUP(M37,'Beállítások'!$A$57:$E$60,3,TRUE))</f>
        <v/>
      </c>
      <c r="Q37">
        <f>IF($A37="","",INDEX('Beállítások'!$B$6:$B$16,MATCH(MAX(AD37:AN37),AD37:AN37,0)))</f>
        <v/>
      </c>
      <c r="R37">
        <f>IF($A37="","",IF(MAX(AO37:AY37)=0,"—",INDEX('Beállítások'!$B$6:$B$16,MATCH(MAX(AO37:AY37),AO37:AY37,0))))</f>
        <v/>
      </c>
      <c r="S37" s="5">
        <f>IF($A37="","",'Beállítások'!$B$47*(TRIM('Ügyfelek'!E37)="igen")+'Beállítások'!$B$48*(TRIM('Ügyfelek'!F37)="igen")+'Beállítások'!$B$49*N('Ügyfelek'!G37)+'Beállítások'!$B$46*N('Ügyfelek'!H37))</f>
        <v/>
      </c>
      <c r="T37" s="15">
        <f>IF($A37="","",VLOOKUP(M37,'Beállítások'!$A$57:$E$60,4,TRUE))</f>
        <v/>
      </c>
      <c r="U37" s="5">
        <f>IF($A37="","",N('Ügyfelek'!D37)*'Beállítások'!$B$51)</f>
        <v/>
      </c>
      <c r="V37" s="5">
        <f>IF($A37="","",CEILING(ROUND(MAX('Beállítások'!$B$50,S37*T37,U37),2),'Beállítások'!$B$52))</f>
        <v/>
      </c>
      <c r="W37">
        <f>IF($A37="","",IF(MAX('Beállítások'!$B$50,S37*T37,U37)=S37*T37,"Munkaigény × szintszorzó",IF(MAX('Beállítások'!$B$50,S37*T37,U37)=U37,"Hirdetési keret arányában","Minimumdíj")))</f>
        <v/>
      </c>
      <c r="X37" s="5">
        <f>IF(OR($A37="",'Ügyfelek'!Q37=""),"",'Ügyfelek'!Q37)</f>
        <v/>
      </c>
      <c r="Y37" s="5">
        <f>IF(X37="","",V37-X37)</f>
        <v/>
      </c>
      <c r="Z37" s="16">
        <f>IF(OR(X37="",X37=0),"",Y37/X37)</f>
        <v/>
      </c>
      <c r="AA37" s="5">
        <f>IF(OR($A37="",'Ügyfelek'!R37=""),"",'Ügyfelek'!R37*VLOOKUP(M37,'Beállítások'!$A$57:$E$60,5,TRUE))</f>
        <v/>
      </c>
      <c r="AB37" s="14">
        <f>IF($A37="","",('Ügyfelek'!B37="")+('Ügyfelek'!C37="")+('Ügyfelek'!D37="")+('Ügyfelek'!L37="")+('Ügyfelek'!I37="")+('Ügyfelek'!N37="")+('Ügyfelek'!J37="")+('Ügyfelek'!K37="")+('Ügyfelek'!M37="")+('Ügyfelek'!P37="")+('Ügyfelek'!O37=""))</f>
        <v/>
      </c>
      <c r="AD37">
        <f>IF($A37="","",B37+'Beállítások'!$E$6/1000)</f>
        <v/>
      </c>
      <c r="AE37">
        <f>IF($A37="","",C37+'Beállítások'!$E$7/1000)</f>
        <v/>
      </c>
      <c r="AF37">
        <f>IF($A37="","",D37+'Beállítások'!$E$8/1000)</f>
        <v/>
      </c>
      <c r="AG37">
        <f>IF($A37="","",E37+'Beállítások'!$E$9/1000)</f>
        <v/>
      </c>
      <c r="AH37">
        <f>IF($A37="","",F37+'Beállítások'!$E$10/1000)</f>
        <v/>
      </c>
      <c r="AI37">
        <f>IF($A37="","",G37+'Beállítások'!$E$11/1000)</f>
        <v/>
      </c>
      <c r="AJ37">
        <f>IF($A37="","",H37+'Beállítások'!$E$12/1000)</f>
        <v/>
      </c>
      <c r="AK37">
        <f>IF($A37="","",I37+'Beállítások'!$E$13/1000)</f>
        <v/>
      </c>
      <c r="AL37">
        <f>IF($A37="","",J37+'Beállítások'!$E$14/1000)</f>
        <v/>
      </c>
      <c r="AM37">
        <f>IF($A37="","",K37+'Beállítások'!$E$15/1000)</f>
        <v/>
      </c>
      <c r="AN37">
        <f>IF($A37="","",L37+'Beállítások'!$E$16/1000)</f>
        <v/>
      </c>
      <c r="AO37">
        <f>IF($A37="","",'Beállítások'!$E$6*(5-B37))</f>
        <v/>
      </c>
      <c r="AP37">
        <f>IF($A37="","",'Beállítások'!$E$7*(5-C37))</f>
        <v/>
      </c>
      <c r="AQ37">
        <f>IF($A37="","",'Beállítások'!$E$8*(5-D37))</f>
        <v/>
      </c>
      <c r="AR37">
        <f>IF($A37="","",'Beállítások'!$E$9*(5-E37))</f>
        <v/>
      </c>
      <c r="AS37">
        <f>IF($A37="","",'Beállítások'!$E$10*(5-F37))</f>
        <v/>
      </c>
      <c r="AT37">
        <f>IF($A37="","",'Beállítások'!$E$11*(5-G37))</f>
        <v/>
      </c>
      <c r="AU37">
        <f>IF($A37="","",'Beállítások'!$E$12*(5-H37))</f>
        <v/>
      </c>
      <c r="AV37">
        <f>IF($A37="","",'Beállítások'!$E$13*(5-I37))</f>
        <v/>
      </c>
      <c r="AW37">
        <f>IF($A37="","",'Beállítások'!$E$14*(5-J37))</f>
        <v/>
      </c>
      <c r="AX37">
        <f>IF($A37="","",'Beállítások'!$E$15*(5-K37))</f>
        <v/>
      </c>
      <c r="AY37">
        <f>IF($A37="","",'Beállítások'!$E$16*(5-L37))</f>
        <v/>
      </c>
      <c r="AZ37">
        <f>IF($A37="","",M37-ROW()/100000)</f>
        <v/>
      </c>
    </row>
    <row r="38">
      <c r="A38">
        <f>IF('Ügyfelek'!A38="","",'Ügyfelek'!A38)</f>
        <v/>
      </c>
      <c r="B38">
        <f>IF($A38="","",IF('Ügyfelek'!B38="",'Beállítások'!$B$45,IFERROR(VLOOKUP(TRIM('Ügyfelek'!B38),'Beállítások'!$A$22:$B$41,2,FALSE),'Beállítások'!$B$45)))</f>
        <v/>
      </c>
      <c r="C38">
        <f>IF($A38="","",IF('Ügyfelek'!C38="",'Beállítások'!$B$45,VLOOKUP(MAX('Ügyfelek'!C38,'Beállítások'!$H$7),'Beállítások'!$H$7:$I$11,2,TRUE)))</f>
        <v/>
      </c>
      <c r="D38">
        <f>IF($A38="","",IF('Ügyfelek'!D38="",'Beállítások'!$B$45,VLOOKUP(MAX('Ügyfelek'!D38,'Beállítások'!$K$7),'Beállítások'!$K$7:$L$11,2,TRUE)))</f>
        <v/>
      </c>
      <c r="E38">
        <f>IF($A38="","",IF('Ügyfelek'!L38="",'Beállítások'!$B$45,MIN(5,MAX(1,ROUND('Ügyfelek'!L38,0)))))</f>
        <v/>
      </c>
      <c r="F38">
        <f>IF($A38="","",IF('Ügyfelek'!I38="",'Beállítások'!$B$45,VLOOKUP(MAX('Ügyfelek'!I38,'Beállítások'!$N$7),'Beállítások'!$N$7:$O$11,2,TRUE)))</f>
        <v/>
      </c>
      <c r="G38">
        <f>IF($A38="","",IF('Ügyfelek'!N38="",'Beállítások'!$B$45,MIN(5,MAX(1,ROUND('Ügyfelek'!N38,0)))))</f>
        <v/>
      </c>
      <c r="H38">
        <f>IF($A38="","",IF('Ügyfelek'!J38="",'Beállítások'!$B$45,VLOOKUP(MAX('Ügyfelek'!J38,'Beállítások'!$Q$7),'Beállítások'!$Q$7:$R$11,2,TRUE)))</f>
        <v/>
      </c>
      <c r="I38">
        <f>IF($A38="","",IF('Ügyfelek'!K38="",'Beállítások'!$B$45,VLOOKUP(MAX('Ügyfelek'!K38,'Beállítások'!$T$7),'Beállítások'!$T$7:$U$11,2,TRUE)))</f>
        <v/>
      </c>
      <c r="J38">
        <f>IF($A38="","",IF('Ügyfelek'!M38="",'Beállítások'!$B$45,MIN(5,MAX(1,ROUND('Ügyfelek'!M38,0)))))</f>
        <v/>
      </c>
      <c r="K38">
        <f>IF($A38="","",IF('Ügyfelek'!P38="",'Beállítások'!$B$45,MIN(5,MAX(1,ROUND('Ügyfelek'!P38,0)))))</f>
        <v/>
      </c>
      <c r="L38">
        <f>IF($A38="","",IF('Ügyfelek'!O38="",'Beállítások'!$B$45,MIN(5,MAX(1,ROUND('Ügyfelek'!O38,0)))))</f>
        <v/>
      </c>
      <c r="M38" s="13">
        <f>IF($A38="","",ROUND('Beállítások'!$E$6*(B38-1)/4+'Beállítások'!$E$7*(C38-1)/4+'Beállítások'!$E$8*(D38-1)/4+'Beállítások'!$E$9*(E38-1)/4+'Beállítások'!$E$10*(F38-1)/4+'Beállítások'!$E$11*(G38-1)/4+'Beállítások'!$E$12*(H38-1)/4+'Beállítások'!$E$13*(I38-1)/4+'Beállítások'!$E$14*(J38-1)/4+'Beállítások'!$E$15*(K38-1)/4+'Beállítások'!$E$16*(L38-1)/4,1))</f>
        <v/>
      </c>
      <c r="N38" s="14">
        <f>IF($A38="","",RANK(M38,$M$2:$M$201))</f>
        <v/>
      </c>
      <c r="O38">
        <f>IF($A38="","",VLOOKUP(M38,'Beállítások'!$A$57:$E$60,2,TRUE))</f>
        <v/>
      </c>
      <c r="P38">
        <f>IF($A38="","",VLOOKUP(M38,'Beállítások'!$A$57:$E$60,3,TRUE))</f>
        <v/>
      </c>
      <c r="Q38">
        <f>IF($A38="","",INDEX('Beállítások'!$B$6:$B$16,MATCH(MAX(AD38:AN38),AD38:AN38,0)))</f>
        <v/>
      </c>
      <c r="R38">
        <f>IF($A38="","",IF(MAX(AO38:AY38)=0,"—",INDEX('Beállítások'!$B$6:$B$16,MATCH(MAX(AO38:AY38),AO38:AY38,0))))</f>
        <v/>
      </c>
      <c r="S38" s="5">
        <f>IF($A38="","",'Beállítások'!$B$47*(TRIM('Ügyfelek'!E38)="igen")+'Beállítások'!$B$48*(TRIM('Ügyfelek'!F38)="igen")+'Beállítások'!$B$49*N('Ügyfelek'!G38)+'Beállítások'!$B$46*N('Ügyfelek'!H38))</f>
        <v/>
      </c>
      <c r="T38" s="15">
        <f>IF($A38="","",VLOOKUP(M38,'Beállítások'!$A$57:$E$60,4,TRUE))</f>
        <v/>
      </c>
      <c r="U38" s="5">
        <f>IF($A38="","",N('Ügyfelek'!D38)*'Beállítások'!$B$51)</f>
        <v/>
      </c>
      <c r="V38" s="5">
        <f>IF($A38="","",CEILING(ROUND(MAX('Beállítások'!$B$50,S38*T38,U38),2),'Beállítások'!$B$52))</f>
        <v/>
      </c>
      <c r="W38">
        <f>IF($A38="","",IF(MAX('Beállítások'!$B$50,S38*T38,U38)=S38*T38,"Munkaigény × szintszorzó",IF(MAX('Beállítások'!$B$50,S38*T38,U38)=U38,"Hirdetési keret arányában","Minimumdíj")))</f>
        <v/>
      </c>
      <c r="X38" s="5">
        <f>IF(OR($A38="",'Ügyfelek'!Q38=""),"",'Ügyfelek'!Q38)</f>
        <v/>
      </c>
      <c r="Y38" s="5">
        <f>IF(X38="","",V38-X38)</f>
        <v/>
      </c>
      <c r="Z38" s="16">
        <f>IF(OR(X38="",X38=0),"",Y38/X38)</f>
        <v/>
      </c>
      <c r="AA38" s="5">
        <f>IF(OR($A38="",'Ügyfelek'!R38=""),"",'Ügyfelek'!R38*VLOOKUP(M38,'Beállítások'!$A$57:$E$60,5,TRUE))</f>
        <v/>
      </c>
      <c r="AB38" s="14">
        <f>IF($A38="","",('Ügyfelek'!B38="")+('Ügyfelek'!C38="")+('Ügyfelek'!D38="")+('Ügyfelek'!L38="")+('Ügyfelek'!I38="")+('Ügyfelek'!N38="")+('Ügyfelek'!J38="")+('Ügyfelek'!K38="")+('Ügyfelek'!M38="")+('Ügyfelek'!P38="")+('Ügyfelek'!O38=""))</f>
        <v/>
      </c>
      <c r="AD38">
        <f>IF($A38="","",B38+'Beállítások'!$E$6/1000)</f>
        <v/>
      </c>
      <c r="AE38">
        <f>IF($A38="","",C38+'Beállítások'!$E$7/1000)</f>
        <v/>
      </c>
      <c r="AF38">
        <f>IF($A38="","",D38+'Beállítások'!$E$8/1000)</f>
        <v/>
      </c>
      <c r="AG38">
        <f>IF($A38="","",E38+'Beállítások'!$E$9/1000)</f>
        <v/>
      </c>
      <c r="AH38">
        <f>IF($A38="","",F38+'Beállítások'!$E$10/1000)</f>
        <v/>
      </c>
      <c r="AI38">
        <f>IF($A38="","",G38+'Beállítások'!$E$11/1000)</f>
        <v/>
      </c>
      <c r="AJ38">
        <f>IF($A38="","",H38+'Beállítások'!$E$12/1000)</f>
        <v/>
      </c>
      <c r="AK38">
        <f>IF($A38="","",I38+'Beállítások'!$E$13/1000)</f>
        <v/>
      </c>
      <c r="AL38">
        <f>IF($A38="","",J38+'Beállítások'!$E$14/1000)</f>
        <v/>
      </c>
      <c r="AM38">
        <f>IF($A38="","",K38+'Beállítások'!$E$15/1000)</f>
        <v/>
      </c>
      <c r="AN38">
        <f>IF($A38="","",L38+'Beállítások'!$E$16/1000)</f>
        <v/>
      </c>
      <c r="AO38">
        <f>IF($A38="","",'Beállítások'!$E$6*(5-B38))</f>
        <v/>
      </c>
      <c r="AP38">
        <f>IF($A38="","",'Beállítások'!$E$7*(5-C38))</f>
        <v/>
      </c>
      <c r="AQ38">
        <f>IF($A38="","",'Beállítások'!$E$8*(5-D38))</f>
        <v/>
      </c>
      <c r="AR38">
        <f>IF($A38="","",'Beállítások'!$E$9*(5-E38))</f>
        <v/>
      </c>
      <c r="AS38">
        <f>IF($A38="","",'Beállítások'!$E$10*(5-F38))</f>
        <v/>
      </c>
      <c r="AT38">
        <f>IF($A38="","",'Beállítások'!$E$11*(5-G38))</f>
        <v/>
      </c>
      <c r="AU38">
        <f>IF($A38="","",'Beállítások'!$E$12*(5-H38))</f>
        <v/>
      </c>
      <c r="AV38">
        <f>IF($A38="","",'Beállítások'!$E$13*(5-I38))</f>
        <v/>
      </c>
      <c r="AW38">
        <f>IF($A38="","",'Beállítások'!$E$14*(5-J38))</f>
        <v/>
      </c>
      <c r="AX38">
        <f>IF($A38="","",'Beállítások'!$E$15*(5-K38))</f>
        <v/>
      </c>
      <c r="AY38">
        <f>IF($A38="","",'Beállítások'!$E$16*(5-L38))</f>
        <v/>
      </c>
      <c r="AZ38">
        <f>IF($A38="","",M38-ROW()/100000)</f>
        <v/>
      </c>
    </row>
    <row r="39">
      <c r="A39">
        <f>IF('Ügyfelek'!A39="","",'Ügyfelek'!A39)</f>
        <v/>
      </c>
      <c r="B39">
        <f>IF($A39="","",IF('Ügyfelek'!B39="",'Beállítások'!$B$45,IFERROR(VLOOKUP(TRIM('Ügyfelek'!B39),'Beállítások'!$A$22:$B$41,2,FALSE),'Beállítások'!$B$45)))</f>
        <v/>
      </c>
      <c r="C39">
        <f>IF($A39="","",IF('Ügyfelek'!C39="",'Beállítások'!$B$45,VLOOKUP(MAX('Ügyfelek'!C39,'Beállítások'!$H$7),'Beállítások'!$H$7:$I$11,2,TRUE)))</f>
        <v/>
      </c>
      <c r="D39">
        <f>IF($A39="","",IF('Ügyfelek'!D39="",'Beállítások'!$B$45,VLOOKUP(MAX('Ügyfelek'!D39,'Beállítások'!$K$7),'Beállítások'!$K$7:$L$11,2,TRUE)))</f>
        <v/>
      </c>
      <c r="E39">
        <f>IF($A39="","",IF('Ügyfelek'!L39="",'Beállítások'!$B$45,MIN(5,MAX(1,ROUND('Ügyfelek'!L39,0)))))</f>
        <v/>
      </c>
      <c r="F39">
        <f>IF($A39="","",IF('Ügyfelek'!I39="",'Beállítások'!$B$45,VLOOKUP(MAX('Ügyfelek'!I39,'Beállítások'!$N$7),'Beállítások'!$N$7:$O$11,2,TRUE)))</f>
        <v/>
      </c>
      <c r="G39">
        <f>IF($A39="","",IF('Ügyfelek'!N39="",'Beállítások'!$B$45,MIN(5,MAX(1,ROUND('Ügyfelek'!N39,0)))))</f>
        <v/>
      </c>
      <c r="H39">
        <f>IF($A39="","",IF('Ügyfelek'!J39="",'Beállítások'!$B$45,VLOOKUP(MAX('Ügyfelek'!J39,'Beállítások'!$Q$7),'Beállítások'!$Q$7:$R$11,2,TRUE)))</f>
        <v/>
      </c>
      <c r="I39">
        <f>IF($A39="","",IF('Ügyfelek'!K39="",'Beállítások'!$B$45,VLOOKUP(MAX('Ügyfelek'!K39,'Beállítások'!$T$7),'Beállítások'!$T$7:$U$11,2,TRUE)))</f>
        <v/>
      </c>
      <c r="J39">
        <f>IF($A39="","",IF('Ügyfelek'!M39="",'Beállítások'!$B$45,MIN(5,MAX(1,ROUND('Ügyfelek'!M39,0)))))</f>
        <v/>
      </c>
      <c r="K39">
        <f>IF($A39="","",IF('Ügyfelek'!P39="",'Beállítások'!$B$45,MIN(5,MAX(1,ROUND('Ügyfelek'!P39,0)))))</f>
        <v/>
      </c>
      <c r="L39">
        <f>IF($A39="","",IF('Ügyfelek'!O39="",'Beállítások'!$B$45,MIN(5,MAX(1,ROUND('Ügyfelek'!O39,0)))))</f>
        <v/>
      </c>
      <c r="M39" s="13">
        <f>IF($A39="","",ROUND('Beállítások'!$E$6*(B39-1)/4+'Beállítások'!$E$7*(C39-1)/4+'Beállítások'!$E$8*(D39-1)/4+'Beállítások'!$E$9*(E39-1)/4+'Beállítások'!$E$10*(F39-1)/4+'Beállítások'!$E$11*(G39-1)/4+'Beállítások'!$E$12*(H39-1)/4+'Beállítások'!$E$13*(I39-1)/4+'Beállítások'!$E$14*(J39-1)/4+'Beállítások'!$E$15*(K39-1)/4+'Beállítások'!$E$16*(L39-1)/4,1))</f>
        <v/>
      </c>
      <c r="N39" s="14">
        <f>IF($A39="","",RANK(M39,$M$2:$M$201))</f>
        <v/>
      </c>
      <c r="O39">
        <f>IF($A39="","",VLOOKUP(M39,'Beállítások'!$A$57:$E$60,2,TRUE))</f>
        <v/>
      </c>
      <c r="P39">
        <f>IF($A39="","",VLOOKUP(M39,'Beállítások'!$A$57:$E$60,3,TRUE))</f>
        <v/>
      </c>
      <c r="Q39">
        <f>IF($A39="","",INDEX('Beállítások'!$B$6:$B$16,MATCH(MAX(AD39:AN39),AD39:AN39,0)))</f>
        <v/>
      </c>
      <c r="R39">
        <f>IF($A39="","",IF(MAX(AO39:AY39)=0,"—",INDEX('Beállítások'!$B$6:$B$16,MATCH(MAX(AO39:AY39),AO39:AY39,0))))</f>
        <v/>
      </c>
      <c r="S39" s="5">
        <f>IF($A39="","",'Beállítások'!$B$47*(TRIM('Ügyfelek'!E39)="igen")+'Beállítások'!$B$48*(TRIM('Ügyfelek'!F39)="igen")+'Beállítások'!$B$49*N('Ügyfelek'!G39)+'Beállítások'!$B$46*N('Ügyfelek'!H39))</f>
        <v/>
      </c>
      <c r="T39" s="15">
        <f>IF($A39="","",VLOOKUP(M39,'Beállítások'!$A$57:$E$60,4,TRUE))</f>
        <v/>
      </c>
      <c r="U39" s="5">
        <f>IF($A39="","",N('Ügyfelek'!D39)*'Beállítások'!$B$51)</f>
        <v/>
      </c>
      <c r="V39" s="5">
        <f>IF($A39="","",CEILING(ROUND(MAX('Beállítások'!$B$50,S39*T39,U39),2),'Beállítások'!$B$52))</f>
        <v/>
      </c>
      <c r="W39">
        <f>IF($A39="","",IF(MAX('Beállítások'!$B$50,S39*T39,U39)=S39*T39,"Munkaigény × szintszorzó",IF(MAX('Beállítások'!$B$50,S39*T39,U39)=U39,"Hirdetési keret arányában","Minimumdíj")))</f>
        <v/>
      </c>
      <c r="X39" s="5">
        <f>IF(OR($A39="",'Ügyfelek'!Q39=""),"",'Ügyfelek'!Q39)</f>
        <v/>
      </c>
      <c r="Y39" s="5">
        <f>IF(X39="","",V39-X39)</f>
        <v/>
      </c>
      <c r="Z39" s="16">
        <f>IF(OR(X39="",X39=0),"",Y39/X39)</f>
        <v/>
      </c>
      <c r="AA39" s="5">
        <f>IF(OR($A39="",'Ügyfelek'!R39=""),"",'Ügyfelek'!R39*VLOOKUP(M39,'Beállítások'!$A$57:$E$60,5,TRUE))</f>
        <v/>
      </c>
      <c r="AB39" s="14">
        <f>IF($A39="","",('Ügyfelek'!B39="")+('Ügyfelek'!C39="")+('Ügyfelek'!D39="")+('Ügyfelek'!L39="")+('Ügyfelek'!I39="")+('Ügyfelek'!N39="")+('Ügyfelek'!J39="")+('Ügyfelek'!K39="")+('Ügyfelek'!M39="")+('Ügyfelek'!P39="")+('Ügyfelek'!O39=""))</f>
        <v/>
      </c>
      <c r="AD39">
        <f>IF($A39="","",B39+'Beállítások'!$E$6/1000)</f>
        <v/>
      </c>
      <c r="AE39">
        <f>IF($A39="","",C39+'Beállítások'!$E$7/1000)</f>
        <v/>
      </c>
      <c r="AF39">
        <f>IF($A39="","",D39+'Beállítások'!$E$8/1000)</f>
        <v/>
      </c>
      <c r="AG39">
        <f>IF($A39="","",E39+'Beállítások'!$E$9/1000)</f>
        <v/>
      </c>
      <c r="AH39">
        <f>IF($A39="","",F39+'Beállítások'!$E$10/1000)</f>
        <v/>
      </c>
      <c r="AI39">
        <f>IF($A39="","",G39+'Beállítások'!$E$11/1000)</f>
        <v/>
      </c>
      <c r="AJ39">
        <f>IF($A39="","",H39+'Beállítások'!$E$12/1000)</f>
        <v/>
      </c>
      <c r="AK39">
        <f>IF($A39="","",I39+'Beállítások'!$E$13/1000)</f>
        <v/>
      </c>
      <c r="AL39">
        <f>IF($A39="","",J39+'Beállítások'!$E$14/1000)</f>
        <v/>
      </c>
      <c r="AM39">
        <f>IF($A39="","",K39+'Beállítások'!$E$15/1000)</f>
        <v/>
      </c>
      <c r="AN39">
        <f>IF($A39="","",L39+'Beállítások'!$E$16/1000)</f>
        <v/>
      </c>
      <c r="AO39">
        <f>IF($A39="","",'Beállítások'!$E$6*(5-B39))</f>
        <v/>
      </c>
      <c r="AP39">
        <f>IF($A39="","",'Beállítások'!$E$7*(5-C39))</f>
        <v/>
      </c>
      <c r="AQ39">
        <f>IF($A39="","",'Beállítások'!$E$8*(5-D39))</f>
        <v/>
      </c>
      <c r="AR39">
        <f>IF($A39="","",'Beállítások'!$E$9*(5-E39))</f>
        <v/>
      </c>
      <c r="AS39">
        <f>IF($A39="","",'Beállítások'!$E$10*(5-F39))</f>
        <v/>
      </c>
      <c r="AT39">
        <f>IF($A39="","",'Beállítások'!$E$11*(5-G39))</f>
        <v/>
      </c>
      <c r="AU39">
        <f>IF($A39="","",'Beállítások'!$E$12*(5-H39))</f>
        <v/>
      </c>
      <c r="AV39">
        <f>IF($A39="","",'Beállítások'!$E$13*(5-I39))</f>
        <v/>
      </c>
      <c r="AW39">
        <f>IF($A39="","",'Beállítások'!$E$14*(5-J39))</f>
        <v/>
      </c>
      <c r="AX39">
        <f>IF($A39="","",'Beállítások'!$E$15*(5-K39))</f>
        <v/>
      </c>
      <c r="AY39">
        <f>IF($A39="","",'Beállítások'!$E$16*(5-L39))</f>
        <v/>
      </c>
      <c r="AZ39">
        <f>IF($A39="","",M39-ROW()/100000)</f>
        <v/>
      </c>
    </row>
    <row r="40">
      <c r="A40">
        <f>IF('Ügyfelek'!A40="","",'Ügyfelek'!A40)</f>
        <v/>
      </c>
      <c r="B40">
        <f>IF($A40="","",IF('Ügyfelek'!B40="",'Beállítások'!$B$45,IFERROR(VLOOKUP(TRIM('Ügyfelek'!B40),'Beállítások'!$A$22:$B$41,2,FALSE),'Beállítások'!$B$45)))</f>
        <v/>
      </c>
      <c r="C40">
        <f>IF($A40="","",IF('Ügyfelek'!C40="",'Beállítások'!$B$45,VLOOKUP(MAX('Ügyfelek'!C40,'Beállítások'!$H$7),'Beállítások'!$H$7:$I$11,2,TRUE)))</f>
        <v/>
      </c>
      <c r="D40">
        <f>IF($A40="","",IF('Ügyfelek'!D40="",'Beállítások'!$B$45,VLOOKUP(MAX('Ügyfelek'!D40,'Beállítások'!$K$7),'Beállítások'!$K$7:$L$11,2,TRUE)))</f>
        <v/>
      </c>
      <c r="E40">
        <f>IF($A40="","",IF('Ügyfelek'!L40="",'Beállítások'!$B$45,MIN(5,MAX(1,ROUND('Ügyfelek'!L40,0)))))</f>
        <v/>
      </c>
      <c r="F40">
        <f>IF($A40="","",IF('Ügyfelek'!I40="",'Beállítások'!$B$45,VLOOKUP(MAX('Ügyfelek'!I40,'Beállítások'!$N$7),'Beállítások'!$N$7:$O$11,2,TRUE)))</f>
        <v/>
      </c>
      <c r="G40">
        <f>IF($A40="","",IF('Ügyfelek'!N40="",'Beállítások'!$B$45,MIN(5,MAX(1,ROUND('Ügyfelek'!N40,0)))))</f>
        <v/>
      </c>
      <c r="H40">
        <f>IF($A40="","",IF('Ügyfelek'!J40="",'Beállítások'!$B$45,VLOOKUP(MAX('Ügyfelek'!J40,'Beállítások'!$Q$7),'Beállítások'!$Q$7:$R$11,2,TRUE)))</f>
        <v/>
      </c>
      <c r="I40">
        <f>IF($A40="","",IF('Ügyfelek'!K40="",'Beállítások'!$B$45,VLOOKUP(MAX('Ügyfelek'!K40,'Beállítások'!$T$7),'Beállítások'!$T$7:$U$11,2,TRUE)))</f>
        <v/>
      </c>
      <c r="J40">
        <f>IF($A40="","",IF('Ügyfelek'!M40="",'Beállítások'!$B$45,MIN(5,MAX(1,ROUND('Ügyfelek'!M40,0)))))</f>
        <v/>
      </c>
      <c r="K40">
        <f>IF($A40="","",IF('Ügyfelek'!P40="",'Beállítások'!$B$45,MIN(5,MAX(1,ROUND('Ügyfelek'!P40,0)))))</f>
        <v/>
      </c>
      <c r="L40">
        <f>IF($A40="","",IF('Ügyfelek'!O40="",'Beállítások'!$B$45,MIN(5,MAX(1,ROUND('Ügyfelek'!O40,0)))))</f>
        <v/>
      </c>
      <c r="M40" s="13">
        <f>IF($A40="","",ROUND('Beállítások'!$E$6*(B40-1)/4+'Beállítások'!$E$7*(C40-1)/4+'Beállítások'!$E$8*(D40-1)/4+'Beállítások'!$E$9*(E40-1)/4+'Beállítások'!$E$10*(F40-1)/4+'Beállítások'!$E$11*(G40-1)/4+'Beállítások'!$E$12*(H40-1)/4+'Beállítások'!$E$13*(I40-1)/4+'Beállítások'!$E$14*(J40-1)/4+'Beállítások'!$E$15*(K40-1)/4+'Beállítások'!$E$16*(L40-1)/4,1))</f>
        <v/>
      </c>
      <c r="N40" s="14">
        <f>IF($A40="","",RANK(M40,$M$2:$M$201))</f>
        <v/>
      </c>
      <c r="O40">
        <f>IF($A40="","",VLOOKUP(M40,'Beállítások'!$A$57:$E$60,2,TRUE))</f>
        <v/>
      </c>
      <c r="P40">
        <f>IF($A40="","",VLOOKUP(M40,'Beállítások'!$A$57:$E$60,3,TRUE))</f>
        <v/>
      </c>
      <c r="Q40">
        <f>IF($A40="","",INDEX('Beállítások'!$B$6:$B$16,MATCH(MAX(AD40:AN40),AD40:AN40,0)))</f>
        <v/>
      </c>
      <c r="R40">
        <f>IF($A40="","",IF(MAX(AO40:AY40)=0,"—",INDEX('Beállítások'!$B$6:$B$16,MATCH(MAX(AO40:AY40),AO40:AY40,0))))</f>
        <v/>
      </c>
      <c r="S40" s="5">
        <f>IF($A40="","",'Beállítások'!$B$47*(TRIM('Ügyfelek'!E40)="igen")+'Beállítások'!$B$48*(TRIM('Ügyfelek'!F40)="igen")+'Beállítások'!$B$49*N('Ügyfelek'!G40)+'Beállítások'!$B$46*N('Ügyfelek'!H40))</f>
        <v/>
      </c>
      <c r="T40" s="15">
        <f>IF($A40="","",VLOOKUP(M40,'Beállítások'!$A$57:$E$60,4,TRUE))</f>
        <v/>
      </c>
      <c r="U40" s="5">
        <f>IF($A40="","",N('Ügyfelek'!D40)*'Beállítások'!$B$51)</f>
        <v/>
      </c>
      <c r="V40" s="5">
        <f>IF($A40="","",CEILING(ROUND(MAX('Beállítások'!$B$50,S40*T40,U40),2),'Beállítások'!$B$52))</f>
        <v/>
      </c>
      <c r="W40">
        <f>IF($A40="","",IF(MAX('Beállítások'!$B$50,S40*T40,U40)=S40*T40,"Munkaigény × szintszorzó",IF(MAX('Beállítások'!$B$50,S40*T40,U40)=U40,"Hirdetési keret arányában","Minimumdíj")))</f>
        <v/>
      </c>
      <c r="X40" s="5">
        <f>IF(OR($A40="",'Ügyfelek'!Q40=""),"",'Ügyfelek'!Q40)</f>
        <v/>
      </c>
      <c r="Y40" s="5">
        <f>IF(X40="","",V40-X40)</f>
        <v/>
      </c>
      <c r="Z40" s="16">
        <f>IF(OR(X40="",X40=0),"",Y40/X40)</f>
        <v/>
      </c>
      <c r="AA40" s="5">
        <f>IF(OR($A40="",'Ügyfelek'!R40=""),"",'Ügyfelek'!R40*VLOOKUP(M40,'Beállítások'!$A$57:$E$60,5,TRUE))</f>
        <v/>
      </c>
      <c r="AB40" s="14">
        <f>IF($A40="","",('Ügyfelek'!B40="")+('Ügyfelek'!C40="")+('Ügyfelek'!D40="")+('Ügyfelek'!L40="")+('Ügyfelek'!I40="")+('Ügyfelek'!N40="")+('Ügyfelek'!J40="")+('Ügyfelek'!K40="")+('Ügyfelek'!M40="")+('Ügyfelek'!P40="")+('Ügyfelek'!O40=""))</f>
        <v/>
      </c>
      <c r="AD40">
        <f>IF($A40="","",B40+'Beállítások'!$E$6/1000)</f>
        <v/>
      </c>
      <c r="AE40">
        <f>IF($A40="","",C40+'Beállítások'!$E$7/1000)</f>
        <v/>
      </c>
      <c r="AF40">
        <f>IF($A40="","",D40+'Beállítások'!$E$8/1000)</f>
        <v/>
      </c>
      <c r="AG40">
        <f>IF($A40="","",E40+'Beállítások'!$E$9/1000)</f>
        <v/>
      </c>
      <c r="AH40">
        <f>IF($A40="","",F40+'Beállítások'!$E$10/1000)</f>
        <v/>
      </c>
      <c r="AI40">
        <f>IF($A40="","",G40+'Beállítások'!$E$11/1000)</f>
        <v/>
      </c>
      <c r="AJ40">
        <f>IF($A40="","",H40+'Beállítások'!$E$12/1000)</f>
        <v/>
      </c>
      <c r="AK40">
        <f>IF($A40="","",I40+'Beállítások'!$E$13/1000)</f>
        <v/>
      </c>
      <c r="AL40">
        <f>IF($A40="","",J40+'Beállítások'!$E$14/1000)</f>
        <v/>
      </c>
      <c r="AM40">
        <f>IF($A40="","",K40+'Beállítások'!$E$15/1000)</f>
        <v/>
      </c>
      <c r="AN40">
        <f>IF($A40="","",L40+'Beállítások'!$E$16/1000)</f>
        <v/>
      </c>
      <c r="AO40">
        <f>IF($A40="","",'Beállítások'!$E$6*(5-B40))</f>
        <v/>
      </c>
      <c r="AP40">
        <f>IF($A40="","",'Beállítások'!$E$7*(5-C40))</f>
        <v/>
      </c>
      <c r="AQ40">
        <f>IF($A40="","",'Beállítások'!$E$8*(5-D40))</f>
        <v/>
      </c>
      <c r="AR40">
        <f>IF($A40="","",'Beállítások'!$E$9*(5-E40))</f>
        <v/>
      </c>
      <c r="AS40">
        <f>IF($A40="","",'Beállítások'!$E$10*(5-F40))</f>
        <v/>
      </c>
      <c r="AT40">
        <f>IF($A40="","",'Beállítások'!$E$11*(5-G40))</f>
        <v/>
      </c>
      <c r="AU40">
        <f>IF($A40="","",'Beállítások'!$E$12*(5-H40))</f>
        <v/>
      </c>
      <c r="AV40">
        <f>IF($A40="","",'Beállítások'!$E$13*(5-I40))</f>
        <v/>
      </c>
      <c r="AW40">
        <f>IF($A40="","",'Beállítások'!$E$14*(5-J40))</f>
        <v/>
      </c>
      <c r="AX40">
        <f>IF($A40="","",'Beállítások'!$E$15*(5-K40))</f>
        <v/>
      </c>
      <c r="AY40">
        <f>IF($A40="","",'Beállítások'!$E$16*(5-L40))</f>
        <v/>
      </c>
      <c r="AZ40">
        <f>IF($A40="","",M40-ROW()/100000)</f>
        <v/>
      </c>
    </row>
    <row r="41">
      <c r="A41">
        <f>IF('Ügyfelek'!A41="","",'Ügyfelek'!A41)</f>
        <v/>
      </c>
      <c r="B41">
        <f>IF($A41="","",IF('Ügyfelek'!B41="",'Beállítások'!$B$45,IFERROR(VLOOKUP(TRIM('Ügyfelek'!B41),'Beállítások'!$A$22:$B$41,2,FALSE),'Beállítások'!$B$45)))</f>
        <v/>
      </c>
      <c r="C41">
        <f>IF($A41="","",IF('Ügyfelek'!C41="",'Beállítások'!$B$45,VLOOKUP(MAX('Ügyfelek'!C41,'Beállítások'!$H$7),'Beállítások'!$H$7:$I$11,2,TRUE)))</f>
        <v/>
      </c>
      <c r="D41">
        <f>IF($A41="","",IF('Ügyfelek'!D41="",'Beállítások'!$B$45,VLOOKUP(MAX('Ügyfelek'!D41,'Beállítások'!$K$7),'Beállítások'!$K$7:$L$11,2,TRUE)))</f>
        <v/>
      </c>
      <c r="E41">
        <f>IF($A41="","",IF('Ügyfelek'!L41="",'Beállítások'!$B$45,MIN(5,MAX(1,ROUND('Ügyfelek'!L41,0)))))</f>
        <v/>
      </c>
      <c r="F41">
        <f>IF($A41="","",IF('Ügyfelek'!I41="",'Beállítások'!$B$45,VLOOKUP(MAX('Ügyfelek'!I41,'Beállítások'!$N$7),'Beállítások'!$N$7:$O$11,2,TRUE)))</f>
        <v/>
      </c>
      <c r="G41">
        <f>IF($A41="","",IF('Ügyfelek'!N41="",'Beállítások'!$B$45,MIN(5,MAX(1,ROUND('Ügyfelek'!N41,0)))))</f>
        <v/>
      </c>
      <c r="H41">
        <f>IF($A41="","",IF('Ügyfelek'!J41="",'Beállítások'!$B$45,VLOOKUP(MAX('Ügyfelek'!J41,'Beállítások'!$Q$7),'Beállítások'!$Q$7:$R$11,2,TRUE)))</f>
        <v/>
      </c>
      <c r="I41">
        <f>IF($A41="","",IF('Ügyfelek'!K41="",'Beállítások'!$B$45,VLOOKUP(MAX('Ügyfelek'!K41,'Beállítások'!$T$7),'Beállítások'!$T$7:$U$11,2,TRUE)))</f>
        <v/>
      </c>
      <c r="J41">
        <f>IF($A41="","",IF('Ügyfelek'!M41="",'Beállítások'!$B$45,MIN(5,MAX(1,ROUND('Ügyfelek'!M41,0)))))</f>
        <v/>
      </c>
      <c r="K41">
        <f>IF($A41="","",IF('Ügyfelek'!P41="",'Beállítások'!$B$45,MIN(5,MAX(1,ROUND('Ügyfelek'!P41,0)))))</f>
        <v/>
      </c>
      <c r="L41">
        <f>IF($A41="","",IF('Ügyfelek'!O41="",'Beállítások'!$B$45,MIN(5,MAX(1,ROUND('Ügyfelek'!O41,0)))))</f>
        <v/>
      </c>
      <c r="M41" s="13">
        <f>IF($A41="","",ROUND('Beállítások'!$E$6*(B41-1)/4+'Beállítások'!$E$7*(C41-1)/4+'Beállítások'!$E$8*(D41-1)/4+'Beállítások'!$E$9*(E41-1)/4+'Beállítások'!$E$10*(F41-1)/4+'Beállítások'!$E$11*(G41-1)/4+'Beállítások'!$E$12*(H41-1)/4+'Beállítások'!$E$13*(I41-1)/4+'Beállítások'!$E$14*(J41-1)/4+'Beállítások'!$E$15*(K41-1)/4+'Beállítások'!$E$16*(L41-1)/4,1))</f>
        <v/>
      </c>
      <c r="N41" s="14">
        <f>IF($A41="","",RANK(M41,$M$2:$M$201))</f>
        <v/>
      </c>
      <c r="O41">
        <f>IF($A41="","",VLOOKUP(M41,'Beállítások'!$A$57:$E$60,2,TRUE))</f>
        <v/>
      </c>
      <c r="P41">
        <f>IF($A41="","",VLOOKUP(M41,'Beállítások'!$A$57:$E$60,3,TRUE))</f>
        <v/>
      </c>
      <c r="Q41">
        <f>IF($A41="","",INDEX('Beállítások'!$B$6:$B$16,MATCH(MAX(AD41:AN41),AD41:AN41,0)))</f>
        <v/>
      </c>
      <c r="R41">
        <f>IF($A41="","",IF(MAX(AO41:AY41)=0,"—",INDEX('Beállítások'!$B$6:$B$16,MATCH(MAX(AO41:AY41),AO41:AY41,0))))</f>
        <v/>
      </c>
      <c r="S41" s="5">
        <f>IF($A41="","",'Beállítások'!$B$47*(TRIM('Ügyfelek'!E41)="igen")+'Beállítások'!$B$48*(TRIM('Ügyfelek'!F41)="igen")+'Beállítások'!$B$49*N('Ügyfelek'!G41)+'Beállítások'!$B$46*N('Ügyfelek'!H41))</f>
        <v/>
      </c>
      <c r="T41" s="15">
        <f>IF($A41="","",VLOOKUP(M41,'Beállítások'!$A$57:$E$60,4,TRUE))</f>
        <v/>
      </c>
      <c r="U41" s="5">
        <f>IF($A41="","",N('Ügyfelek'!D41)*'Beállítások'!$B$51)</f>
        <v/>
      </c>
      <c r="V41" s="5">
        <f>IF($A41="","",CEILING(ROUND(MAX('Beállítások'!$B$50,S41*T41,U41),2),'Beállítások'!$B$52))</f>
        <v/>
      </c>
      <c r="W41">
        <f>IF($A41="","",IF(MAX('Beállítások'!$B$50,S41*T41,U41)=S41*T41,"Munkaigény × szintszorzó",IF(MAX('Beállítások'!$B$50,S41*T41,U41)=U41,"Hirdetési keret arányában","Minimumdíj")))</f>
        <v/>
      </c>
      <c r="X41" s="5">
        <f>IF(OR($A41="",'Ügyfelek'!Q41=""),"",'Ügyfelek'!Q41)</f>
        <v/>
      </c>
      <c r="Y41" s="5">
        <f>IF(X41="","",V41-X41)</f>
        <v/>
      </c>
      <c r="Z41" s="16">
        <f>IF(OR(X41="",X41=0),"",Y41/X41)</f>
        <v/>
      </c>
      <c r="AA41" s="5">
        <f>IF(OR($A41="",'Ügyfelek'!R41=""),"",'Ügyfelek'!R41*VLOOKUP(M41,'Beállítások'!$A$57:$E$60,5,TRUE))</f>
        <v/>
      </c>
      <c r="AB41" s="14">
        <f>IF($A41="","",('Ügyfelek'!B41="")+('Ügyfelek'!C41="")+('Ügyfelek'!D41="")+('Ügyfelek'!L41="")+('Ügyfelek'!I41="")+('Ügyfelek'!N41="")+('Ügyfelek'!J41="")+('Ügyfelek'!K41="")+('Ügyfelek'!M41="")+('Ügyfelek'!P41="")+('Ügyfelek'!O41=""))</f>
        <v/>
      </c>
      <c r="AD41">
        <f>IF($A41="","",B41+'Beállítások'!$E$6/1000)</f>
        <v/>
      </c>
      <c r="AE41">
        <f>IF($A41="","",C41+'Beállítások'!$E$7/1000)</f>
        <v/>
      </c>
      <c r="AF41">
        <f>IF($A41="","",D41+'Beállítások'!$E$8/1000)</f>
        <v/>
      </c>
      <c r="AG41">
        <f>IF($A41="","",E41+'Beállítások'!$E$9/1000)</f>
        <v/>
      </c>
      <c r="AH41">
        <f>IF($A41="","",F41+'Beállítások'!$E$10/1000)</f>
        <v/>
      </c>
      <c r="AI41">
        <f>IF($A41="","",G41+'Beállítások'!$E$11/1000)</f>
        <v/>
      </c>
      <c r="AJ41">
        <f>IF($A41="","",H41+'Beállítások'!$E$12/1000)</f>
        <v/>
      </c>
      <c r="AK41">
        <f>IF($A41="","",I41+'Beállítások'!$E$13/1000)</f>
        <v/>
      </c>
      <c r="AL41">
        <f>IF($A41="","",J41+'Beállítások'!$E$14/1000)</f>
        <v/>
      </c>
      <c r="AM41">
        <f>IF($A41="","",K41+'Beállítások'!$E$15/1000)</f>
        <v/>
      </c>
      <c r="AN41">
        <f>IF($A41="","",L41+'Beállítások'!$E$16/1000)</f>
        <v/>
      </c>
      <c r="AO41">
        <f>IF($A41="","",'Beállítások'!$E$6*(5-B41))</f>
        <v/>
      </c>
      <c r="AP41">
        <f>IF($A41="","",'Beállítások'!$E$7*(5-C41))</f>
        <v/>
      </c>
      <c r="AQ41">
        <f>IF($A41="","",'Beállítások'!$E$8*(5-D41))</f>
        <v/>
      </c>
      <c r="AR41">
        <f>IF($A41="","",'Beállítások'!$E$9*(5-E41))</f>
        <v/>
      </c>
      <c r="AS41">
        <f>IF($A41="","",'Beállítások'!$E$10*(5-F41))</f>
        <v/>
      </c>
      <c r="AT41">
        <f>IF($A41="","",'Beállítások'!$E$11*(5-G41))</f>
        <v/>
      </c>
      <c r="AU41">
        <f>IF($A41="","",'Beállítások'!$E$12*(5-H41))</f>
        <v/>
      </c>
      <c r="AV41">
        <f>IF($A41="","",'Beállítások'!$E$13*(5-I41))</f>
        <v/>
      </c>
      <c r="AW41">
        <f>IF($A41="","",'Beállítások'!$E$14*(5-J41))</f>
        <v/>
      </c>
      <c r="AX41">
        <f>IF($A41="","",'Beállítások'!$E$15*(5-K41))</f>
        <v/>
      </c>
      <c r="AY41">
        <f>IF($A41="","",'Beállítások'!$E$16*(5-L41))</f>
        <v/>
      </c>
      <c r="AZ41">
        <f>IF($A41="","",M41-ROW()/100000)</f>
        <v/>
      </c>
    </row>
    <row r="42">
      <c r="A42">
        <f>IF('Ügyfelek'!A42="","",'Ügyfelek'!A42)</f>
        <v/>
      </c>
      <c r="B42">
        <f>IF($A42="","",IF('Ügyfelek'!B42="",'Beállítások'!$B$45,IFERROR(VLOOKUP(TRIM('Ügyfelek'!B42),'Beállítások'!$A$22:$B$41,2,FALSE),'Beállítások'!$B$45)))</f>
        <v/>
      </c>
      <c r="C42">
        <f>IF($A42="","",IF('Ügyfelek'!C42="",'Beállítások'!$B$45,VLOOKUP(MAX('Ügyfelek'!C42,'Beállítások'!$H$7),'Beállítások'!$H$7:$I$11,2,TRUE)))</f>
        <v/>
      </c>
      <c r="D42">
        <f>IF($A42="","",IF('Ügyfelek'!D42="",'Beállítások'!$B$45,VLOOKUP(MAX('Ügyfelek'!D42,'Beállítások'!$K$7),'Beállítások'!$K$7:$L$11,2,TRUE)))</f>
        <v/>
      </c>
      <c r="E42">
        <f>IF($A42="","",IF('Ügyfelek'!L42="",'Beállítások'!$B$45,MIN(5,MAX(1,ROUND('Ügyfelek'!L42,0)))))</f>
        <v/>
      </c>
      <c r="F42">
        <f>IF($A42="","",IF('Ügyfelek'!I42="",'Beállítások'!$B$45,VLOOKUP(MAX('Ügyfelek'!I42,'Beállítások'!$N$7),'Beállítások'!$N$7:$O$11,2,TRUE)))</f>
        <v/>
      </c>
      <c r="G42">
        <f>IF($A42="","",IF('Ügyfelek'!N42="",'Beállítások'!$B$45,MIN(5,MAX(1,ROUND('Ügyfelek'!N42,0)))))</f>
        <v/>
      </c>
      <c r="H42">
        <f>IF($A42="","",IF('Ügyfelek'!J42="",'Beállítások'!$B$45,VLOOKUP(MAX('Ügyfelek'!J42,'Beállítások'!$Q$7),'Beállítások'!$Q$7:$R$11,2,TRUE)))</f>
        <v/>
      </c>
      <c r="I42">
        <f>IF($A42="","",IF('Ügyfelek'!K42="",'Beállítások'!$B$45,VLOOKUP(MAX('Ügyfelek'!K42,'Beállítások'!$T$7),'Beállítások'!$T$7:$U$11,2,TRUE)))</f>
        <v/>
      </c>
      <c r="J42">
        <f>IF($A42="","",IF('Ügyfelek'!M42="",'Beállítások'!$B$45,MIN(5,MAX(1,ROUND('Ügyfelek'!M42,0)))))</f>
        <v/>
      </c>
      <c r="K42">
        <f>IF($A42="","",IF('Ügyfelek'!P42="",'Beállítások'!$B$45,MIN(5,MAX(1,ROUND('Ügyfelek'!P42,0)))))</f>
        <v/>
      </c>
      <c r="L42">
        <f>IF($A42="","",IF('Ügyfelek'!O42="",'Beállítások'!$B$45,MIN(5,MAX(1,ROUND('Ügyfelek'!O42,0)))))</f>
        <v/>
      </c>
      <c r="M42" s="13">
        <f>IF($A42="","",ROUND('Beállítások'!$E$6*(B42-1)/4+'Beállítások'!$E$7*(C42-1)/4+'Beállítások'!$E$8*(D42-1)/4+'Beállítások'!$E$9*(E42-1)/4+'Beállítások'!$E$10*(F42-1)/4+'Beállítások'!$E$11*(G42-1)/4+'Beállítások'!$E$12*(H42-1)/4+'Beállítások'!$E$13*(I42-1)/4+'Beállítások'!$E$14*(J42-1)/4+'Beállítások'!$E$15*(K42-1)/4+'Beállítások'!$E$16*(L42-1)/4,1))</f>
        <v/>
      </c>
      <c r="N42" s="14">
        <f>IF($A42="","",RANK(M42,$M$2:$M$201))</f>
        <v/>
      </c>
      <c r="O42">
        <f>IF($A42="","",VLOOKUP(M42,'Beállítások'!$A$57:$E$60,2,TRUE))</f>
        <v/>
      </c>
      <c r="P42">
        <f>IF($A42="","",VLOOKUP(M42,'Beállítások'!$A$57:$E$60,3,TRUE))</f>
        <v/>
      </c>
      <c r="Q42">
        <f>IF($A42="","",INDEX('Beállítások'!$B$6:$B$16,MATCH(MAX(AD42:AN42),AD42:AN42,0)))</f>
        <v/>
      </c>
      <c r="R42">
        <f>IF($A42="","",IF(MAX(AO42:AY42)=0,"—",INDEX('Beállítások'!$B$6:$B$16,MATCH(MAX(AO42:AY42),AO42:AY42,0))))</f>
        <v/>
      </c>
      <c r="S42" s="5">
        <f>IF($A42="","",'Beállítások'!$B$47*(TRIM('Ügyfelek'!E42)="igen")+'Beállítások'!$B$48*(TRIM('Ügyfelek'!F42)="igen")+'Beállítások'!$B$49*N('Ügyfelek'!G42)+'Beállítások'!$B$46*N('Ügyfelek'!H42))</f>
        <v/>
      </c>
      <c r="T42" s="15">
        <f>IF($A42="","",VLOOKUP(M42,'Beállítások'!$A$57:$E$60,4,TRUE))</f>
        <v/>
      </c>
      <c r="U42" s="5">
        <f>IF($A42="","",N('Ügyfelek'!D42)*'Beállítások'!$B$51)</f>
        <v/>
      </c>
      <c r="V42" s="5">
        <f>IF($A42="","",CEILING(ROUND(MAX('Beállítások'!$B$50,S42*T42,U42),2),'Beállítások'!$B$52))</f>
        <v/>
      </c>
      <c r="W42">
        <f>IF($A42="","",IF(MAX('Beállítások'!$B$50,S42*T42,U42)=S42*T42,"Munkaigény × szintszorzó",IF(MAX('Beállítások'!$B$50,S42*T42,U42)=U42,"Hirdetési keret arányában","Minimumdíj")))</f>
        <v/>
      </c>
      <c r="X42" s="5">
        <f>IF(OR($A42="",'Ügyfelek'!Q42=""),"",'Ügyfelek'!Q42)</f>
        <v/>
      </c>
      <c r="Y42" s="5">
        <f>IF(X42="","",V42-X42)</f>
        <v/>
      </c>
      <c r="Z42" s="16">
        <f>IF(OR(X42="",X42=0),"",Y42/X42)</f>
        <v/>
      </c>
      <c r="AA42" s="5">
        <f>IF(OR($A42="",'Ügyfelek'!R42=""),"",'Ügyfelek'!R42*VLOOKUP(M42,'Beállítások'!$A$57:$E$60,5,TRUE))</f>
        <v/>
      </c>
      <c r="AB42" s="14">
        <f>IF($A42="","",('Ügyfelek'!B42="")+('Ügyfelek'!C42="")+('Ügyfelek'!D42="")+('Ügyfelek'!L42="")+('Ügyfelek'!I42="")+('Ügyfelek'!N42="")+('Ügyfelek'!J42="")+('Ügyfelek'!K42="")+('Ügyfelek'!M42="")+('Ügyfelek'!P42="")+('Ügyfelek'!O42=""))</f>
        <v/>
      </c>
      <c r="AD42">
        <f>IF($A42="","",B42+'Beállítások'!$E$6/1000)</f>
        <v/>
      </c>
      <c r="AE42">
        <f>IF($A42="","",C42+'Beállítások'!$E$7/1000)</f>
        <v/>
      </c>
      <c r="AF42">
        <f>IF($A42="","",D42+'Beállítások'!$E$8/1000)</f>
        <v/>
      </c>
      <c r="AG42">
        <f>IF($A42="","",E42+'Beállítások'!$E$9/1000)</f>
        <v/>
      </c>
      <c r="AH42">
        <f>IF($A42="","",F42+'Beállítások'!$E$10/1000)</f>
        <v/>
      </c>
      <c r="AI42">
        <f>IF($A42="","",G42+'Beállítások'!$E$11/1000)</f>
        <v/>
      </c>
      <c r="AJ42">
        <f>IF($A42="","",H42+'Beállítások'!$E$12/1000)</f>
        <v/>
      </c>
      <c r="AK42">
        <f>IF($A42="","",I42+'Beállítások'!$E$13/1000)</f>
        <v/>
      </c>
      <c r="AL42">
        <f>IF($A42="","",J42+'Beállítások'!$E$14/1000)</f>
        <v/>
      </c>
      <c r="AM42">
        <f>IF($A42="","",K42+'Beállítások'!$E$15/1000)</f>
        <v/>
      </c>
      <c r="AN42">
        <f>IF($A42="","",L42+'Beállítások'!$E$16/1000)</f>
        <v/>
      </c>
      <c r="AO42">
        <f>IF($A42="","",'Beállítások'!$E$6*(5-B42))</f>
        <v/>
      </c>
      <c r="AP42">
        <f>IF($A42="","",'Beállítások'!$E$7*(5-C42))</f>
        <v/>
      </c>
      <c r="AQ42">
        <f>IF($A42="","",'Beállítások'!$E$8*(5-D42))</f>
        <v/>
      </c>
      <c r="AR42">
        <f>IF($A42="","",'Beállítások'!$E$9*(5-E42))</f>
        <v/>
      </c>
      <c r="AS42">
        <f>IF($A42="","",'Beállítások'!$E$10*(5-F42))</f>
        <v/>
      </c>
      <c r="AT42">
        <f>IF($A42="","",'Beállítások'!$E$11*(5-G42))</f>
        <v/>
      </c>
      <c r="AU42">
        <f>IF($A42="","",'Beállítások'!$E$12*(5-H42))</f>
        <v/>
      </c>
      <c r="AV42">
        <f>IF($A42="","",'Beállítások'!$E$13*(5-I42))</f>
        <v/>
      </c>
      <c r="AW42">
        <f>IF($A42="","",'Beállítások'!$E$14*(5-J42))</f>
        <v/>
      </c>
      <c r="AX42">
        <f>IF($A42="","",'Beállítások'!$E$15*(5-K42))</f>
        <v/>
      </c>
      <c r="AY42">
        <f>IF($A42="","",'Beállítások'!$E$16*(5-L42))</f>
        <v/>
      </c>
      <c r="AZ42">
        <f>IF($A42="","",M42-ROW()/100000)</f>
        <v/>
      </c>
    </row>
    <row r="43">
      <c r="A43">
        <f>IF('Ügyfelek'!A43="","",'Ügyfelek'!A43)</f>
        <v/>
      </c>
      <c r="B43">
        <f>IF($A43="","",IF('Ügyfelek'!B43="",'Beállítások'!$B$45,IFERROR(VLOOKUP(TRIM('Ügyfelek'!B43),'Beállítások'!$A$22:$B$41,2,FALSE),'Beállítások'!$B$45)))</f>
        <v/>
      </c>
      <c r="C43">
        <f>IF($A43="","",IF('Ügyfelek'!C43="",'Beállítások'!$B$45,VLOOKUP(MAX('Ügyfelek'!C43,'Beállítások'!$H$7),'Beállítások'!$H$7:$I$11,2,TRUE)))</f>
        <v/>
      </c>
      <c r="D43">
        <f>IF($A43="","",IF('Ügyfelek'!D43="",'Beállítások'!$B$45,VLOOKUP(MAX('Ügyfelek'!D43,'Beállítások'!$K$7),'Beállítások'!$K$7:$L$11,2,TRUE)))</f>
        <v/>
      </c>
      <c r="E43">
        <f>IF($A43="","",IF('Ügyfelek'!L43="",'Beállítások'!$B$45,MIN(5,MAX(1,ROUND('Ügyfelek'!L43,0)))))</f>
        <v/>
      </c>
      <c r="F43">
        <f>IF($A43="","",IF('Ügyfelek'!I43="",'Beállítások'!$B$45,VLOOKUP(MAX('Ügyfelek'!I43,'Beállítások'!$N$7),'Beállítások'!$N$7:$O$11,2,TRUE)))</f>
        <v/>
      </c>
      <c r="G43">
        <f>IF($A43="","",IF('Ügyfelek'!N43="",'Beállítások'!$B$45,MIN(5,MAX(1,ROUND('Ügyfelek'!N43,0)))))</f>
        <v/>
      </c>
      <c r="H43">
        <f>IF($A43="","",IF('Ügyfelek'!J43="",'Beállítások'!$B$45,VLOOKUP(MAX('Ügyfelek'!J43,'Beállítások'!$Q$7),'Beállítások'!$Q$7:$R$11,2,TRUE)))</f>
        <v/>
      </c>
      <c r="I43">
        <f>IF($A43="","",IF('Ügyfelek'!K43="",'Beállítások'!$B$45,VLOOKUP(MAX('Ügyfelek'!K43,'Beállítások'!$T$7),'Beállítások'!$T$7:$U$11,2,TRUE)))</f>
        <v/>
      </c>
      <c r="J43">
        <f>IF($A43="","",IF('Ügyfelek'!M43="",'Beállítások'!$B$45,MIN(5,MAX(1,ROUND('Ügyfelek'!M43,0)))))</f>
        <v/>
      </c>
      <c r="K43">
        <f>IF($A43="","",IF('Ügyfelek'!P43="",'Beállítások'!$B$45,MIN(5,MAX(1,ROUND('Ügyfelek'!P43,0)))))</f>
        <v/>
      </c>
      <c r="L43">
        <f>IF($A43="","",IF('Ügyfelek'!O43="",'Beállítások'!$B$45,MIN(5,MAX(1,ROUND('Ügyfelek'!O43,0)))))</f>
        <v/>
      </c>
      <c r="M43" s="13">
        <f>IF($A43="","",ROUND('Beállítások'!$E$6*(B43-1)/4+'Beállítások'!$E$7*(C43-1)/4+'Beállítások'!$E$8*(D43-1)/4+'Beállítások'!$E$9*(E43-1)/4+'Beállítások'!$E$10*(F43-1)/4+'Beállítások'!$E$11*(G43-1)/4+'Beállítások'!$E$12*(H43-1)/4+'Beállítások'!$E$13*(I43-1)/4+'Beállítások'!$E$14*(J43-1)/4+'Beállítások'!$E$15*(K43-1)/4+'Beállítások'!$E$16*(L43-1)/4,1))</f>
        <v/>
      </c>
      <c r="N43" s="14">
        <f>IF($A43="","",RANK(M43,$M$2:$M$201))</f>
        <v/>
      </c>
      <c r="O43">
        <f>IF($A43="","",VLOOKUP(M43,'Beállítások'!$A$57:$E$60,2,TRUE))</f>
        <v/>
      </c>
      <c r="P43">
        <f>IF($A43="","",VLOOKUP(M43,'Beállítások'!$A$57:$E$60,3,TRUE))</f>
        <v/>
      </c>
      <c r="Q43">
        <f>IF($A43="","",INDEX('Beállítások'!$B$6:$B$16,MATCH(MAX(AD43:AN43),AD43:AN43,0)))</f>
        <v/>
      </c>
      <c r="R43">
        <f>IF($A43="","",IF(MAX(AO43:AY43)=0,"—",INDEX('Beállítások'!$B$6:$B$16,MATCH(MAX(AO43:AY43),AO43:AY43,0))))</f>
        <v/>
      </c>
      <c r="S43" s="5">
        <f>IF($A43="","",'Beállítások'!$B$47*(TRIM('Ügyfelek'!E43)="igen")+'Beállítások'!$B$48*(TRIM('Ügyfelek'!F43)="igen")+'Beállítások'!$B$49*N('Ügyfelek'!G43)+'Beállítások'!$B$46*N('Ügyfelek'!H43))</f>
        <v/>
      </c>
      <c r="T43" s="15">
        <f>IF($A43="","",VLOOKUP(M43,'Beállítások'!$A$57:$E$60,4,TRUE))</f>
        <v/>
      </c>
      <c r="U43" s="5">
        <f>IF($A43="","",N('Ügyfelek'!D43)*'Beállítások'!$B$51)</f>
        <v/>
      </c>
      <c r="V43" s="5">
        <f>IF($A43="","",CEILING(ROUND(MAX('Beállítások'!$B$50,S43*T43,U43),2),'Beállítások'!$B$52))</f>
        <v/>
      </c>
      <c r="W43">
        <f>IF($A43="","",IF(MAX('Beállítások'!$B$50,S43*T43,U43)=S43*T43,"Munkaigény × szintszorzó",IF(MAX('Beállítások'!$B$50,S43*T43,U43)=U43,"Hirdetési keret arányában","Minimumdíj")))</f>
        <v/>
      </c>
      <c r="X43" s="5">
        <f>IF(OR($A43="",'Ügyfelek'!Q43=""),"",'Ügyfelek'!Q43)</f>
        <v/>
      </c>
      <c r="Y43" s="5">
        <f>IF(X43="","",V43-X43)</f>
        <v/>
      </c>
      <c r="Z43" s="16">
        <f>IF(OR(X43="",X43=0),"",Y43/X43)</f>
        <v/>
      </c>
      <c r="AA43" s="5">
        <f>IF(OR($A43="",'Ügyfelek'!R43=""),"",'Ügyfelek'!R43*VLOOKUP(M43,'Beállítások'!$A$57:$E$60,5,TRUE))</f>
        <v/>
      </c>
      <c r="AB43" s="14">
        <f>IF($A43="","",('Ügyfelek'!B43="")+('Ügyfelek'!C43="")+('Ügyfelek'!D43="")+('Ügyfelek'!L43="")+('Ügyfelek'!I43="")+('Ügyfelek'!N43="")+('Ügyfelek'!J43="")+('Ügyfelek'!K43="")+('Ügyfelek'!M43="")+('Ügyfelek'!P43="")+('Ügyfelek'!O43=""))</f>
        <v/>
      </c>
      <c r="AD43">
        <f>IF($A43="","",B43+'Beállítások'!$E$6/1000)</f>
        <v/>
      </c>
      <c r="AE43">
        <f>IF($A43="","",C43+'Beállítások'!$E$7/1000)</f>
        <v/>
      </c>
      <c r="AF43">
        <f>IF($A43="","",D43+'Beállítások'!$E$8/1000)</f>
        <v/>
      </c>
      <c r="AG43">
        <f>IF($A43="","",E43+'Beállítások'!$E$9/1000)</f>
        <v/>
      </c>
      <c r="AH43">
        <f>IF($A43="","",F43+'Beállítások'!$E$10/1000)</f>
        <v/>
      </c>
      <c r="AI43">
        <f>IF($A43="","",G43+'Beállítások'!$E$11/1000)</f>
        <v/>
      </c>
      <c r="AJ43">
        <f>IF($A43="","",H43+'Beállítások'!$E$12/1000)</f>
        <v/>
      </c>
      <c r="AK43">
        <f>IF($A43="","",I43+'Beállítások'!$E$13/1000)</f>
        <v/>
      </c>
      <c r="AL43">
        <f>IF($A43="","",J43+'Beállítások'!$E$14/1000)</f>
        <v/>
      </c>
      <c r="AM43">
        <f>IF($A43="","",K43+'Beállítások'!$E$15/1000)</f>
        <v/>
      </c>
      <c r="AN43">
        <f>IF($A43="","",L43+'Beállítások'!$E$16/1000)</f>
        <v/>
      </c>
      <c r="AO43">
        <f>IF($A43="","",'Beállítások'!$E$6*(5-B43))</f>
        <v/>
      </c>
      <c r="AP43">
        <f>IF($A43="","",'Beállítások'!$E$7*(5-C43))</f>
        <v/>
      </c>
      <c r="AQ43">
        <f>IF($A43="","",'Beállítások'!$E$8*(5-D43))</f>
        <v/>
      </c>
      <c r="AR43">
        <f>IF($A43="","",'Beállítások'!$E$9*(5-E43))</f>
        <v/>
      </c>
      <c r="AS43">
        <f>IF($A43="","",'Beállítások'!$E$10*(5-F43))</f>
        <v/>
      </c>
      <c r="AT43">
        <f>IF($A43="","",'Beállítások'!$E$11*(5-G43))</f>
        <v/>
      </c>
      <c r="AU43">
        <f>IF($A43="","",'Beállítások'!$E$12*(5-H43))</f>
        <v/>
      </c>
      <c r="AV43">
        <f>IF($A43="","",'Beállítások'!$E$13*(5-I43))</f>
        <v/>
      </c>
      <c r="AW43">
        <f>IF($A43="","",'Beállítások'!$E$14*(5-J43))</f>
        <v/>
      </c>
      <c r="AX43">
        <f>IF($A43="","",'Beállítások'!$E$15*(5-K43))</f>
        <v/>
      </c>
      <c r="AY43">
        <f>IF($A43="","",'Beállítások'!$E$16*(5-L43))</f>
        <v/>
      </c>
      <c r="AZ43">
        <f>IF($A43="","",M43-ROW()/100000)</f>
        <v/>
      </c>
    </row>
    <row r="44">
      <c r="A44">
        <f>IF('Ügyfelek'!A44="","",'Ügyfelek'!A44)</f>
        <v/>
      </c>
      <c r="B44">
        <f>IF($A44="","",IF('Ügyfelek'!B44="",'Beállítások'!$B$45,IFERROR(VLOOKUP(TRIM('Ügyfelek'!B44),'Beállítások'!$A$22:$B$41,2,FALSE),'Beállítások'!$B$45)))</f>
        <v/>
      </c>
      <c r="C44">
        <f>IF($A44="","",IF('Ügyfelek'!C44="",'Beállítások'!$B$45,VLOOKUP(MAX('Ügyfelek'!C44,'Beállítások'!$H$7),'Beállítások'!$H$7:$I$11,2,TRUE)))</f>
        <v/>
      </c>
      <c r="D44">
        <f>IF($A44="","",IF('Ügyfelek'!D44="",'Beállítások'!$B$45,VLOOKUP(MAX('Ügyfelek'!D44,'Beállítások'!$K$7),'Beállítások'!$K$7:$L$11,2,TRUE)))</f>
        <v/>
      </c>
      <c r="E44">
        <f>IF($A44="","",IF('Ügyfelek'!L44="",'Beállítások'!$B$45,MIN(5,MAX(1,ROUND('Ügyfelek'!L44,0)))))</f>
        <v/>
      </c>
      <c r="F44">
        <f>IF($A44="","",IF('Ügyfelek'!I44="",'Beállítások'!$B$45,VLOOKUP(MAX('Ügyfelek'!I44,'Beállítások'!$N$7),'Beállítások'!$N$7:$O$11,2,TRUE)))</f>
        <v/>
      </c>
      <c r="G44">
        <f>IF($A44="","",IF('Ügyfelek'!N44="",'Beállítások'!$B$45,MIN(5,MAX(1,ROUND('Ügyfelek'!N44,0)))))</f>
        <v/>
      </c>
      <c r="H44">
        <f>IF($A44="","",IF('Ügyfelek'!J44="",'Beállítások'!$B$45,VLOOKUP(MAX('Ügyfelek'!J44,'Beállítások'!$Q$7),'Beállítások'!$Q$7:$R$11,2,TRUE)))</f>
        <v/>
      </c>
      <c r="I44">
        <f>IF($A44="","",IF('Ügyfelek'!K44="",'Beállítások'!$B$45,VLOOKUP(MAX('Ügyfelek'!K44,'Beállítások'!$T$7),'Beállítások'!$T$7:$U$11,2,TRUE)))</f>
        <v/>
      </c>
      <c r="J44">
        <f>IF($A44="","",IF('Ügyfelek'!M44="",'Beállítások'!$B$45,MIN(5,MAX(1,ROUND('Ügyfelek'!M44,0)))))</f>
        <v/>
      </c>
      <c r="K44">
        <f>IF($A44="","",IF('Ügyfelek'!P44="",'Beállítások'!$B$45,MIN(5,MAX(1,ROUND('Ügyfelek'!P44,0)))))</f>
        <v/>
      </c>
      <c r="L44">
        <f>IF($A44="","",IF('Ügyfelek'!O44="",'Beállítások'!$B$45,MIN(5,MAX(1,ROUND('Ügyfelek'!O44,0)))))</f>
        <v/>
      </c>
      <c r="M44" s="13">
        <f>IF($A44="","",ROUND('Beállítások'!$E$6*(B44-1)/4+'Beállítások'!$E$7*(C44-1)/4+'Beállítások'!$E$8*(D44-1)/4+'Beállítások'!$E$9*(E44-1)/4+'Beállítások'!$E$10*(F44-1)/4+'Beállítások'!$E$11*(G44-1)/4+'Beállítások'!$E$12*(H44-1)/4+'Beállítások'!$E$13*(I44-1)/4+'Beállítások'!$E$14*(J44-1)/4+'Beállítások'!$E$15*(K44-1)/4+'Beállítások'!$E$16*(L44-1)/4,1))</f>
        <v/>
      </c>
      <c r="N44" s="14">
        <f>IF($A44="","",RANK(M44,$M$2:$M$201))</f>
        <v/>
      </c>
      <c r="O44">
        <f>IF($A44="","",VLOOKUP(M44,'Beállítások'!$A$57:$E$60,2,TRUE))</f>
        <v/>
      </c>
      <c r="P44">
        <f>IF($A44="","",VLOOKUP(M44,'Beállítások'!$A$57:$E$60,3,TRUE))</f>
        <v/>
      </c>
      <c r="Q44">
        <f>IF($A44="","",INDEX('Beállítások'!$B$6:$B$16,MATCH(MAX(AD44:AN44),AD44:AN44,0)))</f>
        <v/>
      </c>
      <c r="R44">
        <f>IF($A44="","",IF(MAX(AO44:AY44)=0,"—",INDEX('Beállítások'!$B$6:$B$16,MATCH(MAX(AO44:AY44),AO44:AY44,0))))</f>
        <v/>
      </c>
      <c r="S44" s="5">
        <f>IF($A44="","",'Beállítások'!$B$47*(TRIM('Ügyfelek'!E44)="igen")+'Beállítások'!$B$48*(TRIM('Ügyfelek'!F44)="igen")+'Beállítások'!$B$49*N('Ügyfelek'!G44)+'Beállítások'!$B$46*N('Ügyfelek'!H44))</f>
        <v/>
      </c>
      <c r="T44" s="15">
        <f>IF($A44="","",VLOOKUP(M44,'Beállítások'!$A$57:$E$60,4,TRUE))</f>
        <v/>
      </c>
      <c r="U44" s="5">
        <f>IF($A44="","",N('Ügyfelek'!D44)*'Beállítások'!$B$51)</f>
        <v/>
      </c>
      <c r="V44" s="5">
        <f>IF($A44="","",CEILING(ROUND(MAX('Beállítások'!$B$50,S44*T44,U44),2),'Beállítások'!$B$52))</f>
        <v/>
      </c>
      <c r="W44">
        <f>IF($A44="","",IF(MAX('Beállítások'!$B$50,S44*T44,U44)=S44*T44,"Munkaigény × szintszorzó",IF(MAX('Beállítások'!$B$50,S44*T44,U44)=U44,"Hirdetési keret arányában","Minimumdíj")))</f>
        <v/>
      </c>
      <c r="X44" s="5">
        <f>IF(OR($A44="",'Ügyfelek'!Q44=""),"",'Ügyfelek'!Q44)</f>
        <v/>
      </c>
      <c r="Y44" s="5">
        <f>IF(X44="","",V44-X44)</f>
        <v/>
      </c>
      <c r="Z44" s="16">
        <f>IF(OR(X44="",X44=0),"",Y44/X44)</f>
        <v/>
      </c>
      <c r="AA44" s="5">
        <f>IF(OR($A44="",'Ügyfelek'!R44=""),"",'Ügyfelek'!R44*VLOOKUP(M44,'Beállítások'!$A$57:$E$60,5,TRUE))</f>
        <v/>
      </c>
      <c r="AB44" s="14">
        <f>IF($A44="","",('Ügyfelek'!B44="")+('Ügyfelek'!C44="")+('Ügyfelek'!D44="")+('Ügyfelek'!L44="")+('Ügyfelek'!I44="")+('Ügyfelek'!N44="")+('Ügyfelek'!J44="")+('Ügyfelek'!K44="")+('Ügyfelek'!M44="")+('Ügyfelek'!P44="")+('Ügyfelek'!O44=""))</f>
        <v/>
      </c>
      <c r="AD44">
        <f>IF($A44="","",B44+'Beállítások'!$E$6/1000)</f>
        <v/>
      </c>
      <c r="AE44">
        <f>IF($A44="","",C44+'Beállítások'!$E$7/1000)</f>
        <v/>
      </c>
      <c r="AF44">
        <f>IF($A44="","",D44+'Beállítások'!$E$8/1000)</f>
        <v/>
      </c>
      <c r="AG44">
        <f>IF($A44="","",E44+'Beállítások'!$E$9/1000)</f>
        <v/>
      </c>
      <c r="AH44">
        <f>IF($A44="","",F44+'Beállítások'!$E$10/1000)</f>
        <v/>
      </c>
      <c r="AI44">
        <f>IF($A44="","",G44+'Beállítások'!$E$11/1000)</f>
        <v/>
      </c>
      <c r="AJ44">
        <f>IF($A44="","",H44+'Beállítások'!$E$12/1000)</f>
        <v/>
      </c>
      <c r="AK44">
        <f>IF($A44="","",I44+'Beállítások'!$E$13/1000)</f>
        <v/>
      </c>
      <c r="AL44">
        <f>IF($A44="","",J44+'Beállítások'!$E$14/1000)</f>
        <v/>
      </c>
      <c r="AM44">
        <f>IF($A44="","",K44+'Beállítások'!$E$15/1000)</f>
        <v/>
      </c>
      <c r="AN44">
        <f>IF($A44="","",L44+'Beállítások'!$E$16/1000)</f>
        <v/>
      </c>
      <c r="AO44">
        <f>IF($A44="","",'Beállítások'!$E$6*(5-B44))</f>
        <v/>
      </c>
      <c r="AP44">
        <f>IF($A44="","",'Beállítások'!$E$7*(5-C44))</f>
        <v/>
      </c>
      <c r="AQ44">
        <f>IF($A44="","",'Beállítások'!$E$8*(5-D44))</f>
        <v/>
      </c>
      <c r="AR44">
        <f>IF($A44="","",'Beállítások'!$E$9*(5-E44))</f>
        <v/>
      </c>
      <c r="AS44">
        <f>IF($A44="","",'Beállítások'!$E$10*(5-F44))</f>
        <v/>
      </c>
      <c r="AT44">
        <f>IF($A44="","",'Beállítások'!$E$11*(5-G44))</f>
        <v/>
      </c>
      <c r="AU44">
        <f>IF($A44="","",'Beállítások'!$E$12*(5-H44))</f>
        <v/>
      </c>
      <c r="AV44">
        <f>IF($A44="","",'Beállítások'!$E$13*(5-I44))</f>
        <v/>
      </c>
      <c r="AW44">
        <f>IF($A44="","",'Beállítások'!$E$14*(5-J44))</f>
        <v/>
      </c>
      <c r="AX44">
        <f>IF($A44="","",'Beállítások'!$E$15*(5-K44))</f>
        <v/>
      </c>
      <c r="AY44">
        <f>IF($A44="","",'Beállítások'!$E$16*(5-L44))</f>
        <v/>
      </c>
      <c r="AZ44">
        <f>IF($A44="","",M44-ROW()/100000)</f>
        <v/>
      </c>
    </row>
    <row r="45">
      <c r="A45">
        <f>IF('Ügyfelek'!A45="","",'Ügyfelek'!A45)</f>
        <v/>
      </c>
      <c r="B45">
        <f>IF($A45="","",IF('Ügyfelek'!B45="",'Beállítások'!$B$45,IFERROR(VLOOKUP(TRIM('Ügyfelek'!B45),'Beállítások'!$A$22:$B$41,2,FALSE),'Beállítások'!$B$45)))</f>
        <v/>
      </c>
      <c r="C45">
        <f>IF($A45="","",IF('Ügyfelek'!C45="",'Beállítások'!$B$45,VLOOKUP(MAX('Ügyfelek'!C45,'Beállítások'!$H$7),'Beállítások'!$H$7:$I$11,2,TRUE)))</f>
        <v/>
      </c>
      <c r="D45">
        <f>IF($A45="","",IF('Ügyfelek'!D45="",'Beállítások'!$B$45,VLOOKUP(MAX('Ügyfelek'!D45,'Beállítások'!$K$7),'Beállítások'!$K$7:$L$11,2,TRUE)))</f>
        <v/>
      </c>
      <c r="E45">
        <f>IF($A45="","",IF('Ügyfelek'!L45="",'Beállítások'!$B$45,MIN(5,MAX(1,ROUND('Ügyfelek'!L45,0)))))</f>
        <v/>
      </c>
      <c r="F45">
        <f>IF($A45="","",IF('Ügyfelek'!I45="",'Beállítások'!$B$45,VLOOKUP(MAX('Ügyfelek'!I45,'Beállítások'!$N$7),'Beállítások'!$N$7:$O$11,2,TRUE)))</f>
        <v/>
      </c>
      <c r="G45">
        <f>IF($A45="","",IF('Ügyfelek'!N45="",'Beállítások'!$B$45,MIN(5,MAX(1,ROUND('Ügyfelek'!N45,0)))))</f>
        <v/>
      </c>
      <c r="H45">
        <f>IF($A45="","",IF('Ügyfelek'!J45="",'Beállítások'!$B$45,VLOOKUP(MAX('Ügyfelek'!J45,'Beállítások'!$Q$7),'Beállítások'!$Q$7:$R$11,2,TRUE)))</f>
        <v/>
      </c>
      <c r="I45">
        <f>IF($A45="","",IF('Ügyfelek'!K45="",'Beállítások'!$B$45,VLOOKUP(MAX('Ügyfelek'!K45,'Beállítások'!$T$7),'Beállítások'!$T$7:$U$11,2,TRUE)))</f>
        <v/>
      </c>
      <c r="J45">
        <f>IF($A45="","",IF('Ügyfelek'!M45="",'Beállítások'!$B$45,MIN(5,MAX(1,ROUND('Ügyfelek'!M45,0)))))</f>
        <v/>
      </c>
      <c r="K45">
        <f>IF($A45="","",IF('Ügyfelek'!P45="",'Beállítások'!$B$45,MIN(5,MAX(1,ROUND('Ügyfelek'!P45,0)))))</f>
        <v/>
      </c>
      <c r="L45">
        <f>IF($A45="","",IF('Ügyfelek'!O45="",'Beállítások'!$B$45,MIN(5,MAX(1,ROUND('Ügyfelek'!O45,0)))))</f>
        <v/>
      </c>
      <c r="M45" s="13">
        <f>IF($A45="","",ROUND('Beállítások'!$E$6*(B45-1)/4+'Beállítások'!$E$7*(C45-1)/4+'Beállítások'!$E$8*(D45-1)/4+'Beállítások'!$E$9*(E45-1)/4+'Beállítások'!$E$10*(F45-1)/4+'Beállítások'!$E$11*(G45-1)/4+'Beállítások'!$E$12*(H45-1)/4+'Beállítások'!$E$13*(I45-1)/4+'Beállítások'!$E$14*(J45-1)/4+'Beállítások'!$E$15*(K45-1)/4+'Beállítások'!$E$16*(L45-1)/4,1))</f>
        <v/>
      </c>
      <c r="N45" s="14">
        <f>IF($A45="","",RANK(M45,$M$2:$M$201))</f>
        <v/>
      </c>
      <c r="O45">
        <f>IF($A45="","",VLOOKUP(M45,'Beállítások'!$A$57:$E$60,2,TRUE))</f>
        <v/>
      </c>
      <c r="P45">
        <f>IF($A45="","",VLOOKUP(M45,'Beállítások'!$A$57:$E$60,3,TRUE))</f>
        <v/>
      </c>
      <c r="Q45">
        <f>IF($A45="","",INDEX('Beállítások'!$B$6:$B$16,MATCH(MAX(AD45:AN45),AD45:AN45,0)))</f>
        <v/>
      </c>
      <c r="R45">
        <f>IF($A45="","",IF(MAX(AO45:AY45)=0,"—",INDEX('Beállítások'!$B$6:$B$16,MATCH(MAX(AO45:AY45),AO45:AY45,0))))</f>
        <v/>
      </c>
      <c r="S45" s="5">
        <f>IF($A45="","",'Beállítások'!$B$47*(TRIM('Ügyfelek'!E45)="igen")+'Beállítások'!$B$48*(TRIM('Ügyfelek'!F45)="igen")+'Beállítások'!$B$49*N('Ügyfelek'!G45)+'Beállítások'!$B$46*N('Ügyfelek'!H45))</f>
        <v/>
      </c>
      <c r="T45" s="15">
        <f>IF($A45="","",VLOOKUP(M45,'Beállítások'!$A$57:$E$60,4,TRUE))</f>
        <v/>
      </c>
      <c r="U45" s="5">
        <f>IF($A45="","",N('Ügyfelek'!D45)*'Beállítások'!$B$51)</f>
        <v/>
      </c>
      <c r="V45" s="5">
        <f>IF($A45="","",CEILING(ROUND(MAX('Beállítások'!$B$50,S45*T45,U45),2),'Beállítások'!$B$52))</f>
        <v/>
      </c>
      <c r="W45">
        <f>IF($A45="","",IF(MAX('Beállítások'!$B$50,S45*T45,U45)=S45*T45,"Munkaigény × szintszorzó",IF(MAX('Beállítások'!$B$50,S45*T45,U45)=U45,"Hirdetési keret arányában","Minimumdíj")))</f>
        <v/>
      </c>
      <c r="X45" s="5">
        <f>IF(OR($A45="",'Ügyfelek'!Q45=""),"",'Ügyfelek'!Q45)</f>
        <v/>
      </c>
      <c r="Y45" s="5">
        <f>IF(X45="","",V45-X45)</f>
        <v/>
      </c>
      <c r="Z45" s="16">
        <f>IF(OR(X45="",X45=0),"",Y45/X45)</f>
        <v/>
      </c>
      <c r="AA45" s="5">
        <f>IF(OR($A45="",'Ügyfelek'!R45=""),"",'Ügyfelek'!R45*VLOOKUP(M45,'Beállítások'!$A$57:$E$60,5,TRUE))</f>
        <v/>
      </c>
      <c r="AB45" s="14">
        <f>IF($A45="","",('Ügyfelek'!B45="")+('Ügyfelek'!C45="")+('Ügyfelek'!D45="")+('Ügyfelek'!L45="")+('Ügyfelek'!I45="")+('Ügyfelek'!N45="")+('Ügyfelek'!J45="")+('Ügyfelek'!K45="")+('Ügyfelek'!M45="")+('Ügyfelek'!P45="")+('Ügyfelek'!O45=""))</f>
        <v/>
      </c>
      <c r="AD45">
        <f>IF($A45="","",B45+'Beállítások'!$E$6/1000)</f>
        <v/>
      </c>
      <c r="AE45">
        <f>IF($A45="","",C45+'Beállítások'!$E$7/1000)</f>
        <v/>
      </c>
      <c r="AF45">
        <f>IF($A45="","",D45+'Beállítások'!$E$8/1000)</f>
        <v/>
      </c>
      <c r="AG45">
        <f>IF($A45="","",E45+'Beállítások'!$E$9/1000)</f>
        <v/>
      </c>
      <c r="AH45">
        <f>IF($A45="","",F45+'Beállítások'!$E$10/1000)</f>
        <v/>
      </c>
      <c r="AI45">
        <f>IF($A45="","",G45+'Beállítások'!$E$11/1000)</f>
        <v/>
      </c>
      <c r="AJ45">
        <f>IF($A45="","",H45+'Beállítások'!$E$12/1000)</f>
        <v/>
      </c>
      <c r="AK45">
        <f>IF($A45="","",I45+'Beállítások'!$E$13/1000)</f>
        <v/>
      </c>
      <c r="AL45">
        <f>IF($A45="","",J45+'Beállítások'!$E$14/1000)</f>
        <v/>
      </c>
      <c r="AM45">
        <f>IF($A45="","",K45+'Beállítások'!$E$15/1000)</f>
        <v/>
      </c>
      <c r="AN45">
        <f>IF($A45="","",L45+'Beállítások'!$E$16/1000)</f>
        <v/>
      </c>
      <c r="AO45">
        <f>IF($A45="","",'Beállítások'!$E$6*(5-B45))</f>
        <v/>
      </c>
      <c r="AP45">
        <f>IF($A45="","",'Beállítások'!$E$7*(5-C45))</f>
        <v/>
      </c>
      <c r="AQ45">
        <f>IF($A45="","",'Beállítások'!$E$8*(5-D45))</f>
        <v/>
      </c>
      <c r="AR45">
        <f>IF($A45="","",'Beállítások'!$E$9*(5-E45))</f>
        <v/>
      </c>
      <c r="AS45">
        <f>IF($A45="","",'Beállítások'!$E$10*(5-F45))</f>
        <v/>
      </c>
      <c r="AT45">
        <f>IF($A45="","",'Beállítások'!$E$11*(5-G45))</f>
        <v/>
      </c>
      <c r="AU45">
        <f>IF($A45="","",'Beállítások'!$E$12*(5-H45))</f>
        <v/>
      </c>
      <c r="AV45">
        <f>IF($A45="","",'Beállítások'!$E$13*(5-I45))</f>
        <v/>
      </c>
      <c r="AW45">
        <f>IF($A45="","",'Beállítások'!$E$14*(5-J45))</f>
        <v/>
      </c>
      <c r="AX45">
        <f>IF($A45="","",'Beállítások'!$E$15*(5-K45))</f>
        <v/>
      </c>
      <c r="AY45">
        <f>IF($A45="","",'Beállítások'!$E$16*(5-L45))</f>
        <v/>
      </c>
      <c r="AZ45">
        <f>IF($A45="","",M45-ROW()/100000)</f>
        <v/>
      </c>
    </row>
    <row r="46">
      <c r="A46">
        <f>IF('Ügyfelek'!A46="","",'Ügyfelek'!A46)</f>
        <v/>
      </c>
      <c r="B46">
        <f>IF($A46="","",IF('Ügyfelek'!B46="",'Beállítások'!$B$45,IFERROR(VLOOKUP(TRIM('Ügyfelek'!B46),'Beállítások'!$A$22:$B$41,2,FALSE),'Beállítások'!$B$45)))</f>
        <v/>
      </c>
      <c r="C46">
        <f>IF($A46="","",IF('Ügyfelek'!C46="",'Beállítások'!$B$45,VLOOKUP(MAX('Ügyfelek'!C46,'Beállítások'!$H$7),'Beállítások'!$H$7:$I$11,2,TRUE)))</f>
        <v/>
      </c>
      <c r="D46">
        <f>IF($A46="","",IF('Ügyfelek'!D46="",'Beállítások'!$B$45,VLOOKUP(MAX('Ügyfelek'!D46,'Beállítások'!$K$7),'Beállítások'!$K$7:$L$11,2,TRUE)))</f>
        <v/>
      </c>
      <c r="E46">
        <f>IF($A46="","",IF('Ügyfelek'!L46="",'Beállítások'!$B$45,MIN(5,MAX(1,ROUND('Ügyfelek'!L46,0)))))</f>
        <v/>
      </c>
      <c r="F46">
        <f>IF($A46="","",IF('Ügyfelek'!I46="",'Beállítások'!$B$45,VLOOKUP(MAX('Ügyfelek'!I46,'Beállítások'!$N$7),'Beállítások'!$N$7:$O$11,2,TRUE)))</f>
        <v/>
      </c>
      <c r="G46">
        <f>IF($A46="","",IF('Ügyfelek'!N46="",'Beállítások'!$B$45,MIN(5,MAX(1,ROUND('Ügyfelek'!N46,0)))))</f>
        <v/>
      </c>
      <c r="H46">
        <f>IF($A46="","",IF('Ügyfelek'!J46="",'Beállítások'!$B$45,VLOOKUP(MAX('Ügyfelek'!J46,'Beállítások'!$Q$7),'Beállítások'!$Q$7:$R$11,2,TRUE)))</f>
        <v/>
      </c>
      <c r="I46">
        <f>IF($A46="","",IF('Ügyfelek'!K46="",'Beállítások'!$B$45,VLOOKUP(MAX('Ügyfelek'!K46,'Beállítások'!$T$7),'Beállítások'!$T$7:$U$11,2,TRUE)))</f>
        <v/>
      </c>
      <c r="J46">
        <f>IF($A46="","",IF('Ügyfelek'!M46="",'Beállítások'!$B$45,MIN(5,MAX(1,ROUND('Ügyfelek'!M46,0)))))</f>
        <v/>
      </c>
      <c r="K46">
        <f>IF($A46="","",IF('Ügyfelek'!P46="",'Beállítások'!$B$45,MIN(5,MAX(1,ROUND('Ügyfelek'!P46,0)))))</f>
        <v/>
      </c>
      <c r="L46">
        <f>IF($A46="","",IF('Ügyfelek'!O46="",'Beállítások'!$B$45,MIN(5,MAX(1,ROUND('Ügyfelek'!O46,0)))))</f>
        <v/>
      </c>
      <c r="M46" s="13">
        <f>IF($A46="","",ROUND('Beállítások'!$E$6*(B46-1)/4+'Beállítások'!$E$7*(C46-1)/4+'Beállítások'!$E$8*(D46-1)/4+'Beállítások'!$E$9*(E46-1)/4+'Beállítások'!$E$10*(F46-1)/4+'Beállítások'!$E$11*(G46-1)/4+'Beállítások'!$E$12*(H46-1)/4+'Beállítások'!$E$13*(I46-1)/4+'Beállítások'!$E$14*(J46-1)/4+'Beállítások'!$E$15*(K46-1)/4+'Beállítások'!$E$16*(L46-1)/4,1))</f>
        <v/>
      </c>
      <c r="N46" s="14">
        <f>IF($A46="","",RANK(M46,$M$2:$M$201))</f>
        <v/>
      </c>
      <c r="O46">
        <f>IF($A46="","",VLOOKUP(M46,'Beállítások'!$A$57:$E$60,2,TRUE))</f>
        <v/>
      </c>
      <c r="P46">
        <f>IF($A46="","",VLOOKUP(M46,'Beállítások'!$A$57:$E$60,3,TRUE))</f>
        <v/>
      </c>
      <c r="Q46">
        <f>IF($A46="","",INDEX('Beállítások'!$B$6:$B$16,MATCH(MAX(AD46:AN46),AD46:AN46,0)))</f>
        <v/>
      </c>
      <c r="R46">
        <f>IF($A46="","",IF(MAX(AO46:AY46)=0,"—",INDEX('Beállítások'!$B$6:$B$16,MATCH(MAX(AO46:AY46),AO46:AY46,0))))</f>
        <v/>
      </c>
      <c r="S46" s="5">
        <f>IF($A46="","",'Beállítások'!$B$47*(TRIM('Ügyfelek'!E46)="igen")+'Beállítások'!$B$48*(TRIM('Ügyfelek'!F46)="igen")+'Beállítások'!$B$49*N('Ügyfelek'!G46)+'Beállítások'!$B$46*N('Ügyfelek'!H46))</f>
        <v/>
      </c>
      <c r="T46" s="15">
        <f>IF($A46="","",VLOOKUP(M46,'Beállítások'!$A$57:$E$60,4,TRUE))</f>
        <v/>
      </c>
      <c r="U46" s="5">
        <f>IF($A46="","",N('Ügyfelek'!D46)*'Beállítások'!$B$51)</f>
        <v/>
      </c>
      <c r="V46" s="5">
        <f>IF($A46="","",CEILING(ROUND(MAX('Beállítások'!$B$50,S46*T46,U46),2),'Beállítások'!$B$52))</f>
        <v/>
      </c>
      <c r="W46">
        <f>IF($A46="","",IF(MAX('Beállítások'!$B$50,S46*T46,U46)=S46*T46,"Munkaigény × szintszorzó",IF(MAX('Beállítások'!$B$50,S46*T46,U46)=U46,"Hirdetési keret arányában","Minimumdíj")))</f>
        <v/>
      </c>
      <c r="X46" s="5">
        <f>IF(OR($A46="",'Ügyfelek'!Q46=""),"",'Ügyfelek'!Q46)</f>
        <v/>
      </c>
      <c r="Y46" s="5">
        <f>IF(X46="","",V46-X46)</f>
        <v/>
      </c>
      <c r="Z46" s="16">
        <f>IF(OR(X46="",X46=0),"",Y46/X46)</f>
        <v/>
      </c>
      <c r="AA46" s="5">
        <f>IF(OR($A46="",'Ügyfelek'!R46=""),"",'Ügyfelek'!R46*VLOOKUP(M46,'Beállítások'!$A$57:$E$60,5,TRUE))</f>
        <v/>
      </c>
      <c r="AB46" s="14">
        <f>IF($A46="","",('Ügyfelek'!B46="")+('Ügyfelek'!C46="")+('Ügyfelek'!D46="")+('Ügyfelek'!L46="")+('Ügyfelek'!I46="")+('Ügyfelek'!N46="")+('Ügyfelek'!J46="")+('Ügyfelek'!K46="")+('Ügyfelek'!M46="")+('Ügyfelek'!P46="")+('Ügyfelek'!O46=""))</f>
        <v/>
      </c>
      <c r="AD46">
        <f>IF($A46="","",B46+'Beállítások'!$E$6/1000)</f>
        <v/>
      </c>
      <c r="AE46">
        <f>IF($A46="","",C46+'Beállítások'!$E$7/1000)</f>
        <v/>
      </c>
      <c r="AF46">
        <f>IF($A46="","",D46+'Beállítások'!$E$8/1000)</f>
        <v/>
      </c>
      <c r="AG46">
        <f>IF($A46="","",E46+'Beállítások'!$E$9/1000)</f>
        <v/>
      </c>
      <c r="AH46">
        <f>IF($A46="","",F46+'Beállítások'!$E$10/1000)</f>
        <v/>
      </c>
      <c r="AI46">
        <f>IF($A46="","",G46+'Beállítások'!$E$11/1000)</f>
        <v/>
      </c>
      <c r="AJ46">
        <f>IF($A46="","",H46+'Beállítások'!$E$12/1000)</f>
        <v/>
      </c>
      <c r="AK46">
        <f>IF($A46="","",I46+'Beállítások'!$E$13/1000)</f>
        <v/>
      </c>
      <c r="AL46">
        <f>IF($A46="","",J46+'Beállítások'!$E$14/1000)</f>
        <v/>
      </c>
      <c r="AM46">
        <f>IF($A46="","",K46+'Beállítások'!$E$15/1000)</f>
        <v/>
      </c>
      <c r="AN46">
        <f>IF($A46="","",L46+'Beállítások'!$E$16/1000)</f>
        <v/>
      </c>
      <c r="AO46">
        <f>IF($A46="","",'Beállítások'!$E$6*(5-B46))</f>
        <v/>
      </c>
      <c r="AP46">
        <f>IF($A46="","",'Beállítások'!$E$7*(5-C46))</f>
        <v/>
      </c>
      <c r="AQ46">
        <f>IF($A46="","",'Beállítások'!$E$8*(5-D46))</f>
        <v/>
      </c>
      <c r="AR46">
        <f>IF($A46="","",'Beállítások'!$E$9*(5-E46))</f>
        <v/>
      </c>
      <c r="AS46">
        <f>IF($A46="","",'Beállítások'!$E$10*(5-F46))</f>
        <v/>
      </c>
      <c r="AT46">
        <f>IF($A46="","",'Beállítások'!$E$11*(5-G46))</f>
        <v/>
      </c>
      <c r="AU46">
        <f>IF($A46="","",'Beállítások'!$E$12*(5-H46))</f>
        <v/>
      </c>
      <c r="AV46">
        <f>IF($A46="","",'Beállítások'!$E$13*(5-I46))</f>
        <v/>
      </c>
      <c r="AW46">
        <f>IF($A46="","",'Beállítások'!$E$14*(5-J46))</f>
        <v/>
      </c>
      <c r="AX46">
        <f>IF($A46="","",'Beállítások'!$E$15*(5-K46))</f>
        <v/>
      </c>
      <c r="AY46">
        <f>IF($A46="","",'Beállítások'!$E$16*(5-L46))</f>
        <v/>
      </c>
      <c r="AZ46">
        <f>IF($A46="","",M46-ROW()/100000)</f>
        <v/>
      </c>
    </row>
    <row r="47">
      <c r="A47">
        <f>IF('Ügyfelek'!A47="","",'Ügyfelek'!A47)</f>
        <v/>
      </c>
      <c r="B47">
        <f>IF($A47="","",IF('Ügyfelek'!B47="",'Beállítások'!$B$45,IFERROR(VLOOKUP(TRIM('Ügyfelek'!B47),'Beállítások'!$A$22:$B$41,2,FALSE),'Beállítások'!$B$45)))</f>
        <v/>
      </c>
      <c r="C47">
        <f>IF($A47="","",IF('Ügyfelek'!C47="",'Beállítások'!$B$45,VLOOKUP(MAX('Ügyfelek'!C47,'Beállítások'!$H$7),'Beállítások'!$H$7:$I$11,2,TRUE)))</f>
        <v/>
      </c>
      <c r="D47">
        <f>IF($A47="","",IF('Ügyfelek'!D47="",'Beállítások'!$B$45,VLOOKUP(MAX('Ügyfelek'!D47,'Beállítások'!$K$7),'Beállítások'!$K$7:$L$11,2,TRUE)))</f>
        <v/>
      </c>
      <c r="E47">
        <f>IF($A47="","",IF('Ügyfelek'!L47="",'Beállítások'!$B$45,MIN(5,MAX(1,ROUND('Ügyfelek'!L47,0)))))</f>
        <v/>
      </c>
      <c r="F47">
        <f>IF($A47="","",IF('Ügyfelek'!I47="",'Beállítások'!$B$45,VLOOKUP(MAX('Ügyfelek'!I47,'Beállítások'!$N$7),'Beállítások'!$N$7:$O$11,2,TRUE)))</f>
        <v/>
      </c>
      <c r="G47">
        <f>IF($A47="","",IF('Ügyfelek'!N47="",'Beállítások'!$B$45,MIN(5,MAX(1,ROUND('Ügyfelek'!N47,0)))))</f>
        <v/>
      </c>
      <c r="H47">
        <f>IF($A47="","",IF('Ügyfelek'!J47="",'Beállítások'!$B$45,VLOOKUP(MAX('Ügyfelek'!J47,'Beállítások'!$Q$7),'Beállítások'!$Q$7:$R$11,2,TRUE)))</f>
        <v/>
      </c>
      <c r="I47">
        <f>IF($A47="","",IF('Ügyfelek'!K47="",'Beállítások'!$B$45,VLOOKUP(MAX('Ügyfelek'!K47,'Beállítások'!$T$7),'Beállítások'!$T$7:$U$11,2,TRUE)))</f>
        <v/>
      </c>
      <c r="J47">
        <f>IF($A47="","",IF('Ügyfelek'!M47="",'Beállítások'!$B$45,MIN(5,MAX(1,ROUND('Ügyfelek'!M47,0)))))</f>
        <v/>
      </c>
      <c r="K47">
        <f>IF($A47="","",IF('Ügyfelek'!P47="",'Beállítások'!$B$45,MIN(5,MAX(1,ROUND('Ügyfelek'!P47,0)))))</f>
        <v/>
      </c>
      <c r="L47">
        <f>IF($A47="","",IF('Ügyfelek'!O47="",'Beállítások'!$B$45,MIN(5,MAX(1,ROUND('Ügyfelek'!O47,0)))))</f>
        <v/>
      </c>
      <c r="M47" s="13">
        <f>IF($A47="","",ROUND('Beállítások'!$E$6*(B47-1)/4+'Beállítások'!$E$7*(C47-1)/4+'Beállítások'!$E$8*(D47-1)/4+'Beállítások'!$E$9*(E47-1)/4+'Beállítások'!$E$10*(F47-1)/4+'Beállítások'!$E$11*(G47-1)/4+'Beállítások'!$E$12*(H47-1)/4+'Beállítások'!$E$13*(I47-1)/4+'Beállítások'!$E$14*(J47-1)/4+'Beállítások'!$E$15*(K47-1)/4+'Beállítások'!$E$16*(L47-1)/4,1))</f>
        <v/>
      </c>
      <c r="N47" s="14">
        <f>IF($A47="","",RANK(M47,$M$2:$M$201))</f>
        <v/>
      </c>
      <c r="O47">
        <f>IF($A47="","",VLOOKUP(M47,'Beállítások'!$A$57:$E$60,2,TRUE))</f>
        <v/>
      </c>
      <c r="P47">
        <f>IF($A47="","",VLOOKUP(M47,'Beállítások'!$A$57:$E$60,3,TRUE))</f>
        <v/>
      </c>
      <c r="Q47">
        <f>IF($A47="","",INDEX('Beállítások'!$B$6:$B$16,MATCH(MAX(AD47:AN47),AD47:AN47,0)))</f>
        <v/>
      </c>
      <c r="R47">
        <f>IF($A47="","",IF(MAX(AO47:AY47)=0,"—",INDEX('Beállítások'!$B$6:$B$16,MATCH(MAX(AO47:AY47),AO47:AY47,0))))</f>
        <v/>
      </c>
      <c r="S47" s="5">
        <f>IF($A47="","",'Beállítások'!$B$47*(TRIM('Ügyfelek'!E47)="igen")+'Beállítások'!$B$48*(TRIM('Ügyfelek'!F47)="igen")+'Beállítások'!$B$49*N('Ügyfelek'!G47)+'Beállítások'!$B$46*N('Ügyfelek'!H47))</f>
        <v/>
      </c>
      <c r="T47" s="15">
        <f>IF($A47="","",VLOOKUP(M47,'Beállítások'!$A$57:$E$60,4,TRUE))</f>
        <v/>
      </c>
      <c r="U47" s="5">
        <f>IF($A47="","",N('Ügyfelek'!D47)*'Beállítások'!$B$51)</f>
        <v/>
      </c>
      <c r="V47" s="5">
        <f>IF($A47="","",CEILING(ROUND(MAX('Beállítások'!$B$50,S47*T47,U47),2),'Beállítások'!$B$52))</f>
        <v/>
      </c>
      <c r="W47">
        <f>IF($A47="","",IF(MAX('Beállítások'!$B$50,S47*T47,U47)=S47*T47,"Munkaigény × szintszorzó",IF(MAX('Beállítások'!$B$50,S47*T47,U47)=U47,"Hirdetési keret arányában","Minimumdíj")))</f>
        <v/>
      </c>
      <c r="X47" s="5">
        <f>IF(OR($A47="",'Ügyfelek'!Q47=""),"",'Ügyfelek'!Q47)</f>
        <v/>
      </c>
      <c r="Y47" s="5">
        <f>IF(X47="","",V47-X47)</f>
        <v/>
      </c>
      <c r="Z47" s="16">
        <f>IF(OR(X47="",X47=0),"",Y47/X47)</f>
        <v/>
      </c>
      <c r="AA47" s="5">
        <f>IF(OR($A47="",'Ügyfelek'!R47=""),"",'Ügyfelek'!R47*VLOOKUP(M47,'Beállítások'!$A$57:$E$60,5,TRUE))</f>
        <v/>
      </c>
      <c r="AB47" s="14">
        <f>IF($A47="","",('Ügyfelek'!B47="")+('Ügyfelek'!C47="")+('Ügyfelek'!D47="")+('Ügyfelek'!L47="")+('Ügyfelek'!I47="")+('Ügyfelek'!N47="")+('Ügyfelek'!J47="")+('Ügyfelek'!K47="")+('Ügyfelek'!M47="")+('Ügyfelek'!P47="")+('Ügyfelek'!O47=""))</f>
        <v/>
      </c>
      <c r="AD47">
        <f>IF($A47="","",B47+'Beállítások'!$E$6/1000)</f>
        <v/>
      </c>
      <c r="AE47">
        <f>IF($A47="","",C47+'Beállítások'!$E$7/1000)</f>
        <v/>
      </c>
      <c r="AF47">
        <f>IF($A47="","",D47+'Beállítások'!$E$8/1000)</f>
        <v/>
      </c>
      <c r="AG47">
        <f>IF($A47="","",E47+'Beállítások'!$E$9/1000)</f>
        <v/>
      </c>
      <c r="AH47">
        <f>IF($A47="","",F47+'Beállítások'!$E$10/1000)</f>
        <v/>
      </c>
      <c r="AI47">
        <f>IF($A47="","",G47+'Beállítások'!$E$11/1000)</f>
        <v/>
      </c>
      <c r="AJ47">
        <f>IF($A47="","",H47+'Beállítások'!$E$12/1000)</f>
        <v/>
      </c>
      <c r="AK47">
        <f>IF($A47="","",I47+'Beállítások'!$E$13/1000)</f>
        <v/>
      </c>
      <c r="AL47">
        <f>IF($A47="","",J47+'Beállítások'!$E$14/1000)</f>
        <v/>
      </c>
      <c r="AM47">
        <f>IF($A47="","",K47+'Beállítások'!$E$15/1000)</f>
        <v/>
      </c>
      <c r="AN47">
        <f>IF($A47="","",L47+'Beállítások'!$E$16/1000)</f>
        <v/>
      </c>
      <c r="AO47">
        <f>IF($A47="","",'Beállítások'!$E$6*(5-B47))</f>
        <v/>
      </c>
      <c r="AP47">
        <f>IF($A47="","",'Beállítások'!$E$7*(5-C47))</f>
        <v/>
      </c>
      <c r="AQ47">
        <f>IF($A47="","",'Beállítások'!$E$8*(5-D47))</f>
        <v/>
      </c>
      <c r="AR47">
        <f>IF($A47="","",'Beállítások'!$E$9*(5-E47))</f>
        <v/>
      </c>
      <c r="AS47">
        <f>IF($A47="","",'Beállítások'!$E$10*(5-F47))</f>
        <v/>
      </c>
      <c r="AT47">
        <f>IF($A47="","",'Beállítások'!$E$11*(5-G47))</f>
        <v/>
      </c>
      <c r="AU47">
        <f>IF($A47="","",'Beállítások'!$E$12*(5-H47))</f>
        <v/>
      </c>
      <c r="AV47">
        <f>IF($A47="","",'Beállítások'!$E$13*(5-I47))</f>
        <v/>
      </c>
      <c r="AW47">
        <f>IF($A47="","",'Beállítások'!$E$14*(5-J47))</f>
        <v/>
      </c>
      <c r="AX47">
        <f>IF($A47="","",'Beállítások'!$E$15*(5-K47))</f>
        <v/>
      </c>
      <c r="AY47">
        <f>IF($A47="","",'Beállítások'!$E$16*(5-L47))</f>
        <v/>
      </c>
      <c r="AZ47">
        <f>IF($A47="","",M47-ROW()/100000)</f>
        <v/>
      </c>
    </row>
    <row r="48">
      <c r="A48">
        <f>IF('Ügyfelek'!A48="","",'Ügyfelek'!A48)</f>
        <v/>
      </c>
      <c r="B48">
        <f>IF($A48="","",IF('Ügyfelek'!B48="",'Beállítások'!$B$45,IFERROR(VLOOKUP(TRIM('Ügyfelek'!B48),'Beállítások'!$A$22:$B$41,2,FALSE),'Beállítások'!$B$45)))</f>
        <v/>
      </c>
      <c r="C48">
        <f>IF($A48="","",IF('Ügyfelek'!C48="",'Beállítások'!$B$45,VLOOKUP(MAX('Ügyfelek'!C48,'Beállítások'!$H$7),'Beállítások'!$H$7:$I$11,2,TRUE)))</f>
        <v/>
      </c>
      <c r="D48">
        <f>IF($A48="","",IF('Ügyfelek'!D48="",'Beállítások'!$B$45,VLOOKUP(MAX('Ügyfelek'!D48,'Beállítások'!$K$7),'Beállítások'!$K$7:$L$11,2,TRUE)))</f>
        <v/>
      </c>
      <c r="E48">
        <f>IF($A48="","",IF('Ügyfelek'!L48="",'Beállítások'!$B$45,MIN(5,MAX(1,ROUND('Ügyfelek'!L48,0)))))</f>
        <v/>
      </c>
      <c r="F48">
        <f>IF($A48="","",IF('Ügyfelek'!I48="",'Beállítások'!$B$45,VLOOKUP(MAX('Ügyfelek'!I48,'Beállítások'!$N$7),'Beállítások'!$N$7:$O$11,2,TRUE)))</f>
        <v/>
      </c>
      <c r="G48">
        <f>IF($A48="","",IF('Ügyfelek'!N48="",'Beállítások'!$B$45,MIN(5,MAX(1,ROUND('Ügyfelek'!N48,0)))))</f>
        <v/>
      </c>
      <c r="H48">
        <f>IF($A48="","",IF('Ügyfelek'!J48="",'Beállítások'!$B$45,VLOOKUP(MAX('Ügyfelek'!J48,'Beállítások'!$Q$7),'Beállítások'!$Q$7:$R$11,2,TRUE)))</f>
        <v/>
      </c>
      <c r="I48">
        <f>IF($A48="","",IF('Ügyfelek'!K48="",'Beállítások'!$B$45,VLOOKUP(MAX('Ügyfelek'!K48,'Beállítások'!$T$7),'Beállítások'!$T$7:$U$11,2,TRUE)))</f>
        <v/>
      </c>
      <c r="J48">
        <f>IF($A48="","",IF('Ügyfelek'!M48="",'Beállítások'!$B$45,MIN(5,MAX(1,ROUND('Ügyfelek'!M48,0)))))</f>
        <v/>
      </c>
      <c r="K48">
        <f>IF($A48="","",IF('Ügyfelek'!P48="",'Beállítások'!$B$45,MIN(5,MAX(1,ROUND('Ügyfelek'!P48,0)))))</f>
        <v/>
      </c>
      <c r="L48">
        <f>IF($A48="","",IF('Ügyfelek'!O48="",'Beállítások'!$B$45,MIN(5,MAX(1,ROUND('Ügyfelek'!O48,0)))))</f>
        <v/>
      </c>
      <c r="M48" s="13">
        <f>IF($A48="","",ROUND('Beállítások'!$E$6*(B48-1)/4+'Beállítások'!$E$7*(C48-1)/4+'Beállítások'!$E$8*(D48-1)/4+'Beállítások'!$E$9*(E48-1)/4+'Beállítások'!$E$10*(F48-1)/4+'Beállítások'!$E$11*(G48-1)/4+'Beállítások'!$E$12*(H48-1)/4+'Beállítások'!$E$13*(I48-1)/4+'Beállítások'!$E$14*(J48-1)/4+'Beállítások'!$E$15*(K48-1)/4+'Beállítások'!$E$16*(L48-1)/4,1))</f>
        <v/>
      </c>
      <c r="N48" s="14">
        <f>IF($A48="","",RANK(M48,$M$2:$M$201))</f>
        <v/>
      </c>
      <c r="O48">
        <f>IF($A48="","",VLOOKUP(M48,'Beállítások'!$A$57:$E$60,2,TRUE))</f>
        <v/>
      </c>
      <c r="P48">
        <f>IF($A48="","",VLOOKUP(M48,'Beállítások'!$A$57:$E$60,3,TRUE))</f>
        <v/>
      </c>
      <c r="Q48">
        <f>IF($A48="","",INDEX('Beállítások'!$B$6:$B$16,MATCH(MAX(AD48:AN48),AD48:AN48,0)))</f>
        <v/>
      </c>
      <c r="R48">
        <f>IF($A48="","",IF(MAX(AO48:AY48)=0,"—",INDEX('Beállítások'!$B$6:$B$16,MATCH(MAX(AO48:AY48),AO48:AY48,0))))</f>
        <v/>
      </c>
      <c r="S48" s="5">
        <f>IF($A48="","",'Beállítások'!$B$47*(TRIM('Ügyfelek'!E48)="igen")+'Beállítások'!$B$48*(TRIM('Ügyfelek'!F48)="igen")+'Beállítások'!$B$49*N('Ügyfelek'!G48)+'Beállítások'!$B$46*N('Ügyfelek'!H48))</f>
        <v/>
      </c>
      <c r="T48" s="15">
        <f>IF($A48="","",VLOOKUP(M48,'Beállítások'!$A$57:$E$60,4,TRUE))</f>
        <v/>
      </c>
      <c r="U48" s="5">
        <f>IF($A48="","",N('Ügyfelek'!D48)*'Beállítások'!$B$51)</f>
        <v/>
      </c>
      <c r="V48" s="5">
        <f>IF($A48="","",CEILING(ROUND(MAX('Beállítások'!$B$50,S48*T48,U48),2),'Beállítások'!$B$52))</f>
        <v/>
      </c>
      <c r="W48">
        <f>IF($A48="","",IF(MAX('Beállítások'!$B$50,S48*T48,U48)=S48*T48,"Munkaigény × szintszorzó",IF(MAX('Beállítások'!$B$50,S48*T48,U48)=U48,"Hirdetési keret arányában","Minimumdíj")))</f>
        <v/>
      </c>
      <c r="X48" s="5">
        <f>IF(OR($A48="",'Ügyfelek'!Q48=""),"",'Ügyfelek'!Q48)</f>
        <v/>
      </c>
      <c r="Y48" s="5">
        <f>IF(X48="","",V48-X48)</f>
        <v/>
      </c>
      <c r="Z48" s="16">
        <f>IF(OR(X48="",X48=0),"",Y48/X48)</f>
        <v/>
      </c>
      <c r="AA48" s="5">
        <f>IF(OR($A48="",'Ügyfelek'!R48=""),"",'Ügyfelek'!R48*VLOOKUP(M48,'Beállítások'!$A$57:$E$60,5,TRUE))</f>
        <v/>
      </c>
      <c r="AB48" s="14">
        <f>IF($A48="","",('Ügyfelek'!B48="")+('Ügyfelek'!C48="")+('Ügyfelek'!D48="")+('Ügyfelek'!L48="")+('Ügyfelek'!I48="")+('Ügyfelek'!N48="")+('Ügyfelek'!J48="")+('Ügyfelek'!K48="")+('Ügyfelek'!M48="")+('Ügyfelek'!P48="")+('Ügyfelek'!O48=""))</f>
        <v/>
      </c>
      <c r="AD48">
        <f>IF($A48="","",B48+'Beállítások'!$E$6/1000)</f>
        <v/>
      </c>
      <c r="AE48">
        <f>IF($A48="","",C48+'Beállítások'!$E$7/1000)</f>
        <v/>
      </c>
      <c r="AF48">
        <f>IF($A48="","",D48+'Beállítások'!$E$8/1000)</f>
        <v/>
      </c>
      <c r="AG48">
        <f>IF($A48="","",E48+'Beállítások'!$E$9/1000)</f>
        <v/>
      </c>
      <c r="AH48">
        <f>IF($A48="","",F48+'Beállítások'!$E$10/1000)</f>
        <v/>
      </c>
      <c r="AI48">
        <f>IF($A48="","",G48+'Beállítások'!$E$11/1000)</f>
        <v/>
      </c>
      <c r="AJ48">
        <f>IF($A48="","",H48+'Beállítások'!$E$12/1000)</f>
        <v/>
      </c>
      <c r="AK48">
        <f>IF($A48="","",I48+'Beállítások'!$E$13/1000)</f>
        <v/>
      </c>
      <c r="AL48">
        <f>IF($A48="","",J48+'Beállítások'!$E$14/1000)</f>
        <v/>
      </c>
      <c r="AM48">
        <f>IF($A48="","",K48+'Beállítások'!$E$15/1000)</f>
        <v/>
      </c>
      <c r="AN48">
        <f>IF($A48="","",L48+'Beállítások'!$E$16/1000)</f>
        <v/>
      </c>
      <c r="AO48">
        <f>IF($A48="","",'Beállítások'!$E$6*(5-B48))</f>
        <v/>
      </c>
      <c r="AP48">
        <f>IF($A48="","",'Beállítások'!$E$7*(5-C48))</f>
        <v/>
      </c>
      <c r="AQ48">
        <f>IF($A48="","",'Beállítások'!$E$8*(5-D48))</f>
        <v/>
      </c>
      <c r="AR48">
        <f>IF($A48="","",'Beállítások'!$E$9*(5-E48))</f>
        <v/>
      </c>
      <c r="AS48">
        <f>IF($A48="","",'Beállítások'!$E$10*(5-F48))</f>
        <v/>
      </c>
      <c r="AT48">
        <f>IF($A48="","",'Beállítások'!$E$11*(5-G48))</f>
        <v/>
      </c>
      <c r="AU48">
        <f>IF($A48="","",'Beállítások'!$E$12*(5-H48))</f>
        <v/>
      </c>
      <c r="AV48">
        <f>IF($A48="","",'Beállítások'!$E$13*(5-I48))</f>
        <v/>
      </c>
      <c r="AW48">
        <f>IF($A48="","",'Beállítások'!$E$14*(5-J48))</f>
        <v/>
      </c>
      <c r="AX48">
        <f>IF($A48="","",'Beállítások'!$E$15*(5-K48))</f>
        <v/>
      </c>
      <c r="AY48">
        <f>IF($A48="","",'Beállítások'!$E$16*(5-L48))</f>
        <v/>
      </c>
      <c r="AZ48">
        <f>IF($A48="","",M48-ROW()/100000)</f>
        <v/>
      </c>
    </row>
    <row r="49">
      <c r="A49">
        <f>IF('Ügyfelek'!A49="","",'Ügyfelek'!A49)</f>
        <v/>
      </c>
      <c r="B49">
        <f>IF($A49="","",IF('Ügyfelek'!B49="",'Beállítások'!$B$45,IFERROR(VLOOKUP(TRIM('Ügyfelek'!B49),'Beállítások'!$A$22:$B$41,2,FALSE),'Beállítások'!$B$45)))</f>
        <v/>
      </c>
      <c r="C49">
        <f>IF($A49="","",IF('Ügyfelek'!C49="",'Beállítások'!$B$45,VLOOKUP(MAX('Ügyfelek'!C49,'Beállítások'!$H$7),'Beállítások'!$H$7:$I$11,2,TRUE)))</f>
        <v/>
      </c>
      <c r="D49">
        <f>IF($A49="","",IF('Ügyfelek'!D49="",'Beállítások'!$B$45,VLOOKUP(MAX('Ügyfelek'!D49,'Beállítások'!$K$7),'Beállítások'!$K$7:$L$11,2,TRUE)))</f>
        <v/>
      </c>
      <c r="E49">
        <f>IF($A49="","",IF('Ügyfelek'!L49="",'Beállítások'!$B$45,MIN(5,MAX(1,ROUND('Ügyfelek'!L49,0)))))</f>
        <v/>
      </c>
      <c r="F49">
        <f>IF($A49="","",IF('Ügyfelek'!I49="",'Beállítások'!$B$45,VLOOKUP(MAX('Ügyfelek'!I49,'Beállítások'!$N$7),'Beállítások'!$N$7:$O$11,2,TRUE)))</f>
        <v/>
      </c>
      <c r="G49">
        <f>IF($A49="","",IF('Ügyfelek'!N49="",'Beállítások'!$B$45,MIN(5,MAX(1,ROUND('Ügyfelek'!N49,0)))))</f>
        <v/>
      </c>
      <c r="H49">
        <f>IF($A49="","",IF('Ügyfelek'!J49="",'Beállítások'!$B$45,VLOOKUP(MAX('Ügyfelek'!J49,'Beállítások'!$Q$7),'Beállítások'!$Q$7:$R$11,2,TRUE)))</f>
        <v/>
      </c>
      <c r="I49">
        <f>IF($A49="","",IF('Ügyfelek'!K49="",'Beállítások'!$B$45,VLOOKUP(MAX('Ügyfelek'!K49,'Beállítások'!$T$7),'Beállítások'!$T$7:$U$11,2,TRUE)))</f>
        <v/>
      </c>
      <c r="J49">
        <f>IF($A49="","",IF('Ügyfelek'!M49="",'Beállítások'!$B$45,MIN(5,MAX(1,ROUND('Ügyfelek'!M49,0)))))</f>
        <v/>
      </c>
      <c r="K49">
        <f>IF($A49="","",IF('Ügyfelek'!P49="",'Beállítások'!$B$45,MIN(5,MAX(1,ROUND('Ügyfelek'!P49,0)))))</f>
        <v/>
      </c>
      <c r="L49">
        <f>IF($A49="","",IF('Ügyfelek'!O49="",'Beállítások'!$B$45,MIN(5,MAX(1,ROUND('Ügyfelek'!O49,0)))))</f>
        <v/>
      </c>
      <c r="M49" s="13">
        <f>IF($A49="","",ROUND('Beállítások'!$E$6*(B49-1)/4+'Beállítások'!$E$7*(C49-1)/4+'Beállítások'!$E$8*(D49-1)/4+'Beállítások'!$E$9*(E49-1)/4+'Beállítások'!$E$10*(F49-1)/4+'Beállítások'!$E$11*(G49-1)/4+'Beállítások'!$E$12*(H49-1)/4+'Beállítások'!$E$13*(I49-1)/4+'Beállítások'!$E$14*(J49-1)/4+'Beállítások'!$E$15*(K49-1)/4+'Beállítások'!$E$16*(L49-1)/4,1))</f>
        <v/>
      </c>
      <c r="N49" s="14">
        <f>IF($A49="","",RANK(M49,$M$2:$M$201))</f>
        <v/>
      </c>
      <c r="O49">
        <f>IF($A49="","",VLOOKUP(M49,'Beállítások'!$A$57:$E$60,2,TRUE))</f>
        <v/>
      </c>
      <c r="P49">
        <f>IF($A49="","",VLOOKUP(M49,'Beállítások'!$A$57:$E$60,3,TRUE))</f>
        <v/>
      </c>
      <c r="Q49">
        <f>IF($A49="","",INDEX('Beállítások'!$B$6:$B$16,MATCH(MAX(AD49:AN49),AD49:AN49,0)))</f>
        <v/>
      </c>
      <c r="R49">
        <f>IF($A49="","",IF(MAX(AO49:AY49)=0,"—",INDEX('Beállítások'!$B$6:$B$16,MATCH(MAX(AO49:AY49),AO49:AY49,0))))</f>
        <v/>
      </c>
      <c r="S49" s="5">
        <f>IF($A49="","",'Beállítások'!$B$47*(TRIM('Ügyfelek'!E49)="igen")+'Beállítások'!$B$48*(TRIM('Ügyfelek'!F49)="igen")+'Beállítások'!$B$49*N('Ügyfelek'!G49)+'Beállítások'!$B$46*N('Ügyfelek'!H49))</f>
        <v/>
      </c>
      <c r="T49" s="15">
        <f>IF($A49="","",VLOOKUP(M49,'Beállítások'!$A$57:$E$60,4,TRUE))</f>
        <v/>
      </c>
      <c r="U49" s="5">
        <f>IF($A49="","",N('Ügyfelek'!D49)*'Beállítások'!$B$51)</f>
        <v/>
      </c>
      <c r="V49" s="5">
        <f>IF($A49="","",CEILING(ROUND(MAX('Beállítások'!$B$50,S49*T49,U49),2),'Beállítások'!$B$52))</f>
        <v/>
      </c>
      <c r="W49">
        <f>IF($A49="","",IF(MAX('Beállítások'!$B$50,S49*T49,U49)=S49*T49,"Munkaigény × szintszorzó",IF(MAX('Beállítások'!$B$50,S49*T49,U49)=U49,"Hirdetési keret arányában","Minimumdíj")))</f>
        <v/>
      </c>
      <c r="X49" s="5">
        <f>IF(OR($A49="",'Ügyfelek'!Q49=""),"",'Ügyfelek'!Q49)</f>
        <v/>
      </c>
      <c r="Y49" s="5">
        <f>IF(X49="","",V49-X49)</f>
        <v/>
      </c>
      <c r="Z49" s="16">
        <f>IF(OR(X49="",X49=0),"",Y49/X49)</f>
        <v/>
      </c>
      <c r="AA49" s="5">
        <f>IF(OR($A49="",'Ügyfelek'!R49=""),"",'Ügyfelek'!R49*VLOOKUP(M49,'Beállítások'!$A$57:$E$60,5,TRUE))</f>
        <v/>
      </c>
      <c r="AB49" s="14">
        <f>IF($A49="","",('Ügyfelek'!B49="")+('Ügyfelek'!C49="")+('Ügyfelek'!D49="")+('Ügyfelek'!L49="")+('Ügyfelek'!I49="")+('Ügyfelek'!N49="")+('Ügyfelek'!J49="")+('Ügyfelek'!K49="")+('Ügyfelek'!M49="")+('Ügyfelek'!P49="")+('Ügyfelek'!O49=""))</f>
        <v/>
      </c>
      <c r="AD49">
        <f>IF($A49="","",B49+'Beállítások'!$E$6/1000)</f>
        <v/>
      </c>
      <c r="AE49">
        <f>IF($A49="","",C49+'Beállítások'!$E$7/1000)</f>
        <v/>
      </c>
      <c r="AF49">
        <f>IF($A49="","",D49+'Beállítások'!$E$8/1000)</f>
        <v/>
      </c>
      <c r="AG49">
        <f>IF($A49="","",E49+'Beállítások'!$E$9/1000)</f>
        <v/>
      </c>
      <c r="AH49">
        <f>IF($A49="","",F49+'Beállítások'!$E$10/1000)</f>
        <v/>
      </c>
      <c r="AI49">
        <f>IF($A49="","",G49+'Beállítások'!$E$11/1000)</f>
        <v/>
      </c>
      <c r="AJ49">
        <f>IF($A49="","",H49+'Beállítások'!$E$12/1000)</f>
        <v/>
      </c>
      <c r="AK49">
        <f>IF($A49="","",I49+'Beállítások'!$E$13/1000)</f>
        <v/>
      </c>
      <c r="AL49">
        <f>IF($A49="","",J49+'Beállítások'!$E$14/1000)</f>
        <v/>
      </c>
      <c r="AM49">
        <f>IF($A49="","",K49+'Beállítások'!$E$15/1000)</f>
        <v/>
      </c>
      <c r="AN49">
        <f>IF($A49="","",L49+'Beállítások'!$E$16/1000)</f>
        <v/>
      </c>
      <c r="AO49">
        <f>IF($A49="","",'Beállítások'!$E$6*(5-B49))</f>
        <v/>
      </c>
      <c r="AP49">
        <f>IF($A49="","",'Beállítások'!$E$7*(5-C49))</f>
        <v/>
      </c>
      <c r="AQ49">
        <f>IF($A49="","",'Beállítások'!$E$8*(5-D49))</f>
        <v/>
      </c>
      <c r="AR49">
        <f>IF($A49="","",'Beállítások'!$E$9*(5-E49))</f>
        <v/>
      </c>
      <c r="AS49">
        <f>IF($A49="","",'Beállítások'!$E$10*(5-F49))</f>
        <v/>
      </c>
      <c r="AT49">
        <f>IF($A49="","",'Beállítások'!$E$11*(5-G49))</f>
        <v/>
      </c>
      <c r="AU49">
        <f>IF($A49="","",'Beállítások'!$E$12*(5-H49))</f>
        <v/>
      </c>
      <c r="AV49">
        <f>IF($A49="","",'Beállítások'!$E$13*(5-I49))</f>
        <v/>
      </c>
      <c r="AW49">
        <f>IF($A49="","",'Beállítások'!$E$14*(5-J49))</f>
        <v/>
      </c>
      <c r="AX49">
        <f>IF($A49="","",'Beállítások'!$E$15*(5-K49))</f>
        <v/>
      </c>
      <c r="AY49">
        <f>IF($A49="","",'Beállítások'!$E$16*(5-L49))</f>
        <v/>
      </c>
      <c r="AZ49">
        <f>IF($A49="","",M49-ROW()/100000)</f>
        <v/>
      </c>
    </row>
    <row r="50">
      <c r="A50">
        <f>IF('Ügyfelek'!A50="","",'Ügyfelek'!A50)</f>
        <v/>
      </c>
      <c r="B50">
        <f>IF($A50="","",IF('Ügyfelek'!B50="",'Beállítások'!$B$45,IFERROR(VLOOKUP(TRIM('Ügyfelek'!B50),'Beállítások'!$A$22:$B$41,2,FALSE),'Beállítások'!$B$45)))</f>
        <v/>
      </c>
      <c r="C50">
        <f>IF($A50="","",IF('Ügyfelek'!C50="",'Beállítások'!$B$45,VLOOKUP(MAX('Ügyfelek'!C50,'Beállítások'!$H$7),'Beállítások'!$H$7:$I$11,2,TRUE)))</f>
        <v/>
      </c>
      <c r="D50">
        <f>IF($A50="","",IF('Ügyfelek'!D50="",'Beállítások'!$B$45,VLOOKUP(MAX('Ügyfelek'!D50,'Beállítások'!$K$7),'Beállítások'!$K$7:$L$11,2,TRUE)))</f>
        <v/>
      </c>
      <c r="E50">
        <f>IF($A50="","",IF('Ügyfelek'!L50="",'Beállítások'!$B$45,MIN(5,MAX(1,ROUND('Ügyfelek'!L50,0)))))</f>
        <v/>
      </c>
      <c r="F50">
        <f>IF($A50="","",IF('Ügyfelek'!I50="",'Beállítások'!$B$45,VLOOKUP(MAX('Ügyfelek'!I50,'Beállítások'!$N$7),'Beállítások'!$N$7:$O$11,2,TRUE)))</f>
        <v/>
      </c>
      <c r="G50">
        <f>IF($A50="","",IF('Ügyfelek'!N50="",'Beállítások'!$B$45,MIN(5,MAX(1,ROUND('Ügyfelek'!N50,0)))))</f>
        <v/>
      </c>
      <c r="H50">
        <f>IF($A50="","",IF('Ügyfelek'!J50="",'Beállítások'!$B$45,VLOOKUP(MAX('Ügyfelek'!J50,'Beállítások'!$Q$7),'Beállítások'!$Q$7:$R$11,2,TRUE)))</f>
        <v/>
      </c>
      <c r="I50">
        <f>IF($A50="","",IF('Ügyfelek'!K50="",'Beállítások'!$B$45,VLOOKUP(MAX('Ügyfelek'!K50,'Beállítások'!$T$7),'Beállítások'!$T$7:$U$11,2,TRUE)))</f>
        <v/>
      </c>
      <c r="J50">
        <f>IF($A50="","",IF('Ügyfelek'!M50="",'Beállítások'!$B$45,MIN(5,MAX(1,ROUND('Ügyfelek'!M50,0)))))</f>
        <v/>
      </c>
      <c r="K50">
        <f>IF($A50="","",IF('Ügyfelek'!P50="",'Beállítások'!$B$45,MIN(5,MAX(1,ROUND('Ügyfelek'!P50,0)))))</f>
        <v/>
      </c>
      <c r="L50">
        <f>IF($A50="","",IF('Ügyfelek'!O50="",'Beállítások'!$B$45,MIN(5,MAX(1,ROUND('Ügyfelek'!O50,0)))))</f>
        <v/>
      </c>
      <c r="M50" s="13">
        <f>IF($A50="","",ROUND('Beállítások'!$E$6*(B50-1)/4+'Beállítások'!$E$7*(C50-1)/4+'Beállítások'!$E$8*(D50-1)/4+'Beállítások'!$E$9*(E50-1)/4+'Beállítások'!$E$10*(F50-1)/4+'Beállítások'!$E$11*(G50-1)/4+'Beállítások'!$E$12*(H50-1)/4+'Beállítások'!$E$13*(I50-1)/4+'Beállítások'!$E$14*(J50-1)/4+'Beállítások'!$E$15*(K50-1)/4+'Beállítások'!$E$16*(L50-1)/4,1))</f>
        <v/>
      </c>
      <c r="N50" s="14">
        <f>IF($A50="","",RANK(M50,$M$2:$M$201))</f>
        <v/>
      </c>
      <c r="O50">
        <f>IF($A50="","",VLOOKUP(M50,'Beállítások'!$A$57:$E$60,2,TRUE))</f>
        <v/>
      </c>
      <c r="P50">
        <f>IF($A50="","",VLOOKUP(M50,'Beállítások'!$A$57:$E$60,3,TRUE))</f>
        <v/>
      </c>
      <c r="Q50">
        <f>IF($A50="","",INDEX('Beállítások'!$B$6:$B$16,MATCH(MAX(AD50:AN50),AD50:AN50,0)))</f>
        <v/>
      </c>
      <c r="R50">
        <f>IF($A50="","",IF(MAX(AO50:AY50)=0,"—",INDEX('Beállítások'!$B$6:$B$16,MATCH(MAX(AO50:AY50),AO50:AY50,0))))</f>
        <v/>
      </c>
      <c r="S50" s="5">
        <f>IF($A50="","",'Beállítások'!$B$47*(TRIM('Ügyfelek'!E50)="igen")+'Beállítások'!$B$48*(TRIM('Ügyfelek'!F50)="igen")+'Beállítások'!$B$49*N('Ügyfelek'!G50)+'Beállítások'!$B$46*N('Ügyfelek'!H50))</f>
        <v/>
      </c>
      <c r="T50" s="15">
        <f>IF($A50="","",VLOOKUP(M50,'Beállítások'!$A$57:$E$60,4,TRUE))</f>
        <v/>
      </c>
      <c r="U50" s="5">
        <f>IF($A50="","",N('Ügyfelek'!D50)*'Beállítások'!$B$51)</f>
        <v/>
      </c>
      <c r="V50" s="5">
        <f>IF($A50="","",CEILING(ROUND(MAX('Beállítások'!$B$50,S50*T50,U50),2),'Beállítások'!$B$52))</f>
        <v/>
      </c>
      <c r="W50">
        <f>IF($A50="","",IF(MAX('Beállítások'!$B$50,S50*T50,U50)=S50*T50,"Munkaigény × szintszorzó",IF(MAX('Beállítások'!$B$50,S50*T50,U50)=U50,"Hirdetési keret arányában","Minimumdíj")))</f>
        <v/>
      </c>
      <c r="X50" s="5">
        <f>IF(OR($A50="",'Ügyfelek'!Q50=""),"",'Ügyfelek'!Q50)</f>
        <v/>
      </c>
      <c r="Y50" s="5">
        <f>IF(X50="","",V50-X50)</f>
        <v/>
      </c>
      <c r="Z50" s="16">
        <f>IF(OR(X50="",X50=0),"",Y50/X50)</f>
        <v/>
      </c>
      <c r="AA50" s="5">
        <f>IF(OR($A50="",'Ügyfelek'!R50=""),"",'Ügyfelek'!R50*VLOOKUP(M50,'Beállítások'!$A$57:$E$60,5,TRUE))</f>
        <v/>
      </c>
      <c r="AB50" s="14">
        <f>IF($A50="","",('Ügyfelek'!B50="")+('Ügyfelek'!C50="")+('Ügyfelek'!D50="")+('Ügyfelek'!L50="")+('Ügyfelek'!I50="")+('Ügyfelek'!N50="")+('Ügyfelek'!J50="")+('Ügyfelek'!K50="")+('Ügyfelek'!M50="")+('Ügyfelek'!P50="")+('Ügyfelek'!O50=""))</f>
        <v/>
      </c>
      <c r="AD50">
        <f>IF($A50="","",B50+'Beállítások'!$E$6/1000)</f>
        <v/>
      </c>
      <c r="AE50">
        <f>IF($A50="","",C50+'Beállítások'!$E$7/1000)</f>
        <v/>
      </c>
      <c r="AF50">
        <f>IF($A50="","",D50+'Beállítások'!$E$8/1000)</f>
        <v/>
      </c>
      <c r="AG50">
        <f>IF($A50="","",E50+'Beállítások'!$E$9/1000)</f>
        <v/>
      </c>
      <c r="AH50">
        <f>IF($A50="","",F50+'Beállítások'!$E$10/1000)</f>
        <v/>
      </c>
      <c r="AI50">
        <f>IF($A50="","",G50+'Beállítások'!$E$11/1000)</f>
        <v/>
      </c>
      <c r="AJ50">
        <f>IF($A50="","",H50+'Beállítások'!$E$12/1000)</f>
        <v/>
      </c>
      <c r="AK50">
        <f>IF($A50="","",I50+'Beállítások'!$E$13/1000)</f>
        <v/>
      </c>
      <c r="AL50">
        <f>IF($A50="","",J50+'Beállítások'!$E$14/1000)</f>
        <v/>
      </c>
      <c r="AM50">
        <f>IF($A50="","",K50+'Beállítások'!$E$15/1000)</f>
        <v/>
      </c>
      <c r="AN50">
        <f>IF($A50="","",L50+'Beállítások'!$E$16/1000)</f>
        <v/>
      </c>
      <c r="AO50">
        <f>IF($A50="","",'Beállítások'!$E$6*(5-B50))</f>
        <v/>
      </c>
      <c r="AP50">
        <f>IF($A50="","",'Beállítások'!$E$7*(5-C50))</f>
        <v/>
      </c>
      <c r="AQ50">
        <f>IF($A50="","",'Beállítások'!$E$8*(5-D50))</f>
        <v/>
      </c>
      <c r="AR50">
        <f>IF($A50="","",'Beállítások'!$E$9*(5-E50))</f>
        <v/>
      </c>
      <c r="AS50">
        <f>IF($A50="","",'Beállítások'!$E$10*(5-F50))</f>
        <v/>
      </c>
      <c r="AT50">
        <f>IF($A50="","",'Beállítások'!$E$11*(5-G50))</f>
        <v/>
      </c>
      <c r="AU50">
        <f>IF($A50="","",'Beállítások'!$E$12*(5-H50))</f>
        <v/>
      </c>
      <c r="AV50">
        <f>IF($A50="","",'Beállítások'!$E$13*(5-I50))</f>
        <v/>
      </c>
      <c r="AW50">
        <f>IF($A50="","",'Beállítások'!$E$14*(5-J50))</f>
        <v/>
      </c>
      <c r="AX50">
        <f>IF($A50="","",'Beállítások'!$E$15*(5-K50))</f>
        <v/>
      </c>
      <c r="AY50">
        <f>IF($A50="","",'Beállítások'!$E$16*(5-L50))</f>
        <v/>
      </c>
      <c r="AZ50">
        <f>IF($A50="","",M50-ROW()/100000)</f>
        <v/>
      </c>
    </row>
    <row r="51">
      <c r="A51">
        <f>IF('Ügyfelek'!A51="","",'Ügyfelek'!A51)</f>
        <v/>
      </c>
      <c r="B51">
        <f>IF($A51="","",IF('Ügyfelek'!B51="",'Beállítások'!$B$45,IFERROR(VLOOKUP(TRIM('Ügyfelek'!B51),'Beállítások'!$A$22:$B$41,2,FALSE),'Beállítások'!$B$45)))</f>
        <v/>
      </c>
      <c r="C51">
        <f>IF($A51="","",IF('Ügyfelek'!C51="",'Beállítások'!$B$45,VLOOKUP(MAX('Ügyfelek'!C51,'Beállítások'!$H$7),'Beállítások'!$H$7:$I$11,2,TRUE)))</f>
        <v/>
      </c>
      <c r="D51">
        <f>IF($A51="","",IF('Ügyfelek'!D51="",'Beállítások'!$B$45,VLOOKUP(MAX('Ügyfelek'!D51,'Beállítások'!$K$7),'Beállítások'!$K$7:$L$11,2,TRUE)))</f>
        <v/>
      </c>
      <c r="E51">
        <f>IF($A51="","",IF('Ügyfelek'!L51="",'Beállítások'!$B$45,MIN(5,MAX(1,ROUND('Ügyfelek'!L51,0)))))</f>
        <v/>
      </c>
      <c r="F51">
        <f>IF($A51="","",IF('Ügyfelek'!I51="",'Beállítások'!$B$45,VLOOKUP(MAX('Ügyfelek'!I51,'Beállítások'!$N$7),'Beállítások'!$N$7:$O$11,2,TRUE)))</f>
        <v/>
      </c>
      <c r="G51">
        <f>IF($A51="","",IF('Ügyfelek'!N51="",'Beállítások'!$B$45,MIN(5,MAX(1,ROUND('Ügyfelek'!N51,0)))))</f>
        <v/>
      </c>
      <c r="H51">
        <f>IF($A51="","",IF('Ügyfelek'!J51="",'Beállítások'!$B$45,VLOOKUP(MAX('Ügyfelek'!J51,'Beállítások'!$Q$7),'Beállítások'!$Q$7:$R$11,2,TRUE)))</f>
        <v/>
      </c>
      <c r="I51">
        <f>IF($A51="","",IF('Ügyfelek'!K51="",'Beállítások'!$B$45,VLOOKUP(MAX('Ügyfelek'!K51,'Beállítások'!$T$7),'Beállítások'!$T$7:$U$11,2,TRUE)))</f>
        <v/>
      </c>
      <c r="J51">
        <f>IF($A51="","",IF('Ügyfelek'!M51="",'Beállítások'!$B$45,MIN(5,MAX(1,ROUND('Ügyfelek'!M51,0)))))</f>
        <v/>
      </c>
      <c r="K51">
        <f>IF($A51="","",IF('Ügyfelek'!P51="",'Beállítások'!$B$45,MIN(5,MAX(1,ROUND('Ügyfelek'!P51,0)))))</f>
        <v/>
      </c>
      <c r="L51">
        <f>IF($A51="","",IF('Ügyfelek'!O51="",'Beállítások'!$B$45,MIN(5,MAX(1,ROUND('Ügyfelek'!O51,0)))))</f>
        <v/>
      </c>
      <c r="M51" s="13">
        <f>IF($A51="","",ROUND('Beállítások'!$E$6*(B51-1)/4+'Beállítások'!$E$7*(C51-1)/4+'Beállítások'!$E$8*(D51-1)/4+'Beállítások'!$E$9*(E51-1)/4+'Beállítások'!$E$10*(F51-1)/4+'Beállítások'!$E$11*(G51-1)/4+'Beállítások'!$E$12*(H51-1)/4+'Beállítások'!$E$13*(I51-1)/4+'Beállítások'!$E$14*(J51-1)/4+'Beállítások'!$E$15*(K51-1)/4+'Beállítások'!$E$16*(L51-1)/4,1))</f>
        <v/>
      </c>
      <c r="N51" s="14">
        <f>IF($A51="","",RANK(M51,$M$2:$M$201))</f>
        <v/>
      </c>
      <c r="O51">
        <f>IF($A51="","",VLOOKUP(M51,'Beállítások'!$A$57:$E$60,2,TRUE))</f>
        <v/>
      </c>
      <c r="P51">
        <f>IF($A51="","",VLOOKUP(M51,'Beállítások'!$A$57:$E$60,3,TRUE))</f>
        <v/>
      </c>
      <c r="Q51">
        <f>IF($A51="","",INDEX('Beállítások'!$B$6:$B$16,MATCH(MAX(AD51:AN51),AD51:AN51,0)))</f>
        <v/>
      </c>
      <c r="R51">
        <f>IF($A51="","",IF(MAX(AO51:AY51)=0,"—",INDEX('Beállítások'!$B$6:$B$16,MATCH(MAX(AO51:AY51),AO51:AY51,0))))</f>
        <v/>
      </c>
      <c r="S51" s="5">
        <f>IF($A51="","",'Beállítások'!$B$47*(TRIM('Ügyfelek'!E51)="igen")+'Beállítások'!$B$48*(TRIM('Ügyfelek'!F51)="igen")+'Beállítások'!$B$49*N('Ügyfelek'!G51)+'Beállítások'!$B$46*N('Ügyfelek'!H51))</f>
        <v/>
      </c>
      <c r="T51" s="15">
        <f>IF($A51="","",VLOOKUP(M51,'Beállítások'!$A$57:$E$60,4,TRUE))</f>
        <v/>
      </c>
      <c r="U51" s="5">
        <f>IF($A51="","",N('Ügyfelek'!D51)*'Beállítások'!$B$51)</f>
        <v/>
      </c>
      <c r="V51" s="5">
        <f>IF($A51="","",CEILING(ROUND(MAX('Beállítások'!$B$50,S51*T51,U51),2),'Beállítások'!$B$52))</f>
        <v/>
      </c>
      <c r="W51">
        <f>IF($A51="","",IF(MAX('Beállítások'!$B$50,S51*T51,U51)=S51*T51,"Munkaigény × szintszorzó",IF(MAX('Beállítások'!$B$50,S51*T51,U51)=U51,"Hirdetési keret arányában","Minimumdíj")))</f>
        <v/>
      </c>
      <c r="X51" s="5">
        <f>IF(OR($A51="",'Ügyfelek'!Q51=""),"",'Ügyfelek'!Q51)</f>
        <v/>
      </c>
      <c r="Y51" s="5">
        <f>IF(X51="","",V51-X51)</f>
        <v/>
      </c>
      <c r="Z51" s="16">
        <f>IF(OR(X51="",X51=0),"",Y51/X51)</f>
        <v/>
      </c>
      <c r="AA51" s="5">
        <f>IF(OR($A51="",'Ügyfelek'!R51=""),"",'Ügyfelek'!R51*VLOOKUP(M51,'Beállítások'!$A$57:$E$60,5,TRUE))</f>
        <v/>
      </c>
      <c r="AB51" s="14">
        <f>IF($A51="","",('Ügyfelek'!B51="")+('Ügyfelek'!C51="")+('Ügyfelek'!D51="")+('Ügyfelek'!L51="")+('Ügyfelek'!I51="")+('Ügyfelek'!N51="")+('Ügyfelek'!J51="")+('Ügyfelek'!K51="")+('Ügyfelek'!M51="")+('Ügyfelek'!P51="")+('Ügyfelek'!O51=""))</f>
        <v/>
      </c>
      <c r="AD51">
        <f>IF($A51="","",B51+'Beállítások'!$E$6/1000)</f>
        <v/>
      </c>
      <c r="AE51">
        <f>IF($A51="","",C51+'Beállítások'!$E$7/1000)</f>
        <v/>
      </c>
      <c r="AF51">
        <f>IF($A51="","",D51+'Beállítások'!$E$8/1000)</f>
        <v/>
      </c>
      <c r="AG51">
        <f>IF($A51="","",E51+'Beállítások'!$E$9/1000)</f>
        <v/>
      </c>
      <c r="AH51">
        <f>IF($A51="","",F51+'Beállítások'!$E$10/1000)</f>
        <v/>
      </c>
      <c r="AI51">
        <f>IF($A51="","",G51+'Beállítások'!$E$11/1000)</f>
        <v/>
      </c>
      <c r="AJ51">
        <f>IF($A51="","",H51+'Beállítások'!$E$12/1000)</f>
        <v/>
      </c>
      <c r="AK51">
        <f>IF($A51="","",I51+'Beállítások'!$E$13/1000)</f>
        <v/>
      </c>
      <c r="AL51">
        <f>IF($A51="","",J51+'Beállítások'!$E$14/1000)</f>
        <v/>
      </c>
      <c r="AM51">
        <f>IF($A51="","",K51+'Beállítások'!$E$15/1000)</f>
        <v/>
      </c>
      <c r="AN51">
        <f>IF($A51="","",L51+'Beállítások'!$E$16/1000)</f>
        <v/>
      </c>
      <c r="AO51">
        <f>IF($A51="","",'Beállítások'!$E$6*(5-B51))</f>
        <v/>
      </c>
      <c r="AP51">
        <f>IF($A51="","",'Beállítások'!$E$7*(5-C51))</f>
        <v/>
      </c>
      <c r="AQ51">
        <f>IF($A51="","",'Beállítások'!$E$8*(5-D51))</f>
        <v/>
      </c>
      <c r="AR51">
        <f>IF($A51="","",'Beállítások'!$E$9*(5-E51))</f>
        <v/>
      </c>
      <c r="AS51">
        <f>IF($A51="","",'Beállítások'!$E$10*(5-F51))</f>
        <v/>
      </c>
      <c r="AT51">
        <f>IF($A51="","",'Beállítások'!$E$11*(5-G51))</f>
        <v/>
      </c>
      <c r="AU51">
        <f>IF($A51="","",'Beállítások'!$E$12*(5-H51))</f>
        <v/>
      </c>
      <c r="AV51">
        <f>IF($A51="","",'Beállítások'!$E$13*(5-I51))</f>
        <v/>
      </c>
      <c r="AW51">
        <f>IF($A51="","",'Beállítások'!$E$14*(5-J51))</f>
        <v/>
      </c>
      <c r="AX51">
        <f>IF($A51="","",'Beállítások'!$E$15*(5-K51))</f>
        <v/>
      </c>
      <c r="AY51">
        <f>IF($A51="","",'Beállítások'!$E$16*(5-L51))</f>
        <v/>
      </c>
      <c r="AZ51">
        <f>IF($A51="","",M51-ROW()/100000)</f>
        <v/>
      </c>
    </row>
    <row r="52">
      <c r="A52">
        <f>IF('Ügyfelek'!A52="","",'Ügyfelek'!A52)</f>
        <v/>
      </c>
      <c r="B52">
        <f>IF($A52="","",IF('Ügyfelek'!B52="",'Beállítások'!$B$45,IFERROR(VLOOKUP(TRIM('Ügyfelek'!B52),'Beállítások'!$A$22:$B$41,2,FALSE),'Beállítások'!$B$45)))</f>
        <v/>
      </c>
      <c r="C52">
        <f>IF($A52="","",IF('Ügyfelek'!C52="",'Beállítások'!$B$45,VLOOKUP(MAX('Ügyfelek'!C52,'Beállítások'!$H$7),'Beállítások'!$H$7:$I$11,2,TRUE)))</f>
        <v/>
      </c>
      <c r="D52">
        <f>IF($A52="","",IF('Ügyfelek'!D52="",'Beállítások'!$B$45,VLOOKUP(MAX('Ügyfelek'!D52,'Beállítások'!$K$7),'Beállítások'!$K$7:$L$11,2,TRUE)))</f>
        <v/>
      </c>
      <c r="E52">
        <f>IF($A52="","",IF('Ügyfelek'!L52="",'Beállítások'!$B$45,MIN(5,MAX(1,ROUND('Ügyfelek'!L52,0)))))</f>
        <v/>
      </c>
      <c r="F52">
        <f>IF($A52="","",IF('Ügyfelek'!I52="",'Beállítások'!$B$45,VLOOKUP(MAX('Ügyfelek'!I52,'Beállítások'!$N$7),'Beállítások'!$N$7:$O$11,2,TRUE)))</f>
        <v/>
      </c>
      <c r="G52">
        <f>IF($A52="","",IF('Ügyfelek'!N52="",'Beállítások'!$B$45,MIN(5,MAX(1,ROUND('Ügyfelek'!N52,0)))))</f>
        <v/>
      </c>
      <c r="H52">
        <f>IF($A52="","",IF('Ügyfelek'!J52="",'Beállítások'!$B$45,VLOOKUP(MAX('Ügyfelek'!J52,'Beállítások'!$Q$7),'Beállítások'!$Q$7:$R$11,2,TRUE)))</f>
        <v/>
      </c>
      <c r="I52">
        <f>IF($A52="","",IF('Ügyfelek'!K52="",'Beállítások'!$B$45,VLOOKUP(MAX('Ügyfelek'!K52,'Beállítások'!$T$7),'Beállítások'!$T$7:$U$11,2,TRUE)))</f>
        <v/>
      </c>
      <c r="J52">
        <f>IF($A52="","",IF('Ügyfelek'!M52="",'Beállítások'!$B$45,MIN(5,MAX(1,ROUND('Ügyfelek'!M52,0)))))</f>
        <v/>
      </c>
      <c r="K52">
        <f>IF($A52="","",IF('Ügyfelek'!P52="",'Beállítások'!$B$45,MIN(5,MAX(1,ROUND('Ügyfelek'!P52,0)))))</f>
        <v/>
      </c>
      <c r="L52">
        <f>IF($A52="","",IF('Ügyfelek'!O52="",'Beállítások'!$B$45,MIN(5,MAX(1,ROUND('Ügyfelek'!O52,0)))))</f>
        <v/>
      </c>
      <c r="M52" s="13">
        <f>IF($A52="","",ROUND('Beállítások'!$E$6*(B52-1)/4+'Beállítások'!$E$7*(C52-1)/4+'Beállítások'!$E$8*(D52-1)/4+'Beállítások'!$E$9*(E52-1)/4+'Beállítások'!$E$10*(F52-1)/4+'Beállítások'!$E$11*(G52-1)/4+'Beállítások'!$E$12*(H52-1)/4+'Beállítások'!$E$13*(I52-1)/4+'Beállítások'!$E$14*(J52-1)/4+'Beállítások'!$E$15*(K52-1)/4+'Beállítások'!$E$16*(L52-1)/4,1))</f>
        <v/>
      </c>
      <c r="N52" s="14">
        <f>IF($A52="","",RANK(M52,$M$2:$M$201))</f>
        <v/>
      </c>
      <c r="O52">
        <f>IF($A52="","",VLOOKUP(M52,'Beállítások'!$A$57:$E$60,2,TRUE))</f>
        <v/>
      </c>
      <c r="P52">
        <f>IF($A52="","",VLOOKUP(M52,'Beállítások'!$A$57:$E$60,3,TRUE))</f>
        <v/>
      </c>
      <c r="Q52">
        <f>IF($A52="","",INDEX('Beállítások'!$B$6:$B$16,MATCH(MAX(AD52:AN52),AD52:AN52,0)))</f>
        <v/>
      </c>
      <c r="R52">
        <f>IF($A52="","",IF(MAX(AO52:AY52)=0,"—",INDEX('Beállítások'!$B$6:$B$16,MATCH(MAX(AO52:AY52),AO52:AY52,0))))</f>
        <v/>
      </c>
      <c r="S52" s="5">
        <f>IF($A52="","",'Beállítások'!$B$47*(TRIM('Ügyfelek'!E52)="igen")+'Beállítások'!$B$48*(TRIM('Ügyfelek'!F52)="igen")+'Beállítások'!$B$49*N('Ügyfelek'!G52)+'Beállítások'!$B$46*N('Ügyfelek'!H52))</f>
        <v/>
      </c>
      <c r="T52" s="15">
        <f>IF($A52="","",VLOOKUP(M52,'Beállítások'!$A$57:$E$60,4,TRUE))</f>
        <v/>
      </c>
      <c r="U52" s="5">
        <f>IF($A52="","",N('Ügyfelek'!D52)*'Beállítások'!$B$51)</f>
        <v/>
      </c>
      <c r="V52" s="5">
        <f>IF($A52="","",CEILING(ROUND(MAX('Beállítások'!$B$50,S52*T52,U52),2),'Beállítások'!$B$52))</f>
        <v/>
      </c>
      <c r="W52">
        <f>IF($A52="","",IF(MAX('Beállítások'!$B$50,S52*T52,U52)=S52*T52,"Munkaigény × szintszorzó",IF(MAX('Beállítások'!$B$50,S52*T52,U52)=U52,"Hirdetési keret arányában","Minimumdíj")))</f>
        <v/>
      </c>
      <c r="X52" s="5">
        <f>IF(OR($A52="",'Ügyfelek'!Q52=""),"",'Ügyfelek'!Q52)</f>
        <v/>
      </c>
      <c r="Y52" s="5">
        <f>IF(X52="","",V52-X52)</f>
        <v/>
      </c>
      <c r="Z52" s="16">
        <f>IF(OR(X52="",X52=0),"",Y52/X52)</f>
        <v/>
      </c>
      <c r="AA52" s="5">
        <f>IF(OR($A52="",'Ügyfelek'!R52=""),"",'Ügyfelek'!R52*VLOOKUP(M52,'Beállítások'!$A$57:$E$60,5,TRUE))</f>
        <v/>
      </c>
      <c r="AB52" s="14">
        <f>IF($A52="","",('Ügyfelek'!B52="")+('Ügyfelek'!C52="")+('Ügyfelek'!D52="")+('Ügyfelek'!L52="")+('Ügyfelek'!I52="")+('Ügyfelek'!N52="")+('Ügyfelek'!J52="")+('Ügyfelek'!K52="")+('Ügyfelek'!M52="")+('Ügyfelek'!P52="")+('Ügyfelek'!O52=""))</f>
        <v/>
      </c>
      <c r="AD52">
        <f>IF($A52="","",B52+'Beállítások'!$E$6/1000)</f>
        <v/>
      </c>
      <c r="AE52">
        <f>IF($A52="","",C52+'Beállítások'!$E$7/1000)</f>
        <v/>
      </c>
      <c r="AF52">
        <f>IF($A52="","",D52+'Beállítások'!$E$8/1000)</f>
        <v/>
      </c>
      <c r="AG52">
        <f>IF($A52="","",E52+'Beállítások'!$E$9/1000)</f>
        <v/>
      </c>
      <c r="AH52">
        <f>IF($A52="","",F52+'Beállítások'!$E$10/1000)</f>
        <v/>
      </c>
      <c r="AI52">
        <f>IF($A52="","",G52+'Beállítások'!$E$11/1000)</f>
        <v/>
      </c>
      <c r="AJ52">
        <f>IF($A52="","",H52+'Beállítások'!$E$12/1000)</f>
        <v/>
      </c>
      <c r="AK52">
        <f>IF($A52="","",I52+'Beállítások'!$E$13/1000)</f>
        <v/>
      </c>
      <c r="AL52">
        <f>IF($A52="","",J52+'Beállítások'!$E$14/1000)</f>
        <v/>
      </c>
      <c r="AM52">
        <f>IF($A52="","",K52+'Beállítások'!$E$15/1000)</f>
        <v/>
      </c>
      <c r="AN52">
        <f>IF($A52="","",L52+'Beállítások'!$E$16/1000)</f>
        <v/>
      </c>
      <c r="AO52">
        <f>IF($A52="","",'Beállítások'!$E$6*(5-B52))</f>
        <v/>
      </c>
      <c r="AP52">
        <f>IF($A52="","",'Beállítások'!$E$7*(5-C52))</f>
        <v/>
      </c>
      <c r="AQ52">
        <f>IF($A52="","",'Beállítások'!$E$8*(5-D52))</f>
        <v/>
      </c>
      <c r="AR52">
        <f>IF($A52="","",'Beállítások'!$E$9*(5-E52))</f>
        <v/>
      </c>
      <c r="AS52">
        <f>IF($A52="","",'Beállítások'!$E$10*(5-F52))</f>
        <v/>
      </c>
      <c r="AT52">
        <f>IF($A52="","",'Beállítások'!$E$11*(5-G52))</f>
        <v/>
      </c>
      <c r="AU52">
        <f>IF($A52="","",'Beállítások'!$E$12*(5-H52))</f>
        <v/>
      </c>
      <c r="AV52">
        <f>IF($A52="","",'Beállítások'!$E$13*(5-I52))</f>
        <v/>
      </c>
      <c r="AW52">
        <f>IF($A52="","",'Beállítások'!$E$14*(5-J52))</f>
        <v/>
      </c>
      <c r="AX52">
        <f>IF($A52="","",'Beállítások'!$E$15*(5-K52))</f>
        <v/>
      </c>
      <c r="AY52">
        <f>IF($A52="","",'Beállítások'!$E$16*(5-L52))</f>
        <v/>
      </c>
      <c r="AZ52">
        <f>IF($A52="","",M52-ROW()/100000)</f>
        <v/>
      </c>
    </row>
    <row r="53">
      <c r="A53">
        <f>IF('Ügyfelek'!A53="","",'Ügyfelek'!A53)</f>
        <v/>
      </c>
      <c r="B53">
        <f>IF($A53="","",IF('Ügyfelek'!B53="",'Beállítások'!$B$45,IFERROR(VLOOKUP(TRIM('Ügyfelek'!B53),'Beállítások'!$A$22:$B$41,2,FALSE),'Beállítások'!$B$45)))</f>
        <v/>
      </c>
      <c r="C53">
        <f>IF($A53="","",IF('Ügyfelek'!C53="",'Beállítások'!$B$45,VLOOKUP(MAX('Ügyfelek'!C53,'Beállítások'!$H$7),'Beállítások'!$H$7:$I$11,2,TRUE)))</f>
        <v/>
      </c>
      <c r="D53">
        <f>IF($A53="","",IF('Ügyfelek'!D53="",'Beállítások'!$B$45,VLOOKUP(MAX('Ügyfelek'!D53,'Beállítások'!$K$7),'Beállítások'!$K$7:$L$11,2,TRUE)))</f>
        <v/>
      </c>
      <c r="E53">
        <f>IF($A53="","",IF('Ügyfelek'!L53="",'Beállítások'!$B$45,MIN(5,MAX(1,ROUND('Ügyfelek'!L53,0)))))</f>
        <v/>
      </c>
      <c r="F53">
        <f>IF($A53="","",IF('Ügyfelek'!I53="",'Beállítások'!$B$45,VLOOKUP(MAX('Ügyfelek'!I53,'Beállítások'!$N$7),'Beállítások'!$N$7:$O$11,2,TRUE)))</f>
        <v/>
      </c>
      <c r="G53">
        <f>IF($A53="","",IF('Ügyfelek'!N53="",'Beállítások'!$B$45,MIN(5,MAX(1,ROUND('Ügyfelek'!N53,0)))))</f>
        <v/>
      </c>
      <c r="H53">
        <f>IF($A53="","",IF('Ügyfelek'!J53="",'Beállítások'!$B$45,VLOOKUP(MAX('Ügyfelek'!J53,'Beállítások'!$Q$7),'Beállítások'!$Q$7:$R$11,2,TRUE)))</f>
        <v/>
      </c>
      <c r="I53">
        <f>IF($A53="","",IF('Ügyfelek'!K53="",'Beállítások'!$B$45,VLOOKUP(MAX('Ügyfelek'!K53,'Beállítások'!$T$7),'Beállítások'!$T$7:$U$11,2,TRUE)))</f>
        <v/>
      </c>
      <c r="J53">
        <f>IF($A53="","",IF('Ügyfelek'!M53="",'Beállítások'!$B$45,MIN(5,MAX(1,ROUND('Ügyfelek'!M53,0)))))</f>
        <v/>
      </c>
      <c r="K53">
        <f>IF($A53="","",IF('Ügyfelek'!P53="",'Beállítások'!$B$45,MIN(5,MAX(1,ROUND('Ügyfelek'!P53,0)))))</f>
        <v/>
      </c>
      <c r="L53">
        <f>IF($A53="","",IF('Ügyfelek'!O53="",'Beállítások'!$B$45,MIN(5,MAX(1,ROUND('Ügyfelek'!O53,0)))))</f>
        <v/>
      </c>
      <c r="M53" s="13">
        <f>IF($A53="","",ROUND('Beállítások'!$E$6*(B53-1)/4+'Beállítások'!$E$7*(C53-1)/4+'Beállítások'!$E$8*(D53-1)/4+'Beállítások'!$E$9*(E53-1)/4+'Beállítások'!$E$10*(F53-1)/4+'Beállítások'!$E$11*(G53-1)/4+'Beállítások'!$E$12*(H53-1)/4+'Beállítások'!$E$13*(I53-1)/4+'Beállítások'!$E$14*(J53-1)/4+'Beállítások'!$E$15*(K53-1)/4+'Beállítások'!$E$16*(L53-1)/4,1))</f>
        <v/>
      </c>
      <c r="N53" s="14">
        <f>IF($A53="","",RANK(M53,$M$2:$M$201))</f>
        <v/>
      </c>
      <c r="O53">
        <f>IF($A53="","",VLOOKUP(M53,'Beállítások'!$A$57:$E$60,2,TRUE))</f>
        <v/>
      </c>
      <c r="P53">
        <f>IF($A53="","",VLOOKUP(M53,'Beállítások'!$A$57:$E$60,3,TRUE))</f>
        <v/>
      </c>
      <c r="Q53">
        <f>IF($A53="","",INDEX('Beállítások'!$B$6:$B$16,MATCH(MAX(AD53:AN53),AD53:AN53,0)))</f>
        <v/>
      </c>
      <c r="R53">
        <f>IF($A53="","",IF(MAX(AO53:AY53)=0,"—",INDEX('Beállítások'!$B$6:$B$16,MATCH(MAX(AO53:AY53),AO53:AY53,0))))</f>
        <v/>
      </c>
      <c r="S53" s="5">
        <f>IF($A53="","",'Beállítások'!$B$47*(TRIM('Ügyfelek'!E53)="igen")+'Beállítások'!$B$48*(TRIM('Ügyfelek'!F53)="igen")+'Beállítások'!$B$49*N('Ügyfelek'!G53)+'Beállítások'!$B$46*N('Ügyfelek'!H53))</f>
        <v/>
      </c>
      <c r="T53" s="15">
        <f>IF($A53="","",VLOOKUP(M53,'Beállítások'!$A$57:$E$60,4,TRUE))</f>
        <v/>
      </c>
      <c r="U53" s="5">
        <f>IF($A53="","",N('Ügyfelek'!D53)*'Beállítások'!$B$51)</f>
        <v/>
      </c>
      <c r="V53" s="5">
        <f>IF($A53="","",CEILING(ROUND(MAX('Beállítások'!$B$50,S53*T53,U53),2),'Beállítások'!$B$52))</f>
        <v/>
      </c>
      <c r="W53">
        <f>IF($A53="","",IF(MAX('Beállítások'!$B$50,S53*T53,U53)=S53*T53,"Munkaigény × szintszorzó",IF(MAX('Beállítások'!$B$50,S53*T53,U53)=U53,"Hirdetési keret arányában","Minimumdíj")))</f>
        <v/>
      </c>
      <c r="X53" s="5">
        <f>IF(OR($A53="",'Ügyfelek'!Q53=""),"",'Ügyfelek'!Q53)</f>
        <v/>
      </c>
      <c r="Y53" s="5">
        <f>IF(X53="","",V53-X53)</f>
        <v/>
      </c>
      <c r="Z53" s="16">
        <f>IF(OR(X53="",X53=0),"",Y53/X53)</f>
        <v/>
      </c>
      <c r="AA53" s="5">
        <f>IF(OR($A53="",'Ügyfelek'!R53=""),"",'Ügyfelek'!R53*VLOOKUP(M53,'Beállítások'!$A$57:$E$60,5,TRUE))</f>
        <v/>
      </c>
      <c r="AB53" s="14">
        <f>IF($A53="","",('Ügyfelek'!B53="")+('Ügyfelek'!C53="")+('Ügyfelek'!D53="")+('Ügyfelek'!L53="")+('Ügyfelek'!I53="")+('Ügyfelek'!N53="")+('Ügyfelek'!J53="")+('Ügyfelek'!K53="")+('Ügyfelek'!M53="")+('Ügyfelek'!P53="")+('Ügyfelek'!O53=""))</f>
        <v/>
      </c>
      <c r="AD53">
        <f>IF($A53="","",B53+'Beállítások'!$E$6/1000)</f>
        <v/>
      </c>
      <c r="AE53">
        <f>IF($A53="","",C53+'Beállítások'!$E$7/1000)</f>
        <v/>
      </c>
      <c r="AF53">
        <f>IF($A53="","",D53+'Beállítások'!$E$8/1000)</f>
        <v/>
      </c>
      <c r="AG53">
        <f>IF($A53="","",E53+'Beállítások'!$E$9/1000)</f>
        <v/>
      </c>
      <c r="AH53">
        <f>IF($A53="","",F53+'Beállítások'!$E$10/1000)</f>
        <v/>
      </c>
      <c r="AI53">
        <f>IF($A53="","",G53+'Beállítások'!$E$11/1000)</f>
        <v/>
      </c>
      <c r="AJ53">
        <f>IF($A53="","",H53+'Beállítások'!$E$12/1000)</f>
        <v/>
      </c>
      <c r="AK53">
        <f>IF($A53="","",I53+'Beállítások'!$E$13/1000)</f>
        <v/>
      </c>
      <c r="AL53">
        <f>IF($A53="","",J53+'Beállítások'!$E$14/1000)</f>
        <v/>
      </c>
      <c r="AM53">
        <f>IF($A53="","",K53+'Beállítások'!$E$15/1000)</f>
        <v/>
      </c>
      <c r="AN53">
        <f>IF($A53="","",L53+'Beállítások'!$E$16/1000)</f>
        <v/>
      </c>
      <c r="AO53">
        <f>IF($A53="","",'Beállítások'!$E$6*(5-B53))</f>
        <v/>
      </c>
      <c r="AP53">
        <f>IF($A53="","",'Beállítások'!$E$7*(5-C53))</f>
        <v/>
      </c>
      <c r="AQ53">
        <f>IF($A53="","",'Beállítások'!$E$8*(5-D53))</f>
        <v/>
      </c>
      <c r="AR53">
        <f>IF($A53="","",'Beállítások'!$E$9*(5-E53))</f>
        <v/>
      </c>
      <c r="AS53">
        <f>IF($A53="","",'Beállítások'!$E$10*(5-F53))</f>
        <v/>
      </c>
      <c r="AT53">
        <f>IF($A53="","",'Beállítások'!$E$11*(5-G53))</f>
        <v/>
      </c>
      <c r="AU53">
        <f>IF($A53="","",'Beállítások'!$E$12*(5-H53))</f>
        <v/>
      </c>
      <c r="AV53">
        <f>IF($A53="","",'Beállítások'!$E$13*(5-I53))</f>
        <v/>
      </c>
      <c r="AW53">
        <f>IF($A53="","",'Beállítások'!$E$14*(5-J53))</f>
        <v/>
      </c>
      <c r="AX53">
        <f>IF($A53="","",'Beállítások'!$E$15*(5-K53))</f>
        <v/>
      </c>
      <c r="AY53">
        <f>IF($A53="","",'Beállítások'!$E$16*(5-L53))</f>
        <v/>
      </c>
      <c r="AZ53">
        <f>IF($A53="","",M53-ROW()/100000)</f>
        <v/>
      </c>
    </row>
    <row r="54">
      <c r="A54">
        <f>IF('Ügyfelek'!A54="","",'Ügyfelek'!A54)</f>
        <v/>
      </c>
      <c r="B54">
        <f>IF($A54="","",IF('Ügyfelek'!B54="",'Beállítások'!$B$45,IFERROR(VLOOKUP(TRIM('Ügyfelek'!B54),'Beállítások'!$A$22:$B$41,2,FALSE),'Beállítások'!$B$45)))</f>
        <v/>
      </c>
      <c r="C54">
        <f>IF($A54="","",IF('Ügyfelek'!C54="",'Beállítások'!$B$45,VLOOKUP(MAX('Ügyfelek'!C54,'Beállítások'!$H$7),'Beállítások'!$H$7:$I$11,2,TRUE)))</f>
        <v/>
      </c>
      <c r="D54">
        <f>IF($A54="","",IF('Ügyfelek'!D54="",'Beállítások'!$B$45,VLOOKUP(MAX('Ügyfelek'!D54,'Beállítások'!$K$7),'Beállítások'!$K$7:$L$11,2,TRUE)))</f>
        <v/>
      </c>
      <c r="E54">
        <f>IF($A54="","",IF('Ügyfelek'!L54="",'Beállítások'!$B$45,MIN(5,MAX(1,ROUND('Ügyfelek'!L54,0)))))</f>
        <v/>
      </c>
      <c r="F54">
        <f>IF($A54="","",IF('Ügyfelek'!I54="",'Beállítások'!$B$45,VLOOKUP(MAX('Ügyfelek'!I54,'Beállítások'!$N$7),'Beállítások'!$N$7:$O$11,2,TRUE)))</f>
        <v/>
      </c>
      <c r="G54">
        <f>IF($A54="","",IF('Ügyfelek'!N54="",'Beállítások'!$B$45,MIN(5,MAX(1,ROUND('Ügyfelek'!N54,0)))))</f>
        <v/>
      </c>
      <c r="H54">
        <f>IF($A54="","",IF('Ügyfelek'!J54="",'Beállítások'!$B$45,VLOOKUP(MAX('Ügyfelek'!J54,'Beállítások'!$Q$7),'Beállítások'!$Q$7:$R$11,2,TRUE)))</f>
        <v/>
      </c>
      <c r="I54">
        <f>IF($A54="","",IF('Ügyfelek'!K54="",'Beállítások'!$B$45,VLOOKUP(MAX('Ügyfelek'!K54,'Beállítások'!$T$7),'Beállítások'!$T$7:$U$11,2,TRUE)))</f>
        <v/>
      </c>
      <c r="J54">
        <f>IF($A54="","",IF('Ügyfelek'!M54="",'Beállítások'!$B$45,MIN(5,MAX(1,ROUND('Ügyfelek'!M54,0)))))</f>
        <v/>
      </c>
      <c r="K54">
        <f>IF($A54="","",IF('Ügyfelek'!P54="",'Beállítások'!$B$45,MIN(5,MAX(1,ROUND('Ügyfelek'!P54,0)))))</f>
        <v/>
      </c>
      <c r="L54">
        <f>IF($A54="","",IF('Ügyfelek'!O54="",'Beállítások'!$B$45,MIN(5,MAX(1,ROUND('Ügyfelek'!O54,0)))))</f>
        <v/>
      </c>
      <c r="M54" s="13">
        <f>IF($A54="","",ROUND('Beállítások'!$E$6*(B54-1)/4+'Beállítások'!$E$7*(C54-1)/4+'Beállítások'!$E$8*(D54-1)/4+'Beállítások'!$E$9*(E54-1)/4+'Beállítások'!$E$10*(F54-1)/4+'Beállítások'!$E$11*(G54-1)/4+'Beállítások'!$E$12*(H54-1)/4+'Beállítások'!$E$13*(I54-1)/4+'Beállítások'!$E$14*(J54-1)/4+'Beállítások'!$E$15*(K54-1)/4+'Beállítások'!$E$16*(L54-1)/4,1))</f>
        <v/>
      </c>
      <c r="N54" s="14">
        <f>IF($A54="","",RANK(M54,$M$2:$M$201))</f>
        <v/>
      </c>
      <c r="O54">
        <f>IF($A54="","",VLOOKUP(M54,'Beállítások'!$A$57:$E$60,2,TRUE))</f>
        <v/>
      </c>
      <c r="P54">
        <f>IF($A54="","",VLOOKUP(M54,'Beállítások'!$A$57:$E$60,3,TRUE))</f>
        <v/>
      </c>
      <c r="Q54">
        <f>IF($A54="","",INDEX('Beállítások'!$B$6:$B$16,MATCH(MAX(AD54:AN54),AD54:AN54,0)))</f>
        <v/>
      </c>
      <c r="R54">
        <f>IF($A54="","",IF(MAX(AO54:AY54)=0,"—",INDEX('Beállítások'!$B$6:$B$16,MATCH(MAX(AO54:AY54),AO54:AY54,0))))</f>
        <v/>
      </c>
      <c r="S54" s="5">
        <f>IF($A54="","",'Beállítások'!$B$47*(TRIM('Ügyfelek'!E54)="igen")+'Beállítások'!$B$48*(TRIM('Ügyfelek'!F54)="igen")+'Beállítások'!$B$49*N('Ügyfelek'!G54)+'Beállítások'!$B$46*N('Ügyfelek'!H54))</f>
        <v/>
      </c>
      <c r="T54" s="15">
        <f>IF($A54="","",VLOOKUP(M54,'Beállítások'!$A$57:$E$60,4,TRUE))</f>
        <v/>
      </c>
      <c r="U54" s="5">
        <f>IF($A54="","",N('Ügyfelek'!D54)*'Beállítások'!$B$51)</f>
        <v/>
      </c>
      <c r="V54" s="5">
        <f>IF($A54="","",CEILING(ROUND(MAX('Beállítások'!$B$50,S54*T54,U54),2),'Beállítások'!$B$52))</f>
        <v/>
      </c>
      <c r="W54">
        <f>IF($A54="","",IF(MAX('Beállítások'!$B$50,S54*T54,U54)=S54*T54,"Munkaigény × szintszorzó",IF(MAX('Beállítások'!$B$50,S54*T54,U54)=U54,"Hirdetési keret arányában","Minimumdíj")))</f>
        <v/>
      </c>
      <c r="X54" s="5">
        <f>IF(OR($A54="",'Ügyfelek'!Q54=""),"",'Ügyfelek'!Q54)</f>
        <v/>
      </c>
      <c r="Y54" s="5">
        <f>IF(X54="","",V54-X54)</f>
        <v/>
      </c>
      <c r="Z54" s="16">
        <f>IF(OR(X54="",X54=0),"",Y54/X54)</f>
        <v/>
      </c>
      <c r="AA54" s="5">
        <f>IF(OR($A54="",'Ügyfelek'!R54=""),"",'Ügyfelek'!R54*VLOOKUP(M54,'Beállítások'!$A$57:$E$60,5,TRUE))</f>
        <v/>
      </c>
      <c r="AB54" s="14">
        <f>IF($A54="","",('Ügyfelek'!B54="")+('Ügyfelek'!C54="")+('Ügyfelek'!D54="")+('Ügyfelek'!L54="")+('Ügyfelek'!I54="")+('Ügyfelek'!N54="")+('Ügyfelek'!J54="")+('Ügyfelek'!K54="")+('Ügyfelek'!M54="")+('Ügyfelek'!P54="")+('Ügyfelek'!O54=""))</f>
        <v/>
      </c>
      <c r="AD54">
        <f>IF($A54="","",B54+'Beállítások'!$E$6/1000)</f>
        <v/>
      </c>
      <c r="AE54">
        <f>IF($A54="","",C54+'Beállítások'!$E$7/1000)</f>
        <v/>
      </c>
      <c r="AF54">
        <f>IF($A54="","",D54+'Beállítások'!$E$8/1000)</f>
        <v/>
      </c>
      <c r="AG54">
        <f>IF($A54="","",E54+'Beállítások'!$E$9/1000)</f>
        <v/>
      </c>
      <c r="AH54">
        <f>IF($A54="","",F54+'Beállítások'!$E$10/1000)</f>
        <v/>
      </c>
      <c r="AI54">
        <f>IF($A54="","",G54+'Beállítások'!$E$11/1000)</f>
        <v/>
      </c>
      <c r="AJ54">
        <f>IF($A54="","",H54+'Beállítások'!$E$12/1000)</f>
        <v/>
      </c>
      <c r="AK54">
        <f>IF($A54="","",I54+'Beállítások'!$E$13/1000)</f>
        <v/>
      </c>
      <c r="AL54">
        <f>IF($A54="","",J54+'Beállítások'!$E$14/1000)</f>
        <v/>
      </c>
      <c r="AM54">
        <f>IF($A54="","",K54+'Beállítások'!$E$15/1000)</f>
        <v/>
      </c>
      <c r="AN54">
        <f>IF($A54="","",L54+'Beállítások'!$E$16/1000)</f>
        <v/>
      </c>
      <c r="AO54">
        <f>IF($A54="","",'Beállítások'!$E$6*(5-B54))</f>
        <v/>
      </c>
      <c r="AP54">
        <f>IF($A54="","",'Beállítások'!$E$7*(5-C54))</f>
        <v/>
      </c>
      <c r="AQ54">
        <f>IF($A54="","",'Beállítások'!$E$8*(5-D54))</f>
        <v/>
      </c>
      <c r="AR54">
        <f>IF($A54="","",'Beállítások'!$E$9*(5-E54))</f>
        <v/>
      </c>
      <c r="AS54">
        <f>IF($A54="","",'Beállítások'!$E$10*(5-F54))</f>
        <v/>
      </c>
      <c r="AT54">
        <f>IF($A54="","",'Beállítások'!$E$11*(5-G54))</f>
        <v/>
      </c>
      <c r="AU54">
        <f>IF($A54="","",'Beállítások'!$E$12*(5-H54))</f>
        <v/>
      </c>
      <c r="AV54">
        <f>IF($A54="","",'Beállítások'!$E$13*(5-I54))</f>
        <v/>
      </c>
      <c r="AW54">
        <f>IF($A54="","",'Beállítások'!$E$14*(5-J54))</f>
        <v/>
      </c>
      <c r="AX54">
        <f>IF($A54="","",'Beállítások'!$E$15*(5-K54))</f>
        <v/>
      </c>
      <c r="AY54">
        <f>IF($A54="","",'Beállítások'!$E$16*(5-L54))</f>
        <v/>
      </c>
      <c r="AZ54">
        <f>IF($A54="","",M54-ROW()/100000)</f>
        <v/>
      </c>
    </row>
    <row r="55">
      <c r="A55">
        <f>IF('Ügyfelek'!A55="","",'Ügyfelek'!A55)</f>
        <v/>
      </c>
      <c r="B55">
        <f>IF($A55="","",IF('Ügyfelek'!B55="",'Beállítások'!$B$45,IFERROR(VLOOKUP(TRIM('Ügyfelek'!B55),'Beállítások'!$A$22:$B$41,2,FALSE),'Beállítások'!$B$45)))</f>
        <v/>
      </c>
      <c r="C55">
        <f>IF($A55="","",IF('Ügyfelek'!C55="",'Beállítások'!$B$45,VLOOKUP(MAX('Ügyfelek'!C55,'Beállítások'!$H$7),'Beállítások'!$H$7:$I$11,2,TRUE)))</f>
        <v/>
      </c>
      <c r="D55">
        <f>IF($A55="","",IF('Ügyfelek'!D55="",'Beállítások'!$B$45,VLOOKUP(MAX('Ügyfelek'!D55,'Beállítások'!$K$7),'Beállítások'!$K$7:$L$11,2,TRUE)))</f>
        <v/>
      </c>
      <c r="E55">
        <f>IF($A55="","",IF('Ügyfelek'!L55="",'Beállítások'!$B$45,MIN(5,MAX(1,ROUND('Ügyfelek'!L55,0)))))</f>
        <v/>
      </c>
      <c r="F55">
        <f>IF($A55="","",IF('Ügyfelek'!I55="",'Beállítások'!$B$45,VLOOKUP(MAX('Ügyfelek'!I55,'Beállítások'!$N$7),'Beállítások'!$N$7:$O$11,2,TRUE)))</f>
        <v/>
      </c>
      <c r="G55">
        <f>IF($A55="","",IF('Ügyfelek'!N55="",'Beállítások'!$B$45,MIN(5,MAX(1,ROUND('Ügyfelek'!N55,0)))))</f>
        <v/>
      </c>
      <c r="H55">
        <f>IF($A55="","",IF('Ügyfelek'!J55="",'Beállítások'!$B$45,VLOOKUP(MAX('Ügyfelek'!J55,'Beállítások'!$Q$7),'Beállítások'!$Q$7:$R$11,2,TRUE)))</f>
        <v/>
      </c>
      <c r="I55">
        <f>IF($A55="","",IF('Ügyfelek'!K55="",'Beállítások'!$B$45,VLOOKUP(MAX('Ügyfelek'!K55,'Beállítások'!$T$7),'Beállítások'!$T$7:$U$11,2,TRUE)))</f>
        <v/>
      </c>
      <c r="J55">
        <f>IF($A55="","",IF('Ügyfelek'!M55="",'Beállítások'!$B$45,MIN(5,MAX(1,ROUND('Ügyfelek'!M55,0)))))</f>
        <v/>
      </c>
      <c r="K55">
        <f>IF($A55="","",IF('Ügyfelek'!P55="",'Beállítások'!$B$45,MIN(5,MAX(1,ROUND('Ügyfelek'!P55,0)))))</f>
        <v/>
      </c>
      <c r="L55">
        <f>IF($A55="","",IF('Ügyfelek'!O55="",'Beállítások'!$B$45,MIN(5,MAX(1,ROUND('Ügyfelek'!O55,0)))))</f>
        <v/>
      </c>
      <c r="M55" s="13">
        <f>IF($A55="","",ROUND('Beállítások'!$E$6*(B55-1)/4+'Beállítások'!$E$7*(C55-1)/4+'Beállítások'!$E$8*(D55-1)/4+'Beállítások'!$E$9*(E55-1)/4+'Beállítások'!$E$10*(F55-1)/4+'Beállítások'!$E$11*(G55-1)/4+'Beállítások'!$E$12*(H55-1)/4+'Beállítások'!$E$13*(I55-1)/4+'Beállítások'!$E$14*(J55-1)/4+'Beállítások'!$E$15*(K55-1)/4+'Beállítások'!$E$16*(L55-1)/4,1))</f>
        <v/>
      </c>
      <c r="N55" s="14">
        <f>IF($A55="","",RANK(M55,$M$2:$M$201))</f>
        <v/>
      </c>
      <c r="O55">
        <f>IF($A55="","",VLOOKUP(M55,'Beállítások'!$A$57:$E$60,2,TRUE))</f>
        <v/>
      </c>
      <c r="P55">
        <f>IF($A55="","",VLOOKUP(M55,'Beállítások'!$A$57:$E$60,3,TRUE))</f>
        <v/>
      </c>
      <c r="Q55">
        <f>IF($A55="","",INDEX('Beállítások'!$B$6:$B$16,MATCH(MAX(AD55:AN55),AD55:AN55,0)))</f>
        <v/>
      </c>
      <c r="R55">
        <f>IF($A55="","",IF(MAX(AO55:AY55)=0,"—",INDEX('Beállítások'!$B$6:$B$16,MATCH(MAX(AO55:AY55),AO55:AY55,0))))</f>
        <v/>
      </c>
      <c r="S55" s="5">
        <f>IF($A55="","",'Beállítások'!$B$47*(TRIM('Ügyfelek'!E55)="igen")+'Beállítások'!$B$48*(TRIM('Ügyfelek'!F55)="igen")+'Beállítások'!$B$49*N('Ügyfelek'!G55)+'Beállítások'!$B$46*N('Ügyfelek'!H55))</f>
        <v/>
      </c>
      <c r="T55" s="15">
        <f>IF($A55="","",VLOOKUP(M55,'Beállítások'!$A$57:$E$60,4,TRUE))</f>
        <v/>
      </c>
      <c r="U55" s="5">
        <f>IF($A55="","",N('Ügyfelek'!D55)*'Beállítások'!$B$51)</f>
        <v/>
      </c>
      <c r="V55" s="5">
        <f>IF($A55="","",CEILING(ROUND(MAX('Beállítások'!$B$50,S55*T55,U55),2),'Beállítások'!$B$52))</f>
        <v/>
      </c>
      <c r="W55">
        <f>IF($A55="","",IF(MAX('Beállítások'!$B$50,S55*T55,U55)=S55*T55,"Munkaigény × szintszorzó",IF(MAX('Beállítások'!$B$50,S55*T55,U55)=U55,"Hirdetési keret arányában","Minimumdíj")))</f>
        <v/>
      </c>
      <c r="X55" s="5">
        <f>IF(OR($A55="",'Ügyfelek'!Q55=""),"",'Ügyfelek'!Q55)</f>
        <v/>
      </c>
      <c r="Y55" s="5">
        <f>IF(X55="","",V55-X55)</f>
        <v/>
      </c>
      <c r="Z55" s="16">
        <f>IF(OR(X55="",X55=0),"",Y55/X55)</f>
        <v/>
      </c>
      <c r="AA55" s="5">
        <f>IF(OR($A55="",'Ügyfelek'!R55=""),"",'Ügyfelek'!R55*VLOOKUP(M55,'Beállítások'!$A$57:$E$60,5,TRUE))</f>
        <v/>
      </c>
      <c r="AB55" s="14">
        <f>IF($A55="","",('Ügyfelek'!B55="")+('Ügyfelek'!C55="")+('Ügyfelek'!D55="")+('Ügyfelek'!L55="")+('Ügyfelek'!I55="")+('Ügyfelek'!N55="")+('Ügyfelek'!J55="")+('Ügyfelek'!K55="")+('Ügyfelek'!M55="")+('Ügyfelek'!P55="")+('Ügyfelek'!O55=""))</f>
        <v/>
      </c>
      <c r="AD55">
        <f>IF($A55="","",B55+'Beállítások'!$E$6/1000)</f>
        <v/>
      </c>
      <c r="AE55">
        <f>IF($A55="","",C55+'Beállítások'!$E$7/1000)</f>
        <v/>
      </c>
      <c r="AF55">
        <f>IF($A55="","",D55+'Beállítások'!$E$8/1000)</f>
        <v/>
      </c>
      <c r="AG55">
        <f>IF($A55="","",E55+'Beállítások'!$E$9/1000)</f>
        <v/>
      </c>
      <c r="AH55">
        <f>IF($A55="","",F55+'Beállítások'!$E$10/1000)</f>
        <v/>
      </c>
      <c r="AI55">
        <f>IF($A55="","",G55+'Beállítások'!$E$11/1000)</f>
        <v/>
      </c>
      <c r="AJ55">
        <f>IF($A55="","",H55+'Beállítások'!$E$12/1000)</f>
        <v/>
      </c>
      <c r="AK55">
        <f>IF($A55="","",I55+'Beállítások'!$E$13/1000)</f>
        <v/>
      </c>
      <c r="AL55">
        <f>IF($A55="","",J55+'Beállítások'!$E$14/1000)</f>
        <v/>
      </c>
      <c r="AM55">
        <f>IF($A55="","",K55+'Beállítások'!$E$15/1000)</f>
        <v/>
      </c>
      <c r="AN55">
        <f>IF($A55="","",L55+'Beállítások'!$E$16/1000)</f>
        <v/>
      </c>
      <c r="AO55">
        <f>IF($A55="","",'Beállítások'!$E$6*(5-B55))</f>
        <v/>
      </c>
      <c r="AP55">
        <f>IF($A55="","",'Beállítások'!$E$7*(5-C55))</f>
        <v/>
      </c>
      <c r="AQ55">
        <f>IF($A55="","",'Beállítások'!$E$8*(5-D55))</f>
        <v/>
      </c>
      <c r="AR55">
        <f>IF($A55="","",'Beállítások'!$E$9*(5-E55))</f>
        <v/>
      </c>
      <c r="AS55">
        <f>IF($A55="","",'Beállítások'!$E$10*(5-F55))</f>
        <v/>
      </c>
      <c r="AT55">
        <f>IF($A55="","",'Beállítások'!$E$11*(5-G55))</f>
        <v/>
      </c>
      <c r="AU55">
        <f>IF($A55="","",'Beállítások'!$E$12*(5-H55))</f>
        <v/>
      </c>
      <c r="AV55">
        <f>IF($A55="","",'Beállítások'!$E$13*(5-I55))</f>
        <v/>
      </c>
      <c r="AW55">
        <f>IF($A55="","",'Beállítások'!$E$14*(5-J55))</f>
        <v/>
      </c>
      <c r="AX55">
        <f>IF($A55="","",'Beállítások'!$E$15*(5-K55))</f>
        <v/>
      </c>
      <c r="AY55">
        <f>IF($A55="","",'Beállítások'!$E$16*(5-L55))</f>
        <v/>
      </c>
      <c r="AZ55">
        <f>IF($A55="","",M55-ROW()/100000)</f>
        <v/>
      </c>
    </row>
    <row r="56">
      <c r="A56">
        <f>IF('Ügyfelek'!A56="","",'Ügyfelek'!A56)</f>
        <v/>
      </c>
      <c r="B56">
        <f>IF($A56="","",IF('Ügyfelek'!B56="",'Beállítások'!$B$45,IFERROR(VLOOKUP(TRIM('Ügyfelek'!B56),'Beállítások'!$A$22:$B$41,2,FALSE),'Beállítások'!$B$45)))</f>
        <v/>
      </c>
      <c r="C56">
        <f>IF($A56="","",IF('Ügyfelek'!C56="",'Beállítások'!$B$45,VLOOKUP(MAX('Ügyfelek'!C56,'Beállítások'!$H$7),'Beállítások'!$H$7:$I$11,2,TRUE)))</f>
        <v/>
      </c>
      <c r="D56">
        <f>IF($A56="","",IF('Ügyfelek'!D56="",'Beállítások'!$B$45,VLOOKUP(MAX('Ügyfelek'!D56,'Beállítások'!$K$7),'Beállítások'!$K$7:$L$11,2,TRUE)))</f>
        <v/>
      </c>
      <c r="E56">
        <f>IF($A56="","",IF('Ügyfelek'!L56="",'Beállítások'!$B$45,MIN(5,MAX(1,ROUND('Ügyfelek'!L56,0)))))</f>
        <v/>
      </c>
      <c r="F56">
        <f>IF($A56="","",IF('Ügyfelek'!I56="",'Beállítások'!$B$45,VLOOKUP(MAX('Ügyfelek'!I56,'Beállítások'!$N$7),'Beállítások'!$N$7:$O$11,2,TRUE)))</f>
        <v/>
      </c>
      <c r="G56">
        <f>IF($A56="","",IF('Ügyfelek'!N56="",'Beállítások'!$B$45,MIN(5,MAX(1,ROUND('Ügyfelek'!N56,0)))))</f>
        <v/>
      </c>
      <c r="H56">
        <f>IF($A56="","",IF('Ügyfelek'!J56="",'Beállítások'!$B$45,VLOOKUP(MAX('Ügyfelek'!J56,'Beállítások'!$Q$7),'Beállítások'!$Q$7:$R$11,2,TRUE)))</f>
        <v/>
      </c>
      <c r="I56">
        <f>IF($A56="","",IF('Ügyfelek'!K56="",'Beállítások'!$B$45,VLOOKUP(MAX('Ügyfelek'!K56,'Beállítások'!$T$7),'Beállítások'!$T$7:$U$11,2,TRUE)))</f>
        <v/>
      </c>
      <c r="J56">
        <f>IF($A56="","",IF('Ügyfelek'!M56="",'Beállítások'!$B$45,MIN(5,MAX(1,ROUND('Ügyfelek'!M56,0)))))</f>
        <v/>
      </c>
      <c r="K56">
        <f>IF($A56="","",IF('Ügyfelek'!P56="",'Beállítások'!$B$45,MIN(5,MAX(1,ROUND('Ügyfelek'!P56,0)))))</f>
        <v/>
      </c>
      <c r="L56">
        <f>IF($A56="","",IF('Ügyfelek'!O56="",'Beállítások'!$B$45,MIN(5,MAX(1,ROUND('Ügyfelek'!O56,0)))))</f>
        <v/>
      </c>
      <c r="M56" s="13">
        <f>IF($A56="","",ROUND('Beállítások'!$E$6*(B56-1)/4+'Beállítások'!$E$7*(C56-1)/4+'Beállítások'!$E$8*(D56-1)/4+'Beállítások'!$E$9*(E56-1)/4+'Beállítások'!$E$10*(F56-1)/4+'Beállítások'!$E$11*(G56-1)/4+'Beállítások'!$E$12*(H56-1)/4+'Beállítások'!$E$13*(I56-1)/4+'Beállítások'!$E$14*(J56-1)/4+'Beállítások'!$E$15*(K56-1)/4+'Beállítások'!$E$16*(L56-1)/4,1))</f>
        <v/>
      </c>
      <c r="N56" s="14">
        <f>IF($A56="","",RANK(M56,$M$2:$M$201))</f>
        <v/>
      </c>
      <c r="O56">
        <f>IF($A56="","",VLOOKUP(M56,'Beállítások'!$A$57:$E$60,2,TRUE))</f>
        <v/>
      </c>
      <c r="P56">
        <f>IF($A56="","",VLOOKUP(M56,'Beállítások'!$A$57:$E$60,3,TRUE))</f>
        <v/>
      </c>
      <c r="Q56">
        <f>IF($A56="","",INDEX('Beállítások'!$B$6:$B$16,MATCH(MAX(AD56:AN56),AD56:AN56,0)))</f>
        <v/>
      </c>
      <c r="R56">
        <f>IF($A56="","",IF(MAX(AO56:AY56)=0,"—",INDEX('Beállítások'!$B$6:$B$16,MATCH(MAX(AO56:AY56),AO56:AY56,0))))</f>
        <v/>
      </c>
      <c r="S56" s="5">
        <f>IF($A56="","",'Beállítások'!$B$47*(TRIM('Ügyfelek'!E56)="igen")+'Beállítások'!$B$48*(TRIM('Ügyfelek'!F56)="igen")+'Beállítások'!$B$49*N('Ügyfelek'!G56)+'Beállítások'!$B$46*N('Ügyfelek'!H56))</f>
        <v/>
      </c>
      <c r="T56" s="15">
        <f>IF($A56="","",VLOOKUP(M56,'Beállítások'!$A$57:$E$60,4,TRUE))</f>
        <v/>
      </c>
      <c r="U56" s="5">
        <f>IF($A56="","",N('Ügyfelek'!D56)*'Beállítások'!$B$51)</f>
        <v/>
      </c>
      <c r="V56" s="5">
        <f>IF($A56="","",CEILING(ROUND(MAX('Beállítások'!$B$50,S56*T56,U56),2),'Beállítások'!$B$52))</f>
        <v/>
      </c>
      <c r="W56">
        <f>IF($A56="","",IF(MAX('Beállítások'!$B$50,S56*T56,U56)=S56*T56,"Munkaigény × szintszorzó",IF(MAX('Beállítások'!$B$50,S56*T56,U56)=U56,"Hirdetési keret arányában","Minimumdíj")))</f>
        <v/>
      </c>
      <c r="X56" s="5">
        <f>IF(OR($A56="",'Ügyfelek'!Q56=""),"",'Ügyfelek'!Q56)</f>
        <v/>
      </c>
      <c r="Y56" s="5">
        <f>IF(X56="","",V56-X56)</f>
        <v/>
      </c>
      <c r="Z56" s="16">
        <f>IF(OR(X56="",X56=0),"",Y56/X56)</f>
        <v/>
      </c>
      <c r="AA56" s="5">
        <f>IF(OR($A56="",'Ügyfelek'!R56=""),"",'Ügyfelek'!R56*VLOOKUP(M56,'Beállítások'!$A$57:$E$60,5,TRUE))</f>
        <v/>
      </c>
      <c r="AB56" s="14">
        <f>IF($A56="","",('Ügyfelek'!B56="")+('Ügyfelek'!C56="")+('Ügyfelek'!D56="")+('Ügyfelek'!L56="")+('Ügyfelek'!I56="")+('Ügyfelek'!N56="")+('Ügyfelek'!J56="")+('Ügyfelek'!K56="")+('Ügyfelek'!M56="")+('Ügyfelek'!P56="")+('Ügyfelek'!O56=""))</f>
        <v/>
      </c>
      <c r="AD56">
        <f>IF($A56="","",B56+'Beállítások'!$E$6/1000)</f>
        <v/>
      </c>
      <c r="AE56">
        <f>IF($A56="","",C56+'Beállítások'!$E$7/1000)</f>
        <v/>
      </c>
      <c r="AF56">
        <f>IF($A56="","",D56+'Beállítások'!$E$8/1000)</f>
        <v/>
      </c>
      <c r="AG56">
        <f>IF($A56="","",E56+'Beállítások'!$E$9/1000)</f>
        <v/>
      </c>
      <c r="AH56">
        <f>IF($A56="","",F56+'Beállítások'!$E$10/1000)</f>
        <v/>
      </c>
      <c r="AI56">
        <f>IF($A56="","",G56+'Beállítások'!$E$11/1000)</f>
        <v/>
      </c>
      <c r="AJ56">
        <f>IF($A56="","",H56+'Beállítások'!$E$12/1000)</f>
        <v/>
      </c>
      <c r="AK56">
        <f>IF($A56="","",I56+'Beállítások'!$E$13/1000)</f>
        <v/>
      </c>
      <c r="AL56">
        <f>IF($A56="","",J56+'Beállítások'!$E$14/1000)</f>
        <v/>
      </c>
      <c r="AM56">
        <f>IF($A56="","",K56+'Beállítások'!$E$15/1000)</f>
        <v/>
      </c>
      <c r="AN56">
        <f>IF($A56="","",L56+'Beállítások'!$E$16/1000)</f>
        <v/>
      </c>
      <c r="AO56">
        <f>IF($A56="","",'Beállítások'!$E$6*(5-B56))</f>
        <v/>
      </c>
      <c r="AP56">
        <f>IF($A56="","",'Beállítások'!$E$7*(5-C56))</f>
        <v/>
      </c>
      <c r="AQ56">
        <f>IF($A56="","",'Beállítások'!$E$8*(5-D56))</f>
        <v/>
      </c>
      <c r="AR56">
        <f>IF($A56="","",'Beállítások'!$E$9*(5-E56))</f>
        <v/>
      </c>
      <c r="AS56">
        <f>IF($A56="","",'Beállítások'!$E$10*(5-F56))</f>
        <v/>
      </c>
      <c r="AT56">
        <f>IF($A56="","",'Beállítások'!$E$11*(5-G56))</f>
        <v/>
      </c>
      <c r="AU56">
        <f>IF($A56="","",'Beállítások'!$E$12*(5-H56))</f>
        <v/>
      </c>
      <c r="AV56">
        <f>IF($A56="","",'Beállítások'!$E$13*(5-I56))</f>
        <v/>
      </c>
      <c r="AW56">
        <f>IF($A56="","",'Beállítások'!$E$14*(5-J56))</f>
        <v/>
      </c>
      <c r="AX56">
        <f>IF($A56="","",'Beállítások'!$E$15*(5-K56))</f>
        <v/>
      </c>
      <c r="AY56">
        <f>IF($A56="","",'Beállítások'!$E$16*(5-L56))</f>
        <v/>
      </c>
      <c r="AZ56">
        <f>IF($A56="","",M56-ROW()/100000)</f>
        <v/>
      </c>
    </row>
    <row r="57">
      <c r="A57">
        <f>IF('Ügyfelek'!A57="","",'Ügyfelek'!A57)</f>
        <v/>
      </c>
      <c r="B57">
        <f>IF($A57="","",IF('Ügyfelek'!B57="",'Beállítások'!$B$45,IFERROR(VLOOKUP(TRIM('Ügyfelek'!B57),'Beállítások'!$A$22:$B$41,2,FALSE),'Beállítások'!$B$45)))</f>
        <v/>
      </c>
      <c r="C57">
        <f>IF($A57="","",IF('Ügyfelek'!C57="",'Beállítások'!$B$45,VLOOKUP(MAX('Ügyfelek'!C57,'Beállítások'!$H$7),'Beállítások'!$H$7:$I$11,2,TRUE)))</f>
        <v/>
      </c>
      <c r="D57">
        <f>IF($A57="","",IF('Ügyfelek'!D57="",'Beállítások'!$B$45,VLOOKUP(MAX('Ügyfelek'!D57,'Beállítások'!$K$7),'Beállítások'!$K$7:$L$11,2,TRUE)))</f>
        <v/>
      </c>
      <c r="E57">
        <f>IF($A57="","",IF('Ügyfelek'!L57="",'Beállítások'!$B$45,MIN(5,MAX(1,ROUND('Ügyfelek'!L57,0)))))</f>
        <v/>
      </c>
      <c r="F57">
        <f>IF($A57="","",IF('Ügyfelek'!I57="",'Beállítások'!$B$45,VLOOKUP(MAX('Ügyfelek'!I57,'Beállítások'!$N$7),'Beállítások'!$N$7:$O$11,2,TRUE)))</f>
        <v/>
      </c>
      <c r="G57">
        <f>IF($A57="","",IF('Ügyfelek'!N57="",'Beállítások'!$B$45,MIN(5,MAX(1,ROUND('Ügyfelek'!N57,0)))))</f>
        <v/>
      </c>
      <c r="H57">
        <f>IF($A57="","",IF('Ügyfelek'!J57="",'Beállítások'!$B$45,VLOOKUP(MAX('Ügyfelek'!J57,'Beállítások'!$Q$7),'Beállítások'!$Q$7:$R$11,2,TRUE)))</f>
        <v/>
      </c>
      <c r="I57">
        <f>IF($A57="","",IF('Ügyfelek'!K57="",'Beállítások'!$B$45,VLOOKUP(MAX('Ügyfelek'!K57,'Beállítások'!$T$7),'Beállítások'!$T$7:$U$11,2,TRUE)))</f>
        <v/>
      </c>
      <c r="J57">
        <f>IF($A57="","",IF('Ügyfelek'!M57="",'Beállítások'!$B$45,MIN(5,MAX(1,ROUND('Ügyfelek'!M57,0)))))</f>
        <v/>
      </c>
      <c r="K57">
        <f>IF($A57="","",IF('Ügyfelek'!P57="",'Beállítások'!$B$45,MIN(5,MAX(1,ROUND('Ügyfelek'!P57,0)))))</f>
        <v/>
      </c>
      <c r="L57">
        <f>IF($A57="","",IF('Ügyfelek'!O57="",'Beállítások'!$B$45,MIN(5,MAX(1,ROUND('Ügyfelek'!O57,0)))))</f>
        <v/>
      </c>
      <c r="M57" s="13">
        <f>IF($A57="","",ROUND('Beállítások'!$E$6*(B57-1)/4+'Beállítások'!$E$7*(C57-1)/4+'Beállítások'!$E$8*(D57-1)/4+'Beállítások'!$E$9*(E57-1)/4+'Beállítások'!$E$10*(F57-1)/4+'Beállítások'!$E$11*(G57-1)/4+'Beállítások'!$E$12*(H57-1)/4+'Beállítások'!$E$13*(I57-1)/4+'Beállítások'!$E$14*(J57-1)/4+'Beállítások'!$E$15*(K57-1)/4+'Beállítások'!$E$16*(L57-1)/4,1))</f>
        <v/>
      </c>
      <c r="N57" s="14">
        <f>IF($A57="","",RANK(M57,$M$2:$M$201))</f>
        <v/>
      </c>
      <c r="O57">
        <f>IF($A57="","",VLOOKUP(M57,'Beállítások'!$A$57:$E$60,2,TRUE))</f>
        <v/>
      </c>
      <c r="P57">
        <f>IF($A57="","",VLOOKUP(M57,'Beállítások'!$A$57:$E$60,3,TRUE))</f>
        <v/>
      </c>
      <c r="Q57">
        <f>IF($A57="","",INDEX('Beállítások'!$B$6:$B$16,MATCH(MAX(AD57:AN57),AD57:AN57,0)))</f>
        <v/>
      </c>
      <c r="R57">
        <f>IF($A57="","",IF(MAX(AO57:AY57)=0,"—",INDEX('Beállítások'!$B$6:$B$16,MATCH(MAX(AO57:AY57),AO57:AY57,0))))</f>
        <v/>
      </c>
      <c r="S57" s="5">
        <f>IF($A57="","",'Beállítások'!$B$47*(TRIM('Ügyfelek'!E57)="igen")+'Beállítások'!$B$48*(TRIM('Ügyfelek'!F57)="igen")+'Beállítások'!$B$49*N('Ügyfelek'!G57)+'Beállítások'!$B$46*N('Ügyfelek'!H57))</f>
        <v/>
      </c>
      <c r="T57" s="15">
        <f>IF($A57="","",VLOOKUP(M57,'Beállítások'!$A$57:$E$60,4,TRUE))</f>
        <v/>
      </c>
      <c r="U57" s="5">
        <f>IF($A57="","",N('Ügyfelek'!D57)*'Beállítások'!$B$51)</f>
        <v/>
      </c>
      <c r="V57" s="5">
        <f>IF($A57="","",CEILING(ROUND(MAX('Beállítások'!$B$50,S57*T57,U57),2),'Beállítások'!$B$52))</f>
        <v/>
      </c>
      <c r="W57">
        <f>IF($A57="","",IF(MAX('Beállítások'!$B$50,S57*T57,U57)=S57*T57,"Munkaigény × szintszorzó",IF(MAX('Beállítások'!$B$50,S57*T57,U57)=U57,"Hirdetési keret arányában","Minimumdíj")))</f>
        <v/>
      </c>
      <c r="X57" s="5">
        <f>IF(OR($A57="",'Ügyfelek'!Q57=""),"",'Ügyfelek'!Q57)</f>
        <v/>
      </c>
      <c r="Y57" s="5">
        <f>IF(X57="","",V57-X57)</f>
        <v/>
      </c>
      <c r="Z57" s="16">
        <f>IF(OR(X57="",X57=0),"",Y57/X57)</f>
        <v/>
      </c>
      <c r="AA57" s="5">
        <f>IF(OR($A57="",'Ügyfelek'!R57=""),"",'Ügyfelek'!R57*VLOOKUP(M57,'Beállítások'!$A$57:$E$60,5,TRUE))</f>
        <v/>
      </c>
      <c r="AB57" s="14">
        <f>IF($A57="","",('Ügyfelek'!B57="")+('Ügyfelek'!C57="")+('Ügyfelek'!D57="")+('Ügyfelek'!L57="")+('Ügyfelek'!I57="")+('Ügyfelek'!N57="")+('Ügyfelek'!J57="")+('Ügyfelek'!K57="")+('Ügyfelek'!M57="")+('Ügyfelek'!P57="")+('Ügyfelek'!O57=""))</f>
        <v/>
      </c>
      <c r="AD57">
        <f>IF($A57="","",B57+'Beállítások'!$E$6/1000)</f>
        <v/>
      </c>
      <c r="AE57">
        <f>IF($A57="","",C57+'Beállítások'!$E$7/1000)</f>
        <v/>
      </c>
      <c r="AF57">
        <f>IF($A57="","",D57+'Beállítások'!$E$8/1000)</f>
        <v/>
      </c>
      <c r="AG57">
        <f>IF($A57="","",E57+'Beállítások'!$E$9/1000)</f>
        <v/>
      </c>
      <c r="AH57">
        <f>IF($A57="","",F57+'Beállítások'!$E$10/1000)</f>
        <v/>
      </c>
      <c r="AI57">
        <f>IF($A57="","",G57+'Beállítások'!$E$11/1000)</f>
        <v/>
      </c>
      <c r="AJ57">
        <f>IF($A57="","",H57+'Beállítások'!$E$12/1000)</f>
        <v/>
      </c>
      <c r="AK57">
        <f>IF($A57="","",I57+'Beállítások'!$E$13/1000)</f>
        <v/>
      </c>
      <c r="AL57">
        <f>IF($A57="","",J57+'Beállítások'!$E$14/1000)</f>
        <v/>
      </c>
      <c r="AM57">
        <f>IF($A57="","",K57+'Beállítások'!$E$15/1000)</f>
        <v/>
      </c>
      <c r="AN57">
        <f>IF($A57="","",L57+'Beállítások'!$E$16/1000)</f>
        <v/>
      </c>
      <c r="AO57">
        <f>IF($A57="","",'Beállítások'!$E$6*(5-B57))</f>
        <v/>
      </c>
      <c r="AP57">
        <f>IF($A57="","",'Beállítások'!$E$7*(5-C57))</f>
        <v/>
      </c>
      <c r="AQ57">
        <f>IF($A57="","",'Beállítások'!$E$8*(5-D57))</f>
        <v/>
      </c>
      <c r="AR57">
        <f>IF($A57="","",'Beállítások'!$E$9*(5-E57))</f>
        <v/>
      </c>
      <c r="AS57">
        <f>IF($A57="","",'Beállítások'!$E$10*(5-F57))</f>
        <v/>
      </c>
      <c r="AT57">
        <f>IF($A57="","",'Beállítások'!$E$11*(5-G57))</f>
        <v/>
      </c>
      <c r="AU57">
        <f>IF($A57="","",'Beállítások'!$E$12*(5-H57))</f>
        <v/>
      </c>
      <c r="AV57">
        <f>IF($A57="","",'Beállítások'!$E$13*(5-I57))</f>
        <v/>
      </c>
      <c r="AW57">
        <f>IF($A57="","",'Beállítások'!$E$14*(5-J57))</f>
        <v/>
      </c>
      <c r="AX57">
        <f>IF($A57="","",'Beállítások'!$E$15*(5-K57))</f>
        <v/>
      </c>
      <c r="AY57">
        <f>IF($A57="","",'Beállítások'!$E$16*(5-L57))</f>
        <v/>
      </c>
      <c r="AZ57">
        <f>IF($A57="","",M57-ROW()/100000)</f>
        <v/>
      </c>
    </row>
    <row r="58">
      <c r="A58">
        <f>IF('Ügyfelek'!A58="","",'Ügyfelek'!A58)</f>
        <v/>
      </c>
      <c r="B58">
        <f>IF($A58="","",IF('Ügyfelek'!B58="",'Beállítások'!$B$45,IFERROR(VLOOKUP(TRIM('Ügyfelek'!B58),'Beállítások'!$A$22:$B$41,2,FALSE),'Beállítások'!$B$45)))</f>
        <v/>
      </c>
      <c r="C58">
        <f>IF($A58="","",IF('Ügyfelek'!C58="",'Beállítások'!$B$45,VLOOKUP(MAX('Ügyfelek'!C58,'Beállítások'!$H$7),'Beállítások'!$H$7:$I$11,2,TRUE)))</f>
        <v/>
      </c>
      <c r="D58">
        <f>IF($A58="","",IF('Ügyfelek'!D58="",'Beállítások'!$B$45,VLOOKUP(MAX('Ügyfelek'!D58,'Beállítások'!$K$7),'Beállítások'!$K$7:$L$11,2,TRUE)))</f>
        <v/>
      </c>
      <c r="E58">
        <f>IF($A58="","",IF('Ügyfelek'!L58="",'Beállítások'!$B$45,MIN(5,MAX(1,ROUND('Ügyfelek'!L58,0)))))</f>
        <v/>
      </c>
      <c r="F58">
        <f>IF($A58="","",IF('Ügyfelek'!I58="",'Beállítások'!$B$45,VLOOKUP(MAX('Ügyfelek'!I58,'Beállítások'!$N$7),'Beállítások'!$N$7:$O$11,2,TRUE)))</f>
        <v/>
      </c>
      <c r="G58">
        <f>IF($A58="","",IF('Ügyfelek'!N58="",'Beállítások'!$B$45,MIN(5,MAX(1,ROUND('Ügyfelek'!N58,0)))))</f>
        <v/>
      </c>
      <c r="H58">
        <f>IF($A58="","",IF('Ügyfelek'!J58="",'Beállítások'!$B$45,VLOOKUP(MAX('Ügyfelek'!J58,'Beállítások'!$Q$7),'Beállítások'!$Q$7:$R$11,2,TRUE)))</f>
        <v/>
      </c>
      <c r="I58">
        <f>IF($A58="","",IF('Ügyfelek'!K58="",'Beállítások'!$B$45,VLOOKUP(MAX('Ügyfelek'!K58,'Beállítások'!$T$7),'Beállítások'!$T$7:$U$11,2,TRUE)))</f>
        <v/>
      </c>
      <c r="J58">
        <f>IF($A58="","",IF('Ügyfelek'!M58="",'Beállítások'!$B$45,MIN(5,MAX(1,ROUND('Ügyfelek'!M58,0)))))</f>
        <v/>
      </c>
      <c r="K58">
        <f>IF($A58="","",IF('Ügyfelek'!P58="",'Beállítások'!$B$45,MIN(5,MAX(1,ROUND('Ügyfelek'!P58,0)))))</f>
        <v/>
      </c>
      <c r="L58">
        <f>IF($A58="","",IF('Ügyfelek'!O58="",'Beállítások'!$B$45,MIN(5,MAX(1,ROUND('Ügyfelek'!O58,0)))))</f>
        <v/>
      </c>
      <c r="M58" s="13">
        <f>IF($A58="","",ROUND('Beállítások'!$E$6*(B58-1)/4+'Beállítások'!$E$7*(C58-1)/4+'Beállítások'!$E$8*(D58-1)/4+'Beállítások'!$E$9*(E58-1)/4+'Beállítások'!$E$10*(F58-1)/4+'Beállítások'!$E$11*(G58-1)/4+'Beállítások'!$E$12*(H58-1)/4+'Beállítások'!$E$13*(I58-1)/4+'Beállítások'!$E$14*(J58-1)/4+'Beállítások'!$E$15*(K58-1)/4+'Beállítások'!$E$16*(L58-1)/4,1))</f>
        <v/>
      </c>
      <c r="N58" s="14">
        <f>IF($A58="","",RANK(M58,$M$2:$M$201))</f>
        <v/>
      </c>
      <c r="O58">
        <f>IF($A58="","",VLOOKUP(M58,'Beállítások'!$A$57:$E$60,2,TRUE))</f>
        <v/>
      </c>
      <c r="P58">
        <f>IF($A58="","",VLOOKUP(M58,'Beállítások'!$A$57:$E$60,3,TRUE))</f>
        <v/>
      </c>
      <c r="Q58">
        <f>IF($A58="","",INDEX('Beállítások'!$B$6:$B$16,MATCH(MAX(AD58:AN58),AD58:AN58,0)))</f>
        <v/>
      </c>
      <c r="R58">
        <f>IF($A58="","",IF(MAX(AO58:AY58)=0,"—",INDEX('Beállítások'!$B$6:$B$16,MATCH(MAX(AO58:AY58),AO58:AY58,0))))</f>
        <v/>
      </c>
      <c r="S58" s="5">
        <f>IF($A58="","",'Beállítások'!$B$47*(TRIM('Ügyfelek'!E58)="igen")+'Beállítások'!$B$48*(TRIM('Ügyfelek'!F58)="igen")+'Beállítások'!$B$49*N('Ügyfelek'!G58)+'Beállítások'!$B$46*N('Ügyfelek'!H58))</f>
        <v/>
      </c>
      <c r="T58" s="15">
        <f>IF($A58="","",VLOOKUP(M58,'Beállítások'!$A$57:$E$60,4,TRUE))</f>
        <v/>
      </c>
      <c r="U58" s="5">
        <f>IF($A58="","",N('Ügyfelek'!D58)*'Beállítások'!$B$51)</f>
        <v/>
      </c>
      <c r="V58" s="5">
        <f>IF($A58="","",CEILING(ROUND(MAX('Beállítások'!$B$50,S58*T58,U58),2),'Beállítások'!$B$52))</f>
        <v/>
      </c>
      <c r="W58">
        <f>IF($A58="","",IF(MAX('Beállítások'!$B$50,S58*T58,U58)=S58*T58,"Munkaigény × szintszorzó",IF(MAX('Beállítások'!$B$50,S58*T58,U58)=U58,"Hirdetési keret arányában","Minimumdíj")))</f>
        <v/>
      </c>
      <c r="X58" s="5">
        <f>IF(OR($A58="",'Ügyfelek'!Q58=""),"",'Ügyfelek'!Q58)</f>
        <v/>
      </c>
      <c r="Y58" s="5">
        <f>IF(X58="","",V58-X58)</f>
        <v/>
      </c>
      <c r="Z58" s="16">
        <f>IF(OR(X58="",X58=0),"",Y58/X58)</f>
        <v/>
      </c>
      <c r="AA58" s="5">
        <f>IF(OR($A58="",'Ügyfelek'!R58=""),"",'Ügyfelek'!R58*VLOOKUP(M58,'Beállítások'!$A$57:$E$60,5,TRUE))</f>
        <v/>
      </c>
      <c r="AB58" s="14">
        <f>IF($A58="","",('Ügyfelek'!B58="")+('Ügyfelek'!C58="")+('Ügyfelek'!D58="")+('Ügyfelek'!L58="")+('Ügyfelek'!I58="")+('Ügyfelek'!N58="")+('Ügyfelek'!J58="")+('Ügyfelek'!K58="")+('Ügyfelek'!M58="")+('Ügyfelek'!P58="")+('Ügyfelek'!O58=""))</f>
        <v/>
      </c>
      <c r="AD58">
        <f>IF($A58="","",B58+'Beállítások'!$E$6/1000)</f>
        <v/>
      </c>
      <c r="AE58">
        <f>IF($A58="","",C58+'Beállítások'!$E$7/1000)</f>
        <v/>
      </c>
      <c r="AF58">
        <f>IF($A58="","",D58+'Beállítások'!$E$8/1000)</f>
        <v/>
      </c>
      <c r="AG58">
        <f>IF($A58="","",E58+'Beállítások'!$E$9/1000)</f>
        <v/>
      </c>
      <c r="AH58">
        <f>IF($A58="","",F58+'Beállítások'!$E$10/1000)</f>
        <v/>
      </c>
      <c r="AI58">
        <f>IF($A58="","",G58+'Beállítások'!$E$11/1000)</f>
        <v/>
      </c>
      <c r="AJ58">
        <f>IF($A58="","",H58+'Beállítások'!$E$12/1000)</f>
        <v/>
      </c>
      <c r="AK58">
        <f>IF($A58="","",I58+'Beállítások'!$E$13/1000)</f>
        <v/>
      </c>
      <c r="AL58">
        <f>IF($A58="","",J58+'Beállítások'!$E$14/1000)</f>
        <v/>
      </c>
      <c r="AM58">
        <f>IF($A58="","",K58+'Beállítások'!$E$15/1000)</f>
        <v/>
      </c>
      <c r="AN58">
        <f>IF($A58="","",L58+'Beállítások'!$E$16/1000)</f>
        <v/>
      </c>
      <c r="AO58">
        <f>IF($A58="","",'Beállítások'!$E$6*(5-B58))</f>
        <v/>
      </c>
      <c r="AP58">
        <f>IF($A58="","",'Beállítások'!$E$7*(5-C58))</f>
        <v/>
      </c>
      <c r="AQ58">
        <f>IF($A58="","",'Beállítások'!$E$8*(5-D58))</f>
        <v/>
      </c>
      <c r="AR58">
        <f>IF($A58="","",'Beállítások'!$E$9*(5-E58))</f>
        <v/>
      </c>
      <c r="AS58">
        <f>IF($A58="","",'Beállítások'!$E$10*(5-F58))</f>
        <v/>
      </c>
      <c r="AT58">
        <f>IF($A58="","",'Beállítások'!$E$11*(5-G58))</f>
        <v/>
      </c>
      <c r="AU58">
        <f>IF($A58="","",'Beállítások'!$E$12*(5-H58))</f>
        <v/>
      </c>
      <c r="AV58">
        <f>IF($A58="","",'Beállítások'!$E$13*(5-I58))</f>
        <v/>
      </c>
      <c r="AW58">
        <f>IF($A58="","",'Beállítások'!$E$14*(5-J58))</f>
        <v/>
      </c>
      <c r="AX58">
        <f>IF($A58="","",'Beállítások'!$E$15*(5-K58))</f>
        <v/>
      </c>
      <c r="AY58">
        <f>IF($A58="","",'Beállítások'!$E$16*(5-L58))</f>
        <v/>
      </c>
      <c r="AZ58">
        <f>IF($A58="","",M58-ROW()/100000)</f>
        <v/>
      </c>
    </row>
    <row r="59">
      <c r="A59">
        <f>IF('Ügyfelek'!A59="","",'Ügyfelek'!A59)</f>
        <v/>
      </c>
      <c r="B59">
        <f>IF($A59="","",IF('Ügyfelek'!B59="",'Beállítások'!$B$45,IFERROR(VLOOKUP(TRIM('Ügyfelek'!B59),'Beállítások'!$A$22:$B$41,2,FALSE),'Beállítások'!$B$45)))</f>
        <v/>
      </c>
      <c r="C59">
        <f>IF($A59="","",IF('Ügyfelek'!C59="",'Beállítások'!$B$45,VLOOKUP(MAX('Ügyfelek'!C59,'Beállítások'!$H$7),'Beállítások'!$H$7:$I$11,2,TRUE)))</f>
        <v/>
      </c>
      <c r="D59">
        <f>IF($A59="","",IF('Ügyfelek'!D59="",'Beállítások'!$B$45,VLOOKUP(MAX('Ügyfelek'!D59,'Beállítások'!$K$7),'Beállítások'!$K$7:$L$11,2,TRUE)))</f>
        <v/>
      </c>
      <c r="E59">
        <f>IF($A59="","",IF('Ügyfelek'!L59="",'Beállítások'!$B$45,MIN(5,MAX(1,ROUND('Ügyfelek'!L59,0)))))</f>
        <v/>
      </c>
      <c r="F59">
        <f>IF($A59="","",IF('Ügyfelek'!I59="",'Beállítások'!$B$45,VLOOKUP(MAX('Ügyfelek'!I59,'Beállítások'!$N$7),'Beállítások'!$N$7:$O$11,2,TRUE)))</f>
        <v/>
      </c>
      <c r="G59">
        <f>IF($A59="","",IF('Ügyfelek'!N59="",'Beállítások'!$B$45,MIN(5,MAX(1,ROUND('Ügyfelek'!N59,0)))))</f>
        <v/>
      </c>
      <c r="H59">
        <f>IF($A59="","",IF('Ügyfelek'!J59="",'Beállítások'!$B$45,VLOOKUP(MAX('Ügyfelek'!J59,'Beállítások'!$Q$7),'Beállítások'!$Q$7:$R$11,2,TRUE)))</f>
        <v/>
      </c>
      <c r="I59">
        <f>IF($A59="","",IF('Ügyfelek'!K59="",'Beállítások'!$B$45,VLOOKUP(MAX('Ügyfelek'!K59,'Beállítások'!$T$7),'Beállítások'!$T$7:$U$11,2,TRUE)))</f>
        <v/>
      </c>
      <c r="J59">
        <f>IF($A59="","",IF('Ügyfelek'!M59="",'Beállítások'!$B$45,MIN(5,MAX(1,ROUND('Ügyfelek'!M59,0)))))</f>
        <v/>
      </c>
      <c r="K59">
        <f>IF($A59="","",IF('Ügyfelek'!P59="",'Beállítások'!$B$45,MIN(5,MAX(1,ROUND('Ügyfelek'!P59,0)))))</f>
        <v/>
      </c>
      <c r="L59">
        <f>IF($A59="","",IF('Ügyfelek'!O59="",'Beállítások'!$B$45,MIN(5,MAX(1,ROUND('Ügyfelek'!O59,0)))))</f>
        <v/>
      </c>
      <c r="M59" s="13">
        <f>IF($A59="","",ROUND('Beállítások'!$E$6*(B59-1)/4+'Beállítások'!$E$7*(C59-1)/4+'Beállítások'!$E$8*(D59-1)/4+'Beállítások'!$E$9*(E59-1)/4+'Beállítások'!$E$10*(F59-1)/4+'Beállítások'!$E$11*(G59-1)/4+'Beállítások'!$E$12*(H59-1)/4+'Beállítások'!$E$13*(I59-1)/4+'Beállítások'!$E$14*(J59-1)/4+'Beállítások'!$E$15*(K59-1)/4+'Beállítások'!$E$16*(L59-1)/4,1))</f>
        <v/>
      </c>
      <c r="N59" s="14">
        <f>IF($A59="","",RANK(M59,$M$2:$M$201))</f>
        <v/>
      </c>
      <c r="O59">
        <f>IF($A59="","",VLOOKUP(M59,'Beállítások'!$A$57:$E$60,2,TRUE))</f>
        <v/>
      </c>
      <c r="P59">
        <f>IF($A59="","",VLOOKUP(M59,'Beállítások'!$A$57:$E$60,3,TRUE))</f>
        <v/>
      </c>
      <c r="Q59">
        <f>IF($A59="","",INDEX('Beállítások'!$B$6:$B$16,MATCH(MAX(AD59:AN59),AD59:AN59,0)))</f>
        <v/>
      </c>
      <c r="R59">
        <f>IF($A59="","",IF(MAX(AO59:AY59)=0,"—",INDEX('Beállítások'!$B$6:$B$16,MATCH(MAX(AO59:AY59),AO59:AY59,0))))</f>
        <v/>
      </c>
      <c r="S59" s="5">
        <f>IF($A59="","",'Beállítások'!$B$47*(TRIM('Ügyfelek'!E59)="igen")+'Beállítások'!$B$48*(TRIM('Ügyfelek'!F59)="igen")+'Beállítások'!$B$49*N('Ügyfelek'!G59)+'Beállítások'!$B$46*N('Ügyfelek'!H59))</f>
        <v/>
      </c>
      <c r="T59" s="15">
        <f>IF($A59="","",VLOOKUP(M59,'Beállítások'!$A$57:$E$60,4,TRUE))</f>
        <v/>
      </c>
      <c r="U59" s="5">
        <f>IF($A59="","",N('Ügyfelek'!D59)*'Beállítások'!$B$51)</f>
        <v/>
      </c>
      <c r="V59" s="5">
        <f>IF($A59="","",CEILING(ROUND(MAX('Beállítások'!$B$50,S59*T59,U59),2),'Beállítások'!$B$52))</f>
        <v/>
      </c>
      <c r="W59">
        <f>IF($A59="","",IF(MAX('Beállítások'!$B$50,S59*T59,U59)=S59*T59,"Munkaigény × szintszorzó",IF(MAX('Beállítások'!$B$50,S59*T59,U59)=U59,"Hirdetési keret arányában","Minimumdíj")))</f>
        <v/>
      </c>
      <c r="X59" s="5">
        <f>IF(OR($A59="",'Ügyfelek'!Q59=""),"",'Ügyfelek'!Q59)</f>
        <v/>
      </c>
      <c r="Y59" s="5">
        <f>IF(X59="","",V59-X59)</f>
        <v/>
      </c>
      <c r="Z59" s="16">
        <f>IF(OR(X59="",X59=0),"",Y59/X59)</f>
        <v/>
      </c>
      <c r="AA59" s="5">
        <f>IF(OR($A59="",'Ügyfelek'!R59=""),"",'Ügyfelek'!R59*VLOOKUP(M59,'Beállítások'!$A$57:$E$60,5,TRUE))</f>
        <v/>
      </c>
      <c r="AB59" s="14">
        <f>IF($A59="","",('Ügyfelek'!B59="")+('Ügyfelek'!C59="")+('Ügyfelek'!D59="")+('Ügyfelek'!L59="")+('Ügyfelek'!I59="")+('Ügyfelek'!N59="")+('Ügyfelek'!J59="")+('Ügyfelek'!K59="")+('Ügyfelek'!M59="")+('Ügyfelek'!P59="")+('Ügyfelek'!O59=""))</f>
        <v/>
      </c>
      <c r="AD59">
        <f>IF($A59="","",B59+'Beállítások'!$E$6/1000)</f>
        <v/>
      </c>
      <c r="AE59">
        <f>IF($A59="","",C59+'Beállítások'!$E$7/1000)</f>
        <v/>
      </c>
      <c r="AF59">
        <f>IF($A59="","",D59+'Beállítások'!$E$8/1000)</f>
        <v/>
      </c>
      <c r="AG59">
        <f>IF($A59="","",E59+'Beállítások'!$E$9/1000)</f>
        <v/>
      </c>
      <c r="AH59">
        <f>IF($A59="","",F59+'Beállítások'!$E$10/1000)</f>
        <v/>
      </c>
      <c r="AI59">
        <f>IF($A59="","",G59+'Beállítások'!$E$11/1000)</f>
        <v/>
      </c>
      <c r="AJ59">
        <f>IF($A59="","",H59+'Beállítások'!$E$12/1000)</f>
        <v/>
      </c>
      <c r="AK59">
        <f>IF($A59="","",I59+'Beállítások'!$E$13/1000)</f>
        <v/>
      </c>
      <c r="AL59">
        <f>IF($A59="","",J59+'Beállítások'!$E$14/1000)</f>
        <v/>
      </c>
      <c r="AM59">
        <f>IF($A59="","",K59+'Beállítások'!$E$15/1000)</f>
        <v/>
      </c>
      <c r="AN59">
        <f>IF($A59="","",L59+'Beállítások'!$E$16/1000)</f>
        <v/>
      </c>
      <c r="AO59">
        <f>IF($A59="","",'Beállítások'!$E$6*(5-B59))</f>
        <v/>
      </c>
      <c r="AP59">
        <f>IF($A59="","",'Beállítások'!$E$7*(5-C59))</f>
        <v/>
      </c>
      <c r="AQ59">
        <f>IF($A59="","",'Beállítások'!$E$8*(5-D59))</f>
        <v/>
      </c>
      <c r="AR59">
        <f>IF($A59="","",'Beállítások'!$E$9*(5-E59))</f>
        <v/>
      </c>
      <c r="AS59">
        <f>IF($A59="","",'Beállítások'!$E$10*(5-F59))</f>
        <v/>
      </c>
      <c r="AT59">
        <f>IF($A59="","",'Beállítások'!$E$11*(5-G59))</f>
        <v/>
      </c>
      <c r="AU59">
        <f>IF($A59="","",'Beállítások'!$E$12*(5-H59))</f>
        <v/>
      </c>
      <c r="AV59">
        <f>IF($A59="","",'Beállítások'!$E$13*(5-I59))</f>
        <v/>
      </c>
      <c r="AW59">
        <f>IF($A59="","",'Beállítások'!$E$14*(5-J59))</f>
        <v/>
      </c>
      <c r="AX59">
        <f>IF($A59="","",'Beállítások'!$E$15*(5-K59))</f>
        <v/>
      </c>
      <c r="AY59">
        <f>IF($A59="","",'Beállítások'!$E$16*(5-L59))</f>
        <v/>
      </c>
      <c r="AZ59">
        <f>IF($A59="","",M59-ROW()/100000)</f>
        <v/>
      </c>
    </row>
    <row r="60">
      <c r="A60">
        <f>IF('Ügyfelek'!A60="","",'Ügyfelek'!A60)</f>
        <v/>
      </c>
      <c r="B60">
        <f>IF($A60="","",IF('Ügyfelek'!B60="",'Beállítások'!$B$45,IFERROR(VLOOKUP(TRIM('Ügyfelek'!B60),'Beállítások'!$A$22:$B$41,2,FALSE),'Beállítások'!$B$45)))</f>
        <v/>
      </c>
      <c r="C60">
        <f>IF($A60="","",IF('Ügyfelek'!C60="",'Beállítások'!$B$45,VLOOKUP(MAX('Ügyfelek'!C60,'Beállítások'!$H$7),'Beállítások'!$H$7:$I$11,2,TRUE)))</f>
        <v/>
      </c>
      <c r="D60">
        <f>IF($A60="","",IF('Ügyfelek'!D60="",'Beállítások'!$B$45,VLOOKUP(MAX('Ügyfelek'!D60,'Beállítások'!$K$7),'Beállítások'!$K$7:$L$11,2,TRUE)))</f>
        <v/>
      </c>
      <c r="E60">
        <f>IF($A60="","",IF('Ügyfelek'!L60="",'Beállítások'!$B$45,MIN(5,MAX(1,ROUND('Ügyfelek'!L60,0)))))</f>
        <v/>
      </c>
      <c r="F60">
        <f>IF($A60="","",IF('Ügyfelek'!I60="",'Beállítások'!$B$45,VLOOKUP(MAX('Ügyfelek'!I60,'Beállítások'!$N$7),'Beállítások'!$N$7:$O$11,2,TRUE)))</f>
        <v/>
      </c>
      <c r="G60">
        <f>IF($A60="","",IF('Ügyfelek'!N60="",'Beállítások'!$B$45,MIN(5,MAX(1,ROUND('Ügyfelek'!N60,0)))))</f>
        <v/>
      </c>
      <c r="H60">
        <f>IF($A60="","",IF('Ügyfelek'!J60="",'Beállítások'!$B$45,VLOOKUP(MAX('Ügyfelek'!J60,'Beállítások'!$Q$7),'Beállítások'!$Q$7:$R$11,2,TRUE)))</f>
        <v/>
      </c>
      <c r="I60">
        <f>IF($A60="","",IF('Ügyfelek'!K60="",'Beállítások'!$B$45,VLOOKUP(MAX('Ügyfelek'!K60,'Beállítások'!$T$7),'Beállítások'!$T$7:$U$11,2,TRUE)))</f>
        <v/>
      </c>
      <c r="J60">
        <f>IF($A60="","",IF('Ügyfelek'!M60="",'Beállítások'!$B$45,MIN(5,MAX(1,ROUND('Ügyfelek'!M60,0)))))</f>
        <v/>
      </c>
      <c r="K60">
        <f>IF($A60="","",IF('Ügyfelek'!P60="",'Beállítások'!$B$45,MIN(5,MAX(1,ROUND('Ügyfelek'!P60,0)))))</f>
        <v/>
      </c>
      <c r="L60">
        <f>IF($A60="","",IF('Ügyfelek'!O60="",'Beállítások'!$B$45,MIN(5,MAX(1,ROUND('Ügyfelek'!O60,0)))))</f>
        <v/>
      </c>
      <c r="M60" s="13">
        <f>IF($A60="","",ROUND('Beállítások'!$E$6*(B60-1)/4+'Beállítások'!$E$7*(C60-1)/4+'Beállítások'!$E$8*(D60-1)/4+'Beállítások'!$E$9*(E60-1)/4+'Beállítások'!$E$10*(F60-1)/4+'Beállítások'!$E$11*(G60-1)/4+'Beállítások'!$E$12*(H60-1)/4+'Beállítások'!$E$13*(I60-1)/4+'Beállítások'!$E$14*(J60-1)/4+'Beállítások'!$E$15*(K60-1)/4+'Beállítások'!$E$16*(L60-1)/4,1))</f>
        <v/>
      </c>
      <c r="N60" s="14">
        <f>IF($A60="","",RANK(M60,$M$2:$M$201))</f>
        <v/>
      </c>
      <c r="O60">
        <f>IF($A60="","",VLOOKUP(M60,'Beállítások'!$A$57:$E$60,2,TRUE))</f>
        <v/>
      </c>
      <c r="P60">
        <f>IF($A60="","",VLOOKUP(M60,'Beállítások'!$A$57:$E$60,3,TRUE))</f>
        <v/>
      </c>
      <c r="Q60">
        <f>IF($A60="","",INDEX('Beállítások'!$B$6:$B$16,MATCH(MAX(AD60:AN60),AD60:AN60,0)))</f>
        <v/>
      </c>
      <c r="R60">
        <f>IF($A60="","",IF(MAX(AO60:AY60)=0,"—",INDEX('Beállítások'!$B$6:$B$16,MATCH(MAX(AO60:AY60),AO60:AY60,0))))</f>
        <v/>
      </c>
      <c r="S60" s="5">
        <f>IF($A60="","",'Beállítások'!$B$47*(TRIM('Ügyfelek'!E60)="igen")+'Beállítások'!$B$48*(TRIM('Ügyfelek'!F60)="igen")+'Beállítások'!$B$49*N('Ügyfelek'!G60)+'Beállítások'!$B$46*N('Ügyfelek'!H60))</f>
        <v/>
      </c>
      <c r="T60" s="15">
        <f>IF($A60="","",VLOOKUP(M60,'Beállítások'!$A$57:$E$60,4,TRUE))</f>
        <v/>
      </c>
      <c r="U60" s="5">
        <f>IF($A60="","",N('Ügyfelek'!D60)*'Beállítások'!$B$51)</f>
        <v/>
      </c>
      <c r="V60" s="5">
        <f>IF($A60="","",CEILING(ROUND(MAX('Beállítások'!$B$50,S60*T60,U60),2),'Beállítások'!$B$52))</f>
        <v/>
      </c>
      <c r="W60">
        <f>IF($A60="","",IF(MAX('Beállítások'!$B$50,S60*T60,U60)=S60*T60,"Munkaigény × szintszorzó",IF(MAX('Beállítások'!$B$50,S60*T60,U60)=U60,"Hirdetési keret arányában","Minimumdíj")))</f>
        <v/>
      </c>
      <c r="X60" s="5">
        <f>IF(OR($A60="",'Ügyfelek'!Q60=""),"",'Ügyfelek'!Q60)</f>
        <v/>
      </c>
      <c r="Y60" s="5">
        <f>IF(X60="","",V60-X60)</f>
        <v/>
      </c>
      <c r="Z60" s="16">
        <f>IF(OR(X60="",X60=0),"",Y60/X60)</f>
        <v/>
      </c>
      <c r="AA60" s="5">
        <f>IF(OR($A60="",'Ügyfelek'!R60=""),"",'Ügyfelek'!R60*VLOOKUP(M60,'Beállítások'!$A$57:$E$60,5,TRUE))</f>
        <v/>
      </c>
      <c r="AB60" s="14">
        <f>IF($A60="","",('Ügyfelek'!B60="")+('Ügyfelek'!C60="")+('Ügyfelek'!D60="")+('Ügyfelek'!L60="")+('Ügyfelek'!I60="")+('Ügyfelek'!N60="")+('Ügyfelek'!J60="")+('Ügyfelek'!K60="")+('Ügyfelek'!M60="")+('Ügyfelek'!P60="")+('Ügyfelek'!O60=""))</f>
        <v/>
      </c>
      <c r="AD60">
        <f>IF($A60="","",B60+'Beállítások'!$E$6/1000)</f>
        <v/>
      </c>
      <c r="AE60">
        <f>IF($A60="","",C60+'Beállítások'!$E$7/1000)</f>
        <v/>
      </c>
      <c r="AF60">
        <f>IF($A60="","",D60+'Beállítások'!$E$8/1000)</f>
        <v/>
      </c>
      <c r="AG60">
        <f>IF($A60="","",E60+'Beállítások'!$E$9/1000)</f>
        <v/>
      </c>
      <c r="AH60">
        <f>IF($A60="","",F60+'Beállítások'!$E$10/1000)</f>
        <v/>
      </c>
      <c r="AI60">
        <f>IF($A60="","",G60+'Beállítások'!$E$11/1000)</f>
        <v/>
      </c>
      <c r="AJ60">
        <f>IF($A60="","",H60+'Beállítások'!$E$12/1000)</f>
        <v/>
      </c>
      <c r="AK60">
        <f>IF($A60="","",I60+'Beállítások'!$E$13/1000)</f>
        <v/>
      </c>
      <c r="AL60">
        <f>IF($A60="","",J60+'Beállítások'!$E$14/1000)</f>
        <v/>
      </c>
      <c r="AM60">
        <f>IF($A60="","",K60+'Beállítások'!$E$15/1000)</f>
        <v/>
      </c>
      <c r="AN60">
        <f>IF($A60="","",L60+'Beállítások'!$E$16/1000)</f>
        <v/>
      </c>
      <c r="AO60">
        <f>IF($A60="","",'Beállítások'!$E$6*(5-B60))</f>
        <v/>
      </c>
      <c r="AP60">
        <f>IF($A60="","",'Beállítások'!$E$7*(5-C60))</f>
        <v/>
      </c>
      <c r="AQ60">
        <f>IF($A60="","",'Beállítások'!$E$8*(5-D60))</f>
        <v/>
      </c>
      <c r="AR60">
        <f>IF($A60="","",'Beállítások'!$E$9*(5-E60))</f>
        <v/>
      </c>
      <c r="AS60">
        <f>IF($A60="","",'Beállítások'!$E$10*(5-F60))</f>
        <v/>
      </c>
      <c r="AT60">
        <f>IF($A60="","",'Beállítások'!$E$11*(5-G60))</f>
        <v/>
      </c>
      <c r="AU60">
        <f>IF($A60="","",'Beállítások'!$E$12*(5-H60))</f>
        <v/>
      </c>
      <c r="AV60">
        <f>IF($A60="","",'Beállítások'!$E$13*(5-I60))</f>
        <v/>
      </c>
      <c r="AW60">
        <f>IF($A60="","",'Beállítások'!$E$14*(5-J60))</f>
        <v/>
      </c>
      <c r="AX60">
        <f>IF($A60="","",'Beállítások'!$E$15*(5-K60))</f>
        <v/>
      </c>
      <c r="AY60">
        <f>IF($A60="","",'Beállítások'!$E$16*(5-L60))</f>
        <v/>
      </c>
      <c r="AZ60">
        <f>IF($A60="","",M60-ROW()/100000)</f>
        <v/>
      </c>
    </row>
    <row r="61">
      <c r="A61">
        <f>IF('Ügyfelek'!A61="","",'Ügyfelek'!A61)</f>
        <v/>
      </c>
      <c r="B61">
        <f>IF($A61="","",IF('Ügyfelek'!B61="",'Beállítások'!$B$45,IFERROR(VLOOKUP(TRIM('Ügyfelek'!B61),'Beállítások'!$A$22:$B$41,2,FALSE),'Beállítások'!$B$45)))</f>
        <v/>
      </c>
      <c r="C61">
        <f>IF($A61="","",IF('Ügyfelek'!C61="",'Beállítások'!$B$45,VLOOKUP(MAX('Ügyfelek'!C61,'Beállítások'!$H$7),'Beállítások'!$H$7:$I$11,2,TRUE)))</f>
        <v/>
      </c>
      <c r="D61">
        <f>IF($A61="","",IF('Ügyfelek'!D61="",'Beállítások'!$B$45,VLOOKUP(MAX('Ügyfelek'!D61,'Beállítások'!$K$7),'Beállítások'!$K$7:$L$11,2,TRUE)))</f>
        <v/>
      </c>
      <c r="E61">
        <f>IF($A61="","",IF('Ügyfelek'!L61="",'Beállítások'!$B$45,MIN(5,MAX(1,ROUND('Ügyfelek'!L61,0)))))</f>
        <v/>
      </c>
      <c r="F61">
        <f>IF($A61="","",IF('Ügyfelek'!I61="",'Beállítások'!$B$45,VLOOKUP(MAX('Ügyfelek'!I61,'Beállítások'!$N$7),'Beállítások'!$N$7:$O$11,2,TRUE)))</f>
        <v/>
      </c>
      <c r="G61">
        <f>IF($A61="","",IF('Ügyfelek'!N61="",'Beállítások'!$B$45,MIN(5,MAX(1,ROUND('Ügyfelek'!N61,0)))))</f>
        <v/>
      </c>
      <c r="H61">
        <f>IF($A61="","",IF('Ügyfelek'!J61="",'Beállítások'!$B$45,VLOOKUP(MAX('Ügyfelek'!J61,'Beállítások'!$Q$7),'Beállítások'!$Q$7:$R$11,2,TRUE)))</f>
        <v/>
      </c>
      <c r="I61">
        <f>IF($A61="","",IF('Ügyfelek'!K61="",'Beállítások'!$B$45,VLOOKUP(MAX('Ügyfelek'!K61,'Beállítások'!$T$7),'Beállítások'!$T$7:$U$11,2,TRUE)))</f>
        <v/>
      </c>
      <c r="J61">
        <f>IF($A61="","",IF('Ügyfelek'!M61="",'Beállítások'!$B$45,MIN(5,MAX(1,ROUND('Ügyfelek'!M61,0)))))</f>
        <v/>
      </c>
      <c r="K61">
        <f>IF($A61="","",IF('Ügyfelek'!P61="",'Beállítások'!$B$45,MIN(5,MAX(1,ROUND('Ügyfelek'!P61,0)))))</f>
        <v/>
      </c>
      <c r="L61">
        <f>IF($A61="","",IF('Ügyfelek'!O61="",'Beállítások'!$B$45,MIN(5,MAX(1,ROUND('Ügyfelek'!O61,0)))))</f>
        <v/>
      </c>
      <c r="M61" s="13">
        <f>IF($A61="","",ROUND('Beállítások'!$E$6*(B61-1)/4+'Beállítások'!$E$7*(C61-1)/4+'Beállítások'!$E$8*(D61-1)/4+'Beállítások'!$E$9*(E61-1)/4+'Beállítások'!$E$10*(F61-1)/4+'Beállítások'!$E$11*(G61-1)/4+'Beállítások'!$E$12*(H61-1)/4+'Beállítások'!$E$13*(I61-1)/4+'Beállítások'!$E$14*(J61-1)/4+'Beállítások'!$E$15*(K61-1)/4+'Beállítások'!$E$16*(L61-1)/4,1))</f>
        <v/>
      </c>
      <c r="N61" s="14">
        <f>IF($A61="","",RANK(M61,$M$2:$M$201))</f>
        <v/>
      </c>
      <c r="O61">
        <f>IF($A61="","",VLOOKUP(M61,'Beállítások'!$A$57:$E$60,2,TRUE))</f>
        <v/>
      </c>
      <c r="P61">
        <f>IF($A61="","",VLOOKUP(M61,'Beállítások'!$A$57:$E$60,3,TRUE))</f>
        <v/>
      </c>
      <c r="Q61">
        <f>IF($A61="","",INDEX('Beállítások'!$B$6:$B$16,MATCH(MAX(AD61:AN61),AD61:AN61,0)))</f>
        <v/>
      </c>
      <c r="R61">
        <f>IF($A61="","",IF(MAX(AO61:AY61)=0,"—",INDEX('Beállítások'!$B$6:$B$16,MATCH(MAX(AO61:AY61),AO61:AY61,0))))</f>
        <v/>
      </c>
      <c r="S61" s="5">
        <f>IF($A61="","",'Beállítások'!$B$47*(TRIM('Ügyfelek'!E61)="igen")+'Beállítások'!$B$48*(TRIM('Ügyfelek'!F61)="igen")+'Beállítások'!$B$49*N('Ügyfelek'!G61)+'Beállítások'!$B$46*N('Ügyfelek'!H61))</f>
        <v/>
      </c>
      <c r="T61" s="15">
        <f>IF($A61="","",VLOOKUP(M61,'Beállítások'!$A$57:$E$60,4,TRUE))</f>
        <v/>
      </c>
      <c r="U61" s="5">
        <f>IF($A61="","",N('Ügyfelek'!D61)*'Beállítások'!$B$51)</f>
        <v/>
      </c>
      <c r="V61" s="5">
        <f>IF($A61="","",CEILING(ROUND(MAX('Beállítások'!$B$50,S61*T61,U61),2),'Beállítások'!$B$52))</f>
        <v/>
      </c>
      <c r="W61">
        <f>IF($A61="","",IF(MAX('Beállítások'!$B$50,S61*T61,U61)=S61*T61,"Munkaigény × szintszorzó",IF(MAX('Beállítások'!$B$50,S61*T61,U61)=U61,"Hirdetési keret arányában","Minimumdíj")))</f>
        <v/>
      </c>
      <c r="X61" s="5">
        <f>IF(OR($A61="",'Ügyfelek'!Q61=""),"",'Ügyfelek'!Q61)</f>
        <v/>
      </c>
      <c r="Y61" s="5">
        <f>IF(X61="","",V61-X61)</f>
        <v/>
      </c>
      <c r="Z61" s="16">
        <f>IF(OR(X61="",X61=0),"",Y61/X61)</f>
        <v/>
      </c>
      <c r="AA61" s="5">
        <f>IF(OR($A61="",'Ügyfelek'!R61=""),"",'Ügyfelek'!R61*VLOOKUP(M61,'Beállítások'!$A$57:$E$60,5,TRUE))</f>
        <v/>
      </c>
      <c r="AB61" s="14">
        <f>IF($A61="","",('Ügyfelek'!B61="")+('Ügyfelek'!C61="")+('Ügyfelek'!D61="")+('Ügyfelek'!L61="")+('Ügyfelek'!I61="")+('Ügyfelek'!N61="")+('Ügyfelek'!J61="")+('Ügyfelek'!K61="")+('Ügyfelek'!M61="")+('Ügyfelek'!P61="")+('Ügyfelek'!O61=""))</f>
        <v/>
      </c>
      <c r="AD61">
        <f>IF($A61="","",B61+'Beállítások'!$E$6/1000)</f>
        <v/>
      </c>
      <c r="AE61">
        <f>IF($A61="","",C61+'Beállítások'!$E$7/1000)</f>
        <v/>
      </c>
      <c r="AF61">
        <f>IF($A61="","",D61+'Beállítások'!$E$8/1000)</f>
        <v/>
      </c>
      <c r="AG61">
        <f>IF($A61="","",E61+'Beállítások'!$E$9/1000)</f>
        <v/>
      </c>
      <c r="AH61">
        <f>IF($A61="","",F61+'Beállítások'!$E$10/1000)</f>
        <v/>
      </c>
      <c r="AI61">
        <f>IF($A61="","",G61+'Beállítások'!$E$11/1000)</f>
        <v/>
      </c>
      <c r="AJ61">
        <f>IF($A61="","",H61+'Beállítások'!$E$12/1000)</f>
        <v/>
      </c>
      <c r="AK61">
        <f>IF($A61="","",I61+'Beállítások'!$E$13/1000)</f>
        <v/>
      </c>
      <c r="AL61">
        <f>IF($A61="","",J61+'Beállítások'!$E$14/1000)</f>
        <v/>
      </c>
      <c r="AM61">
        <f>IF($A61="","",K61+'Beállítások'!$E$15/1000)</f>
        <v/>
      </c>
      <c r="AN61">
        <f>IF($A61="","",L61+'Beállítások'!$E$16/1000)</f>
        <v/>
      </c>
      <c r="AO61">
        <f>IF($A61="","",'Beállítások'!$E$6*(5-B61))</f>
        <v/>
      </c>
      <c r="AP61">
        <f>IF($A61="","",'Beállítások'!$E$7*(5-C61))</f>
        <v/>
      </c>
      <c r="AQ61">
        <f>IF($A61="","",'Beállítások'!$E$8*(5-D61))</f>
        <v/>
      </c>
      <c r="AR61">
        <f>IF($A61="","",'Beállítások'!$E$9*(5-E61))</f>
        <v/>
      </c>
      <c r="AS61">
        <f>IF($A61="","",'Beállítások'!$E$10*(5-F61))</f>
        <v/>
      </c>
      <c r="AT61">
        <f>IF($A61="","",'Beállítások'!$E$11*(5-G61))</f>
        <v/>
      </c>
      <c r="AU61">
        <f>IF($A61="","",'Beállítások'!$E$12*(5-H61))</f>
        <v/>
      </c>
      <c r="AV61">
        <f>IF($A61="","",'Beállítások'!$E$13*(5-I61))</f>
        <v/>
      </c>
      <c r="AW61">
        <f>IF($A61="","",'Beállítások'!$E$14*(5-J61))</f>
        <v/>
      </c>
      <c r="AX61">
        <f>IF($A61="","",'Beállítások'!$E$15*(5-K61))</f>
        <v/>
      </c>
      <c r="AY61">
        <f>IF($A61="","",'Beállítások'!$E$16*(5-L61))</f>
        <v/>
      </c>
      <c r="AZ61">
        <f>IF($A61="","",M61-ROW()/100000)</f>
        <v/>
      </c>
    </row>
    <row r="62">
      <c r="A62">
        <f>IF('Ügyfelek'!A62="","",'Ügyfelek'!A62)</f>
        <v/>
      </c>
      <c r="B62">
        <f>IF($A62="","",IF('Ügyfelek'!B62="",'Beállítások'!$B$45,IFERROR(VLOOKUP(TRIM('Ügyfelek'!B62),'Beállítások'!$A$22:$B$41,2,FALSE),'Beállítások'!$B$45)))</f>
        <v/>
      </c>
      <c r="C62">
        <f>IF($A62="","",IF('Ügyfelek'!C62="",'Beállítások'!$B$45,VLOOKUP(MAX('Ügyfelek'!C62,'Beállítások'!$H$7),'Beállítások'!$H$7:$I$11,2,TRUE)))</f>
        <v/>
      </c>
      <c r="D62">
        <f>IF($A62="","",IF('Ügyfelek'!D62="",'Beállítások'!$B$45,VLOOKUP(MAX('Ügyfelek'!D62,'Beállítások'!$K$7),'Beállítások'!$K$7:$L$11,2,TRUE)))</f>
        <v/>
      </c>
      <c r="E62">
        <f>IF($A62="","",IF('Ügyfelek'!L62="",'Beállítások'!$B$45,MIN(5,MAX(1,ROUND('Ügyfelek'!L62,0)))))</f>
        <v/>
      </c>
      <c r="F62">
        <f>IF($A62="","",IF('Ügyfelek'!I62="",'Beállítások'!$B$45,VLOOKUP(MAX('Ügyfelek'!I62,'Beállítások'!$N$7),'Beállítások'!$N$7:$O$11,2,TRUE)))</f>
        <v/>
      </c>
      <c r="G62">
        <f>IF($A62="","",IF('Ügyfelek'!N62="",'Beállítások'!$B$45,MIN(5,MAX(1,ROUND('Ügyfelek'!N62,0)))))</f>
        <v/>
      </c>
      <c r="H62">
        <f>IF($A62="","",IF('Ügyfelek'!J62="",'Beállítások'!$B$45,VLOOKUP(MAX('Ügyfelek'!J62,'Beállítások'!$Q$7),'Beállítások'!$Q$7:$R$11,2,TRUE)))</f>
        <v/>
      </c>
      <c r="I62">
        <f>IF($A62="","",IF('Ügyfelek'!K62="",'Beállítások'!$B$45,VLOOKUP(MAX('Ügyfelek'!K62,'Beállítások'!$T$7),'Beállítások'!$T$7:$U$11,2,TRUE)))</f>
        <v/>
      </c>
      <c r="J62">
        <f>IF($A62="","",IF('Ügyfelek'!M62="",'Beállítások'!$B$45,MIN(5,MAX(1,ROUND('Ügyfelek'!M62,0)))))</f>
        <v/>
      </c>
      <c r="K62">
        <f>IF($A62="","",IF('Ügyfelek'!P62="",'Beállítások'!$B$45,MIN(5,MAX(1,ROUND('Ügyfelek'!P62,0)))))</f>
        <v/>
      </c>
      <c r="L62">
        <f>IF($A62="","",IF('Ügyfelek'!O62="",'Beállítások'!$B$45,MIN(5,MAX(1,ROUND('Ügyfelek'!O62,0)))))</f>
        <v/>
      </c>
      <c r="M62" s="13">
        <f>IF($A62="","",ROUND('Beállítások'!$E$6*(B62-1)/4+'Beállítások'!$E$7*(C62-1)/4+'Beállítások'!$E$8*(D62-1)/4+'Beállítások'!$E$9*(E62-1)/4+'Beállítások'!$E$10*(F62-1)/4+'Beállítások'!$E$11*(G62-1)/4+'Beállítások'!$E$12*(H62-1)/4+'Beállítások'!$E$13*(I62-1)/4+'Beállítások'!$E$14*(J62-1)/4+'Beállítások'!$E$15*(K62-1)/4+'Beállítások'!$E$16*(L62-1)/4,1))</f>
        <v/>
      </c>
      <c r="N62" s="14">
        <f>IF($A62="","",RANK(M62,$M$2:$M$201))</f>
        <v/>
      </c>
      <c r="O62">
        <f>IF($A62="","",VLOOKUP(M62,'Beállítások'!$A$57:$E$60,2,TRUE))</f>
        <v/>
      </c>
      <c r="P62">
        <f>IF($A62="","",VLOOKUP(M62,'Beállítások'!$A$57:$E$60,3,TRUE))</f>
        <v/>
      </c>
      <c r="Q62">
        <f>IF($A62="","",INDEX('Beállítások'!$B$6:$B$16,MATCH(MAX(AD62:AN62),AD62:AN62,0)))</f>
        <v/>
      </c>
      <c r="R62">
        <f>IF($A62="","",IF(MAX(AO62:AY62)=0,"—",INDEX('Beállítások'!$B$6:$B$16,MATCH(MAX(AO62:AY62),AO62:AY62,0))))</f>
        <v/>
      </c>
      <c r="S62" s="5">
        <f>IF($A62="","",'Beállítások'!$B$47*(TRIM('Ügyfelek'!E62)="igen")+'Beállítások'!$B$48*(TRIM('Ügyfelek'!F62)="igen")+'Beállítások'!$B$49*N('Ügyfelek'!G62)+'Beállítások'!$B$46*N('Ügyfelek'!H62))</f>
        <v/>
      </c>
      <c r="T62" s="15">
        <f>IF($A62="","",VLOOKUP(M62,'Beállítások'!$A$57:$E$60,4,TRUE))</f>
        <v/>
      </c>
      <c r="U62" s="5">
        <f>IF($A62="","",N('Ügyfelek'!D62)*'Beállítások'!$B$51)</f>
        <v/>
      </c>
      <c r="V62" s="5">
        <f>IF($A62="","",CEILING(ROUND(MAX('Beállítások'!$B$50,S62*T62,U62),2),'Beállítások'!$B$52))</f>
        <v/>
      </c>
      <c r="W62">
        <f>IF($A62="","",IF(MAX('Beállítások'!$B$50,S62*T62,U62)=S62*T62,"Munkaigény × szintszorzó",IF(MAX('Beállítások'!$B$50,S62*T62,U62)=U62,"Hirdetési keret arányában","Minimumdíj")))</f>
        <v/>
      </c>
      <c r="X62" s="5">
        <f>IF(OR($A62="",'Ügyfelek'!Q62=""),"",'Ügyfelek'!Q62)</f>
        <v/>
      </c>
      <c r="Y62" s="5">
        <f>IF(X62="","",V62-X62)</f>
        <v/>
      </c>
      <c r="Z62" s="16">
        <f>IF(OR(X62="",X62=0),"",Y62/X62)</f>
        <v/>
      </c>
      <c r="AA62" s="5">
        <f>IF(OR($A62="",'Ügyfelek'!R62=""),"",'Ügyfelek'!R62*VLOOKUP(M62,'Beállítások'!$A$57:$E$60,5,TRUE))</f>
        <v/>
      </c>
      <c r="AB62" s="14">
        <f>IF($A62="","",('Ügyfelek'!B62="")+('Ügyfelek'!C62="")+('Ügyfelek'!D62="")+('Ügyfelek'!L62="")+('Ügyfelek'!I62="")+('Ügyfelek'!N62="")+('Ügyfelek'!J62="")+('Ügyfelek'!K62="")+('Ügyfelek'!M62="")+('Ügyfelek'!P62="")+('Ügyfelek'!O62=""))</f>
        <v/>
      </c>
      <c r="AD62">
        <f>IF($A62="","",B62+'Beállítások'!$E$6/1000)</f>
        <v/>
      </c>
      <c r="AE62">
        <f>IF($A62="","",C62+'Beállítások'!$E$7/1000)</f>
        <v/>
      </c>
      <c r="AF62">
        <f>IF($A62="","",D62+'Beállítások'!$E$8/1000)</f>
        <v/>
      </c>
      <c r="AG62">
        <f>IF($A62="","",E62+'Beállítások'!$E$9/1000)</f>
        <v/>
      </c>
      <c r="AH62">
        <f>IF($A62="","",F62+'Beállítások'!$E$10/1000)</f>
        <v/>
      </c>
      <c r="AI62">
        <f>IF($A62="","",G62+'Beállítások'!$E$11/1000)</f>
        <v/>
      </c>
      <c r="AJ62">
        <f>IF($A62="","",H62+'Beállítások'!$E$12/1000)</f>
        <v/>
      </c>
      <c r="AK62">
        <f>IF($A62="","",I62+'Beállítások'!$E$13/1000)</f>
        <v/>
      </c>
      <c r="AL62">
        <f>IF($A62="","",J62+'Beállítások'!$E$14/1000)</f>
        <v/>
      </c>
      <c r="AM62">
        <f>IF($A62="","",K62+'Beállítások'!$E$15/1000)</f>
        <v/>
      </c>
      <c r="AN62">
        <f>IF($A62="","",L62+'Beállítások'!$E$16/1000)</f>
        <v/>
      </c>
      <c r="AO62">
        <f>IF($A62="","",'Beállítások'!$E$6*(5-B62))</f>
        <v/>
      </c>
      <c r="AP62">
        <f>IF($A62="","",'Beállítások'!$E$7*(5-C62))</f>
        <v/>
      </c>
      <c r="AQ62">
        <f>IF($A62="","",'Beállítások'!$E$8*(5-D62))</f>
        <v/>
      </c>
      <c r="AR62">
        <f>IF($A62="","",'Beállítások'!$E$9*(5-E62))</f>
        <v/>
      </c>
      <c r="AS62">
        <f>IF($A62="","",'Beállítások'!$E$10*(5-F62))</f>
        <v/>
      </c>
      <c r="AT62">
        <f>IF($A62="","",'Beállítások'!$E$11*(5-G62))</f>
        <v/>
      </c>
      <c r="AU62">
        <f>IF($A62="","",'Beállítások'!$E$12*(5-H62))</f>
        <v/>
      </c>
      <c r="AV62">
        <f>IF($A62="","",'Beállítások'!$E$13*(5-I62))</f>
        <v/>
      </c>
      <c r="AW62">
        <f>IF($A62="","",'Beállítások'!$E$14*(5-J62))</f>
        <v/>
      </c>
      <c r="AX62">
        <f>IF($A62="","",'Beállítások'!$E$15*(5-K62))</f>
        <v/>
      </c>
      <c r="AY62">
        <f>IF($A62="","",'Beállítások'!$E$16*(5-L62))</f>
        <v/>
      </c>
      <c r="AZ62">
        <f>IF($A62="","",M62-ROW()/100000)</f>
        <v/>
      </c>
    </row>
    <row r="63">
      <c r="A63">
        <f>IF('Ügyfelek'!A63="","",'Ügyfelek'!A63)</f>
        <v/>
      </c>
      <c r="B63">
        <f>IF($A63="","",IF('Ügyfelek'!B63="",'Beállítások'!$B$45,IFERROR(VLOOKUP(TRIM('Ügyfelek'!B63),'Beállítások'!$A$22:$B$41,2,FALSE),'Beállítások'!$B$45)))</f>
        <v/>
      </c>
      <c r="C63">
        <f>IF($A63="","",IF('Ügyfelek'!C63="",'Beállítások'!$B$45,VLOOKUP(MAX('Ügyfelek'!C63,'Beállítások'!$H$7),'Beállítások'!$H$7:$I$11,2,TRUE)))</f>
        <v/>
      </c>
      <c r="D63">
        <f>IF($A63="","",IF('Ügyfelek'!D63="",'Beállítások'!$B$45,VLOOKUP(MAX('Ügyfelek'!D63,'Beállítások'!$K$7),'Beállítások'!$K$7:$L$11,2,TRUE)))</f>
        <v/>
      </c>
      <c r="E63">
        <f>IF($A63="","",IF('Ügyfelek'!L63="",'Beállítások'!$B$45,MIN(5,MAX(1,ROUND('Ügyfelek'!L63,0)))))</f>
        <v/>
      </c>
      <c r="F63">
        <f>IF($A63="","",IF('Ügyfelek'!I63="",'Beállítások'!$B$45,VLOOKUP(MAX('Ügyfelek'!I63,'Beállítások'!$N$7),'Beállítások'!$N$7:$O$11,2,TRUE)))</f>
        <v/>
      </c>
      <c r="G63">
        <f>IF($A63="","",IF('Ügyfelek'!N63="",'Beállítások'!$B$45,MIN(5,MAX(1,ROUND('Ügyfelek'!N63,0)))))</f>
        <v/>
      </c>
      <c r="H63">
        <f>IF($A63="","",IF('Ügyfelek'!J63="",'Beállítások'!$B$45,VLOOKUP(MAX('Ügyfelek'!J63,'Beállítások'!$Q$7),'Beállítások'!$Q$7:$R$11,2,TRUE)))</f>
        <v/>
      </c>
      <c r="I63">
        <f>IF($A63="","",IF('Ügyfelek'!K63="",'Beállítások'!$B$45,VLOOKUP(MAX('Ügyfelek'!K63,'Beállítások'!$T$7),'Beállítások'!$T$7:$U$11,2,TRUE)))</f>
        <v/>
      </c>
      <c r="J63">
        <f>IF($A63="","",IF('Ügyfelek'!M63="",'Beállítások'!$B$45,MIN(5,MAX(1,ROUND('Ügyfelek'!M63,0)))))</f>
        <v/>
      </c>
      <c r="K63">
        <f>IF($A63="","",IF('Ügyfelek'!P63="",'Beállítások'!$B$45,MIN(5,MAX(1,ROUND('Ügyfelek'!P63,0)))))</f>
        <v/>
      </c>
      <c r="L63">
        <f>IF($A63="","",IF('Ügyfelek'!O63="",'Beállítások'!$B$45,MIN(5,MAX(1,ROUND('Ügyfelek'!O63,0)))))</f>
        <v/>
      </c>
      <c r="M63" s="13">
        <f>IF($A63="","",ROUND('Beállítások'!$E$6*(B63-1)/4+'Beállítások'!$E$7*(C63-1)/4+'Beállítások'!$E$8*(D63-1)/4+'Beállítások'!$E$9*(E63-1)/4+'Beállítások'!$E$10*(F63-1)/4+'Beállítások'!$E$11*(G63-1)/4+'Beállítások'!$E$12*(H63-1)/4+'Beállítások'!$E$13*(I63-1)/4+'Beállítások'!$E$14*(J63-1)/4+'Beállítások'!$E$15*(K63-1)/4+'Beállítások'!$E$16*(L63-1)/4,1))</f>
        <v/>
      </c>
      <c r="N63" s="14">
        <f>IF($A63="","",RANK(M63,$M$2:$M$201))</f>
        <v/>
      </c>
      <c r="O63">
        <f>IF($A63="","",VLOOKUP(M63,'Beállítások'!$A$57:$E$60,2,TRUE))</f>
        <v/>
      </c>
      <c r="P63">
        <f>IF($A63="","",VLOOKUP(M63,'Beállítások'!$A$57:$E$60,3,TRUE))</f>
        <v/>
      </c>
      <c r="Q63">
        <f>IF($A63="","",INDEX('Beállítások'!$B$6:$B$16,MATCH(MAX(AD63:AN63),AD63:AN63,0)))</f>
        <v/>
      </c>
      <c r="R63">
        <f>IF($A63="","",IF(MAX(AO63:AY63)=0,"—",INDEX('Beállítások'!$B$6:$B$16,MATCH(MAX(AO63:AY63),AO63:AY63,0))))</f>
        <v/>
      </c>
      <c r="S63" s="5">
        <f>IF($A63="","",'Beállítások'!$B$47*(TRIM('Ügyfelek'!E63)="igen")+'Beállítások'!$B$48*(TRIM('Ügyfelek'!F63)="igen")+'Beállítások'!$B$49*N('Ügyfelek'!G63)+'Beállítások'!$B$46*N('Ügyfelek'!H63))</f>
        <v/>
      </c>
      <c r="T63" s="15">
        <f>IF($A63="","",VLOOKUP(M63,'Beállítások'!$A$57:$E$60,4,TRUE))</f>
        <v/>
      </c>
      <c r="U63" s="5">
        <f>IF($A63="","",N('Ügyfelek'!D63)*'Beállítások'!$B$51)</f>
        <v/>
      </c>
      <c r="V63" s="5">
        <f>IF($A63="","",CEILING(ROUND(MAX('Beállítások'!$B$50,S63*T63,U63),2),'Beállítások'!$B$52))</f>
        <v/>
      </c>
      <c r="W63">
        <f>IF($A63="","",IF(MAX('Beállítások'!$B$50,S63*T63,U63)=S63*T63,"Munkaigény × szintszorzó",IF(MAX('Beállítások'!$B$50,S63*T63,U63)=U63,"Hirdetési keret arányában","Minimumdíj")))</f>
        <v/>
      </c>
      <c r="X63" s="5">
        <f>IF(OR($A63="",'Ügyfelek'!Q63=""),"",'Ügyfelek'!Q63)</f>
        <v/>
      </c>
      <c r="Y63" s="5">
        <f>IF(X63="","",V63-X63)</f>
        <v/>
      </c>
      <c r="Z63" s="16">
        <f>IF(OR(X63="",X63=0),"",Y63/X63)</f>
        <v/>
      </c>
      <c r="AA63" s="5">
        <f>IF(OR($A63="",'Ügyfelek'!R63=""),"",'Ügyfelek'!R63*VLOOKUP(M63,'Beállítások'!$A$57:$E$60,5,TRUE))</f>
        <v/>
      </c>
      <c r="AB63" s="14">
        <f>IF($A63="","",('Ügyfelek'!B63="")+('Ügyfelek'!C63="")+('Ügyfelek'!D63="")+('Ügyfelek'!L63="")+('Ügyfelek'!I63="")+('Ügyfelek'!N63="")+('Ügyfelek'!J63="")+('Ügyfelek'!K63="")+('Ügyfelek'!M63="")+('Ügyfelek'!P63="")+('Ügyfelek'!O63=""))</f>
        <v/>
      </c>
      <c r="AD63">
        <f>IF($A63="","",B63+'Beállítások'!$E$6/1000)</f>
        <v/>
      </c>
      <c r="AE63">
        <f>IF($A63="","",C63+'Beállítások'!$E$7/1000)</f>
        <v/>
      </c>
      <c r="AF63">
        <f>IF($A63="","",D63+'Beállítások'!$E$8/1000)</f>
        <v/>
      </c>
      <c r="AG63">
        <f>IF($A63="","",E63+'Beállítások'!$E$9/1000)</f>
        <v/>
      </c>
      <c r="AH63">
        <f>IF($A63="","",F63+'Beállítások'!$E$10/1000)</f>
        <v/>
      </c>
      <c r="AI63">
        <f>IF($A63="","",G63+'Beállítások'!$E$11/1000)</f>
        <v/>
      </c>
      <c r="AJ63">
        <f>IF($A63="","",H63+'Beállítások'!$E$12/1000)</f>
        <v/>
      </c>
      <c r="AK63">
        <f>IF($A63="","",I63+'Beállítások'!$E$13/1000)</f>
        <v/>
      </c>
      <c r="AL63">
        <f>IF($A63="","",J63+'Beállítások'!$E$14/1000)</f>
        <v/>
      </c>
      <c r="AM63">
        <f>IF($A63="","",K63+'Beállítások'!$E$15/1000)</f>
        <v/>
      </c>
      <c r="AN63">
        <f>IF($A63="","",L63+'Beállítások'!$E$16/1000)</f>
        <v/>
      </c>
      <c r="AO63">
        <f>IF($A63="","",'Beállítások'!$E$6*(5-B63))</f>
        <v/>
      </c>
      <c r="AP63">
        <f>IF($A63="","",'Beállítások'!$E$7*(5-C63))</f>
        <v/>
      </c>
      <c r="AQ63">
        <f>IF($A63="","",'Beállítások'!$E$8*(5-D63))</f>
        <v/>
      </c>
      <c r="AR63">
        <f>IF($A63="","",'Beállítások'!$E$9*(5-E63))</f>
        <v/>
      </c>
      <c r="AS63">
        <f>IF($A63="","",'Beállítások'!$E$10*(5-F63))</f>
        <v/>
      </c>
      <c r="AT63">
        <f>IF($A63="","",'Beállítások'!$E$11*(5-G63))</f>
        <v/>
      </c>
      <c r="AU63">
        <f>IF($A63="","",'Beállítások'!$E$12*(5-H63))</f>
        <v/>
      </c>
      <c r="AV63">
        <f>IF($A63="","",'Beállítások'!$E$13*(5-I63))</f>
        <v/>
      </c>
      <c r="AW63">
        <f>IF($A63="","",'Beállítások'!$E$14*(5-J63))</f>
        <v/>
      </c>
      <c r="AX63">
        <f>IF($A63="","",'Beállítások'!$E$15*(5-K63))</f>
        <v/>
      </c>
      <c r="AY63">
        <f>IF($A63="","",'Beállítások'!$E$16*(5-L63))</f>
        <v/>
      </c>
      <c r="AZ63">
        <f>IF($A63="","",M63-ROW()/100000)</f>
        <v/>
      </c>
    </row>
    <row r="64">
      <c r="A64">
        <f>IF('Ügyfelek'!A64="","",'Ügyfelek'!A64)</f>
        <v/>
      </c>
      <c r="B64">
        <f>IF($A64="","",IF('Ügyfelek'!B64="",'Beállítások'!$B$45,IFERROR(VLOOKUP(TRIM('Ügyfelek'!B64),'Beállítások'!$A$22:$B$41,2,FALSE),'Beállítások'!$B$45)))</f>
        <v/>
      </c>
      <c r="C64">
        <f>IF($A64="","",IF('Ügyfelek'!C64="",'Beállítások'!$B$45,VLOOKUP(MAX('Ügyfelek'!C64,'Beállítások'!$H$7),'Beállítások'!$H$7:$I$11,2,TRUE)))</f>
        <v/>
      </c>
      <c r="D64">
        <f>IF($A64="","",IF('Ügyfelek'!D64="",'Beállítások'!$B$45,VLOOKUP(MAX('Ügyfelek'!D64,'Beállítások'!$K$7),'Beállítások'!$K$7:$L$11,2,TRUE)))</f>
        <v/>
      </c>
      <c r="E64">
        <f>IF($A64="","",IF('Ügyfelek'!L64="",'Beállítások'!$B$45,MIN(5,MAX(1,ROUND('Ügyfelek'!L64,0)))))</f>
        <v/>
      </c>
      <c r="F64">
        <f>IF($A64="","",IF('Ügyfelek'!I64="",'Beállítások'!$B$45,VLOOKUP(MAX('Ügyfelek'!I64,'Beállítások'!$N$7),'Beállítások'!$N$7:$O$11,2,TRUE)))</f>
        <v/>
      </c>
      <c r="G64">
        <f>IF($A64="","",IF('Ügyfelek'!N64="",'Beállítások'!$B$45,MIN(5,MAX(1,ROUND('Ügyfelek'!N64,0)))))</f>
        <v/>
      </c>
      <c r="H64">
        <f>IF($A64="","",IF('Ügyfelek'!J64="",'Beállítások'!$B$45,VLOOKUP(MAX('Ügyfelek'!J64,'Beállítások'!$Q$7),'Beállítások'!$Q$7:$R$11,2,TRUE)))</f>
        <v/>
      </c>
      <c r="I64">
        <f>IF($A64="","",IF('Ügyfelek'!K64="",'Beállítások'!$B$45,VLOOKUP(MAX('Ügyfelek'!K64,'Beállítások'!$T$7),'Beállítások'!$T$7:$U$11,2,TRUE)))</f>
        <v/>
      </c>
      <c r="J64">
        <f>IF($A64="","",IF('Ügyfelek'!M64="",'Beállítások'!$B$45,MIN(5,MAX(1,ROUND('Ügyfelek'!M64,0)))))</f>
        <v/>
      </c>
      <c r="K64">
        <f>IF($A64="","",IF('Ügyfelek'!P64="",'Beállítások'!$B$45,MIN(5,MAX(1,ROUND('Ügyfelek'!P64,0)))))</f>
        <v/>
      </c>
      <c r="L64">
        <f>IF($A64="","",IF('Ügyfelek'!O64="",'Beállítások'!$B$45,MIN(5,MAX(1,ROUND('Ügyfelek'!O64,0)))))</f>
        <v/>
      </c>
      <c r="M64" s="13">
        <f>IF($A64="","",ROUND('Beállítások'!$E$6*(B64-1)/4+'Beállítások'!$E$7*(C64-1)/4+'Beállítások'!$E$8*(D64-1)/4+'Beállítások'!$E$9*(E64-1)/4+'Beállítások'!$E$10*(F64-1)/4+'Beállítások'!$E$11*(G64-1)/4+'Beállítások'!$E$12*(H64-1)/4+'Beállítások'!$E$13*(I64-1)/4+'Beállítások'!$E$14*(J64-1)/4+'Beállítások'!$E$15*(K64-1)/4+'Beállítások'!$E$16*(L64-1)/4,1))</f>
        <v/>
      </c>
      <c r="N64" s="14">
        <f>IF($A64="","",RANK(M64,$M$2:$M$201))</f>
        <v/>
      </c>
      <c r="O64">
        <f>IF($A64="","",VLOOKUP(M64,'Beállítások'!$A$57:$E$60,2,TRUE))</f>
        <v/>
      </c>
      <c r="P64">
        <f>IF($A64="","",VLOOKUP(M64,'Beállítások'!$A$57:$E$60,3,TRUE))</f>
        <v/>
      </c>
      <c r="Q64">
        <f>IF($A64="","",INDEX('Beállítások'!$B$6:$B$16,MATCH(MAX(AD64:AN64),AD64:AN64,0)))</f>
        <v/>
      </c>
      <c r="R64">
        <f>IF($A64="","",IF(MAX(AO64:AY64)=0,"—",INDEX('Beállítások'!$B$6:$B$16,MATCH(MAX(AO64:AY64),AO64:AY64,0))))</f>
        <v/>
      </c>
      <c r="S64" s="5">
        <f>IF($A64="","",'Beállítások'!$B$47*(TRIM('Ügyfelek'!E64)="igen")+'Beállítások'!$B$48*(TRIM('Ügyfelek'!F64)="igen")+'Beállítások'!$B$49*N('Ügyfelek'!G64)+'Beállítások'!$B$46*N('Ügyfelek'!H64))</f>
        <v/>
      </c>
      <c r="T64" s="15">
        <f>IF($A64="","",VLOOKUP(M64,'Beállítások'!$A$57:$E$60,4,TRUE))</f>
        <v/>
      </c>
      <c r="U64" s="5">
        <f>IF($A64="","",N('Ügyfelek'!D64)*'Beállítások'!$B$51)</f>
        <v/>
      </c>
      <c r="V64" s="5">
        <f>IF($A64="","",CEILING(ROUND(MAX('Beállítások'!$B$50,S64*T64,U64),2),'Beállítások'!$B$52))</f>
        <v/>
      </c>
      <c r="W64">
        <f>IF($A64="","",IF(MAX('Beállítások'!$B$50,S64*T64,U64)=S64*T64,"Munkaigény × szintszorzó",IF(MAX('Beállítások'!$B$50,S64*T64,U64)=U64,"Hirdetési keret arányában","Minimumdíj")))</f>
        <v/>
      </c>
      <c r="X64" s="5">
        <f>IF(OR($A64="",'Ügyfelek'!Q64=""),"",'Ügyfelek'!Q64)</f>
        <v/>
      </c>
      <c r="Y64" s="5">
        <f>IF(X64="","",V64-X64)</f>
        <v/>
      </c>
      <c r="Z64" s="16">
        <f>IF(OR(X64="",X64=0),"",Y64/X64)</f>
        <v/>
      </c>
      <c r="AA64" s="5">
        <f>IF(OR($A64="",'Ügyfelek'!R64=""),"",'Ügyfelek'!R64*VLOOKUP(M64,'Beállítások'!$A$57:$E$60,5,TRUE))</f>
        <v/>
      </c>
      <c r="AB64" s="14">
        <f>IF($A64="","",('Ügyfelek'!B64="")+('Ügyfelek'!C64="")+('Ügyfelek'!D64="")+('Ügyfelek'!L64="")+('Ügyfelek'!I64="")+('Ügyfelek'!N64="")+('Ügyfelek'!J64="")+('Ügyfelek'!K64="")+('Ügyfelek'!M64="")+('Ügyfelek'!P64="")+('Ügyfelek'!O64=""))</f>
        <v/>
      </c>
      <c r="AD64">
        <f>IF($A64="","",B64+'Beállítások'!$E$6/1000)</f>
        <v/>
      </c>
      <c r="AE64">
        <f>IF($A64="","",C64+'Beállítások'!$E$7/1000)</f>
        <v/>
      </c>
      <c r="AF64">
        <f>IF($A64="","",D64+'Beállítások'!$E$8/1000)</f>
        <v/>
      </c>
      <c r="AG64">
        <f>IF($A64="","",E64+'Beállítások'!$E$9/1000)</f>
        <v/>
      </c>
      <c r="AH64">
        <f>IF($A64="","",F64+'Beállítások'!$E$10/1000)</f>
        <v/>
      </c>
      <c r="AI64">
        <f>IF($A64="","",G64+'Beállítások'!$E$11/1000)</f>
        <v/>
      </c>
      <c r="AJ64">
        <f>IF($A64="","",H64+'Beállítások'!$E$12/1000)</f>
        <v/>
      </c>
      <c r="AK64">
        <f>IF($A64="","",I64+'Beállítások'!$E$13/1000)</f>
        <v/>
      </c>
      <c r="AL64">
        <f>IF($A64="","",J64+'Beállítások'!$E$14/1000)</f>
        <v/>
      </c>
      <c r="AM64">
        <f>IF($A64="","",K64+'Beállítások'!$E$15/1000)</f>
        <v/>
      </c>
      <c r="AN64">
        <f>IF($A64="","",L64+'Beállítások'!$E$16/1000)</f>
        <v/>
      </c>
      <c r="AO64">
        <f>IF($A64="","",'Beállítások'!$E$6*(5-B64))</f>
        <v/>
      </c>
      <c r="AP64">
        <f>IF($A64="","",'Beállítások'!$E$7*(5-C64))</f>
        <v/>
      </c>
      <c r="AQ64">
        <f>IF($A64="","",'Beállítások'!$E$8*(5-D64))</f>
        <v/>
      </c>
      <c r="AR64">
        <f>IF($A64="","",'Beállítások'!$E$9*(5-E64))</f>
        <v/>
      </c>
      <c r="AS64">
        <f>IF($A64="","",'Beállítások'!$E$10*(5-F64))</f>
        <v/>
      </c>
      <c r="AT64">
        <f>IF($A64="","",'Beállítások'!$E$11*(5-G64))</f>
        <v/>
      </c>
      <c r="AU64">
        <f>IF($A64="","",'Beállítások'!$E$12*(5-H64))</f>
        <v/>
      </c>
      <c r="AV64">
        <f>IF($A64="","",'Beállítások'!$E$13*(5-I64))</f>
        <v/>
      </c>
      <c r="AW64">
        <f>IF($A64="","",'Beállítások'!$E$14*(5-J64))</f>
        <v/>
      </c>
      <c r="AX64">
        <f>IF($A64="","",'Beállítások'!$E$15*(5-K64))</f>
        <v/>
      </c>
      <c r="AY64">
        <f>IF($A64="","",'Beállítások'!$E$16*(5-L64))</f>
        <v/>
      </c>
      <c r="AZ64">
        <f>IF($A64="","",M64-ROW()/100000)</f>
        <v/>
      </c>
    </row>
    <row r="65">
      <c r="A65">
        <f>IF('Ügyfelek'!A65="","",'Ügyfelek'!A65)</f>
        <v/>
      </c>
      <c r="B65">
        <f>IF($A65="","",IF('Ügyfelek'!B65="",'Beállítások'!$B$45,IFERROR(VLOOKUP(TRIM('Ügyfelek'!B65),'Beállítások'!$A$22:$B$41,2,FALSE),'Beállítások'!$B$45)))</f>
        <v/>
      </c>
      <c r="C65">
        <f>IF($A65="","",IF('Ügyfelek'!C65="",'Beállítások'!$B$45,VLOOKUP(MAX('Ügyfelek'!C65,'Beállítások'!$H$7),'Beállítások'!$H$7:$I$11,2,TRUE)))</f>
        <v/>
      </c>
      <c r="D65">
        <f>IF($A65="","",IF('Ügyfelek'!D65="",'Beállítások'!$B$45,VLOOKUP(MAX('Ügyfelek'!D65,'Beállítások'!$K$7),'Beállítások'!$K$7:$L$11,2,TRUE)))</f>
        <v/>
      </c>
      <c r="E65">
        <f>IF($A65="","",IF('Ügyfelek'!L65="",'Beállítások'!$B$45,MIN(5,MAX(1,ROUND('Ügyfelek'!L65,0)))))</f>
        <v/>
      </c>
      <c r="F65">
        <f>IF($A65="","",IF('Ügyfelek'!I65="",'Beállítások'!$B$45,VLOOKUP(MAX('Ügyfelek'!I65,'Beállítások'!$N$7),'Beállítások'!$N$7:$O$11,2,TRUE)))</f>
        <v/>
      </c>
      <c r="G65">
        <f>IF($A65="","",IF('Ügyfelek'!N65="",'Beállítások'!$B$45,MIN(5,MAX(1,ROUND('Ügyfelek'!N65,0)))))</f>
        <v/>
      </c>
      <c r="H65">
        <f>IF($A65="","",IF('Ügyfelek'!J65="",'Beállítások'!$B$45,VLOOKUP(MAX('Ügyfelek'!J65,'Beállítások'!$Q$7),'Beállítások'!$Q$7:$R$11,2,TRUE)))</f>
        <v/>
      </c>
      <c r="I65">
        <f>IF($A65="","",IF('Ügyfelek'!K65="",'Beállítások'!$B$45,VLOOKUP(MAX('Ügyfelek'!K65,'Beállítások'!$T$7),'Beállítások'!$T$7:$U$11,2,TRUE)))</f>
        <v/>
      </c>
      <c r="J65">
        <f>IF($A65="","",IF('Ügyfelek'!M65="",'Beállítások'!$B$45,MIN(5,MAX(1,ROUND('Ügyfelek'!M65,0)))))</f>
        <v/>
      </c>
      <c r="K65">
        <f>IF($A65="","",IF('Ügyfelek'!P65="",'Beállítások'!$B$45,MIN(5,MAX(1,ROUND('Ügyfelek'!P65,0)))))</f>
        <v/>
      </c>
      <c r="L65">
        <f>IF($A65="","",IF('Ügyfelek'!O65="",'Beállítások'!$B$45,MIN(5,MAX(1,ROUND('Ügyfelek'!O65,0)))))</f>
        <v/>
      </c>
      <c r="M65" s="13">
        <f>IF($A65="","",ROUND('Beállítások'!$E$6*(B65-1)/4+'Beállítások'!$E$7*(C65-1)/4+'Beállítások'!$E$8*(D65-1)/4+'Beállítások'!$E$9*(E65-1)/4+'Beállítások'!$E$10*(F65-1)/4+'Beállítások'!$E$11*(G65-1)/4+'Beállítások'!$E$12*(H65-1)/4+'Beállítások'!$E$13*(I65-1)/4+'Beállítások'!$E$14*(J65-1)/4+'Beállítások'!$E$15*(K65-1)/4+'Beállítások'!$E$16*(L65-1)/4,1))</f>
        <v/>
      </c>
      <c r="N65" s="14">
        <f>IF($A65="","",RANK(M65,$M$2:$M$201))</f>
        <v/>
      </c>
      <c r="O65">
        <f>IF($A65="","",VLOOKUP(M65,'Beállítások'!$A$57:$E$60,2,TRUE))</f>
        <v/>
      </c>
      <c r="P65">
        <f>IF($A65="","",VLOOKUP(M65,'Beállítások'!$A$57:$E$60,3,TRUE))</f>
        <v/>
      </c>
      <c r="Q65">
        <f>IF($A65="","",INDEX('Beállítások'!$B$6:$B$16,MATCH(MAX(AD65:AN65),AD65:AN65,0)))</f>
        <v/>
      </c>
      <c r="R65">
        <f>IF($A65="","",IF(MAX(AO65:AY65)=0,"—",INDEX('Beállítások'!$B$6:$B$16,MATCH(MAX(AO65:AY65),AO65:AY65,0))))</f>
        <v/>
      </c>
      <c r="S65" s="5">
        <f>IF($A65="","",'Beállítások'!$B$47*(TRIM('Ügyfelek'!E65)="igen")+'Beállítások'!$B$48*(TRIM('Ügyfelek'!F65)="igen")+'Beállítások'!$B$49*N('Ügyfelek'!G65)+'Beállítások'!$B$46*N('Ügyfelek'!H65))</f>
        <v/>
      </c>
      <c r="T65" s="15">
        <f>IF($A65="","",VLOOKUP(M65,'Beállítások'!$A$57:$E$60,4,TRUE))</f>
        <v/>
      </c>
      <c r="U65" s="5">
        <f>IF($A65="","",N('Ügyfelek'!D65)*'Beállítások'!$B$51)</f>
        <v/>
      </c>
      <c r="V65" s="5">
        <f>IF($A65="","",CEILING(ROUND(MAX('Beállítások'!$B$50,S65*T65,U65),2),'Beállítások'!$B$52))</f>
        <v/>
      </c>
      <c r="W65">
        <f>IF($A65="","",IF(MAX('Beállítások'!$B$50,S65*T65,U65)=S65*T65,"Munkaigény × szintszorzó",IF(MAX('Beállítások'!$B$50,S65*T65,U65)=U65,"Hirdetési keret arányában","Minimumdíj")))</f>
        <v/>
      </c>
      <c r="X65" s="5">
        <f>IF(OR($A65="",'Ügyfelek'!Q65=""),"",'Ügyfelek'!Q65)</f>
        <v/>
      </c>
      <c r="Y65" s="5">
        <f>IF(X65="","",V65-X65)</f>
        <v/>
      </c>
      <c r="Z65" s="16">
        <f>IF(OR(X65="",X65=0),"",Y65/X65)</f>
        <v/>
      </c>
      <c r="AA65" s="5">
        <f>IF(OR($A65="",'Ügyfelek'!R65=""),"",'Ügyfelek'!R65*VLOOKUP(M65,'Beállítások'!$A$57:$E$60,5,TRUE))</f>
        <v/>
      </c>
      <c r="AB65" s="14">
        <f>IF($A65="","",('Ügyfelek'!B65="")+('Ügyfelek'!C65="")+('Ügyfelek'!D65="")+('Ügyfelek'!L65="")+('Ügyfelek'!I65="")+('Ügyfelek'!N65="")+('Ügyfelek'!J65="")+('Ügyfelek'!K65="")+('Ügyfelek'!M65="")+('Ügyfelek'!P65="")+('Ügyfelek'!O65=""))</f>
        <v/>
      </c>
      <c r="AD65">
        <f>IF($A65="","",B65+'Beállítások'!$E$6/1000)</f>
        <v/>
      </c>
      <c r="AE65">
        <f>IF($A65="","",C65+'Beállítások'!$E$7/1000)</f>
        <v/>
      </c>
      <c r="AF65">
        <f>IF($A65="","",D65+'Beállítások'!$E$8/1000)</f>
        <v/>
      </c>
      <c r="AG65">
        <f>IF($A65="","",E65+'Beállítások'!$E$9/1000)</f>
        <v/>
      </c>
      <c r="AH65">
        <f>IF($A65="","",F65+'Beállítások'!$E$10/1000)</f>
        <v/>
      </c>
      <c r="AI65">
        <f>IF($A65="","",G65+'Beállítások'!$E$11/1000)</f>
        <v/>
      </c>
      <c r="AJ65">
        <f>IF($A65="","",H65+'Beállítások'!$E$12/1000)</f>
        <v/>
      </c>
      <c r="AK65">
        <f>IF($A65="","",I65+'Beállítások'!$E$13/1000)</f>
        <v/>
      </c>
      <c r="AL65">
        <f>IF($A65="","",J65+'Beállítások'!$E$14/1000)</f>
        <v/>
      </c>
      <c r="AM65">
        <f>IF($A65="","",K65+'Beállítások'!$E$15/1000)</f>
        <v/>
      </c>
      <c r="AN65">
        <f>IF($A65="","",L65+'Beállítások'!$E$16/1000)</f>
        <v/>
      </c>
      <c r="AO65">
        <f>IF($A65="","",'Beállítások'!$E$6*(5-B65))</f>
        <v/>
      </c>
      <c r="AP65">
        <f>IF($A65="","",'Beállítások'!$E$7*(5-C65))</f>
        <v/>
      </c>
      <c r="AQ65">
        <f>IF($A65="","",'Beállítások'!$E$8*(5-D65))</f>
        <v/>
      </c>
      <c r="AR65">
        <f>IF($A65="","",'Beállítások'!$E$9*(5-E65))</f>
        <v/>
      </c>
      <c r="AS65">
        <f>IF($A65="","",'Beállítások'!$E$10*(5-F65))</f>
        <v/>
      </c>
      <c r="AT65">
        <f>IF($A65="","",'Beállítások'!$E$11*(5-G65))</f>
        <v/>
      </c>
      <c r="AU65">
        <f>IF($A65="","",'Beállítások'!$E$12*(5-H65))</f>
        <v/>
      </c>
      <c r="AV65">
        <f>IF($A65="","",'Beállítások'!$E$13*(5-I65))</f>
        <v/>
      </c>
      <c r="AW65">
        <f>IF($A65="","",'Beállítások'!$E$14*(5-J65))</f>
        <v/>
      </c>
      <c r="AX65">
        <f>IF($A65="","",'Beállítások'!$E$15*(5-K65))</f>
        <v/>
      </c>
      <c r="AY65">
        <f>IF($A65="","",'Beállítások'!$E$16*(5-L65))</f>
        <v/>
      </c>
      <c r="AZ65">
        <f>IF($A65="","",M65-ROW()/100000)</f>
        <v/>
      </c>
    </row>
    <row r="66">
      <c r="A66">
        <f>IF('Ügyfelek'!A66="","",'Ügyfelek'!A66)</f>
        <v/>
      </c>
      <c r="B66">
        <f>IF($A66="","",IF('Ügyfelek'!B66="",'Beállítások'!$B$45,IFERROR(VLOOKUP(TRIM('Ügyfelek'!B66),'Beállítások'!$A$22:$B$41,2,FALSE),'Beállítások'!$B$45)))</f>
        <v/>
      </c>
      <c r="C66">
        <f>IF($A66="","",IF('Ügyfelek'!C66="",'Beállítások'!$B$45,VLOOKUP(MAX('Ügyfelek'!C66,'Beállítások'!$H$7),'Beállítások'!$H$7:$I$11,2,TRUE)))</f>
        <v/>
      </c>
      <c r="D66">
        <f>IF($A66="","",IF('Ügyfelek'!D66="",'Beállítások'!$B$45,VLOOKUP(MAX('Ügyfelek'!D66,'Beállítások'!$K$7),'Beállítások'!$K$7:$L$11,2,TRUE)))</f>
        <v/>
      </c>
      <c r="E66">
        <f>IF($A66="","",IF('Ügyfelek'!L66="",'Beállítások'!$B$45,MIN(5,MAX(1,ROUND('Ügyfelek'!L66,0)))))</f>
        <v/>
      </c>
      <c r="F66">
        <f>IF($A66="","",IF('Ügyfelek'!I66="",'Beállítások'!$B$45,VLOOKUP(MAX('Ügyfelek'!I66,'Beállítások'!$N$7),'Beállítások'!$N$7:$O$11,2,TRUE)))</f>
        <v/>
      </c>
      <c r="G66">
        <f>IF($A66="","",IF('Ügyfelek'!N66="",'Beállítások'!$B$45,MIN(5,MAX(1,ROUND('Ügyfelek'!N66,0)))))</f>
        <v/>
      </c>
      <c r="H66">
        <f>IF($A66="","",IF('Ügyfelek'!J66="",'Beállítások'!$B$45,VLOOKUP(MAX('Ügyfelek'!J66,'Beállítások'!$Q$7),'Beállítások'!$Q$7:$R$11,2,TRUE)))</f>
        <v/>
      </c>
      <c r="I66">
        <f>IF($A66="","",IF('Ügyfelek'!K66="",'Beállítások'!$B$45,VLOOKUP(MAX('Ügyfelek'!K66,'Beállítások'!$T$7),'Beállítások'!$T$7:$U$11,2,TRUE)))</f>
        <v/>
      </c>
      <c r="J66">
        <f>IF($A66="","",IF('Ügyfelek'!M66="",'Beállítások'!$B$45,MIN(5,MAX(1,ROUND('Ügyfelek'!M66,0)))))</f>
        <v/>
      </c>
      <c r="K66">
        <f>IF($A66="","",IF('Ügyfelek'!P66="",'Beállítások'!$B$45,MIN(5,MAX(1,ROUND('Ügyfelek'!P66,0)))))</f>
        <v/>
      </c>
      <c r="L66">
        <f>IF($A66="","",IF('Ügyfelek'!O66="",'Beállítások'!$B$45,MIN(5,MAX(1,ROUND('Ügyfelek'!O66,0)))))</f>
        <v/>
      </c>
      <c r="M66" s="13">
        <f>IF($A66="","",ROUND('Beállítások'!$E$6*(B66-1)/4+'Beállítások'!$E$7*(C66-1)/4+'Beállítások'!$E$8*(D66-1)/4+'Beállítások'!$E$9*(E66-1)/4+'Beállítások'!$E$10*(F66-1)/4+'Beállítások'!$E$11*(G66-1)/4+'Beállítások'!$E$12*(H66-1)/4+'Beállítások'!$E$13*(I66-1)/4+'Beállítások'!$E$14*(J66-1)/4+'Beállítások'!$E$15*(K66-1)/4+'Beállítások'!$E$16*(L66-1)/4,1))</f>
        <v/>
      </c>
      <c r="N66" s="14">
        <f>IF($A66="","",RANK(M66,$M$2:$M$201))</f>
        <v/>
      </c>
      <c r="O66">
        <f>IF($A66="","",VLOOKUP(M66,'Beállítások'!$A$57:$E$60,2,TRUE))</f>
        <v/>
      </c>
      <c r="P66">
        <f>IF($A66="","",VLOOKUP(M66,'Beállítások'!$A$57:$E$60,3,TRUE))</f>
        <v/>
      </c>
      <c r="Q66">
        <f>IF($A66="","",INDEX('Beállítások'!$B$6:$B$16,MATCH(MAX(AD66:AN66),AD66:AN66,0)))</f>
        <v/>
      </c>
      <c r="R66">
        <f>IF($A66="","",IF(MAX(AO66:AY66)=0,"—",INDEX('Beállítások'!$B$6:$B$16,MATCH(MAX(AO66:AY66),AO66:AY66,0))))</f>
        <v/>
      </c>
      <c r="S66" s="5">
        <f>IF($A66="","",'Beállítások'!$B$47*(TRIM('Ügyfelek'!E66)="igen")+'Beállítások'!$B$48*(TRIM('Ügyfelek'!F66)="igen")+'Beállítások'!$B$49*N('Ügyfelek'!G66)+'Beállítások'!$B$46*N('Ügyfelek'!H66))</f>
        <v/>
      </c>
      <c r="T66" s="15">
        <f>IF($A66="","",VLOOKUP(M66,'Beállítások'!$A$57:$E$60,4,TRUE))</f>
        <v/>
      </c>
      <c r="U66" s="5">
        <f>IF($A66="","",N('Ügyfelek'!D66)*'Beállítások'!$B$51)</f>
        <v/>
      </c>
      <c r="V66" s="5">
        <f>IF($A66="","",CEILING(ROUND(MAX('Beállítások'!$B$50,S66*T66,U66),2),'Beállítások'!$B$52))</f>
        <v/>
      </c>
      <c r="W66">
        <f>IF($A66="","",IF(MAX('Beállítások'!$B$50,S66*T66,U66)=S66*T66,"Munkaigény × szintszorzó",IF(MAX('Beállítások'!$B$50,S66*T66,U66)=U66,"Hirdetési keret arányában","Minimumdíj")))</f>
        <v/>
      </c>
      <c r="X66" s="5">
        <f>IF(OR($A66="",'Ügyfelek'!Q66=""),"",'Ügyfelek'!Q66)</f>
        <v/>
      </c>
      <c r="Y66" s="5">
        <f>IF(X66="","",V66-X66)</f>
        <v/>
      </c>
      <c r="Z66" s="16">
        <f>IF(OR(X66="",X66=0),"",Y66/X66)</f>
        <v/>
      </c>
      <c r="AA66" s="5">
        <f>IF(OR($A66="",'Ügyfelek'!R66=""),"",'Ügyfelek'!R66*VLOOKUP(M66,'Beállítások'!$A$57:$E$60,5,TRUE))</f>
        <v/>
      </c>
      <c r="AB66" s="14">
        <f>IF($A66="","",('Ügyfelek'!B66="")+('Ügyfelek'!C66="")+('Ügyfelek'!D66="")+('Ügyfelek'!L66="")+('Ügyfelek'!I66="")+('Ügyfelek'!N66="")+('Ügyfelek'!J66="")+('Ügyfelek'!K66="")+('Ügyfelek'!M66="")+('Ügyfelek'!P66="")+('Ügyfelek'!O66=""))</f>
        <v/>
      </c>
      <c r="AD66">
        <f>IF($A66="","",B66+'Beállítások'!$E$6/1000)</f>
        <v/>
      </c>
      <c r="AE66">
        <f>IF($A66="","",C66+'Beállítások'!$E$7/1000)</f>
        <v/>
      </c>
      <c r="AF66">
        <f>IF($A66="","",D66+'Beállítások'!$E$8/1000)</f>
        <v/>
      </c>
      <c r="AG66">
        <f>IF($A66="","",E66+'Beállítások'!$E$9/1000)</f>
        <v/>
      </c>
      <c r="AH66">
        <f>IF($A66="","",F66+'Beállítások'!$E$10/1000)</f>
        <v/>
      </c>
      <c r="AI66">
        <f>IF($A66="","",G66+'Beállítások'!$E$11/1000)</f>
        <v/>
      </c>
      <c r="AJ66">
        <f>IF($A66="","",H66+'Beállítások'!$E$12/1000)</f>
        <v/>
      </c>
      <c r="AK66">
        <f>IF($A66="","",I66+'Beállítások'!$E$13/1000)</f>
        <v/>
      </c>
      <c r="AL66">
        <f>IF($A66="","",J66+'Beállítások'!$E$14/1000)</f>
        <v/>
      </c>
      <c r="AM66">
        <f>IF($A66="","",K66+'Beállítások'!$E$15/1000)</f>
        <v/>
      </c>
      <c r="AN66">
        <f>IF($A66="","",L66+'Beállítások'!$E$16/1000)</f>
        <v/>
      </c>
      <c r="AO66">
        <f>IF($A66="","",'Beállítások'!$E$6*(5-B66))</f>
        <v/>
      </c>
      <c r="AP66">
        <f>IF($A66="","",'Beállítások'!$E$7*(5-C66))</f>
        <v/>
      </c>
      <c r="AQ66">
        <f>IF($A66="","",'Beállítások'!$E$8*(5-D66))</f>
        <v/>
      </c>
      <c r="AR66">
        <f>IF($A66="","",'Beállítások'!$E$9*(5-E66))</f>
        <v/>
      </c>
      <c r="AS66">
        <f>IF($A66="","",'Beállítások'!$E$10*(5-F66))</f>
        <v/>
      </c>
      <c r="AT66">
        <f>IF($A66="","",'Beállítások'!$E$11*(5-G66))</f>
        <v/>
      </c>
      <c r="AU66">
        <f>IF($A66="","",'Beállítások'!$E$12*(5-H66))</f>
        <v/>
      </c>
      <c r="AV66">
        <f>IF($A66="","",'Beállítások'!$E$13*(5-I66))</f>
        <v/>
      </c>
      <c r="AW66">
        <f>IF($A66="","",'Beállítások'!$E$14*(5-J66))</f>
        <v/>
      </c>
      <c r="AX66">
        <f>IF($A66="","",'Beállítások'!$E$15*(5-K66))</f>
        <v/>
      </c>
      <c r="AY66">
        <f>IF($A66="","",'Beállítások'!$E$16*(5-L66))</f>
        <v/>
      </c>
      <c r="AZ66">
        <f>IF($A66="","",M66-ROW()/100000)</f>
        <v/>
      </c>
    </row>
    <row r="67">
      <c r="A67">
        <f>IF('Ügyfelek'!A67="","",'Ügyfelek'!A67)</f>
        <v/>
      </c>
      <c r="B67">
        <f>IF($A67="","",IF('Ügyfelek'!B67="",'Beállítások'!$B$45,IFERROR(VLOOKUP(TRIM('Ügyfelek'!B67),'Beállítások'!$A$22:$B$41,2,FALSE),'Beállítások'!$B$45)))</f>
        <v/>
      </c>
      <c r="C67">
        <f>IF($A67="","",IF('Ügyfelek'!C67="",'Beállítások'!$B$45,VLOOKUP(MAX('Ügyfelek'!C67,'Beállítások'!$H$7),'Beállítások'!$H$7:$I$11,2,TRUE)))</f>
        <v/>
      </c>
      <c r="D67">
        <f>IF($A67="","",IF('Ügyfelek'!D67="",'Beállítások'!$B$45,VLOOKUP(MAX('Ügyfelek'!D67,'Beállítások'!$K$7),'Beállítások'!$K$7:$L$11,2,TRUE)))</f>
        <v/>
      </c>
      <c r="E67">
        <f>IF($A67="","",IF('Ügyfelek'!L67="",'Beállítások'!$B$45,MIN(5,MAX(1,ROUND('Ügyfelek'!L67,0)))))</f>
        <v/>
      </c>
      <c r="F67">
        <f>IF($A67="","",IF('Ügyfelek'!I67="",'Beállítások'!$B$45,VLOOKUP(MAX('Ügyfelek'!I67,'Beállítások'!$N$7),'Beállítások'!$N$7:$O$11,2,TRUE)))</f>
        <v/>
      </c>
      <c r="G67">
        <f>IF($A67="","",IF('Ügyfelek'!N67="",'Beállítások'!$B$45,MIN(5,MAX(1,ROUND('Ügyfelek'!N67,0)))))</f>
        <v/>
      </c>
      <c r="H67">
        <f>IF($A67="","",IF('Ügyfelek'!J67="",'Beállítások'!$B$45,VLOOKUP(MAX('Ügyfelek'!J67,'Beállítások'!$Q$7),'Beállítások'!$Q$7:$R$11,2,TRUE)))</f>
        <v/>
      </c>
      <c r="I67">
        <f>IF($A67="","",IF('Ügyfelek'!K67="",'Beállítások'!$B$45,VLOOKUP(MAX('Ügyfelek'!K67,'Beállítások'!$T$7),'Beállítások'!$T$7:$U$11,2,TRUE)))</f>
        <v/>
      </c>
      <c r="J67">
        <f>IF($A67="","",IF('Ügyfelek'!M67="",'Beállítások'!$B$45,MIN(5,MAX(1,ROUND('Ügyfelek'!M67,0)))))</f>
        <v/>
      </c>
      <c r="K67">
        <f>IF($A67="","",IF('Ügyfelek'!P67="",'Beállítások'!$B$45,MIN(5,MAX(1,ROUND('Ügyfelek'!P67,0)))))</f>
        <v/>
      </c>
      <c r="L67">
        <f>IF($A67="","",IF('Ügyfelek'!O67="",'Beállítások'!$B$45,MIN(5,MAX(1,ROUND('Ügyfelek'!O67,0)))))</f>
        <v/>
      </c>
      <c r="M67" s="13">
        <f>IF($A67="","",ROUND('Beállítások'!$E$6*(B67-1)/4+'Beállítások'!$E$7*(C67-1)/4+'Beállítások'!$E$8*(D67-1)/4+'Beállítások'!$E$9*(E67-1)/4+'Beállítások'!$E$10*(F67-1)/4+'Beállítások'!$E$11*(G67-1)/4+'Beállítások'!$E$12*(H67-1)/4+'Beállítások'!$E$13*(I67-1)/4+'Beállítások'!$E$14*(J67-1)/4+'Beállítások'!$E$15*(K67-1)/4+'Beállítások'!$E$16*(L67-1)/4,1))</f>
        <v/>
      </c>
      <c r="N67" s="14">
        <f>IF($A67="","",RANK(M67,$M$2:$M$201))</f>
        <v/>
      </c>
      <c r="O67">
        <f>IF($A67="","",VLOOKUP(M67,'Beállítások'!$A$57:$E$60,2,TRUE))</f>
        <v/>
      </c>
      <c r="P67">
        <f>IF($A67="","",VLOOKUP(M67,'Beállítások'!$A$57:$E$60,3,TRUE))</f>
        <v/>
      </c>
      <c r="Q67">
        <f>IF($A67="","",INDEX('Beállítások'!$B$6:$B$16,MATCH(MAX(AD67:AN67),AD67:AN67,0)))</f>
        <v/>
      </c>
      <c r="R67">
        <f>IF($A67="","",IF(MAX(AO67:AY67)=0,"—",INDEX('Beállítások'!$B$6:$B$16,MATCH(MAX(AO67:AY67),AO67:AY67,0))))</f>
        <v/>
      </c>
      <c r="S67" s="5">
        <f>IF($A67="","",'Beállítások'!$B$47*(TRIM('Ügyfelek'!E67)="igen")+'Beállítások'!$B$48*(TRIM('Ügyfelek'!F67)="igen")+'Beállítások'!$B$49*N('Ügyfelek'!G67)+'Beállítások'!$B$46*N('Ügyfelek'!H67))</f>
        <v/>
      </c>
      <c r="T67" s="15">
        <f>IF($A67="","",VLOOKUP(M67,'Beállítások'!$A$57:$E$60,4,TRUE))</f>
        <v/>
      </c>
      <c r="U67" s="5">
        <f>IF($A67="","",N('Ügyfelek'!D67)*'Beállítások'!$B$51)</f>
        <v/>
      </c>
      <c r="V67" s="5">
        <f>IF($A67="","",CEILING(ROUND(MAX('Beállítások'!$B$50,S67*T67,U67),2),'Beállítások'!$B$52))</f>
        <v/>
      </c>
      <c r="W67">
        <f>IF($A67="","",IF(MAX('Beállítások'!$B$50,S67*T67,U67)=S67*T67,"Munkaigény × szintszorzó",IF(MAX('Beállítások'!$B$50,S67*T67,U67)=U67,"Hirdetési keret arányában","Minimumdíj")))</f>
        <v/>
      </c>
      <c r="X67" s="5">
        <f>IF(OR($A67="",'Ügyfelek'!Q67=""),"",'Ügyfelek'!Q67)</f>
        <v/>
      </c>
      <c r="Y67" s="5">
        <f>IF(X67="","",V67-X67)</f>
        <v/>
      </c>
      <c r="Z67" s="16">
        <f>IF(OR(X67="",X67=0),"",Y67/X67)</f>
        <v/>
      </c>
      <c r="AA67" s="5">
        <f>IF(OR($A67="",'Ügyfelek'!R67=""),"",'Ügyfelek'!R67*VLOOKUP(M67,'Beállítások'!$A$57:$E$60,5,TRUE))</f>
        <v/>
      </c>
      <c r="AB67" s="14">
        <f>IF($A67="","",('Ügyfelek'!B67="")+('Ügyfelek'!C67="")+('Ügyfelek'!D67="")+('Ügyfelek'!L67="")+('Ügyfelek'!I67="")+('Ügyfelek'!N67="")+('Ügyfelek'!J67="")+('Ügyfelek'!K67="")+('Ügyfelek'!M67="")+('Ügyfelek'!P67="")+('Ügyfelek'!O67=""))</f>
        <v/>
      </c>
      <c r="AD67">
        <f>IF($A67="","",B67+'Beállítások'!$E$6/1000)</f>
        <v/>
      </c>
      <c r="AE67">
        <f>IF($A67="","",C67+'Beállítások'!$E$7/1000)</f>
        <v/>
      </c>
      <c r="AF67">
        <f>IF($A67="","",D67+'Beállítások'!$E$8/1000)</f>
        <v/>
      </c>
      <c r="AG67">
        <f>IF($A67="","",E67+'Beállítások'!$E$9/1000)</f>
        <v/>
      </c>
      <c r="AH67">
        <f>IF($A67="","",F67+'Beállítások'!$E$10/1000)</f>
        <v/>
      </c>
      <c r="AI67">
        <f>IF($A67="","",G67+'Beállítások'!$E$11/1000)</f>
        <v/>
      </c>
      <c r="AJ67">
        <f>IF($A67="","",H67+'Beállítások'!$E$12/1000)</f>
        <v/>
      </c>
      <c r="AK67">
        <f>IF($A67="","",I67+'Beállítások'!$E$13/1000)</f>
        <v/>
      </c>
      <c r="AL67">
        <f>IF($A67="","",J67+'Beállítások'!$E$14/1000)</f>
        <v/>
      </c>
      <c r="AM67">
        <f>IF($A67="","",K67+'Beállítások'!$E$15/1000)</f>
        <v/>
      </c>
      <c r="AN67">
        <f>IF($A67="","",L67+'Beállítások'!$E$16/1000)</f>
        <v/>
      </c>
      <c r="AO67">
        <f>IF($A67="","",'Beállítások'!$E$6*(5-B67))</f>
        <v/>
      </c>
      <c r="AP67">
        <f>IF($A67="","",'Beállítások'!$E$7*(5-C67))</f>
        <v/>
      </c>
      <c r="AQ67">
        <f>IF($A67="","",'Beállítások'!$E$8*(5-D67))</f>
        <v/>
      </c>
      <c r="AR67">
        <f>IF($A67="","",'Beállítások'!$E$9*(5-E67))</f>
        <v/>
      </c>
      <c r="AS67">
        <f>IF($A67="","",'Beállítások'!$E$10*(5-F67))</f>
        <v/>
      </c>
      <c r="AT67">
        <f>IF($A67="","",'Beállítások'!$E$11*(5-G67))</f>
        <v/>
      </c>
      <c r="AU67">
        <f>IF($A67="","",'Beállítások'!$E$12*(5-H67))</f>
        <v/>
      </c>
      <c r="AV67">
        <f>IF($A67="","",'Beállítások'!$E$13*(5-I67))</f>
        <v/>
      </c>
      <c r="AW67">
        <f>IF($A67="","",'Beállítások'!$E$14*(5-J67))</f>
        <v/>
      </c>
      <c r="AX67">
        <f>IF($A67="","",'Beállítások'!$E$15*(5-K67))</f>
        <v/>
      </c>
      <c r="AY67">
        <f>IF($A67="","",'Beállítások'!$E$16*(5-L67))</f>
        <v/>
      </c>
      <c r="AZ67">
        <f>IF($A67="","",M67-ROW()/100000)</f>
        <v/>
      </c>
    </row>
    <row r="68">
      <c r="A68">
        <f>IF('Ügyfelek'!A68="","",'Ügyfelek'!A68)</f>
        <v/>
      </c>
      <c r="B68">
        <f>IF($A68="","",IF('Ügyfelek'!B68="",'Beállítások'!$B$45,IFERROR(VLOOKUP(TRIM('Ügyfelek'!B68),'Beállítások'!$A$22:$B$41,2,FALSE),'Beállítások'!$B$45)))</f>
        <v/>
      </c>
      <c r="C68">
        <f>IF($A68="","",IF('Ügyfelek'!C68="",'Beállítások'!$B$45,VLOOKUP(MAX('Ügyfelek'!C68,'Beállítások'!$H$7),'Beállítások'!$H$7:$I$11,2,TRUE)))</f>
        <v/>
      </c>
      <c r="D68">
        <f>IF($A68="","",IF('Ügyfelek'!D68="",'Beállítások'!$B$45,VLOOKUP(MAX('Ügyfelek'!D68,'Beállítások'!$K$7),'Beállítások'!$K$7:$L$11,2,TRUE)))</f>
        <v/>
      </c>
      <c r="E68">
        <f>IF($A68="","",IF('Ügyfelek'!L68="",'Beállítások'!$B$45,MIN(5,MAX(1,ROUND('Ügyfelek'!L68,0)))))</f>
        <v/>
      </c>
      <c r="F68">
        <f>IF($A68="","",IF('Ügyfelek'!I68="",'Beállítások'!$B$45,VLOOKUP(MAX('Ügyfelek'!I68,'Beállítások'!$N$7),'Beállítások'!$N$7:$O$11,2,TRUE)))</f>
        <v/>
      </c>
      <c r="G68">
        <f>IF($A68="","",IF('Ügyfelek'!N68="",'Beállítások'!$B$45,MIN(5,MAX(1,ROUND('Ügyfelek'!N68,0)))))</f>
        <v/>
      </c>
      <c r="H68">
        <f>IF($A68="","",IF('Ügyfelek'!J68="",'Beállítások'!$B$45,VLOOKUP(MAX('Ügyfelek'!J68,'Beállítások'!$Q$7),'Beállítások'!$Q$7:$R$11,2,TRUE)))</f>
        <v/>
      </c>
      <c r="I68">
        <f>IF($A68="","",IF('Ügyfelek'!K68="",'Beállítások'!$B$45,VLOOKUP(MAX('Ügyfelek'!K68,'Beállítások'!$T$7),'Beállítások'!$T$7:$U$11,2,TRUE)))</f>
        <v/>
      </c>
      <c r="J68">
        <f>IF($A68="","",IF('Ügyfelek'!M68="",'Beállítások'!$B$45,MIN(5,MAX(1,ROUND('Ügyfelek'!M68,0)))))</f>
        <v/>
      </c>
      <c r="K68">
        <f>IF($A68="","",IF('Ügyfelek'!P68="",'Beállítások'!$B$45,MIN(5,MAX(1,ROUND('Ügyfelek'!P68,0)))))</f>
        <v/>
      </c>
      <c r="L68">
        <f>IF($A68="","",IF('Ügyfelek'!O68="",'Beállítások'!$B$45,MIN(5,MAX(1,ROUND('Ügyfelek'!O68,0)))))</f>
        <v/>
      </c>
      <c r="M68" s="13">
        <f>IF($A68="","",ROUND('Beállítások'!$E$6*(B68-1)/4+'Beállítások'!$E$7*(C68-1)/4+'Beállítások'!$E$8*(D68-1)/4+'Beállítások'!$E$9*(E68-1)/4+'Beállítások'!$E$10*(F68-1)/4+'Beállítások'!$E$11*(G68-1)/4+'Beállítások'!$E$12*(H68-1)/4+'Beállítások'!$E$13*(I68-1)/4+'Beállítások'!$E$14*(J68-1)/4+'Beállítások'!$E$15*(K68-1)/4+'Beállítások'!$E$16*(L68-1)/4,1))</f>
        <v/>
      </c>
      <c r="N68" s="14">
        <f>IF($A68="","",RANK(M68,$M$2:$M$201))</f>
        <v/>
      </c>
      <c r="O68">
        <f>IF($A68="","",VLOOKUP(M68,'Beállítások'!$A$57:$E$60,2,TRUE))</f>
        <v/>
      </c>
      <c r="P68">
        <f>IF($A68="","",VLOOKUP(M68,'Beállítások'!$A$57:$E$60,3,TRUE))</f>
        <v/>
      </c>
      <c r="Q68">
        <f>IF($A68="","",INDEX('Beállítások'!$B$6:$B$16,MATCH(MAX(AD68:AN68),AD68:AN68,0)))</f>
        <v/>
      </c>
      <c r="R68">
        <f>IF($A68="","",IF(MAX(AO68:AY68)=0,"—",INDEX('Beállítások'!$B$6:$B$16,MATCH(MAX(AO68:AY68),AO68:AY68,0))))</f>
        <v/>
      </c>
      <c r="S68" s="5">
        <f>IF($A68="","",'Beállítások'!$B$47*(TRIM('Ügyfelek'!E68)="igen")+'Beállítások'!$B$48*(TRIM('Ügyfelek'!F68)="igen")+'Beállítások'!$B$49*N('Ügyfelek'!G68)+'Beállítások'!$B$46*N('Ügyfelek'!H68))</f>
        <v/>
      </c>
      <c r="T68" s="15">
        <f>IF($A68="","",VLOOKUP(M68,'Beállítások'!$A$57:$E$60,4,TRUE))</f>
        <v/>
      </c>
      <c r="U68" s="5">
        <f>IF($A68="","",N('Ügyfelek'!D68)*'Beállítások'!$B$51)</f>
        <v/>
      </c>
      <c r="V68" s="5">
        <f>IF($A68="","",CEILING(ROUND(MAX('Beállítások'!$B$50,S68*T68,U68),2),'Beállítások'!$B$52))</f>
        <v/>
      </c>
      <c r="W68">
        <f>IF($A68="","",IF(MAX('Beállítások'!$B$50,S68*T68,U68)=S68*T68,"Munkaigény × szintszorzó",IF(MAX('Beállítások'!$B$50,S68*T68,U68)=U68,"Hirdetési keret arányában","Minimumdíj")))</f>
        <v/>
      </c>
      <c r="X68" s="5">
        <f>IF(OR($A68="",'Ügyfelek'!Q68=""),"",'Ügyfelek'!Q68)</f>
        <v/>
      </c>
      <c r="Y68" s="5">
        <f>IF(X68="","",V68-X68)</f>
        <v/>
      </c>
      <c r="Z68" s="16">
        <f>IF(OR(X68="",X68=0),"",Y68/X68)</f>
        <v/>
      </c>
      <c r="AA68" s="5">
        <f>IF(OR($A68="",'Ügyfelek'!R68=""),"",'Ügyfelek'!R68*VLOOKUP(M68,'Beállítások'!$A$57:$E$60,5,TRUE))</f>
        <v/>
      </c>
      <c r="AB68" s="14">
        <f>IF($A68="","",('Ügyfelek'!B68="")+('Ügyfelek'!C68="")+('Ügyfelek'!D68="")+('Ügyfelek'!L68="")+('Ügyfelek'!I68="")+('Ügyfelek'!N68="")+('Ügyfelek'!J68="")+('Ügyfelek'!K68="")+('Ügyfelek'!M68="")+('Ügyfelek'!P68="")+('Ügyfelek'!O68=""))</f>
        <v/>
      </c>
      <c r="AD68">
        <f>IF($A68="","",B68+'Beállítások'!$E$6/1000)</f>
        <v/>
      </c>
      <c r="AE68">
        <f>IF($A68="","",C68+'Beállítások'!$E$7/1000)</f>
        <v/>
      </c>
      <c r="AF68">
        <f>IF($A68="","",D68+'Beállítások'!$E$8/1000)</f>
        <v/>
      </c>
      <c r="AG68">
        <f>IF($A68="","",E68+'Beállítások'!$E$9/1000)</f>
        <v/>
      </c>
      <c r="AH68">
        <f>IF($A68="","",F68+'Beállítások'!$E$10/1000)</f>
        <v/>
      </c>
      <c r="AI68">
        <f>IF($A68="","",G68+'Beállítások'!$E$11/1000)</f>
        <v/>
      </c>
      <c r="AJ68">
        <f>IF($A68="","",H68+'Beállítások'!$E$12/1000)</f>
        <v/>
      </c>
      <c r="AK68">
        <f>IF($A68="","",I68+'Beállítások'!$E$13/1000)</f>
        <v/>
      </c>
      <c r="AL68">
        <f>IF($A68="","",J68+'Beállítások'!$E$14/1000)</f>
        <v/>
      </c>
      <c r="AM68">
        <f>IF($A68="","",K68+'Beállítások'!$E$15/1000)</f>
        <v/>
      </c>
      <c r="AN68">
        <f>IF($A68="","",L68+'Beállítások'!$E$16/1000)</f>
        <v/>
      </c>
      <c r="AO68">
        <f>IF($A68="","",'Beállítások'!$E$6*(5-B68))</f>
        <v/>
      </c>
      <c r="AP68">
        <f>IF($A68="","",'Beállítások'!$E$7*(5-C68))</f>
        <v/>
      </c>
      <c r="AQ68">
        <f>IF($A68="","",'Beállítások'!$E$8*(5-D68))</f>
        <v/>
      </c>
      <c r="AR68">
        <f>IF($A68="","",'Beállítások'!$E$9*(5-E68))</f>
        <v/>
      </c>
      <c r="AS68">
        <f>IF($A68="","",'Beállítások'!$E$10*(5-F68))</f>
        <v/>
      </c>
      <c r="AT68">
        <f>IF($A68="","",'Beállítások'!$E$11*(5-G68))</f>
        <v/>
      </c>
      <c r="AU68">
        <f>IF($A68="","",'Beállítások'!$E$12*(5-H68))</f>
        <v/>
      </c>
      <c r="AV68">
        <f>IF($A68="","",'Beállítások'!$E$13*(5-I68))</f>
        <v/>
      </c>
      <c r="AW68">
        <f>IF($A68="","",'Beállítások'!$E$14*(5-J68))</f>
        <v/>
      </c>
      <c r="AX68">
        <f>IF($A68="","",'Beállítások'!$E$15*(5-K68))</f>
        <v/>
      </c>
      <c r="AY68">
        <f>IF($A68="","",'Beállítások'!$E$16*(5-L68))</f>
        <v/>
      </c>
      <c r="AZ68">
        <f>IF($A68="","",M68-ROW()/100000)</f>
        <v/>
      </c>
    </row>
    <row r="69">
      <c r="A69">
        <f>IF('Ügyfelek'!A69="","",'Ügyfelek'!A69)</f>
        <v/>
      </c>
      <c r="B69">
        <f>IF($A69="","",IF('Ügyfelek'!B69="",'Beállítások'!$B$45,IFERROR(VLOOKUP(TRIM('Ügyfelek'!B69),'Beállítások'!$A$22:$B$41,2,FALSE),'Beállítások'!$B$45)))</f>
        <v/>
      </c>
      <c r="C69">
        <f>IF($A69="","",IF('Ügyfelek'!C69="",'Beállítások'!$B$45,VLOOKUP(MAX('Ügyfelek'!C69,'Beállítások'!$H$7),'Beállítások'!$H$7:$I$11,2,TRUE)))</f>
        <v/>
      </c>
      <c r="D69">
        <f>IF($A69="","",IF('Ügyfelek'!D69="",'Beállítások'!$B$45,VLOOKUP(MAX('Ügyfelek'!D69,'Beállítások'!$K$7),'Beállítások'!$K$7:$L$11,2,TRUE)))</f>
        <v/>
      </c>
      <c r="E69">
        <f>IF($A69="","",IF('Ügyfelek'!L69="",'Beállítások'!$B$45,MIN(5,MAX(1,ROUND('Ügyfelek'!L69,0)))))</f>
        <v/>
      </c>
      <c r="F69">
        <f>IF($A69="","",IF('Ügyfelek'!I69="",'Beállítások'!$B$45,VLOOKUP(MAX('Ügyfelek'!I69,'Beállítások'!$N$7),'Beállítások'!$N$7:$O$11,2,TRUE)))</f>
        <v/>
      </c>
      <c r="G69">
        <f>IF($A69="","",IF('Ügyfelek'!N69="",'Beállítások'!$B$45,MIN(5,MAX(1,ROUND('Ügyfelek'!N69,0)))))</f>
        <v/>
      </c>
      <c r="H69">
        <f>IF($A69="","",IF('Ügyfelek'!J69="",'Beállítások'!$B$45,VLOOKUP(MAX('Ügyfelek'!J69,'Beállítások'!$Q$7),'Beállítások'!$Q$7:$R$11,2,TRUE)))</f>
        <v/>
      </c>
      <c r="I69">
        <f>IF($A69="","",IF('Ügyfelek'!K69="",'Beállítások'!$B$45,VLOOKUP(MAX('Ügyfelek'!K69,'Beállítások'!$T$7),'Beállítások'!$T$7:$U$11,2,TRUE)))</f>
        <v/>
      </c>
      <c r="J69">
        <f>IF($A69="","",IF('Ügyfelek'!M69="",'Beállítások'!$B$45,MIN(5,MAX(1,ROUND('Ügyfelek'!M69,0)))))</f>
        <v/>
      </c>
      <c r="K69">
        <f>IF($A69="","",IF('Ügyfelek'!P69="",'Beállítások'!$B$45,MIN(5,MAX(1,ROUND('Ügyfelek'!P69,0)))))</f>
        <v/>
      </c>
      <c r="L69">
        <f>IF($A69="","",IF('Ügyfelek'!O69="",'Beállítások'!$B$45,MIN(5,MAX(1,ROUND('Ügyfelek'!O69,0)))))</f>
        <v/>
      </c>
      <c r="M69" s="13">
        <f>IF($A69="","",ROUND('Beállítások'!$E$6*(B69-1)/4+'Beállítások'!$E$7*(C69-1)/4+'Beállítások'!$E$8*(D69-1)/4+'Beállítások'!$E$9*(E69-1)/4+'Beállítások'!$E$10*(F69-1)/4+'Beállítások'!$E$11*(G69-1)/4+'Beállítások'!$E$12*(H69-1)/4+'Beállítások'!$E$13*(I69-1)/4+'Beállítások'!$E$14*(J69-1)/4+'Beállítások'!$E$15*(K69-1)/4+'Beállítások'!$E$16*(L69-1)/4,1))</f>
        <v/>
      </c>
      <c r="N69" s="14">
        <f>IF($A69="","",RANK(M69,$M$2:$M$201))</f>
        <v/>
      </c>
      <c r="O69">
        <f>IF($A69="","",VLOOKUP(M69,'Beállítások'!$A$57:$E$60,2,TRUE))</f>
        <v/>
      </c>
      <c r="P69">
        <f>IF($A69="","",VLOOKUP(M69,'Beállítások'!$A$57:$E$60,3,TRUE))</f>
        <v/>
      </c>
      <c r="Q69">
        <f>IF($A69="","",INDEX('Beállítások'!$B$6:$B$16,MATCH(MAX(AD69:AN69),AD69:AN69,0)))</f>
        <v/>
      </c>
      <c r="R69">
        <f>IF($A69="","",IF(MAX(AO69:AY69)=0,"—",INDEX('Beállítások'!$B$6:$B$16,MATCH(MAX(AO69:AY69),AO69:AY69,0))))</f>
        <v/>
      </c>
      <c r="S69" s="5">
        <f>IF($A69="","",'Beállítások'!$B$47*(TRIM('Ügyfelek'!E69)="igen")+'Beállítások'!$B$48*(TRIM('Ügyfelek'!F69)="igen")+'Beállítások'!$B$49*N('Ügyfelek'!G69)+'Beállítások'!$B$46*N('Ügyfelek'!H69))</f>
        <v/>
      </c>
      <c r="T69" s="15">
        <f>IF($A69="","",VLOOKUP(M69,'Beállítások'!$A$57:$E$60,4,TRUE))</f>
        <v/>
      </c>
      <c r="U69" s="5">
        <f>IF($A69="","",N('Ügyfelek'!D69)*'Beállítások'!$B$51)</f>
        <v/>
      </c>
      <c r="V69" s="5">
        <f>IF($A69="","",CEILING(ROUND(MAX('Beállítások'!$B$50,S69*T69,U69),2),'Beállítások'!$B$52))</f>
        <v/>
      </c>
      <c r="W69">
        <f>IF($A69="","",IF(MAX('Beállítások'!$B$50,S69*T69,U69)=S69*T69,"Munkaigény × szintszorzó",IF(MAX('Beállítások'!$B$50,S69*T69,U69)=U69,"Hirdetési keret arányában","Minimumdíj")))</f>
        <v/>
      </c>
      <c r="X69" s="5">
        <f>IF(OR($A69="",'Ügyfelek'!Q69=""),"",'Ügyfelek'!Q69)</f>
        <v/>
      </c>
      <c r="Y69" s="5">
        <f>IF(X69="","",V69-X69)</f>
        <v/>
      </c>
      <c r="Z69" s="16">
        <f>IF(OR(X69="",X69=0),"",Y69/X69)</f>
        <v/>
      </c>
      <c r="AA69" s="5">
        <f>IF(OR($A69="",'Ügyfelek'!R69=""),"",'Ügyfelek'!R69*VLOOKUP(M69,'Beállítások'!$A$57:$E$60,5,TRUE))</f>
        <v/>
      </c>
      <c r="AB69" s="14">
        <f>IF($A69="","",('Ügyfelek'!B69="")+('Ügyfelek'!C69="")+('Ügyfelek'!D69="")+('Ügyfelek'!L69="")+('Ügyfelek'!I69="")+('Ügyfelek'!N69="")+('Ügyfelek'!J69="")+('Ügyfelek'!K69="")+('Ügyfelek'!M69="")+('Ügyfelek'!P69="")+('Ügyfelek'!O69=""))</f>
        <v/>
      </c>
      <c r="AD69">
        <f>IF($A69="","",B69+'Beállítások'!$E$6/1000)</f>
        <v/>
      </c>
      <c r="AE69">
        <f>IF($A69="","",C69+'Beállítások'!$E$7/1000)</f>
        <v/>
      </c>
      <c r="AF69">
        <f>IF($A69="","",D69+'Beállítások'!$E$8/1000)</f>
        <v/>
      </c>
      <c r="AG69">
        <f>IF($A69="","",E69+'Beállítások'!$E$9/1000)</f>
        <v/>
      </c>
      <c r="AH69">
        <f>IF($A69="","",F69+'Beállítások'!$E$10/1000)</f>
        <v/>
      </c>
      <c r="AI69">
        <f>IF($A69="","",G69+'Beállítások'!$E$11/1000)</f>
        <v/>
      </c>
      <c r="AJ69">
        <f>IF($A69="","",H69+'Beállítások'!$E$12/1000)</f>
        <v/>
      </c>
      <c r="AK69">
        <f>IF($A69="","",I69+'Beállítások'!$E$13/1000)</f>
        <v/>
      </c>
      <c r="AL69">
        <f>IF($A69="","",J69+'Beállítások'!$E$14/1000)</f>
        <v/>
      </c>
      <c r="AM69">
        <f>IF($A69="","",K69+'Beállítások'!$E$15/1000)</f>
        <v/>
      </c>
      <c r="AN69">
        <f>IF($A69="","",L69+'Beállítások'!$E$16/1000)</f>
        <v/>
      </c>
      <c r="AO69">
        <f>IF($A69="","",'Beállítások'!$E$6*(5-B69))</f>
        <v/>
      </c>
      <c r="AP69">
        <f>IF($A69="","",'Beállítások'!$E$7*(5-C69))</f>
        <v/>
      </c>
      <c r="AQ69">
        <f>IF($A69="","",'Beállítások'!$E$8*(5-D69))</f>
        <v/>
      </c>
      <c r="AR69">
        <f>IF($A69="","",'Beállítások'!$E$9*(5-E69))</f>
        <v/>
      </c>
      <c r="AS69">
        <f>IF($A69="","",'Beállítások'!$E$10*(5-F69))</f>
        <v/>
      </c>
      <c r="AT69">
        <f>IF($A69="","",'Beállítások'!$E$11*(5-G69))</f>
        <v/>
      </c>
      <c r="AU69">
        <f>IF($A69="","",'Beállítások'!$E$12*(5-H69))</f>
        <v/>
      </c>
      <c r="AV69">
        <f>IF($A69="","",'Beállítások'!$E$13*(5-I69))</f>
        <v/>
      </c>
      <c r="AW69">
        <f>IF($A69="","",'Beállítások'!$E$14*(5-J69))</f>
        <v/>
      </c>
      <c r="AX69">
        <f>IF($A69="","",'Beállítások'!$E$15*(5-K69))</f>
        <v/>
      </c>
      <c r="AY69">
        <f>IF($A69="","",'Beállítások'!$E$16*(5-L69))</f>
        <v/>
      </c>
      <c r="AZ69">
        <f>IF($A69="","",M69-ROW()/100000)</f>
        <v/>
      </c>
    </row>
    <row r="70">
      <c r="A70">
        <f>IF('Ügyfelek'!A70="","",'Ügyfelek'!A70)</f>
        <v/>
      </c>
      <c r="B70">
        <f>IF($A70="","",IF('Ügyfelek'!B70="",'Beállítások'!$B$45,IFERROR(VLOOKUP(TRIM('Ügyfelek'!B70),'Beállítások'!$A$22:$B$41,2,FALSE),'Beállítások'!$B$45)))</f>
        <v/>
      </c>
      <c r="C70">
        <f>IF($A70="","",IF('Ügyfelek'!C70="",'Beállítások'!$B$45,VLOOKUP(MAX('Ügyfelek'!C70,'Beállítások'!$H$7),'Beállítások'!$H$7:$I$11,2,TRUE)))</f>
        <v/>
      </c>
      <c r="D70">
        <f>IF($A70="","",IF('Ügyfelek'!D70="",'Beállítások'!$B$45,VLOOKUP(MAX('Ügyfelek'!D70,'Beállítások'!$K$7),'Beállítások'!$K$7:$L$11,2,TRUE)))</f>
        <v/>
      </c>
      <c r="E70">
        <f>IF($A70="","",IF('Ügyfelek'!L70="",'Beállítások'!$B$45,MIN(5,MAX(1,ROUND('Ügyfelek'!L70,0)))))</f>
        <v/>
      </c>
      <c r="F70">
        <f>IF($A70="","",IF('Ügyfelek'!I70="",'Beállítások'!$B$45,VLOOKUP(MAX('Ügyfelek'!I70,'Beállítások'!$N$7),'Beállítások'!$N$7:$O$11,2,TRUE)))</f>
        <v/>
      </c>
      <c r="G70">
        <f>IF($A70="","",IF('Ügyfelek'!N70="",'Beállítások'!$B$45,MIN(5,MAX(1,ROUND('Ügyfelek'!N70,0)))))</f>
        <v/>
      </c>
      <c r="H70">
        <f>IF($A70="","",IF('Ügyfelek'!J70="",'Beállítások'!$B$45,VLOOKUP(MAX('Ügyfelek'!J70,'Beállítások'!$Q$7),'Beállítások'!$Q$7:$R$11,2,TRUE)))</f>
        <v/>
      </c>
      <c r="I70">
        <f>IF($A70="","",IF('Ügyfelek'!K70="",'Beállítások'!$B$45,VLOOKUP(MAX('Ügyfelek'!K70,'Beállítások'!$T$7),'Beállítások'!$T$7:$U$11,2,TRUE)))</f>
        <v/>
      </c>
      <c r="J70">
        <f>IF($A70="","",IF('Ügyfelek'!M70="",'Beállítások'!$B$45,MIN(5,MAX(1,ROUND('Ügyfelek'!M70,0)))))</f>
        <v/>
      </c>
      <c r="K70">
        <f>IF($A70="","",IF('Ügyfelek'!P70="",'Beállítások'!$B$45,MIN(5,MAX(1,ROUND('Ügyfelek'!P70,0)))))</f>
        <v/>
      </c>
      <c r="L70">
        <f>IF($A70="","",IF('Ügyfelek'!O70="",'Beállítások'!$B$45,MIN(5,MAX(1,ROUND('Ügyfelek'!O70,0)))))</f>
        <v/>
      </c>
      <c r="M70" s="13">
        <f>IF($A70="","",ROUND('Beállítások'!$E$6*(B70-1)/4+'Beállítások'!$E$7*(C70-1)/4+'Beállítások'!$E$8*(D70-1)/4+'Beállítások'!$E$9*(E70-1)/4+'Beállítások'!$E$10*(F70-1)/4+'Beállítások'!$E$11*(G70-1)/4+'Beállítások'!$E$12*(H70-1)/4+'Beállítások'!$E$13*(I70-1)/4+'Beállítások'!$E$14*(J70-1)/4+'Beállítások'!$E$15*(K70-1)/4+'Beállítások'!$E$16*(L70-1)/4,1))</f>
        <v/>
      </c>
      <c r="N70" s="14">
        <f>IF($A70="","",RANK(M70,$M$2:$M$201))</f>
        <v/>
      </c>
      <c r="O70">
        <f>IF($A70="","",VLOOKUP(M70,'Beállítások'!$A$57:$E$60,2,TRUE))</f>
        <v/>
      </c>
      <c r="P70">
        <f>IF($A70="","",VLOOKUP(M70,'Beállítások'!$A$57:$E$60,3,TRUE))</f>
        <v/>
      </c>
      <c r="Q70">
        <f>IF($A70="","",INDEX('Beállítások'!$B$6:$B$16,MATCH(MAX(AD70:AN70),AD70:AN70,0)))</f>
        <v/>
      </c>
      <c r="R70">
        <f>IF($A70="","",IF(MAX(AO70:AY70)=0,"—",INDEX('Beállítások'!$B$6:$B$16,MATCH(MAX(AO70:AY70),AO70:AY70,0))))</f>
        <v/>
      </c>
      <c r="S70" s="5">
        <f>IF($A70="","",'Beállítások'!$B$47*(TRIM('Ügyfelek'!E70)="igen")+'Beállítások'!$B$48*(TRIM('Ügyfelek'!F70)="igen")+'Beállítások'!$B$49*N('Ügyfelek'!G70)+'Beállítások'!$B$46*N('Ügyfelek'!H70))</f>
        <v/>
      </c>
      <c r="T70" s="15">
        <f>IF($A70="","",VLOOKUP(M70,'Beállítások'!$A$57:$E$60,4,TRUE))</f>
        <v/>
      </c>
      <c r="U70" s="5">
        <f>IF($A70="","",N('Ügyfelek'!D70)*'Beállítások'!$B$51)</f>
        <v/>
      </c>
      <c r="V70" s="5">
        <f>IF($A70="","",CEILING(ROUND(MAX('Beállítások'!$B$50,S70*T70,U70),2),'Beállítások'!$B$52))</f>
        <v/>
      </c>
      <c r="W70">
        <f>IF($A70="","",IF(MAX('Beállítások'!$B$50,S70*T70,U70)=S70*T70,"Munkaigény × szintszorzó",IF(MAX('Beállítások'!$B$50,S70*T70,U70)=U70,"Hirdetési keret arányában","Minimumdíj")))</f>
        <v/>
      </c>
      <c r="X70" s="5">
        <f>IF(OR($A70="",'Ügyfelek'!Q70=""),"",'Ügyfelek'!Q70)</f>
        <v/>
      </c>
      <c r="Y70" s="5">
        <f>IF(X70="","",V70-X70)</f>
        <v/>
      </c>
      <c r="Z70" s="16">
        <f>IF(OR(X70="",X70=0),"",Y70/X70)</f>
        <v/>
      </c>
      <c r="AA70" s="5">
        <f>IF(OR($A70="",'Ügyfelek'!R70=""),"",'Ügyfelek'!R70*VLOOKUP(M70,'Beállítások'!$A$57:$E$60,5,TRUE))</f>
        <v/>
      </c>
      <c r="AB70" s="14">
        <f>IF($A70="","",('Ügyfelek'!B70="")+('Ügyfelek'!C70="")+('Ügyfelek'!D70="")+('Ügyfelek'!L70="")+('Ügyfelek'!I70="")+('Ügyfelek'!N70="")+('Ügyfelek'!J70="")+('Ügyfelek'!K70="")+('Ügyfelek'!M70="")+('Ügyfelek'!P70="")+('Ügyfelek'!O70=""))</f>
        <v/>
      </c>
      <c r="AD70">
        <f>IF($A70="","",B70+'Beállítások'!$E$6/1000)</f>
        <v/>
      </c>
      <c r="AE70">
        <f>IF($A70="","",C70+'Beállítások'!$E$7/1000)</f>
        <v/>
      </c>
      <c r="AF70">
        <f>IF($A70="","",D70+'Beállítások'!$E$8/1000)</f>
        <v/>
      </c>
      <c r="AG70">
        <f>IF($A70="","",E70+'Beállítások'!$E$9/1000)</f>
        <v/>
      </c>
      <c r="AH70">
        <f>IF($A70="","",F70+'Beállítások'!$E$10/1000)</f>
        <v/>
      </c>
      <c r="AI70">
        <f>IF($A70="","",G70+'Beállítások'!$E$11/1000)</f>
        <v/>
      </c>
      <c r="AJ70">
        <f>IF($A70="","",H70+'Beállítások'!$E$12/1000)</f>
        <v/>
      </c>
      <c r="AK70">
        <f>IF($A70="","",I70+'Beállítások'!$E$13/1000)</f>
        <v/>
      </c>
      <c r="AL70">
        <f>IF($A70="","",J70+'Beállítások'!$E$14/1000)</f>
        <v/>
      </c>
      <c r="AM70">
        <f>IF($A70="","",K70+'Beállítások'!$E$15/1000)</f>
        <v/>
      </c>
      <c r="AN70">
        <f>IF($A70="","",L70+'Beállítások'!$E$16/1000)</f>
        <v/>
      </c>
      <c r="AO70">
        <f>IF($A70="","",'Beállítások'!$E$6*(5-B70))</f>
        <v/>
      </c>
      <c r="AP70">
        <f>IF($A70="","",'Beállítások'!$E$7*(5-C70))</f>
        <v/>
      </c>
      <c r="AQ70">
        <f>IF($A70="","",'Beállítások'!$E$8*(5-D70))</f>
        <v/>
      </c>
      <c r="AR70">
        <f>IF($A70="","",'Beállítások'!$E$9*(5-E70))</f>
        <v/>
      </c>
      <c r="AS70">
        <f>IF($A70="","",'Beállítások'!$E$10*(5-F70))</f>
        <v/>
      </c>
      <c r="AT70">
        <f>IF($A70="","",'Beállítások'!$E$11*(5-G70))</f>
        <v/>
      </c>
      <c r="AU70">
        <f>IF($A70="","",'Beállítások'!$E$12*(5-H70))</f>
        <v/>
      </c>
      <c r="AV70">
        <f>IF($A70="","",'Beállítások'!$E$13*(5-I70))</f>
        <v/>
      </c>
      <c r="AW70">
        <f>IF($A70="","",'Beállítások'!$E$14*(5-J70))</f>
        <v/>
      </c>
      <c r="AX70">
        <f>IF($A70="","",'Beállítások'!$E$15*(5-K70))</f>
        <v/>
      </c>
      <c r="AY70">
        <f>IF($A70="","",'Beállítások'!$E$16*(5-L70))</f>
        <v/>
      </c>
      <c r="AZ70">
        <f>IF($A70="","",M70-ROW()/100000)</f>
        <v/>
      </c>
    </row>
    <row r="71">
      <c r="A71">
        <f>IF('Ügyfelek'!A71="","",'Ügyfelek'!A71)</f>
        <v/>
      </c>
      <c r="B71">
        <f>IF($A71="","",IF('Ügyfelek'!B71="",'Beállítások'!$B$45,IFERROR(VLOOKUP(TRIM('Ügyfelek'!B71),'Beállítások'!$A$22:$B$41,2,FALSE),'Beállítások'!$B$45)))</f>
        <v/>
      </c>
      <c r="C71">
        <f>IF($A71="","",IF('Ügyfelek'!C71="",'Beállítások'!$B$45,VLOOKUP(MAX('Ügyfelek'!C71,'Beállítások'!$H$7),'Beállítások'!$H$7:$I$11,2,TRUE)))</f>
        <v/>
      </c>
      <c r="D71">
        <f>IF($A71="","",IF('Ügyfelek'!D71="",'Beállítások'!$B$45,VLOOKUP(MAX('Ügyfelek'!D71,'Beállítások'!$K$7),'Beállítások'!$K$7:$L$11,2,TRUE)))</f>
        <v/>
      </c>
      <c r="E71">
        <f>IF($A71="","",IF('Ügyfelek'!L71="",'Beállítások'!$B$45,MIN(5,MAX(1,ROUND('Ügyfelek'!L71,0)))))</f>
        <v/>
      </c>
      <c r="F71">
        <f>IF($A71="","",IF('Ügyfelek'!I71="",'Beállítások'!$B$45,VLOOKUP(MAX('Ügyfelek'!I71,'Beállítások'!$N$7),'Beállítások'!$N$7:$O$11,2,TRUE)))</f>
        <v/>
      </c>
      <c r="G71">
        <f>IF($A71="","",IF('Ügyfelek'!N71="",'Beállítások'!$B$45,MIN(5,MAX(1,ROUND('Ügyfelek'!N71,0)))))</f>
        <v/>
      </c>
      <c r="H71">
        <f>IF($A71="","",IF('Ügyfelek'!J71="",'Beállítások'!$B$45,VLOOKUP(MAX('Ügyfelek'!J71,'Beállítások'!$Q$7),'Beállítások'!$Q$7:$R$11,2,TRUE)))</f>
        <v/>
      </c>
      <c r="I71">
        <f>IF($A71="","",IF('Ügyfelek'!K71="",'Beállítások'!$B$45,VLOOKUP(MAX('Ügyfelek'!K71,'Beállítások'!$T$7),'Beállítások'!$T$7:$U$11,2,TRUE)))</f>
        <v/>
      </c>
      <c r="J71">
        <f>IF($A71="","",IF('Ügyfelek'!M71="",'Beállítások'!$B$45,MIN(5,MAX(1,ROUND('Ügyfelek'!M71,0)))))</f>
        <v/>
      </c>
      <c r="K71">
        <f>IF($A71="","",IF('Ügyfelek'!P71="",'Beállítások'!$B$45,MIN(5,MAX(1,ROUND('Ügyfelek'!P71,0)))))</f>
        <v/>
      </c>
      <c r="L71">
        <f>IF($A71="","",IF('Ügyfelek'!O71="",'Beállítások'!$B$45,MIN(5,MAX(1,ROUND('Ügyfelek'!O71,0)))))</f>
        <v/>
      </c>
      <c r="M71" s="13">
        <f>IF($A71="","",ROUND('Beállítások'!$E$6*(B71-1)/4+'Beállítások'!$E$7*(C71-1)/4+'Beállítások'!$E$8*(D71-1)/4+'Beállítások'!$E$9*(E71-1)/4+'Beállítások'!$E$10*(F71-1)/4+'Beállítások'!$E$11*(G71-1)/4+'Beállítások'!$E$12*(H71-1)/4+'Beállítások'!$E$13*(I71-1)/4+'Beállítások'!$E$14*(J71-1)/4+'Beállítások'!$E$15*(K71-1)/4+'Beállítások'!$E$16*(L71-1)/4,1))</f>
        <v/>
      </c>
      <c r="N71" s="14">
        <f>IF($A71="","",RANK(M71,$M$2:$M$201))</f>
        <v/>
      </c>
      <c r="O71">
        <f>IF($A71="","",VLOOKUP(M71,'Beállítások'!$A$57:$E$60,2,TRUE))</f>
        <v/>
      </c>
      <c r="P71">
        <f>IF($A71="","",VLOOKUP(M71,'Beállítások'!$A$57:$E$60,3,TRUE))</f>
        <v/>
      </c>
      <c r="Q71">
        <f>IF($A71="","",INDEX('Beállítások'!$B$6:$B$16,MATCH(MAX(AD71:AN71),AD71:AN71,0)))</f>
        <v/>
      </c>
      <c r="R71">
        <f>IF($A71="","",IF(MAX(AO71:AY71)=0,"—",INDEX('Beállítások'!$B$6:$B$16,MATCH(MAX(AO71:AY71),AO71:AY71,0))))</f>
        <v/>
      </c>
      <c r="S71" s="5">
        <f>IF($A71="","",'Beállítások'!$B$47*(TRIM('Ügyfelek'!E71)="igen")+'Beállítások'!$B$48*(TRIM('Ügyfelek'!F71)="igen")+'Beállítások'!$B$49*N('Ügyfelek'!G71)+'Beállítások'!$B$46*N('Ügyfelek'!H71))</f>
        <v/>
      </c>
      <c r="T71" s="15">
        <f>IF($A71="","",VLOOKUP(M71,'Beállítások'!$A$57:$E$60,4,TRUE))</f>
        <v/>
      </c>
      <c r="U71" s="5">
        <f>IF($A71="","",N('Ügyfelek'!D71)*'Beállítások'!$B$51)</f>
        <v/>
      </c>
      <c r="V71" s="5">
        <f>IF($A71="","",CEILING(ROUND(MAX('Beállítások'!$B$50,S71*T71,U71),2),'Beállítások'!$B$52))</f>
        <v/>
      </c>
      <c r="W71">
        <f>IF($A71="","",IF(MAX('Beállítások'!$B$50,S71*T71,U71)=S71*T71,"Munkaigény × szintszorzó",IF(MAX('Beállítások'!$B$50,S71*T71,U71)=U71,"Hirdetési keret arányában","Minimumdíj")))</f>
        <v/>
      </c>
      <c r="X71" s="5">
        <f>IF(OR($A71="",'Ügyfelek'!Q71=""),"",'Ügyfelek'!Q71)</f>
        <v/>
      </c>
      <c r="Y71" s="5">
        <f>IF(X71="","",V71-X71)</f>
        <v/>
      </c>
      <c r="Z71" s="16">
        <f>IF(OR(X71="",X71=0),"",Y71/X71)</f>
        <v/>
      </c>
      <c r="AA71" s="5">
        <f>IF(OR($A71="",'Ügyfelek'!R71=""),"",'Ügyfelek'!R71*VLOOKUP(M71,'Beállítások'!$A$57:$E$60,5,TRUE))</f>
        <v/>
      </c>
      <c r="AB71" s="14">
        <f>IF($A71="","",('Ügyfelek'!B71="")+('Ügyfelek'!C71="")+('Ügyfelek'!D71="")+('Ügyfelek'!L71="")+('Ügyfelek'!I71="")+('Ügyfelek'!N71="")+('Ügyfelek'!J71="")+('Ügyfelek'!K71="")+('Ügyfelek'!M71="")+('Ügyfelek'!P71="")+('Ügyfelek'!O71=""))</f>
        <v/>
      </c>
      <c r="AD71">
        <f>IF($A71="","",B71+'Beállítások'!$E$6/1000)</f>
        <v/>
      </c>
      <c r="AE71">
        <f>IF($A71="","",C71+'Beállítások'!$E$7/1000)</f>
        <v/>
      </c>
      <c r="AF71">
        <f>IF($A71="","",D71+'Beállítások'!$E$8/1000)</f>
        <v/>
      </c>
      <c r="AG71">
        <f>IF($A71="","",E71+'Beállítások'!$E$9/1000)</f>
        <v/>
      </c>
      <c r="AH71">
        <f>IF($A71="","",F71+'Beállítások'!$E$10/1000)</f>
        <v/>
      </c>
      <c r="AI71">
        <f>IF($A71="","",G71+'Beállítások'!$E$11/1000)</f>
        <v/>
      </c>
      <c r="AJ71">
        <f>IF($A71="","",H71+'Beállítások'!$E$12/1000)</f>
        <v/>
      </c>
      <c r="AK71">
        <f>IF($A71="","",I71+'Beállítások'!$E$13/1000)</f>
        <v/>
      </c>
      <c r="AL71">
        <f>IF($A71="","",J71+'Beállítások'!$E$14/1000)</f>
        <v/>
      </c>
      <c r="AM71">
        <f>IF($A71="","",K71+'Beállítások'!$E$15/1000)</f>
        <v/>
      </c>
      <c r="AN71">
        <f>IF($A71="","",L71+'Beállítások'!$E$16/1000)</f>
        <v/>
      </c>
      <c r="AO71">
        <f>IF($A71="","",'Beállítások'!$E$6*(5-B71))</f>
        <v/>
      </c>
      <c r="AP71">
        <f>IF($A71="","",'Beállítások'!$E$7*(5-C71))</f>
        <v/>
      </c>
      <c r="AQ71">
        <f>IF($A71="","",'Beállítások'!$E$8*(5-D71))</f>
        <v/>
      </c>
      <c r="AR71">
        <f>IF($A71="","",'Beállítások'!$E$9*(5-E71))</f>
        <v/>
      </c>
      <c r="AS71">
        <f>IF($A71="","",'Beállítások'!$E$10*(5-F71))</f>
        <v/>
      </c>
      <c r="AT71">
        <f>IF($A71="","",'Beállítások'!$E$11*(5-G71))</f>
        <v/>
      </c>
      <c r="AU71">
        <f>IF($A71="","",'Beállítások'!$E$12*(5-H71))</f>
        <v/>
      </c>
      <c r="AV71">
        <f>IF($A71="","",'Beállítások'!$E$13*(5-I71))</f>
        <v/>
      </c>
      <c r="AW71">
        <f>IF($A71="","",'Beállítások'!$E$14*(5-J71))</f>
        <v/>
      </c>
      <c r="AX71">
        <f>IF($A71="","",'Beállítások'!$E$15*(5-K71))</f>
        <v/>
      </c>
      <c r="AY71">
        <f>IF($A71="","",'Beállítások'!$E$16*(5-L71))</f>
        <v/>
      </c>
      <c r="AZ71">
        <f>IF($A71="","",M71-ROW()/100000)</f>
        <v/>
      </c>
    </row>
    <row r="72">
      <c r="A72">
        <f>IF('Ügyfelek'!A72="","",'Ügyfelek'!A72)</f>
        <v/>
      </c>
      <c r="B72">
        <f>IF($A72="","",IF('Ügyfelek'!B72="",'Beállítások'!$B$45,IFERROR(VLOOKUP(TRIM('Ügyfelek'!B72),'Beállítások'!$A$22:$B$41,2,FALSE),'Beállítások'!$B$45)))</f>
        <v/>
      </c>
      <c r="C72">
        <f>IF($A72="","",IF('Ügyfelek'!C72="",'Beállítások'!$B$45,VLOOKUP(MAX('Ügyfelek'!C72,'Beállítások'!$H$7),'Beállítások'!$H$7:$I$11,2,TRUE)))</f>
        <v/>
      </c>
      <c r="D72">
        <f>IF($A72="","",IF('Ügyfelek'!D72="",'Beállítások'!$B$45,VLOOKUP(MAX('Ügyfelek'!D72,'Beállítások'!$K$7),'Beállítások'!$K$7:$L$11,2,TRUE)))</f>
        <v/>
      </c>
      <c r="E72">
        <f>IF($A72="","",IF('Ügyfelek'!L72="",'Beállítások'!$B$45,MIN(5,MAX(1,ROUND('Ügyfelek'!L72,0)))))</f>
        <v/>
      </c>
      <c r="F72">
        <f>IF($A72="","",IF('Ügyfelek'!I72="",'Beállítások'!$B$45,VLOOKUP(MAX('Ügyfelek'!I72,'Beállítások'!$N$7),'Beállítások'!$N$7:$O$11,2,TRUE)))</f>
        <v/>
      </c>
      <c r="G72">
        <f>IF($A72="","",IF('Ügyfelek'!N72="",'Beállítások'!$B$45,MIN(5,MAX(1,ROUND('Ügyfelek'!N72,0)))))</f>
        <v/>
      </c>
      <c r="H72">
        <f>IF($A72="","",IF('Ügyfelek'!J72="",'Beállítások'!$B$45,VLOOKUP(MAX('Ügyfelek'!J72,'Beállítások'!$Q$7),'Beállítások'!$Q$7:$R$11,2,TRUE)))</f>
        <v/>
      </c>
      <c r="I72">
        <f>IF($A72="","",IF('Ügyfelek'!K72="",'Beállítások'!$B$45,VLOOKUP(MAX('Ügyfelek'!K72,'Beállítások'!$T$7),'Beállítások'!$T$7:$U$11,2,TRUE)))</f>
        <v/>
      </c>
      <c r="J72">
        <f>IF($A72="","",IF('Ügyfelek'!M72="",'Beállítások'!$B$45,MIN(5,MAX(1,ROUND('Ügyfelek'!M72,0)))))</f>
        <v/>
      </c>
      <c r="K72">
        <f>IF($A72="","",IF('Ügyfelek'!P72="",'Beállítások'!$B$45,MIN(5,MAX(1,ROUND('Ügyfelek'!P72,0)))))</f>
        <v/>
      </c>
      <c r="L72">
        <f>IF($A72="","",IF('Ügyfelek'!O72="",'Beállítások'!$B$45,MIN(5,MAX(1,ROUND('Ügyfelek'!O72,0)))))</f>
        <v/>
      </c>
      <c r="M72" s="13">
        <f>IF($A72="","",ROUND('Beállítások'!$E$6*(B72-1)/4+'Beállítások'!$E$7*(C72-1)/4+'Beállítások'!$E$8*(D72-1)/4+'Beállítások'!$E$9*(E72-1)/4+'Beállítások'!$E$10*(F72-1)/4+'Beállítások'!$E$11*(G72-1)/4+'Beállítások'!$E$12*(H72-1)/4+'Beállítások'!$E$13*(I72-1)/4+'Beállítások'!$E$14*(J72-1)/4+'Beállítások'!$E$15*(K72-1)/4+'Beállítások'!$E$16*(L72-1)/4,1))</f>
        <v/>
      </c>
      <c r="N72" s="14">
        <f>IF($A72="","",RANK(M72,$M$2:$M$201))</f>
        <v/>
      </c>
      <c r="O72">
        <f>IF($A72="","",VLOOKUP(M72,'Beállítások'!$A$57:$E$60,2,TRUE))</f>
        <v/>
      </c>
      <c r="P72">
        <f>IF($A72="","",VLOOKUP(M72,'Beállítások'!$A$57:$E$60,3,TRUE))</f>
        <v/>
      </c>
      <c r="Q72">
        <f>IF($A72="","",INDEX('Beállítások'!$B$6:$B$16,MATCH(MAX(AD72:AN72),AD72:AN72,0)))</f>
        <v/>
      </c>
      <c r="R72">
        <f>IF($A72="","",IF(MAX(AO72:AY72)=0,"—",INDEX('Beállítások'!$B$6:$B$16,MATCH(MAX(AO72:AY72),AO72:AY72,0))))</f>
        <v/>
      </c>
      <c r="S72" s="5">
        <f>IF($A72="","",'Beállítások'!$B$47*(TRIM('Ügyfelek'!E72)="igen")+'Beállítások'!$B$48*(TRIM('Ügyfelek'!F72)="igen")+'Beállítások'!$B$49*N('Ügyfelek'!G72)+'Beállítások'!$B$46*N('Ügyfelek'!H72))</f>
        <v/>
      </c>
      <c r="T72" s="15">
        <f>IF($A72="","",VLOOKUP(M72,'Beállítások'!$A$57:$E$60,4,TRUE))</f>
        <v/>
      </c>
      <c r="U72" s="5">
        <f>IF($A72="","",N('Ügyfelek'!D72)*'Beállítások'!$B$51)</f>
        <v/>
      </c>
      <c r="V72" s="5">
        <f>IF($A72="","",CEILING(ROUND(MAX('Beállítások'!$B$50,S72*T72,U72),2),'Beállítások'!$B$52))</f>
        <v/>
      </c>
      <c r="W72">
        <f>IF($A72="","",IF(MAX('Beállítások'!$B$50,S72*T72,U72)=S72*T72,"Munkaigény × szintszorzó",IF(MAX('Beállítások'!$B$50,S72*T72,U72)=U72,"Hirdetési keret arányában","Minimumdíj")))</f>
        <v/>
      </c>
      <c r="X72" s="5">
        <f>IF(OR($A72="",'Ügyfelek'!Q72=""),"",'Ügyfelek'!Q72)</f>
        <v/>
      </c>
      <c r="Y72" s="5">
        <f>IF(X72="","",V72-X72)</f>
        <v/>
      </c>
      <c r="Z72" s="16">
        <f>IF(OR(X72="",X72=0),"",Y72/X72)</f>
        <v/>
      </c>
      <c r="AA72" s="5">
        <f>IF(OR($A72="",'Ügyfelek'!R72=""),"",'Ügyfelek'!R72*VLOOKUP(M72,'Beállítások'!$A$57:$E$60,5,TRUE))</f>
        <v/>
      </c>
      <c r="AB72" s="14">
        <f>IF($A72="","",('Ügyfelek'!B72="")+('Ügyfelek'!C72="")+('Ügyfelek'!D72="")+('Ügyfelek'!L72="")+('Ügyfelek'!I72="")+('Ügyfelek'!N72="")+('Ügyfelek'!J72="")+('Ügyfelek'!K72="")+('Ügyfelek'!M72="")+('Ügyfelek'!P72="")+('Ügyfelek'!O72=""))</f>
        <v/>
      </c>
      <c r="AD72">
        <f>IF($A72="","",B72+'Beállítások'!$E$6/1000)</f>
        <v/>
      </c>
      <c r="AE72">
        <f>IF($A72="","",C72+'Beállítások'!$E$7/1000)</f>
        <v/>
      </c>
      <c r="AF72">
        <f>IF($A72="","",D72+'Beállítások'!$E$8/1000)</f>
        <v/>
      </c>
      <c r="AG72">
        <f>IF($A72="","",E72+'Beállítások'!$E$9/1000)</f>
        <v/>
      </c>
      <c r="AH72">
        <f>IF($A72="","",F72+'Beállítások'!$E$10/1000)</f>
        <v/>
      </c>
      <c r="AI72">
        <f>IF($A72="","",G72+'Beállítások'!$E$11/1000)</f>
        <v/>
      </c>
      <c r="AJ72">
        <f>IF($A72="","",H72+'Beállítások'!$E$12/1000)</f>
        <v/>
      </c>
      <c r="AK72">
        <f>IF($A72="","",I72+'Beállítások'!$E$13/1000)</f>
        <v/>
      </c>
      <c r="AL72">
        <f>IF($A72="","",J72+'Beállítások'!$E$14/1000)</f>
        <v/>
      </c>
      <c r="AM72">
        <f>IF($A72="","",K72+'Beállítások'!$E$15/1000)</f>
        <v/>
      </c>
      <c r="AN72">
        <f>IF($A72="","",L72+'Beállítások'!$E$16/1000)</f>
        <v/>
      </c>
      <c r="AO72">
        <f>IF($A72="","",'Beállítások'!$E$6*(5-B72))</f>
        <v/>
      </c>
      <c r="AP72">
        <f>IF($A72="","",'Beállítások'!$E$7*(5-C72))</f>
        <v/>
      </c>
      <c r="AQ72">
        <f>IF($A72="","",'Beállítások'!$E$8*(5-D72))</f>
        <v/>
      </c>
      <c r="AR72">
        <f>IF($A72="","",'Beállítások'!$E$9*(5-E72))</f>
        <v/>
      </c>
      <c r="AS72">
        <f>IF($A72="","",'Beállítások'!$E$10*(5-F72))</f>
        <v/>
      </c>
      <c r="AT72">
        <f>IF($A72="","",'Beállítások'!$E$11*(5-G72))</f>
        <v/>
      </c>
      <c r="AU72">
        <f>IF($A72="","",'Beállítások'!$E$12*(5-H72))</f>
        <v/>
      </c>
      <c r="AV72">
        <f>IF($A72="","",'Beállítások'!$E$13*(5-I72))</f>
        <v/>
      </c>
      <c r="AW72">
        <f>IF($A72="","",'Beállítások'!$E$14*(5-J72))</f>
        <v/>
      </c>
      <c r="AX72">
        <f>IF($A72="","",'Beállítások'!$E$15*(5-K72))</f>
        <v/>
      </c>
      <c r="AY72">
        <f>IF($A72="","",'Beállítások'!$E$16*(5-L72))</f>
        <v/>
      </c>
      <c r="AZ72">
        <f>IF($A72="","",M72-ROW()/100000)</f>
        <v/>
      </c>
    </row>
    <row r="73">
      <c r="A73">
        <f>IF('Ügyfelek'!A73="","",'Ügyfelek'!A73)</f>
        <v/>
      </c>
      <c r="B73">
        <f>IF($A73="","",IF('Ügyfelek'!B73="",'Beállítások'!$B$45,IFERROR(VLOOKUP(TRIM('Ügyfelek'!B73),'Beállítások'!$A$22:$B$41,2,FALSE),'Beállítások'!$B$45)))</f>
        <v/>
      </c>
      <c r="C73">
        <f>IF($A73="","",IF('Ügyfelek'!C73="",'Beállítások'!$B$45,VLOOKUP(MAX('Ügyfelek'!C73,'Beállítások'!$H$7),'Beállítások'!$H$7:$I$11,2,TRUE)))</f>
        <v/>
      </c>
      <c r="D73">
        <f>IF($A73="","",IF('Ügyfelek'!D73="",'Beállítások'!$B$45,VLOOKUP(MAX('Ügyfelek'!D73,'Beállítások'!$K$7),'Beállítások'!$K$7:$L$11,2,TRUE)))</f>
        <v/>
      </c>
      <c r="E73">
        <f>IF($A73="","",IF('Ügyfelek'!L73="",'Beállítások'!$B$45,MIN(5,MAX(1,ROUND('Ügyfelek'!L73,0)))))</f>
        <v/>
      </c>
      <c r="F73">
        <f>IF($A73="","",IF('Ügyfelek'!I73="",'Beállítások'!$B$45,VLOOKUP(MAX('Ügyfelek'!I73,'Beállítások'!$N$7),'Beállítások'!$N$7:$O$11,2,TRUE)))</f>
        <v/>
      </c>
      <c r="G73">
        <f>IF($A73="","",IF('Ügyfelek'!N73="",'Beállítások'!$B$45,MIN(5,MAX(1,ROUND('Ügyfelek'!N73,0)))))</f>
        <v/>
      </c>
      <c r="H73">
        <f>IF($A73="","",IF('Ügyfelek'!J73="",'Beállítások'!$B$45,VLOOKUP(MAX('Ügyfelek'!J73,'Beállítások'!$Q$7),'Beállítások'!$Q$7:$R$11,2,TRUE)))</f>
        <v/>
      </c>
      <c r="I73">
        <f>IF($A73="","",IF('Ügyfelek'!K73="",'Beállítások'!$B$45,VLOOKUP(MAX('Ügyfelek'!K73,'Beállítások'!$T$7),'Beállítások'!$T$7:$U$11,2,TRUE)))</f>
        <v/>
      </c>
      <c r="J73">
        <f>IF($A73="","",IF('Ügyfelek'!M73="",'Beállítások'!$B$45,MIN(5,MAX(1,ROUND('Ügyfelek'!M73,0)))))</f>
        <v/>
      </c>
      <c r="K73">
        <f>IF($A73="","",IF('Ügyfelek'!P73="",'Beállítások'!$B$45,MIN(5,MAX(1,ROUND('Ügyfelek'!P73,0)))))</f>
        <v/>
      </c>
      <c r="L73">
        <f>IF($A73="","",IF('Ügyfelek'!O73="",'Beállítások'!$B$45,MIN(5,MAX(1,ROUND('Ügyfelek'!O73,0)))))</f>
        <v/>
      </c>
      <c r="M73" s="13">
        <f>IF($A73="","",ROUND('Beállítások'!$E$6*(B73-1)/4+'Beállítások'!$E$7*(C73-1)/4+'Beállítások'!$E$8*(D73-1)/4+'Beállítások'!$E$9*(E73-1)/4+'Beállítások'!$E$10*(F73-1)/4+'Beállítások'!$E$11*(G73-1)/4+'Beállítások'!$E$12*(H73-1)/4+'Beállítások'!$E$13*(I73-1)/4+'Beállítások'!$E$14*(J73-1)/4+'Beállítások'!$E$15*(K73-1)/4+'Beállítások'!$E$16*(L73-1)/4,1))</f>
        <v/>
      </c>
      <c r="N73" s="14">
        <f>IF($A73="","",RANK(M73,$M$2:$M$201))</f>
        <v/>
      </c>
      <c r="O73">
        <f>IF($A73="","",VLOOKUP(M73,'Beállítások'!$A$57:$E$60,2,TRUE))</f>
        <v/>
      </c>
      <c r="P73">
        <f>IF($A73="","",VLOOKUP(M73,'Beállítások'!$A$57:$E$60,3,TRUE))</f>
        <v/>
      </c>
      <c r="Q73">
        <f>IF($A73="","",INDEX('Beállítások'!$B$6:$B$16,MATCH(MAX(AD73:AN73),AD73:AN73,0)))</f>
        <v/>
      </c>
      <c r="R73">
        <f>IF($A73="","",IF(MAX(AO73:AY73)=0,"—",INDEX('Beállítások'!$B$6:$B$16,MATCH(MAX(AO73:AY73),AO73:AY73,0))))</f>
        <v/>
      </c>
      <c r="S73" s="5">
        <f>IF($A73="","",'Beállítások'!$B$47*(TRIM('Ügyfelek'!E73)="igen")+'Beállítások'!$B$48*(TRIM('Ügyfelek'!F73)="igen")+'Beállítások'!$B$49*N('Ügyfelek'!G73)+'Beállítások'!$B$46*N('Ügyfelek'!H73))</f>
        <v/>
      </c>
      <c r="T73" s="15">
        <f>IF($A73="","",VLOOKUP(M73,'Beállítások'!$A$57:$E$60,4,TRUE))</f>
        <v/>
      </c>
      <c r="U73" s="5">
        <f>IF($A73="","",N('Ügyfelek'!D73)*'Beállítások'!$B$51)</f>
        <v/>
      </c>
      <c r="V73" s="5">
        <f>IF($A73="","",CEILING(ROUND(MAX('Beállítások'!$B$50,S73*T73,U73),2),'Beállítások'!$B$52))</f>
        <v/>
      </c>
      <c r="W73">
        <f>IF($A73="","",IF(MAX('Beállítások'!$B$50,S73*T73,U73)=S73*T73,"Munkaigény × szintszorzó",IF(MAX('Beállítások'!$B$50,S73*T73,U73)=U73,"Hirdetési keret arányában","Minimumdíj")))</f>
        <v/>
      </c>
      <c r="X73" s="5">
        <f>IF(OR($A73="",'Ügyfelek'!Q73=""),"",'Ügyfelek'!Q73)</f>
        <v/>
      </c>
      <c r="Y73" s="5">
        <f>IF(X73="","",V73-X73)</f>
        <v/>
      </c>
      <c r="Z73" s="16">
        <f>IF(OR(X73="",X73=0),"",Y73/X73)</f>
        <v/>
      </c>
      <c r="AA73" s="5">
        <f>IF(OR($A73="",'Ügyfelek'!R73=""),"",'Ügyfelek'!R73*VLOOKUP(M73,'Beállítások'!$A$57:$E$60,5,TRUE))</f>
        <v/>
      </c>
      <c r="AB73" s="14">
        <f>IF($A73="","",('Ügyfelek'!B73="")+('Ügyfelek'!C73="")+('Ügyfelek'!D73="")+('Ügyfelek'!L73="")+('Ügyfelek'!I73="")+('Ügyfelek'!N73="")+('Ügyfelek'!J73="")+('Ügyfelek'!K73="")+('Ügyfelek'!M73="")+('Ügyfelek'!P73="")+('Ügyfelek'!O73=""))</f>
        <v/>
      </c>
      <c r="AD73">
        <f>IF($A73="","",B73+'Beállítások'!$E$6/1000)</f>
        <v/>
      </c>
      <c r="AE73">
        <f>IF($A73="","",C73+'Beállítások'!$E$7/1000)</f>
        <v/>
      </c>
      <c r="AF73">
        <f>IF($A73="","",D73+'Beállítások'!$E$8/1000)</f>
        <v/>
      </c>
      <c r="AG73">
        <f>IF($A73="","",E73+'Beállítások'!$E$9/1000)</f>
        <v/>
      </c>
      <c r="AH73">
        <f>IF($A73="","",F73+'Beállítások'!$E$10/1000)</f>
        <v/>
      </c>
      <c r="AI73">
        <f>IF($A73="","",G73+'Beállítások'!$E$11/1000)</f>
        <v/>
      </c>
      <c r="AJ73">
        <f>IF($A73="","",H73+'Beállítások'!$E$12/1000)</f>
        <v/>
      </c>
      <c r="AK73">
        <f>IF($A73="","",I73+'Beállítások'!$E$13/1000)</f>
        <v/>
      </c>
      <c r="AL73">
        <f>IF($A73="","",J73+'Beállítások'!$E$14/1000)</f>
        <v/>
      </c>
      <c r="AM73">
        <f>IF($A73="","",K73+'Beállítások'!$E$15/1000)</f>
        <v/>
      </c>
      <c r="AN73">
        <f>IF($A73="","",L73+'Beállítások'!$E$16/1000)</f>
        <v/>
      </c>
      <c r="AO73">
        <f>IF($A73="","",'Beállítások'!$E$6*(5-B73))</f>
        <v/>
      </c>
      <c r="AP73">
        <f>IF($A73="","",'Beállítások'!$E$7*(5-C73))</f>
        <v/>
      </c>
      <c r="AQ73">
        <f>IF($A73="","",'Beállítások'!$E$8*(5-D73))</f>
        <v/>
      </c>
      <c r="AR73">
        <f>IF($A73="","",'Beállítások'!$E$9*(5-E73))</f>
        <v/>
      </c>
      <c r="AS73">
        <f>IF($A73="","",'Beállítások'!$E$10*(5-F73))</f>
        <v/>
      </c>
      <c r="AT73">
        <f>IF($A73="","",'Beállítások'!$E$11*(5-G73))</f>
        <v/>
      </c>
      <c r="AU73">
        <f>IF($A73="","",'Beállítások'!$E$12*(5-H73))</f>
        <v/>
      </c>
      <c r="AV73">
        <f>IF($A73="","",'Beállítások'!$E$13*(5-I73))</f>
        <v/>
      </c>
      <c r="AW73">
        <f>IF($A73="","",'Beállítások'!$E$14*(5-J73))</f>
        <v/>
      </c>
      <c r="AX73">
        <f>IF($A73="","",'Beállítások'!$E$15*(5-K73))</f>
        <v/>
      </c>
      <c r="AY73">
        <f>IF($A73="","",'Beállítások'!$E$16*(5-L73))</f>
        <v/>
      </c>
      <c r="AZ73">
        <f>IF($A73="","",M73-ROW()/100000)</f>
        <v/>
      </c>
    </row>
    <row r="74">
      <c r="A74">
        <f>IF('Ügyfelek'!A74="","",'Ügyfelek'!A74)</f>
        <v/>
      </c>
      <c r="B74">
        <f>IF($A74="","",IF('Ügyfelek'!B74="",'Beállítások'!$B$45,IFERROR(VLOOKUP(TRIM('Ügyfelek'!B74),'Beállítások'!$A$22:$B$41,2,FALSE),'Beállítások'!$B$45)))</f>
        <v/>
      </c>
      <c r="C74">
        <f>IF($A74="","",IF('Ügyfelek'!C74="",'Beállítások'!$B$45,VLOOKUP(MAX('Ügyfelek'!C74,'Beállítások'!$H$7),'Beállítások'!$H$7:$I$11,2,TRUE)))</f>
        <v/>
      </c>
      <c r="D74">
        <f>IF($A74="","",IF('Ügyfelek'!D74="",'Beállítások'!$B$45,VLOOKUP(MAX('Ügyfelek'!D74,'Beállítások'!$K$7),'Beállítások'!$K$7:$L$11,2,TRUE)))</f>
        <v/>
      </c>
      <c r="E74">
        <f>IF($A74="","",IF('Ügyfelek'!L74="",'Beállítások'!$B$45,MIN(5,MAX(1,ROUND('Ügyfelek'!L74,0)))))</f>
        <v/>
      </c>
      <c r="F74">
        <f>IF($A74="","",IF('Ügyfelek'!I74="",'Beállítások'!$B$45,VLOOKUP(MAX('Ügyfelek'!I74,'Beállítások'!$N$7),'Beállítások'!$N$7:$O$11,2,TRUE)))</f>
        <v/>
      </c>
      <c r="G74">
        <f>IF($A74="","",IF('Ügyfelek'!N74="",'Beállítások'!$B$45,MIN(5,MAX(1,ROUND('Ügyfelek'!N74,0)))))</f>
        <v/>
      </c>
      <c r="H74">
        <f>IF($A74="","",IF('Ügyfelek'!J74="",'Beállítások'!$B$45,VLOOKUP(MAX('Ügyfelek'!J74,'Beállítások'!$Q$7),'Beállítások'!$Q$7:$R$11,2,TRUE)))</f>
        <v/>
      </c>
      <c r="I74">
        <f>IF($A74="","",IF('Ügyfelek'!K74="",'Beállítások'!$B$45,VLOOKUP(MAX('Ügyfelek'!K74,'Beállítások'!$T$7),'Beállítások'!$T$7:$U$11,2,TRUE)))</f>
        <v/>
      </c>
      <c r="J74">
        <f>IF($A74="","",IF('Ügyfelek'!M74="",'Beállítások'!$B$45,MIN(5,MAX(1,ROUND('Ügyfelek'!M74,0)))))</f>
        <v/>
      </c>
      <c r="K74">
        <f>IF($A74="","",IF('Ügyfelek'!P74="",'Beállítások'!$B$45,MIN(5,MAX(1,ROUND('Ügyfelek'!P74,0)))))</f>
        <v/>
      </c>
      <c r="L74">
        <f>IF($A74="","",IF('Ügyfelek'!O74="",'Beállítások'!$B$45,MIN(5,MAX(1,ROUND('Ügyfelek'!O74,0)))))</f>
        <v/>
      </c>
      <c r="M74" s="13">
        <f>IF($A74="","",ROUND('Beállítások'!$E$6*(B74-1)/4+'Beállítások'!$E$7*(C74-1)/4+'Beállítások'!$E$8*(D74-1)/4+'Beállítások'!$E$9*(E74-1)/4+'Beállítások'!$E$10*(F74-1)/4+'Beállítások'!$E$11*(G74-1)/4+'Beállítások'!$E$12*(H74-1)/4+'Beállítások'!$E$13*(I74-1)/4+'Beállítások'!$E$14*(J74-1)/4+'Beállítások'!$E$15*(K74-1)/4+'Beállítások'!$E$16*(L74-1)/4,1))</f>
        <v/>
      </c>
      <c r="N74" s="14">
        <f>IF($A74="","",RANK(M74,$M$2:$M$201))</f>
        <v/>
      </c>
      <c r="O74">
        <f>IF($A74="","",VLOOKUP(M74,'Beállítások'!$A$57:$E$60,2,TRUE))</f>
        <v/>
      </c>
      <c r="P74">
        <f>IF($A74="","",VLOOKUP(M74,'Beállítások'!$A$57:$E$60,3,TRUE))</f>
        <v/>
      </c>
      <c r="Q74">
        <f>IF($A74="","",INDEX('Beállítások'!$B$6:$B$16,MATCH(MAX(AD74:AN74),AD74:AN74,0)))</f>
        <v/>
      </c>
      <c r="R74">
        <f>IF($A74="","",IF(MAX(AO74:AY74)=0,"—",INDEX('Beállítások'!$B$6:$B$16,MATCH(MAX(AO74:AY74),AO74:AY74,0))))</f>
        <v/>
      </c>
      <c r="S74" s="5">
        <f>IF($A74="","",'Beállítások'!$B$47*(TRIM('Ügyfelek'!E74)="igen")+'Beállítások'!$B$48*(TRIM('Ügyfelek'!F74)="igen")+'Beállítások'!$B$49*N('Ügyfelek'!G74)+'Beállítások'!$B$46*N('Ügyfelek'!H74))</f>
        <v/>
      </c>
      <c r="T74" s="15">
        <f>IF($A74="","",VLOOKUP(M74,'Beállítások'!$A$57:$E$60,4,TRUE))</f>
        <v/>
      </c>
      <c r="U74" s="5">
        <f>IF($A74="","",N('Ügyfelek'!D74)*'Beállítások'!$B$51)</f>
        <v/>
      </c>
      <c r="V74" s="5">
        <f>IF($A74="","",CEILING(ROUND(MAX('Beállítások'!$B$50,S74*T74,U74),2),'Beállítások'!$B$52))</f>
        <v/>
      </c>
      <c r="W74">
        <f>IF($A74="","",IF(MAX('Beállítások'!$B$50,S74*T74,U74)=S74*T74,"Munkaigény × szintszorzó",IF(MAX('Beállítások'!$B$50,S74*T74,U74)=U74,"Hirdetési keret arányában","Minimumdíj")))</f>
        <v/>
      </c>
      <c r="X74" s="5">
        <f>IF(OR($A74="",'Ügyfelek'!Q74=""),"",'Ügyfelek'!Q74)</f>
        <v/>
      </c>
      <c r="Y74" s="5">
        <f>IF(X74="","",V74-X74)</f>
        <v/>
      </c>
      <c r="Z74" s="16">
        <f>IF(OR(X74="",X74=0),"",Y74/X74)</f>
        <v/>
      </c>
      <c r="AA74" s="5">
        <f>IF(OR($A74="",'Ügyfelek'!R74=""),"",'Ügyfelek'!R74*VLOOKUP(M74,'Beállítások'!$A$57:$E$60,5,TRUE))</f>
        <v/>
      </c>
      <c r="AB74" s="14">
        <f>IF($A74="","",('Ügyfelek'!B74="")+('Ügyfelek'!C74="")+('Ügyfelek'!D74="")+('Ügyfelek'!L74="")+('Ügyfelek'!I74="")+('Ügyfelek'!N74="")+('Ügyfelek'!J74="")+('Ügyfelek'!K74="")+('Ügyfelek'!M74="")+('Ügyfelek'!P74="")+('Ügyfelek'!O74=""))</f>
        <v/>
      </c>
      <c r="AD74">
        <f>IF($A74="","",B74+'Beállítások'!$E$6/1000)</f>
        <v/>
      </c>
      <c r="AE74">
        <f>IF($A74="","",C74+'Beállítások'!$E$7/1000)</f>
        <v/>
      </c>
      <c r="AF74">
        <f>IF($A74="","",D74+'Beállítások'!$E$8/1000)</f>
        <v/>
      </c>
      <c r="AG74">
        <f>IF($A74="","",E74+'Beállítások'!$E$9/1000)</f>
        <v/>
      </c>
      <c r="AH74">
        <f>IF($A74="","",F74+'Beállítások'!$E$10/1000)</f>
        <v/>
      </c>
      <c r="AI74">
        <f>IF($A74="","",G74+'Beállítások'!$E$11/1000)</f>
        <v/>
      </c>
      <c r="AJ74">
        <f>IF($A74="","",H74+'Beállítások'!$E$12/1000)</f>
        <v/>
      </c>
      <c r="AK74">
        <f>IF($A74="","",I74+'Beállítások'!$E$13/1000)</f>
        <v/>
      </c>
      <c r="AL74">
        <f>IF($A74="","",J74+'Beállítások'!$E$14/1000)</f>
        <v/>
      </c>
      <c r="AM74">
        <f>IF($A74="","",K74+'Beállítások'!$E$15/1000)</f>
        <v/>
      </c>
      <c r="AN74">
        <f>IF($A74="","",L74+'Beállítások'!$E$16/1000)</f>
        <v/>
      </c>
      <c r="AO74">
        <f>IF($A74="","",'Beállítások'!$E$6*(5-B74))</f>
        <v/>
      </c>
      <c r="AP74">
        <f>IF($A74="","",'Beállítások'!$E$7*(5-C74))</f>
        <v/>
      </c>
      <c r="AQ74">
        <f>IF($A74="","",'Beállítások'!$E$8*(5-D74))</f>
        <v/>
      </c>
      <c r="AR74">
        <f>IF($A74="","",'Beállítások'!$E$9*(5-E74))</f>
        <v/>
      </c>
      <c r="AS74">
        <f>IF($A74="","",'Beállítások'!$E$10*(5-F74))</f>
        <v/>
      </c>
      <c r="AT74">
        <f>IF($A74="","",'Beállítások'!$E$11*(5-G74))</f>
        <v/>
      </c>
      <c r="AU74">
        <f>IF($A74="","",'Beállítások'!$E$12*(5-H74))</f>
        <v/>
      </c>
      <c r="AV74">
        <f>IF($A74="","",'Beállítások'!$E$13*(5-I74))</f>
        <v/>
      </c>
      <c r="AW74">
        <f>IF($A74="","",'Beállítások'!$E$14*(5-J74))</f>
        <v/>
      </c>
      <c r="AX74">
        <f>IF($A74="","",'Beállítások'!$E$15*(5-K74))</f>
        <v/>
      </c>
      <c r="AY74">
        <f>IF($A74="","",'Beállítások'!$E$16*(5-L74))</f>
        <v/>
      </c>
      <c r="AZ74">
        <f>IF($A74="","",M74-ROW()/100000)</f>
        <v/>
      </c>
    </row>
    <row r="75">
      <c r="A75">
        <f>IF('Ügyfelek'!A75="","",'Ügyfelek'!A75)</f>
        <v/>
      </c>
      <c r="B75">
        <f>IF($A75="","",IF('Ügyfelek'!B75="",'Beállítások'!$B$45,IFERROR(VLOOKUP(TRIM('Ügyfelek'!B75),'Beállítások'!$A$22:$B$41,2,FALSE),'Beállítások'!$B$45)))</f>
        <v/>
      </c>
      <c r="C75">
        <f>IF($A75="","",IF('Ügyfelek'!C75="",'Beállítások'!$B$45,VLOOKUP(MAX('Ügyfelek'!C75,'Beállítások'!$H$7),'Beállítások'!$H$7:$I$11,2,TRUE)))</f>
        <v/>
      </c>
      <c r="D75">
        <f>IF($A75="","",IF('Ügyfelek'!D75="",'Beállítások'!$B$45,VLOOKUP(MAX('Ügyfelek'!D75,'Beállítások'!$K$7),'Beállítások'!$K$7:$L$11,2,TRUE)))</f>
        <v/>
      </c>
      <c r="E75">
        <f>IF($A75="","",IF('Ügyfelek'!L75="",'Beállítások'!$B$45,MIN(5,MAX(1,ROUND('Ügyfelek'!L75,0)))))</f>
        <v/>
      </c>
      <c r="F75">
        <f>IF($A75="","",IF('Ügyfelek'!I75="",'Beállítások'!$B$45,VLOOKUP(MAX('Ügyfelek'!I75,'Beállítások'!$N$7),'Beállítások'!$N$7:$O$11,2,TRUE)))</f>
        <v/>
      </c>
      <c r="G75">
        <f>IF($A75="","",IF('Ügyfelek'!N75="",'Beállítások'!$B$45,MIN(5,MAX(1,ROUND('Ügyfelek'!N75,0)))))</f>
        <v/>
      </c>
      <c r="H75">
        <f>IF($A75="","",IF('Ügyfelek'!J75="",'Beállítások'!$B$45,VLOOKUP(MAX('Ügyfelek'!J75,'Beállítások'!$Q$7),'Beállítások'!$Q$7:$R$11,2,TRUE)))</f>
        <v/>
      </c>
      <c r="I75">
        <f>IF($A75="","",IF('Ügyfelek'!K75="",'Beállítások'!$B$45,VLOOKUP(MAX('Ügyfelek'!K75,'Beállítások'!$T$7),'Beállítások'!$T$7:$U$11,2,TRUE)))</f>
        <v/>
      </c>
      <c r="J75">
        <f>IF($A75="","",IF('Ügyfelek'!M75="",'Beállítások'!$B$45,MIN(5,MAX(1,ROUND('Ügyfelek'!M75,0)))))</f>
        <v/>
      </c>
      <c r="K75">
        <f>IF($A75="","",IF('Ügyfelek'!P75="",'Beállítások'!$B$45,MIN(5,MAX(1,ROUND('Ügyfelek'!P75,0)))))</f>
        <v/>
      </c>
      <c r="L75">
        <f>IF($A75="","",IF('Ügyfelek'!O75="",'Beállítások'!$B$45,MIN(5,MAX(1,ROUND('Ügyfelek'!O75,0)))))</f>
        <v/>
      </c>
      <c r="M75" s="13">
        <f>IF($A75="","",ROUND('Beállítások'!$E$6*(B75-1)/4+'Beállítások'!$E$7*(C75-1)/4+'Beállítások'!$E$8*(D75-1)/4+'Beállítások'!$E$9*(E75-1)/4+'Beállítások'!$E$10*(F75-1)/4+'Beállítások'!$E$11*(G75-1)/4+'Beállítások'!$E$12*(H75-1)/4+'Beállítások'!$E$13*(I75-1)/4+'Beállítások'!$E$14*(J75-1)/4+'Beállítások'!$E$15*(K75-1)/4+'Beállítások'!$E$16*(L75-1)/4,1))</f>
        <v/>
      </c>
      <c r="N75" s="14">
        <f>IF($A75="","",RANK(M75,$M$2:$M$201))</f>
        <v/>
      </c>
      <c r="O75">
        <f>IF($A75="","",VLOOKUP(M75,'Beállítások'!$A$57:$E$60,2,TRUE))</f>
        <v/>
      </c>
      <c r="P75">
        <f>IF($A75="","",VLOOKUP(M75,'Beállítások'!$A$57:$E$60,3,TRUE))</f>
        <v/>
      </c>
      <c r="Q75">
        <f>IF($A75="","",INDEX('Beállítások'!$B$6:$B$16,MATCH(MAX(AD75:AN75),AD75:AN75,0)))</f>
        <v/>
      </c>
      <c r="R75">
        <f>IF($A75="","",IF(MAX(AO75:AY75)=0,"—",INDEX('Beállítások'!$B$6:$B$16,MATCH(MAX(AO75:AY75),AO75:AY75,0))))</f>
        <v/>
      </c>
      <c r="S75" s="5">
        <f>IF($A75="","",'Beállítások'!$B$47*(TRIM('Ügyfelek'!E75)="igen")+'Beállítások'!$B$48*(TRIM('Ügyfelek'!F75)="igen")+'Beállítások'!$B$49*N('Ügyfelek'!G75)+'Beállítások'!$B$46*N('Ügyfelek'!H75))</f>
        <v/>
      </c>
      <c r="T75" s="15">
        <f>IF($A75="","",VLOOKUP(M75,'Beállítások'!$A$57:$E$60,4,TRUE))</f>
        <v/>
      </c>
      <c r="U75" s="5">
        <f>IF($A75="","",N('Ügyfelek'!D75)*'Beállítások'!$B$51)</f>
        <v/>
      </c>
      <c r="V75" s="5">
        <f>IF($A75="","",CEILING(ROUND(MAX('Beállítások'!$B$50,S75*T75,U75),2),'Beállítások'!$B$52))</f>
        <v/>
      </c>
      <c r="W75">
        <f>IF($A75="","",IF(MAX('Beállítások'!$B$50,S75*T75,U75)=S75*T75,"Munkaigény × szintszorzó",IF(MAX('Beállítások'!$B$50,S75*T75,U75)=U75,"Hirdetési keret arányában","Minimumdíj")))</f>
        <v/>
      </c>
      <c r="X75" s="5">
        <f>IF(OR($A75="",'Ügyfelek'!Q75=""),"",'Ügyfelek'!Q75)</f>
        <v/>
      </c>
      <c r="Y75" s="5">
        <f>IF(X75="","",V75-X75)</f>
        <v/>
      </c>
      <c r="Z75" s="16">
        <f>IF(OR(X75="",X75=0),"",Y75/X75)</f>
        <v/>
      </c>
      <c r="AA75" s="5">
        <f>IF(OR($A75="",'Ügyfelek'!R75=""),"",'Ügyfelek'!R75*VLOOKUP(M75,'Beállítások'!$A$57:$E$60,5,TRUE))</f>
        <v/>
      </c>
      <c r="AB75" s="14">
        <f>IF($A75="","",('Ügyfelek'!B75="")+('Ügyfelek'!C75="")+('Ügyfelek'!D75="")+('Ügyfelek'!L75="")+('Ügyfelek'!I75="")+('Ügyfelek'!N75="")+('Ügyfelek'!J75="")+('Ügyfelek'!K75="")+('Ügyfelek'!M75="")+('Ügyfelek'!P75="")+('Ügyfelek'!O75=""))</f>
        <v/>
      </c>
      <c r="AD75">
        <f>IF($A75="","",B75+'Beállítások'!$E$6/1000)</f>
        <v/>
      </c>
      <c r="AE75">
        <f>IF($A75="","",C75+'Beállítások'!$E$7/1000)</f>
        <v/>
      </c>
      <c r="AF75">
        <f>IF($A75="","",D75+'Beállítások'!$E$8/1000)</f>
        <v/>
      </c>
      <c r="AG75">
        <f>IF($A75="","",E75+'Beállítások'!$E$9/1000)</f>
        <v/>
      </c>
      <c r="AH75">
        <f>IF($A75="","",F75+'Beállítások'!$E$10/1000)</f>
        <v/>
      </c>
      <c r="AI75">
        <f>IF($A75="","",G75+'Beállítások'!$E$11/1000)</f>
        <v/>
      </c>
      <c r="AJ75">
        <f>IF($A75="","",H75+'Beállítások'!$E$12/1000)</f>
        <v/>
      </c>
      <c r="AK75">
        <f>IF($A75="","",I75+'Beállítások'!$E$13/1000)</f>
        <v/>
      </c>
      <c r="AL75">
        <f>IF($A75="","",J75+'Beállítások'!$E$14/1000)</f>
        <v/>
      </c>
      <c r="AM75">
        <f>IF($A75="","",K75+'Beállítások'!$E$15/1000)</f>
        <v/>
      </c>
      <c r="AN75">
        <f>IF($A75="","",L75+'Beállítások'!$E$16/1000)</f>
        <v/>
      </c>
      <c r="AO75">
        <f>IF($A75="","",'Beállítások'!$E$6*(5-B75))</f>
        <v/>
      </c>
      <c r="AP75">
        <f>IF($A75="","",'Beállítások'!$E$7*(5-C75))</f>
        <v/>
      </c>
      <c r="AQ75">
        <f>IF($A75="","",'Beállítások'!$E$8*(5-D75))</f>
        <v/>
      </c>
      <c r="AR75">
        <f>IF($A75="","",'Beállítások'!$E$9*(5-E75))</f>
        <v/>
      </c>
      <c r="AS75">
        <f>IF($A75="","",'Beállítások'!$E$10*(5-F75))</f>
        <v/>
      </c>
      <c r="AT75">
        <f>IF($A75="","",'Beállítások'!$E$11*(5-G75))</f>
        <v/>
      </c>
      <c r="AU75">
        <f>IF($A75="","",'Beállítások'!$E$12*(5-H75))</f>
        <v/>
      </c>
      <c r="AV75">
        <f>IF($A75="","",'Beállítások'!$E$13*(5-I75))</f>
        <v/>
      </c>
      <c r="AW75">
        <f>IF($A75="","",'Beállítások'!$E$14*(5-J75))</f>
        <v/>
      </c>
      <c r="AX75">
        <f>IF($A75="","",'Beállítások'!$E$15*(5-K75))</f>
        <v/>
      </c>
      <c r="AY75">
        <f>IF($A75="","",'Beállítások'!$E$16*(5-L75))</f>
        <v/>
      </c>
      <c r="AZ75">
        <f>IF($A75="","",M75-ROW()/100000)</f>
        <v/>
      </c>
    </row>
    <row r="76">
      <c r="A76">
        <f>IF('Ügyfelek'!A76="","",'Ügyfelek'!A76)</f>
        <v/>
      </c>
      <c r="B76">
        <f>IF($A76="","",IF('Ügyfelek'!B76="",'Beállítások'!$B$45,IFERROR(VLOOKUP(TRIM('Ügyfelek'!B76),'Beállítások'!$A$22:$B$41,2,FALSE),'Beállítások'!$B$45)))</f>
        <v/>
      </c>
      <c r="C76">
        <f>IF($A76="","",IF('Ügyfelek'!C76="",'Beállítások'!$B$45,VLOOKUP(MAX('Ügyfelek'!C76,'Beállítások'!$H$7),'Beállítások'!$H$7:$I$11,2,TRUE)))</f>
        <v/>
      </c>
      <c r="D76">
        <f>IF($A76="","",IF('Ügyfelek'!D76="",'Beállítások'!$B$45,VLOOKUP(MAX('Ügyfelek'!D76,'Beállítások'!$K$7),'Beállítások'!$K$7:$L$11,2,TRUE)))</f>
        <v/>
      </c>
      <c r="E76">
        <f>IF($A76="","",IF('Ügyfelek'!L76="",'Beállítások'!$B$45,MIN(5,MAX(1,ROUND('Ügyfelek'!L76,0)))))</f>
        <v/>
      </c>
      <c r="F76">
        <f>IF($A76="","",IF('Ügyfelek'!I76="",'Beállítások'!$B$45,VLOOKUP(MAX('Ügyfelek'!I76,'Beállítások'!$N$7),'Beállítások'!$N$7:$O$11,2,TRUE)))</f>
        <v/>
      </c>
      <c r="G76">
        <f>IF($A76="","",IF('Ügyfelek'!N76="",'Beállítások'!$B$45,MIN(5,MAX(1,ROUND('Ügyfelek'!N76,0)))))</f>
        <v/>
      </c>
      <c r="H76">
        <f>IF($A76="","",IF('Ügyfelek'!J76="",'Beállítások'!$B$45,VLOOKUP(MAX('Ügyfelek'!J76,'Beállítások'!$Q$7),'Beállítások'!$Q$7:$R$11,2,TRUE)))</f>
        <v/>
      </c>
      <c r="I76">
        <f>IF($A76="","",IF('Ügyfelek'!K76="",'Beállítások'!$B$45,VLOOKUP(MAX('Ügyfelek'!K76,'Beállítások'!$T$7),'Beállítások'!$T$7:$U$11,2,TRUE)))</f>
        <v/>
      </c>
      <c r="J76">
        <f>IF($A76="","",IF('Ügyfelek'!M76="",'Beállítások'!$B$45,MIN(5,MAX(1,ROUND('Ügyfelek'!M76,0)))))</f>
        <v/>
      </c>
      <c r="K76">
        <f>IF($A76="","",IF('Ügyfelek'!P76="",'Beállítások'!$B$45,MIN(5,MAX(1,ROUND('Ügyfelek'!P76,0)))))</f>
        <v/>
      </c>
      <c r="L76">
        <f>IF($A76="","",IF('Ügyfelek'!O76="",'Beállítások'!$B$45,MIN(5,MAX(1,ROUND('Ügyfelek'!O76,0)))))</f>
        <v/>
      </c>
      <c r="M76" s="13">
        <f>IF($A76="","",ROUND('Beállítások'!$E$6*(B76-1)/4+'Beállítások'!$E$7*(C76-1)/4+'Beállítások'!$E$8*(D76-1)/4+'Beállítások'!$E$9*(E76-1)/4+'Beállítások'!$E$10*(F76-1)/4+'Beállítások'!$E$11*(G76-1)/4+'Beállítások'!$E$12*(H76-1)/4+'Beállítások'!$E$13*(I76-1)/4+'Beállítások'!$E$14*(J76-1)/4+'Beállítások'!$E$15*(K76-1)/4+'Beállítások'!$E$16*(L76-1)/4,1))</f>
        <v/>
      </c>
      <c r="N76" s="14">
        <f>IF($A76="","",RANK(M76,$M$2:$M$201))</f>
        <v/>
      </c>
      <c r="O76">
        <f>IF($A76="","",VLOOKUP(M76,'Beállítások'!$A$57:$E$60,2,TRUE))</f>
        <v/>
      </c>
      <c r="P76">
        <f>IF($A76="","",VLOOKUP(M76,'Beállítások'!$A$57:$E$60,3,TRUE))</f>
        <v/>
      </c>
      <c r="Q76">
        <f>IF($A76="","",INDEX('Beállítások'!$B$6:$B$16,MATCH(MAX(AD76:AN76),AD76:AN76,0)))</f>
        <v/>
      </c>
      <c r="R76">
        <f>IF($A76="","",IF(MAX(AO76:AY76)=0,"—",INDEX('Beállítások'!$B$6:$B$16,MATCH(MAX(AO76:AY76),AO76:AY76,0))))</f>
        <v/>
      </c>
      <c r="S76" s="5">
        <f>IF($A76="","",'Beállítások'!$B$47*(TRIM('Ügyfelek'!E76)="igen")+'Beállítások'!$B$48*(TRIM('Ügyfelek'!F76)="igen")+'Beállítások'!$B$49*N('Ügyfelek'!G76)+'Beállítások'!$B$46*N('Ügyfelek'!H76))</f>
        <v/>
      </c>
      <c r="T76" s="15">
        <f>IF($A76="","",VLOOKUP(M76,'Beállítások'!$A$57:$E$60,4,TRUE))</f>
        <v/>
      </c>
      <c r="U76" s="5">
        <f>IF($A76="","",N('Ügyfelek'!D76)*'Beállítások'!$B$51)</f>
        <v/>
      </c>
      <c r="V76" s="5">
        <f>IF($A76="","",CEILING(ROUND(MAX('Beállítások'!$B$50,S76*T76,U76),2),'Beállítások'!$B$52))</f>
        <v/>
      </c>
      <c r="W76">
        <f>IF($A76="","",IF(MAX('Beállítások'!$B$50,S76*T76,U76)=S76*T76,"Munkaigény × szintszorzó",IF(MAX('Beállítások'!$B$50,S76*T76,U76)=U76,"Hirdetési keret arányában","Minimumdíj")))</f>
        <v/>
      </c>
      <c r="X76" s="5">
        <f>IF(OR($A76="",'Ügyfelek'!Q76=""),"",'Ügyfelek'!Q76)</f>
        <v/>
      </c>
      <c r="Y76" s="5">
        <f>IF(X76="","",V76-X76)</f>
        <v/>
      </c>
      <c r="Z76" s="16">
        <f>IF(OR(X76="",X76=0),"",Y76/X76)</f>
        <v/>
      </c>
      <c r="AA76" s="5">
        <f>IF(OR($A76="",'Ügyfelek'!R76=""),"",'Ügyfelek'!R76*VLOOKUP(M76,'Beállítások'!$A$57:$E$60,5,TRUE))</f>
        <v/>
      </c>
      <c r="AB76" s="14">
        <f>IF($A76="","",('Ügyfelek'!B76="")+('Ügyfelek'!C76="")+('Ügyfelek'!D76="")+('Ügyfelek'!L76="")+('Ügyfelek'!I76="")+('Ügyfelek'!N76="")+('Ügyfelek'!J76="")+('Ügyfelek'!K76="")+('Ügyfelek'!M76="")+('Ügyfelek'!P76="")+('Ügyfelek'!O76=""))</f>
        <v/>
      </c>
      <c r="AD76">
        <f>IF($A76="","",B76+'Beállítások'!$E$6/1000)</f>
        <v/>
      </c>
      <c r="AE76">
        <f>IF($A76="","",C76+'Beállítások'!$E$7/1000)</f>
        <v/>
      </c>
      <c r="AF76">
        <f>IF($A76="","",D76+'Beállítások'!$E$8/1000)</f>
        <v/>
      </c>
      <c r="AG76">
        <f>IF($A76="","",E76+'Beállítások'!$E$9/1000)</f>
        <v/>
      </c>
      <c r="AH76">
        <f>IF($A76="","",F76+'Beállítások'!$E$10/1000)</f>
        <v/>
      </c>
      <c r="AI76">
        <f>IF($A76="","",G76+'Beállítások'!$E$11/1000)</f>
        <v/>
      </c>
      <c r="AJ76">
        <f>IF($A76="","",H76+'Beállítások'!$E$12/1000)</f>
        <v/>
      </c>
      <c r="AK76">
        <f>IF($A76="","",I76+'Beállítások'!$E$13/1000)</f>
        <v/>
      </c>
      <c r="AL76">
        <f>IF($A76="","",J76+'Beállítások'!$E$14/1000)</f>
        <v/>
      </c>
      <c r="AM76">
        <f>IF($A76="","",K76+'Beállítások'!$E$15/1000)</f>
        <v/>
      </c>
      <c r="AN76">
        <f>IF($A76="","",L76+'Beállítások'!$E$16/1000)</f>
        <v/>
      </c>
      <c r="AO76">
        <f>IF($A76="","",'Beállítások'!$E$6*(5-B76))</f>
        <v/>
      </c>
      <c r="AP76">
        <f>IF($A76="","",'Beállítások'!$E$7*(5-C76))</f>
        <v/>
      </c>
      <c r="AQ76">
        <f>IF($A76="","",'Beállítások'!$E$8*(5-D76))</f>
        <v/>
      </c>
      <c r="AR76">
        <f>IF($A76="","",'Beállítások'!$E$9*(5-E76))</f>
        <v/>
      </c>
      <c r="AS76">
        <f>IF($A76="","",'Beállítások'!$E$10*(5-F76))</f>
        <v/>
      </c>
      <c r="AT76">
        <f>IF($A76="","",'Beállítások'!$E$11*(5-G76))</f>
        <v/>
      </c>
      <c r="AU76">
        <f>IF($A76="","",'Beállítások'!$E$12*(5-H76))</f>
        <v/>
      </c>
      <c r="AV76">
        <f>IF($A76="","",'Beállítások'!$E$13*(5-I76))</f>
        <v/>
      </c>
      <c r="AW76">
        <f>IF($A76="","",'Beállítások'!$E$14*(5-J76))</f>
        <v/>
      </c>
      <c r="AX76">
        <f>IF($A76="","",'Beállítások'!$E$15*(5-K76))</f>
        <v/>
      </c>
      <c r="AY76">
        <f>IF($A76="","",'Beállítások'!$E$16*(5-L76))</f>
        <v/>
      </c>
      <c r="AZ76">
        <f>IF($A76="","",M76-ROW()/100000)</f>
        <v/>
      </c>
    </row>
    <row r="77">
      <c r="A77">
        <f>IF('Ügyfelek'!A77="","",'Ügyfelek'!A77)</f>
        <v/>
      </c>
      <c r="B77">
        <f>IF($A77="","",IF('Ügyfelek'!B77="",'Beállítások'!$B$45,IFERROR(VLOOKUP(TRIM('Ügyfelek'!B77),'Beállítások'!$A$22:$B$41,2,FALSE),'Beállítások'!$B$45)))</f>
        <v/>
      </c>
      <c r="C77">
        <f>IF($A77="","",IF('Ügyfelek'!C77="",'Beállítások'!$B$45,VLOOKUP(MAX('Ügyfelek'!C77,'Beállítások'!$H$7),'Beállítások'!$H$7:$I$11,2,TRUE)))</f>
        <v/>
      </c>
      <c r="D77">
        <f>IF($A77="","",IF('Ügyfelek'!D77="",'Beállítások'!$B$45,VLOOKUP(MAX('Ügyfelek'!D77,'Beállítások'!$K$7),'Beállítások'!$K$7:$L$11,2,TRUE)))</f>
        <v/>
      </c>
      <c r="E77">
        <f>IF($A77="","",IF('Ügyfelek'!L77="",'Beállítások'!$B$45,MIN(5,MAX(1,ROUND('Ügyfelek'!L77,0)))))</f>
        <v/>
      </c>
      <c r="F77">
        <f>IF($A77="","",IF('Ügyfelek'!I77="",'Beállítások'!$B$45,VLOOKUP(MAX('Ügyfelek'!I77,'Beállítások'!$N$7),'Beállítások'!$N$7:$O$11,2,TRUE)))</f>
        <v/>
      </c>
      <c r="G77">
        <f>IF($A77="","",IF('Ügyfelek'!N77="",'Beállítások'!$B$45,MIN(5,MAX(1,ROUND('Ügyfelek'!N77,0)))))</f>
        <v/>
      </c>
      <c r="H77">
        <f>IF($A77="","",IF('Ügyfelek'!J77="",'Beállítások'!$B$45,VLOOKUP(MAX('Ügyfelek'!J77,'Beállítások'!$Q$7),'Beállítások'!$Q$7:$R$11,2,TRUE)))</f>
        <v/>
      </c>
      <c r="I77">
        <f>IF($A77="","",IF('Ügyfelek'!K77="",'Beállítások'!$B$45,VLOOKUP(MAX('Ügyfelek'!K77,'Beállítások'!$T$7),'Beállítások'!$T$7:$U$11,2,TRUE)))</f>
        <v/>
      </c>
      <c r="J77">
        <f>IF($A77="","",IF('Ügyfelek'!M77="",'Beállítások'!$B$45,MIN(5,MAX(1,ROUND('Ügyfelek'!M77,0)))))</f>
        <v/>
      </c>
      <c r="K77">
        <f>IF($A77="","",IF('Ügyfelek'!P77="",'Beállítások'!$B$45,MIN(5,MAX(1,ROUND('Ügyfelek'!P77,0)))))</f>
        <v/>
      </c>
      <c r="L77">
        <f>IF($A77="","",IF('Ügyfelek'!O77="",'Beállítások'!$B$45,MIN(5,MAX(1,ROUND('Ügyfelek'!O77,0)))))</f>
        <v/>
      </c>
      <c r="M77" s="13">
        <f>IF($A77="","",ROUND('Beállítások'!$E$6*(B77-1)/4+'Beállítások'!$E$7*(C77-1)/4+'Beállítások'!$E$8*(D77-1)/4+'Beállítások'!$E$9*(E77-1)/4+'Beállítások'!$E$10*(F77-1)/4+'Beállítások'!$E$11*(G77-1)/4+'Beállítások'!$E$12*(H77-1)/4+'Beállítások'!$E$13*(I77-1)/4+'Beállítások'!$E$14*(J77-1)/4+'Beállítások'!$E$15*(K77-1)/4+'Beállítások'!$E$16*(L77-1)/4,1))</f>
        <v/>
      </c>
      <c r="N77" s="14">
        <f>IF($A77="","",RANK(M77,$M$2:$M$201))</f>
        <v/>
      </c>
      <c r="O77">
        <f>IF($A77="","",VLOOKUP(M77,'Beállítások'!$A$57:$E$60,2,TRUE))</f>
        <v/>
      </c>
      <c r="P77">
        <f>IF($A77="","",VLOOKUP(M77,'Beállítások'!$A$57:$E$60,3,TRUE))</f>
        <v/>
      </c>
      <c r="Q77">
        <f>IF($A77="","",INDEX('Beállítások'!$B$6:$B$16,MATCH(MAX(AD77:AN77),AD77:AN77,0)))</f>
        <v/>
      </c>
      <c r="R77">
        <f>IF($A77="","",IF(MAX(AO77:AY77)=0,"—",INDEX('Beállítások'!$B$6:$B$16,MATCH(MAX(AO77:AY77),AO77:AY77,0))))</f>
        <v/>
      </c>
      <c r="S77" s="5">
        <f>IF($A77="","",'Beállítások'!$B$47*(TRIM('Ügyfelek'!E77)="igen")+'Beállítások'!$B$48*(TRIM('Ügyfelek'!F77)="igen")+'Beállítások'!$B$49*N('Ügyfelek'!G77)+'Beállítások'!$B$46*N('Ügyfelek'!H77))</f>
        <v/>
      </c>
      <c r="T77" s="15">
        <f>IF($A77="","",VLOOKUP(M77,'Beállítások'!$A$57:$E$60,4,TRUE))</f>
        <v/>
      </c>
      <c r="U77" s="5">
        <f>IF($A77="","",N('Ügyfelek'!D77)*'Beállítások'!$B$51)</f>
        <v/>
      </c>
      <c r="V77" s="5">
        <f>IF($A77="","",CEILING(ROUND(MAX('Beállítások'!$B$50,S77*T77,U77),2),'Beállítások'!$B$52))</f>
        <v/>
      </c>
      <c r="W77">
        <f>IF($A77="","",IF(MAX('Beállítások'!$B$50,S77*T77,U77)=S77*T77,"Munkaigény × szintszorzó",IF(MAX('Beállítások'!$B$50,S77*T77,U77)=U77,"Hirdetési keret arányában","Minimumdíj")))</f>
        <v/>
      </c>
      <c r="X77" s="5">
        <f>IF(OR($A77="",'Ügyfelek'!Q77=""),"",'Ügyfelek'!Q77)</f>
        <v/>
      </c>
      <c r="Y77" s="5">
        <f>IF(X77="","",V77-X77)</f>
        <v/>
      </c>
      <c r="Z77" s="16">
        <f>IF(OR(X77="",X77=0),"",Y77/X77)</f>
        <v/>
      </c>
      <c r="AA77" s="5">
        <f>IF(OR($A77="",'Ügyfelek'!R77=""),"",'Ügyfelek'!R77*VLOOKUP(M77,'Beállítások'!$A$57:$E$60,5,TRUE))</f>
        <v/>
      </c>
      <c r="AB77" s="14">
        <f>IF($A77="","",('Ügyfelek'!B77="")+('Ügyfelek'!C77="")+('Ügyfelek'!D77="")+('Ügyfelek'!L77="")+('Ügyfelek'!I77="")+('Ügyfelek'!N77="")+('Ügyfelek'!J77="")+('Ügyfelek'!K77="")+('Ügyfelek'!M77="")+('Ügyfelek'!P77="")+('Ügyfelek'!O77=""))</f>
        <v/>
      </c>
      <c r="AD77">
        <f>IF($A77="","",B77+'Beállítások'!$E$6/1000)</f>
        <v/>
      </c>
      <c r="AE77">
        <f>IF($A77="","",C77+'Beállítások'!$E$7/1000)</f>
        <v/>
      </c>
      <c r="AF77">
        <f>IF($A77="","",D77+'Beállítások'!$E$8/1000)</f>
        <v/>
      </c>
      <c r="AG77">
        <f>IF($A77="","",E77+'Beállítások'!$E$9/1000)</f>
        <v/>
      </c>
      <c r="AH77">
        <f>IF($A77="","",F77+'Beállítások'!$E$10/1000)</f>
        <v/>
      </c>
      <c r="AI77">
        <f>IF($A77="","",G77+'Beállítások'!$E$11/1000)</f>
        <v/>
      </c>
      <c r="AJ77">
        <f>IF($A77="","",H77+'Beállítások'!$E$12/1000)</f>
        <v/>
      </c>
      <c r="AK77">
        <f>IF($A77="","",I77+'Beállítások'!$E$13/1000)</f>
        <v/>
      </c>
      <c r="AL77">
        <f>IF($A77="","",J77+'Beállítások'!$E$14/1000)</f>
        <v/>
      </c>
      <c r="AM77">
        <f>IF($A77="","",K77+'Beállítások'!$E$15/1000)</f>
        <v/>
      </c>
      <c r="AN77">
        <f>IF($A77="","",L77+'Beállítások'!$E$16/1000)</f>
        <v/>
      </c>
      <c r="AO77">
        <f>IF($A77="","",'Beállítások'!$E$6*(5-B77))</f>
        <v/>
      </c>
      <c r="AP77">
        <f>IF($A77="","",'Beállítások'!$E$7*(5-C77))</f>
        <v/>
      </c>
      <c r="AQ77">
        <f>IF($A77="","",'Beállítások'!$E$8*(5-D77))</f>
        <v/>
      </c>
      <c r="AR77">
        <f>IF($A77="","",'Beállítások'!$E$9*(5-E77))</f>
        <v/>
      </c>
      <c r="AS77">
        <f>IF($A77="","",'Beállítások'!$E$10*(5-F77))</f>
        <v/>
      </c>
      <c r="AT77">
        <f>IF($A77="","",'Beállítások'!$E$11*(5-G77))</f>
        <v/>
      </c>
      <c r="AU77">
        <f>IF($A77="","",'Beállítások'!$E$12*(5-H77))</f>
        <v/>
      </c>
      <c r="AV77">
        <f>IF($A77="","",'Beállítások'!$E$13*(5-I77))</f>
        <v/>
      </c>
      <c r="AW77">
        <f>IF($A77="","",'Beállítások'!$E$14*(5-J77))</f>
        <v/>
      </c>
      <c r="AX77">
        <f>IF($A77="","",'Beállítások'!$E$15*(5-K77))</f>
        <v/>
      </c>
      <c r="AY77">
        <f>IF($A77="","",'Beállítások'!$E$16*(5-L77))</f>
        <v/>
      </c>
      <c r="AZ77">
        <f>IF($A77="","",M77-ROW()/100000)</f>
        <v/>
      </c>
    </row>
    <row r="78">
      <c r="A78">
        <f>IF('Ügyfelek'!A78="","",'Ügyfelek'!A78)</f>
        <v/>
      </c>
      <c r="B78">
        <f>IF($A78="","",IF('Ügyfelek'!B78="",'Beállítások'!$B$45,IFERROR(VLOOKUP(TRIM('Ügyfelek'!B78),'Beállítások'!$A$22:$B$41,2,FALSE),'Beállítások'!$B$45)))</f>
        <v/>
      </c>
      <c r="C78">
        <f>IF($A78="","",IF('Ügyfelek'!C78="",'Beállítások'!$B$45,VLOOKUP(MAX('Ügyfelek'!C78,'Beállítások'!$H$7),'Beállítások'!$H$7:$I$11,2,TRUE)))</f>
        <v/>
      </c>
      <c r="D78">
        <f>IF($A78="","",IF('Ügyfelek'!D78="",'Beállítások'!$B$45,VLOOKUP(MAX('Ügyfelek'!D78,'Beállítások'!$K$7),'Beállítások'!$K$7:$L$11,2,TRUE)))</f>
        <v/>
      </c>
      <c r="E78">
        <f>IF($A78="","",IF('Ügyfelek'!L78="",'Beállítások'!$B$45,MIN(5,MAX(1,ROUND('Ügyfelek'!L78,0)))))</f>
        <v/>
      </c>
      <c r="F78">
        <f>IF($A78="","",IF('Ügyfelek'!I78="",'Beállítások'!$B$45,VLOOKUP(MAX('Ügyfelek'!I78,'Beállítások'!$N$7),'Beállítások'!$N$7:$O$11,2,TRUE)))</f>
        <v/>
      </c>
      <c r="G78">
        <f>IF($A78="","",IF('Ügyfelek'!N78="",'Beállítások'!$B$45,MIN(5,MAX(1,ROUND('Ügyfelek'!N78,0)))))</f>
        <v/>
      </c>
      <c r="H78">
        <f>IF($A78="","",IF('Ügyfelek'!J78="",'Beállítások'!$B$45,VLOOKUP(MAX('Ügyfelek'!J78,'Beállítások'!$Q$7),'Beállítások'!$Q$7:$R$11,2,TRUE)))</f>
        <v/>
      </c>
      <c r="I78">
        <f>IF($A78="","",IF('Ügyfelek'!K78="",'Beállítások'!$B$45,VLOOKUP(MAX('Ügyfelek'!K78,'Beállítások'!$T$7),'Beállítások'!$T$7:$U$11,2,TRUE)))</f>
        <v/>
      </c>
      <c r="J78">
        <f>IF($A78="","",IF('Ügyfelek'!M78="",'Beállítások'!$B$45,MIN(5,MAX(1,ROUND('Ügyfelek'!M78,0)))))</f>
        <v/>
      </c>
      <c r="K78">
        <f>IF($A78="","",IF('Ügyfelek'!P78="",'Beállítások'!$B$45,MIN(5,MAX(1,ROUND('Ügyfelek'!P78,0)))))</f>
        <v/>
      </c>
      <c r="L78">
        <f>IF($A78="","",IF('Ügyfelek'!O78="",'Beállítások'!$B$45,MIN(5,MAX(1,ROUND('Ügyfelek'!O78,0)))))</f>
        <v/>
      </c>
      <c r="M78" s="13">
        <f>IF($A78="","",ROUND('Beállítások'!$E$6*(B78-1)/4+'Beállítások'!$E$7*(C78-1)/4+'Beállítások'!$E$8*(D78-1)/4+'Beállítások'!$E$9*(E78-1)/4+'Beállítások'!$E$10*(F78-1)/4+'Beállítások'!$E$11*(G78-1)/4+'Beállítások'!$E$12*(H78-1)/4+'Beállítások'!$E$13*(I78-1)/4+'Beállítások'!$E$14*(J78-1)/4+'Beállítások'!$E$15*(K78-1)/4+'Beállítások'!$E$16*(L78-1)/4,1))</f>
        <v/>
      </c>
      <c r="N78" s="14">
        <f>IF($A78="","",RANK(M78,$M$2:$M$201))</f>
        <v/>
      </c>
      <c r="O78">
        <f>IF($A78="","",VLOOKUP(M78,'Beállítások'!$A$57:$E$60,2,TRUE))</f>
        <v/>
      </c>
      <c r="P78">
        <f>IF($A78="","",VLOOKUP(M78,'Beállítások'!$A$57:$E$60,3,TRUE))</f>
        <v/>
      </c>
      <c r="Q78">
        <f>IF($A78="","",INDEX('Beállítások'!$B$6:$B$16,MATCH(MAX(AD78:AN78),AD78:AN78,0)))</f>
        <v/>
      </c>
      <c r="R78">
        <f>IF($A78="","",IF(MAX(AO78:AY78)=0,"—",INDEX('Beállítások'!$B$6:$B$16,MATCH(MAX(AO78:AY78),AO78:AY78,0))))</f>
        <v/>
      </c>
      <c r="S78" s="5">
        <f>IF($A78="","",'Beállítások'!$B$47*(TRIM('Ügyfelek'!E78)="igen")+'Beállítások'!$B$48*(TRIM('Ügyfelek'!F78)="igen")+'Beállítások'!$B$49*N('Ügyfelek'!G78)+'Beállítások'!$B$46*N('Ügyfelek'!H78))</f>
        <v/>
      </c>
      <c r="T78" s="15">
        <f>IF($A78="","",VLOOKUP(M78,'Beállítások'!$A$57:$E$60,4,TRUE))</f>
        <v/>
      </c>
      <c r="U78" s="5">
        <f>IF($A78="","",N('Ügyfelek'!D78)*'Beállítások'!$B$51)</f>
        <v/>
      </c>
      <c r="V78" s="5">
        <f>IF($A78="","",CEILING(ROUND(MAX('Beállítások'!$B$50,S78*T78,U78),2),'Beállítások'!$B$52))</f>
        <v/>
      </c>
      <c r="W78">
        <f>IF($A78="","",IF(MAX('Beállítások'!$B$50,S78*T78,U78)=S78*T78,"Munkaigény × szintszorzó",IF(MAX('Beállítások'!$B$50,S78*T78,U78)=U78,"Hirdetési keret arányában","Minimumdíj")))</f>
        <v/>
      </c>
      <c r="X78" s="5">
        <f>IF(OR($A78="",'Ügyfelek'!Q78=""),"",'Ügyfelek'!Q78)</f>
        <v/>
      </c>
      <c r="Y78" s="5">
        <f>IF(X78="","",V78-X78)</f>
        <v/>
      </c>
      <c r="Z78" s="16">
        <f>IF(OR(X78="",X78=0),"",Y78/X78)</f>
        <v/>
      </c>
      <c r="AA78" s="5">
        <f>IF(OR($A78="",'Ügyfelek'!R78=""),"",'Ügyfelek'!R78*VLOOKUP(M78,'Beállítások'!$A$57:$E$60,5,TRUE))</f>
        <v/>
      </c>
      <c r="AB78" s="14">
        <f>IF($A78="","",('Ügyfelek'!B78="")+('Ügyfelek'!C78="")+('Ügyfelek'!D78="")+('Ügyfelek'!L78="")+('Ügyfelek'!I78="")+('Ügyfelek'!N78="")+('Ügyfelek'!J78="")+('Ügyfelek'!K78="")+('Ügyfelek'!M78="")+('Ügyfelek'!P78="")+('Ügyfelek'!O78=""))</f>
        <v/>
      </c>
      <c r="AD78">
        <f>IF($A78="","",B78+'Beállítások'!$E$6/1000)</f>
        <v/>
      </c>
      <c r="AE78">
        <f>IF($A78="","",C78+'Beállítások'!$E$7/1000)</f>
        <v/>
      </c>
      <c r="AF78">
        <f>IF($A78="","",D78+'Beállítások'!$E$8/1000)</f>
        <v/>
      </c>
      <c r="AG78">
        <f>IF($A78="","",E78+'Beállítások'!$E$9/1000)</f>
        <v/>
      </c>
      <c r="AH78">
        <f>IF($A78="","",F78+'Beállítások'!$E$10/1000)</f>
        <v/>
      </c>
      <c r="AI78">
        <f>IF($A78="","",G78+'Beállítások'!$E$11/1000)</f>
        <v/>
      </c>
      <c r="AJ78">
        <f>IF($A78="","",H78+'Beállítások'!$E$12/1000)</f>
        <v/>
      </c>
      <c r="AK78">
        <f>IF($A78="","",I78+'Beállítások'!$E$13/1000)</f>
        <v/>
      </c>
      <c r="AL78">
        <f>IF($A78="","",J78+'Beállítások'!$E$14/1000)</f>
        <v/>
      </c>
      <c r="AM78">
        <f>IF($A78="","",K78+'Beállítások'!$E$15/1000)</f>
        <v/>
      </c>
      <c r="AN78">
        <f>IF($A78="","",L78+'Beállítások'!$E$16/1000)</f>
        <v/>
      </c>
      <c r="AO78">
        <f>IF($A78="","",'Beállítások'!$E$6*(5-B78))</f>
        <v/>
      </c>
      <c r="AP78">
        <f>IF($A78="","",'Beállítások'!$E$7*(5-C78))</f>
        <v/>
      </c>
      <c r="AQ78">
        <f>IF($A78="","",'Beállítások'!$E$8*(5-D78))</f>
        <v/>
      </c>
      <c r="AR78">
        <f>IF($A78="","",'Beállítások'!$E$9*(5-E78))</f>
        <v/>
      </c>
      <c r="AS78">
        <f>IF($A78="","",'Beállítások'!$E$10*(5-F78))</f>
        <v/>
      </c>
      <c r="AT78">
        <f>IF($A78="","",'Beállítások'!$E$11*(5-G78))</f>
        <v/>
      </c>
      <c r="AU78">
        <f>IF($A78="","",'Beállítások'!$E$12*(5-H78))</f>
        <v/>
      </c>
      <c r="AV78">
        <f>IF($A78="","",'Beállítások'!$E$13*(5-I78))</f>
        <v/>
      </c>
      <c r="AW78">
        <f>IF($A78="","",'Beállítások'!$E$14*(5-J78))</f>
        <v/>
      </c>
      <c r="AX78">
        <f>IF($A78="","",'Beállítások'!$E$15*(5-K78))</f>
        <v/>
      </c>
      <c r="AY78">
        <f>IF($A78="","",'Beállítások'!$E$16*(5-L78))</f>
        <v/>
      </c>
      <c r="AZ78">
        <f>IF($A78="","",M78-ROW()/100000)</f>
        <v/>
      </c>
    </row>
    <row r="79">
      <c r="A79">
        <f>IF('Ügyfelek'!A79="","",'Ügyfelek'!A79)</f>
        <v/>
      </c>
      <c r="B79">
        <f>IF($A79="","",IF('Ügyfelek'!B79="",'Beállítások'!$B$45,IFERROR(VLOOKUP(TRIM('Ügyfelek'!B79),'Beállítások'!$A$22:$B$41,2,FALSE),'Beállítások'!$B$45)))</f>
        <v/>
      </c>
      <c r="C79">
        <f>IF($A79="","",IF('Ügyfelek'!C79="",'Beállítások'!$B$45,VLOOKUP(MAX('Ügyfelek'!C79,'Beállítások'!$H$7),'Beállítások'!$H$7:$I$11,2,TRUE)))</f>
        <v/>
      </c>
      <c r="D79">
        <f>IF($A79="","",IF('Ügyfelek'!D79="",'Beállítások'!$B$45,VLOOKUP(MAX('Ügyfelek'!D79,'Beállítások'!$K$7),'Beállítások'!$K$7:$L$11,2,TRUE)))</f>
        <v/>
      </c>
      <c r="E79">
        <f>IF($A79="","",IF('Ügyfelek'!L79="",'Beállítások'!$B$45,MIN(5,MAX(1,ROUND('Ügyfelek'!L79,0)))))</f>
        <v/>
      </c>
      <c r="F79">
        <f>IF($A79="","",IF('Ügyfelek'!I79="",'Beállítások'!$B$45,VLOOKUP(MAX('Ügyfelek'!I79,'Beállítások'!$N$7),'Beállítások'!$N$7:$O$11,2,TRUE)))</f>
        <v/>
      </c>
      <c r="G79">
        <f>IF($A79="","",IF('Ügyfelek'!N79="",'Beállítások'!$B$45,MIN(5,MAX(1,ROUND('Ügyfelek'!N79,0)))))</f>
        <v/>
      </c>
      <c r="H79">
        <f>IF($A79="","",IF('Ügyfelek'!J79="",'Beállítások'!$B$45,VLOOKUP(MAX('Ügyfelek'!J79,'Beállítások'!$Q$7),'Beállítások'!$Q$7:$R$11,2,TRUE)))</f>
        <v/>
      </c>
      <c r="I79">
        <f>IF($A79="","",IF('Ügyfelek'!K79="",'Beállítások'!$B$45,VLOOKUP(MAX('Ügyfelek'!K79,'Beállítások'!$T$7),'Beállítások'!$T$7:$U$11,2,TRUE)))</f>
        <v/>
      </c>
      <c r="J79">
        <f>IF($A79="","",IF('Ügyfelek'!M79="",'Beállítások'!$B$45,MIN(5,MAX(1,ROUND('Ügyfelek'!M79,0)))))</f>
        <v/>
      </c>
      <c r="K79">
        <f>IF($A79="","",IF('Ügyfelek'!P79="",'Beállítások'!$B$45,MIN(5,MAX(1,ROUND('Ügyfelek'!P79,0)))))</f>
        <v/>
      </c>
      <c r="L79">
        <f>IF($A79="","",IF('Ügyfelek'!O79="",'Beállítások'!$B$45,MIN(5,MAX(1,ROUND('Ügyfelek'!O79,0)))))</f>
        <v/>
      </c>
      <c r="M79" s="13">
        <f>IF($A79="","",ROUND('Beállítások'!$E$6*(B79-1)/4+'Beállítások'!$E$7*(C79-1)/4+'Beállítások'!$E$8*(D79-1)/4+'Beállítások'!$E$9*(E79-1)/4+'Beállítások'!$E$10*(F79-1)/4+'Beállítások'!$E$11*(G79-1)/4+'Beállítások'!$E$12*(H79-1)/4+'Beállítások'!$E$13*(I79-1)/4+'Beállítások'!$E$14*(J79-1)/4+'Beállítások'!$E$15*(K79-1)/4+'Beállítások'!$E$16*(L79-1)/4,1))</f>
        <v/>
      </c>
      <c r="N79" s="14">
        <f>IF($A79="","",RANK(M79,$M$2:$M$201))</f>
        <v/>
      </c>
      <c r="O79">
        <f>IF($A79="","",VLOOKUP(M79,'Beállítások'!$A$57:$E$60,2,TRUE))</f>
        <v/>
      </c>
      <c r="P79">
        <f>IF($A79="","",VLOOKUP(M79,'Beállítások'!$A$57:$E$60,3,TRUE))</f>
        <v/>
      </c>
      <c r="Q79">
        <f>IF($A79="","",INDEX('Beállítások'!$B$6:$B$16,MATCH(MAX(AD79:AN79),AD79:AN79,0)))</f>
        <v/>
      </c>
      <c r="R79">
        <f>IF($A79="","",IF(MAX(AO79:AY79)=0,"—",INDEX('Beállítások'!$B$6:$B$16,MATCH(MAX(AO79:AY79),AO79:AY79,0))))</f>
        <v/>
      </c>
      <c r="S79" s="5">
        <f>IF($A79="","",'Beállítások'!$B$47*(TRIM('Ügyfelek'!E79)="igen")+'Beállítások'!$B$48*(TRIM('Ügyfelek'!F79)="igen")+'Beállítások'!$B$49*N('Ügyfelek'!G79)+'Beállítások'!$B$46*N('Ügyfelek'!H79))</f>
        <v/>
      </c>
      <c r="T79" s="15">
        <f>IF($A79="","",VLOOKUP(M79,'Beállítások'!$A$57:$E$60,4,TRUE))</f>
        <v/>
      </c>
      <c r="U79" s="5">
        <f>IF($A79="","",N('Ügyfelek'!D79)*'Beállítások'!$B$51)</f>
        <v/>
      </c>
      <c r="V79" s="5">
        <f>IF($A79="","",CEILING(ROUND(MAX('Beállítások'!$B$50,S79*T79,U79),2),'Beállítások'!$B$52))</f>
        <v/>
      </c>
      <c r="W79">
        <f>IF($A79="","",IF(MAX('Beállítások'!$B$50,S79*T79,U79)=S79*T79,"Munkaigény × szintszorzó",IF(MAX('Beállítások'!$B$50,S79*T79,U79)=U79,"Hirdetési keret arányában","Minimumdíj")))</f>
        <v/>
      </c>
      <c r="X79" s="5">
        <f>IF(OR($A79="",'Ügyfelek'!Q79=""),"",'Ügyfelek'!Q79)</f>
        <v/>
      </c>
      <c r="Y79" s="5">
        <f>IF(X79="","",V79-X79)</f>
        <v/>
      </c>
      <c r="Z79" s="16">
        <f>IF(OR(X79="",X79=0),"",Y79/X79)</f>
        <v/>
      </c>
      <c r="AA79" s="5">
        <f>IF(OR($A79="",'Ügyfelek'!R79=""),"",'Ügyfelek'!R79*VLOOKUP(M79,'Beállítások'!$A$57:$E$60,5,TRUE))</f>
        <v/>
      </c>
      <c r="AB79" s="14">
        <f>IF($A79="","",('Ügyfelek'!B79="")+('Ügyfelek'!C79="")+('Ügyfelek'!D79="")+('Ügyfelek'!L79="")+('Ügyfelek'!I79="")+('Ügyfelek'!N79="")+('Ügyfelek'!J79="")+('Ügyfelek'!K79="")+('Ügyfelek'!M79="")+('Ügyfelek'!P79="")+('Ügyfelek'!O79=""))</f>
        <v/>
      </c>
      <c r="AD79">
        <f>IF($A79="","",B79+'Beállítások'!$E$6/1000)</f>
        <v/>
      </c>
      <c r="AE79">
        <f>IF($A79="","",C79+'Beállítások'!$E$7/1000)</f>
        <v/>
      </c>
      <c r="AF79">
        <f>IF($A79="","",D79+'Beállítások'!$E$8/1000)</f>
        <v/>
      </c>
      <c r="AG79">
        <f>IF($A79="","",E79+'Beállítások'!$E$9/1000)</f>
        <v/>
      </c>
      <c r="AH79">
        <f>IF($A79="","",F79+'Beállítások'!$E$10/1000)</f>
        <v/>
      </c>
      <c r="AI79">
        <f>IF($A79="","",G79+'Beállítások'!$E$11/1000)</f>
        <v/>
      </c>
      <c r="AJ79">
        <f>IF($A79="","",H79+'Beállítások'!$E$12/1000)</f>
        <v/>
      </c>
      <c r="AK79">
        <f>IF($A79="","",I79+'Beállítások'!$E$13/1000)</f>
        <v/>
      </c>
      <c r="AL79">
        <f>IF($A79="","",J79+'Beállítások'!$E$14/1000)</f>
        <v/>
      </c>
      <c r="AM79">
        <f>IF($A79="","",K79+'Beállítások'!$E$15/1000)</f>
        <v/>
      </c>
      <c r="AN79">
        <f>IF($A79="","",L79+'Beállítások'!$E$16/1000)</f>
        <v/>
      </c>
      <c r="AO79">
        <f>IF($A79="","",'Beállítások'!$E$6*(5-B79))</f>
        <v/>
      </c>
      <c r="AP79">
        <f>IF($A79="","",'Beállítások'!$E$7*(5-C79))</f>
        <v/>
      </c>
      <c r="AQ79">
        <f>IF($A79="","",'Beállítások'!$E$8*(5-D79))</f>
        <v/>
      </c>
      <c r="AR79">
        <f>IF($A79="","",'Beállítások'!$E$9*(5-E79))</f>
        <v/>
      </c>
      <c r="AS79">
        <f>IF($A79="","",'Beállítások'!$E$10*(5-F79))</f>
        <v/>
      </c>
      <c r="AT79">
        <f>IF($A79="","",'Beállítások'!$E$11*(5-G79))</f>
        <v/>
      </c>
      <c r="AU79">
        <f>IF($A79="","",'Beállítások'!$E$12*(5-H79))</f>
        <v/>
      </c>
      <c r="AV79">
        <f>IF($A79="","",'Beállítások'!$E$13*(5-I79))</f>
        <v/>
      </c>
      <c r="AW79">
        <f>IF($A79="","",'Beállítások'!$E$14*(5-J79))</f>
        <v/>
      </c>
      <c r="AX79">
        <f>IF($A79="","",'Beállítások'!$E$15*(5-K79))</f>
        <v/>
      </c>
      <c r="AY79">
        <f>IF($A79="","",'Beállítások'!$E$16*(5-L79))</f>
        <v/>
      </c>
      <c r="AZ79">
        <f>IF($A79="","",M79-ROW()/100000)</f>
        <v/>
      </c>
    </row>
    <row r="80">
      <c r="A80">
        <f>IF('Ügyfelek'!A80="","",'Ügyfelek'!A80)</f>
        <v/>
      </c>
      <c r="B80">
        <f>IF($A80="","",IF('Ügyfelek'!B80="",'Beállítások'!$B$45,IFERROR(VLOOKUP(TRIM('Ügyfelek'!B80),'Beállítások'!$A$22:$B$41,2,FALSE),'Beállítások'!$B$45)))</f>
        <v/>
      </c>
      <c r="C80">
        <f>IF($A80="","",IF('Ügyfelek'!C80="",'Beállítások'!$B$45,VLOOKUP(MAX('Ügyfelek'!C80,'Beállítások'!$H$7),'Beállítások'!$H$7:$I$11,2,TRUE)))</f>
        <v/>
      </c>
      <c r="D80">
        <f>IF($A80="","",IF('Ügyfelek'!D80="",'Beállítások'!$B$45,VLOOKUP(MAX('Ügyfelek'!D80,'Beállítások'!$K$7),'Beállítások'!$K$7:$L$11,2,TRUE)))</f>
        <v/>
      </c>
      <c r="E80">
        <f>IF($A80="","",IF('Ügyfelek'!L80="",'Beállítások'!$B$45,MIN(5,MAX(1,ROUND('Ügyfelek'!L80,0)))))</f>
        <v/>
      </c>
      <c r="F80">
        <f>IF($A80="","",IF('Ügyfelek'!I80="",'Beállítások'!$B$45,VLOOKUP(MAX('Ügyfelek'!I80,'Beállítások'!$N$7),'Beállítások'!$N$7:$O$11,2,TRUE)))</f>
        <v/>
      </c>
      <c r="G80">
        <f>IF($A80="","",IF('Ügyfelek'!N80="",'Beállítások'!$B$45,MIN(5,MAX(1,ROUND('Ügyfelek'!N80,0)))))</f>
        <v/>
      </c>
      <c r="H80">
        <f>IF($A80="","",IF('Ügyfelek'!J80="",'Beállítások'!$B$45,VLOOKUP(MAX('Ügyfelek'!J80,'Beállítások'!$Q$7),'Beállítások'!$Q$7:$R$11,2,TRUE)))</f>
        <v/>
      </c>
      <c r="I80">
        <f>IF($A80="","",IF('Ügyfelek'!K80="",'Beállítások'!$B$45,VLOOKUP(MAX('Ügyfelek'!K80,'Beállítások'!$T$7),'Beállítások'!$T$7:$U$11,2,TRUE)))</f>
        <v/>
      </c>
      <c r="J80">
        <f>IF($A80="","",IF('Ügyfelek'!M80="",'Beállítások'!$B$45,MIN(5,MAX(1,ROUND('Ügyfelek'!M80,0)))))</f>
        <v/>
      </c>
      <c r="K80">
        <f>IF($A80="","",IF('Ügyfelek'!P80="",'Beállítások'!$B$45,MIN(5,MAX(1,ROUND('Ügyfelek'!P80,0)))))</f>
        <v/>
      </c>
      <c r="L80">
        <f>IF($A80="","",IF('Ügyfelek'!O80="",'Beállítások'!$B$45,MIN(5,MAX(1,ROUND('Ügyfelek'!O80,0)))))</f>
        <v/>
      </c>
      <c r="M80" s="13">
        <f>IF($A80="","",ROUND('Beállítások'!$E$6*(B80-1)/4+'Beállítások'!$E$7*(C80-1)/4+'Beállítások'!$E$8*(D80-1)/4+'Beállítások'!$E$9*(E80-1)/4+'Beállítások'!$E$10*(F80-1)/4+'Beállítások'!$E$11*(G80-1)/4+'Beállítások'!$E$12*(H80-1)/4+'Beállítások'!$E$13*(I80-1)/4+'Beállítások'!$E$14*(J80-1)/4+'Beállítások'!$E$15*(K80-1)/4+'Beállítások'!$E$16*(L80-1)/4,1))</f>
        <v/>
      </c>
      <c r="N80" s="14">
        <f>IF($A80="","",RANK(M80,$M$2:$M$201))</f>
        <v/>
      </c>
      <c r="O80">
        <f>IF($A80="","",VLOOKUP(M80,'Beállítások'!$A$57:$E$60,2,TRUE))</f>
        <v/>
      </c>
      <c r="P80">
        <f>IF($A80="","",VLOOKUP(M80,'Beállítások'!$A$57:$E$60,3,TRUE))</f>
        <v/>
      </c>
      <c r="Q80">
        <f>IF($A80="","",INDEX('Beállítások'!$B$6:$B$16,MATCH(MAX(AD80:AN80),AD80:AN80,0)))</f>
        <v/>
      </c>
      <c r="R80">
        <f>IF($A80="","",IF(MAX(AO80:AY80)=0,"—",INDEX('Beállítások'!$B$6:$B$16,MATCH(MAX(AO80:AY80),AO80:AY80,0))))</f>
        <v/>
      </c>
      <c r="S80" s="5">
        <f>IF($A80="","",'Beállítások'!$B$47*(TRIM('Ügyfelek'!E80)="igen")+'Beállítások'!$B$48*(TRIM('Ügyfelek'!F80)="igen")+'Beállítások'!$B$49*N('Ügyfelek'!G80)+'Beállítások'!$B$46*N('Ügyfelek'!H80))</f>
        <v/>
      </c>
      <c r="T80" s="15">
        <f>IF($A80="","",VLOOKUP(M80,'Beállítások'!$A$57:$E$60,4,TRUE))</f>
        <v/>
      </c>
      <c r="U80" s="5">
        <f>IF($A80="","",N('Ügyfelek'!D80)*'Beállítások'!$B$51)</f>
        <v/>
      </c>
      <c r="V80" s="5">
        <f>IF($A80="","",CEILING(ROUND(MAX('Beállítások'!$B$50,S80*T80,U80),2),'Beállítások'!$B$52))</f>
        <v/>
      </c>
      <c r="W80">
        <f>IF($A80="","",IF(MAX('Beállítások'!$B$50,S80*T80,U80)=S80*T80,"Munkaigény × szintszorzó",IF(MAX('Beállítások'!$B$50,S80*T80,U80)=U80,"Hirdetési keret arányában","Minimumdíj")))</f>
        <v/>
      </c>
      <c r="X80" s="5">
        <f>IF(OR($A80="",'Ügyfelek'!Q80=""),"",'Ügyfelek'!Q80)</f>
        <v/>
      </c>
      <c r="Y80" s="5">
        <f>IF(X80="","",V80-X80)</f>
        <v/>
      </c>
      <c r="Z80" s="16">
        <f>IF(OR(X80="",X80=0),"",Y80/X80)</f>
        <v/>
      </c>
      <c r="AA80" s="5">
        <f>IF(OR($A80="",'Ügyfelek'!R80=""),"",'Ügyfelek'!R80*VLOOKUP(M80,'Beállítások'!$A$57:$E$60,5,TRUE))</f>
        <v/>
      </c>
      <c r="AB80" s="14">
        <f>IF($A80="","",('Ügyfelek'!B80="")+('Ügyfelek'!C80="")+('Ügyfelek'!D80="")+('Ügyfelek'!L80="")+('Ügyfelek'!I80="")+('Ügyfelek'!N80="")+('Ügyfelek'!J80="")+('Ügyfelek'!K80="")+('Ügyfelek'!M80="")+('Ügyfelek'!P80="")+('Ügyfelek'!O80=""))</f>
        <v/>
      </c>
      <c r="AD80">
        <f>IF($A80="","",B80+'Beállítások'!$E$6/1000)</f>
        <v/>
      </c>
      <c r="AE80">
        <f>IF($A80="","",C80+'Beállítások'!$E$7/1000)</f>
        <v/>
      </c>
      <c r="AF80">
        <f>IF($A80="","",D80+'Beállítások'!$E$8/1000)</f>
        <v/>
      </c>
      <c r="AG80">
        <f>IF($A80="","",E80+'Beállítások'!$E$9/1000)</f>
        <v/>
      </c>
      <c r="AH80">
        <f>IF($A80="","",F80+'Beállítások'!$E$10/1000)</f>
        <v/>
      </c>
      <c r="AI80">
        <f>IF($A80="","",G80+'Beállítások'!$E$11/1000)</f>
        <v/>
      </c>
      <c r="AJ80">
        <f>IF($A80="","",H80+'Beállítások'!$E$12/1000)</f>
        <v/>
      </c>
      <c r="AK80">
        <f>IF($A80="","",I80+'Beállítások'!$E$13/1000)</f>
        <v/>
      </c>
      <c r="AL80">
        <f>IF($A80="","",J80+'Beállítások'!$E$14/1000)</f>
        <v/>
      </c>
      <c r="AM80">
        <f>IF($A80="","",K80+'Beállítások'!$E$15/1000)</f>
        <v/>
      </c>
      <c r="AN80">
        <f>IF($A80="","",L80+'Beállítások'!$E$16/1000)</f>
        <v/>
      </c>
      <c r="AO80">
        <f>IF($A80="","",'Beállítások'!$E$6*(5-B80))</f>
        <v/>
      </c>
      <c r="AP80">
        <f>IF($A80="","",'Beállítások'!$E$7*(5-C80))</f>
        <v/>
      </c>
      <c r="AQ80">
        <f>IF($A80="","",'Beállítások'!$E$8*(5-D80))</f>
        <v/>
      </c>
      <c r="AR80">
        <f>IF($A80="","",'Beállítások'!$E$9*(5-E80))</f>
        <v/>
      </c>
      <c r="AS80">
        <f>IF($A80="","",'Beállítások'!$E$10*(5-F80))</f>
        <v/>
      </c>
      <c r="AT80">
        <f>IF($A80="","",'Beállítások'!$E$11*(5-G80))</f>
        <v/>
      </c>
      <c r="AU80">
        <f>IF($A80="","",'Beállítások'!$E$12*(5-H80))</f>
        <v/>
      </c>
      <c r="AV80">
        <f>IF($A80="","",'Beállítások'!$E$13*(5-I80))</f>
        <v/>
      </c>
      <c r="AW80">
        <f>IF($A80="","",'Beállítások'!$E$14*(5-J80))</f>
        <v/>
      </c>
      <c r="AX80">
        <f>IF($A80="","",'Beállítások'!$E$15*(5-K80))</f>
        <v/>
      </c>
      <c r="AY80">
        <f>IF($A80="","",'Beállítások'!$E$16*(5-L80))</f>
        <v/>
      </c>
      <c r="AZ80">
        <f>IF($A80="","",M80-ROW()/100000)</f>
        <v/>
      </c>
    </row>
    <row r="81">
      <c r="A81">
        <f>IF('Ügyfelek'!A81="","",'Ügyfelek'!A81)</f>
        <v/>
      </c>
      <c r="B81">
        <f>IF($A81="","",IF('Ügyfelek'!B81="",'Beállítások'!$B$45,IFERROR(VLOOKUP(TRIM('Ügyfelek'!B81),'Beállítások'!$A$22:$B$41,2,FALSE),'Beállítások'!$B$45)))</f>
        <v/>
      </c>
      <c r="C81">
        <f>IF($A81="","",IF('Ügyfelek'!C81="",'Beállítások'!$B$45,VLOOKUP(MAX('Ügyfelek'!C81,'Beállítások'!$H$7),'Beállítások'!$H$7:$I$11,2,TRUE)))</f>
        <v/>
      </c>
      <c r="D81">
        <f>IF($A81="","",IF('Ügyfelek'!D81="",'Beállítások'!$B$45,VLOOKUP(MAX('Ügyfelek'!D81,'Beállítások'!$K$7),'Beállítások'!$K$7:$L$11,2,TRUE)))</f>
        <v/>
      </c>
      <c r="E81">
        <f>IF($A81="","",IF('Ügyfelek'!L81="",'Beállítások'!$B$45,MIN(5,MAX(1,ROUND('Ügyfelek'!L81,0)))))</f>
        <v/>
      </c>
      <c r="F81">
        <f>IF($A81="","",IF('Ügyfelek'!I81="",'Beállítások'!$B$45,VLOOKUP(MAX('Ügyfelek'!I81,'Beállítások'!$N$7),'Beállítások'!$N$7:$O$11,2,TRUE)))</f>
        <v/>
      </c>
      <c r="G81">
        <f>IF($A81="","",IF('Ügyfelek'!N81="",'Beállítások'!$B$45,MIN(5,MAX(1,ROUND('Ügyfelek'!N81,0)))))</f>
        <v/>
      </c>
      <c r="H81">
        <f>IF($A81="","",IF('Ügyfelek'!J81="",'Beállítások'!$B$45,VLOOKUP(MAX('Ügyfelek'!J81,'Beállítások'!$Q$7),'Beállítások'!$Q$7:$R$11,2,TRUE)))</f>
        <v/>
      </c>
      <c r="I81">
        <f>IF($A81="","",IF('Ügyfelek'!K81="",'Beállítások'!$B$45,VLOOKUP(MAX('Ügyfelek'!K81,'Beállítások'!$T$7),'Beállítások'!$T$7:$U$11,2,TRUE)))</f>
        <v/>
      </c>
      <c r="J81">
        <f>IF($A81="","",IF('Ügyfelek'!M81="",'Beállítások'!$B$45,MIN(5,MAX(1,ROUND('Ügyfelek'!M81,0)))))</f>
        <v/>
      </c>
      <c r="K81">
        <f>IF($A81="","",IF('Ügyfelek'!P81="",'Beállítások'!$B$45,MIN(5,MAX(1,ROUND('Ügyfelek'!P81,0)))))</f>
        <v/>
      </c>
      <c r="L81">
        <f>IF($A81="","",IF('Ügyfelek'!O81="",'Beállítások'!$B$45,MIN(5,MAX(1,ROUND('Ügyfelek'!O81,0)))))</f>
        <v/>
      </c>
      <c r="M81" s="13">
        <f>IF($A81="","",ROUND('Beállítások'!$E$6*(B81-1)/4+'Beállítások'!$E$7*(C81-1)/4+'Beállítások'!$E$8*(D81-1)/4+'Beállítások'!$E$9*(E81-1)/4+'Beállítások'!$E$10*(F81-1)/4+'Beállítások'!$E$11*(G81-1)/4+'Beállítások'!$E$12*(H81-1)/4+'Beállítások'!$E$13*(I81-1)/4+'Beállítások'!$E$14*(J81-1)/4+'Beállítások'!$E$15*(K81-1)/4+'Beállítások'!$E$16*(L81-1)/4,1))</f>
        <v/>
      </c>
      <c r="N81" s="14">
        <f>IF($A81="","",RANK(M81,$M$2:$M$201))</f>
        <v/>
      </c>
      <c r="O81">
        <f>IF($A81="","",VLOOKUP(M81,'Beállítások'!$A$57:$E$60,2,TRUE))</f>
        <v/>
      </c>
      <c r="P81">
        <f>IF($A81="","",VLOOKUP(M81,'Beállítások'!$A$57:$E$60,3,TRUE))</f>
        <v/>
      </c>
      <c r="Q81">
        <f>IF($A81="","",INDEX('Beállítások'!$B$6:$B$16,MATCH(MAX(AD81:AN81),AD81:AN81,0)))</f>
        <v/>
      </c>
      <c r="R81">
        <f>IF($A81="","",IF(MAX(AO81:AY81)=0,"—",INDEX('Beállítások'!$B$6:$B$16,MATCH(MAX(AO81:AY81),AO81:AY81,0))))</f>
        <v/>
      </c>
      <c r="S81" s="5">
        <f>IF($A81="","",'Beállítások'!$B$47*(TRIM('Ügyfelek'!E81)="igen")+'Beállítások'!$B$48*(TRIM('Ügyfelek'!F81)="igen")+'Beállítások'!$B$49*N('Ügyfelek'!G81)+'Beállítások'!$B$46*N('Ügyfelek'!H81))</f>
        <v/>
      </c>
      <c r="T81" s="15">
        <f>IF($A81="","",VLOOKUP(M81,'Beállítások'!$A$57:$E$60,4,TRUE))</f>
        <v/>
      </c>
      <c r="U81" s="5">
        <f>IF($A81="","",N('Ügyfelek'!D81)*'Beállítások'!$B$51)</f>
        <v/>
      </c>
      <c r="V81" s="5">
        <f>IF($A81="","",CEILING(ROUND(MAX('Beállítások'!$B$50,S81*T81,U81),2),'Beállítások'!$B$52))</f>
        <v/>
      </c>
      <c r="W81">
        <f>IF($A81="","",IF(MAX('Beállítások'!$B$50,S81*T81,U81)=S81*T81,"Munkaigény × szintszorzó",IF(MAX('Beállítások'!$B$50,S81*T81,U81)=U81,"Hirdetési keret arányában","Minimumdíj")))</f>
        <v/>
      </c>
      <c r="X81" s="5">
        <f>IF(OR($A81="",'Ügyfelek'!Q81=""),"",'Ügyfelek'!Q81)</f>
        <v/>
      </c>
      <c r="Y81" s="5">
        <f>IF(X81="","",V81-X81)</f>
        <v/>
      </c>
      <c r="Z81" s="16">
        <f>IF(OR(X81="",X81=0),"",Y81/X81)</f>
        <v/>
      </c>
      <c r="AA81" s="5">
        <f>IF(OR($A81="",'Ügyfelek'!R81=""),"",'Ügyfelek'!R81*VLOOKUP(M81,'Beállítások'!$A$57:$E$60,5,TRUE))</f>
        <v/>
      </c>
      <c r="AB81" s="14">
        <f>IF($A81="","",('Ügyfelek'!B81="")+('Ügyfelek'!C81="")+('Ügyfelek'!D81="")+('Ügyfelek'!L81="")+('Ügyfelek'!I81="")+('Ügyfelek'!N81="")+('Ügyfelek'!J81="")+('Ügyfelek'!K81="")+('Ügyfelek'!M81="")+('Ügyfelek'!P81="")+('Ügyfelek'!O81=""))</f>
        <v/>
      </c>
      <c r="AD81">
        <f>IF($A81="","",B81+'Beállítások'!$E$6/1000)</f>
        <v/>
      </c>
      <c r="AE81">
        <f>IF($A81="","",C81+'Beállítások'!$E$7/1000)</f>
        <v/>
      </c>
      <c r="AF81">
        <f>IF($A81="","",D81+'Beállítások'!$E$8/1000)</f>
        <v/>
      </c>
      <c r="AG81">
        <f>IF($A81="","",E81+'Beállítások'!$E$9/1000)</f>
        <v/>
      </c>
      <c r="AH81">
        <f>IF($A81="","",F81+'Beállítások'!$E$10/1000)</f>
        <v/>
      </c>
      <c r="AI81">
        <f>IF($A81="","",G81+'Beállítások'!$E$11/1000)</f>
        <v/>
      </c>
      <c r="AJ81">
        <f>IF($A81="","",H81+'Beállítások'!$E$12/1000)</f>
        <v/>
      </c>
      <c r="AK81">
        <f>IF($A81="","",I81+'Beállítások'!$E$13/1000)</f>
        <v/>
      </c>
      <c r="AL81">
        <f>IF($A81="","",J81+'Beállítások'!$E$14/1000)</f>
        <v/>
      </c>
      <c r="AM81">
        <f>IF($A81="","",K81+'Beállítások'!$E$15/1000)</f>
        <v/>
      </c>
      <c r="AN81">
        <f>IF($A81="","",L81+'Beállítások'!$E$16/1000)</f>
        <v/>
      </c>
      <c r="AO81">
        <f>IF($A81="","",'Beállítások'!$E$6*(5-B81))</f>
        <v/>
      </c>
      <c r="AP81">
        <f>IF($A81="","",'Beállítások'!$E$7*(5-C81))</f>
        <v/>
      </c>
      <c r="AQ81">
        <f>IF($A81="","",'Beállítások'!$E$8*(5-D81))</f>
        <v/>
      </c>
      <c r="AR81">
        <f>IF($A81="","",'Beállítások'!$E$9*(5-E81))</f>
        <v/>
      </c>
      <c r="AS81">
        <f>IF($A81="","",'Beállítások'!$E$10*(5-F81))</f>
        <v/>
      </c>
      <c r="AT81">
        <f>IF($A81="","",'Beállítások'!$E$11*(5-G81))</f>
        <v/>
      </c>
      <c r="AU81">
        <f>IF($A81="","",'Beállítások'!$E$12*(5-H81))</f>
        <v/>
      </c>
      <c r="AV81">
        <f>IF($A81="","",'Beállítások'!$E$13*(5-I81))</f>
        <v/>
      </c>
      <c r="AW81">
        <f>IF($A81="","",'Beállítások'!$E$14*(5-J81))</f>
        <v/>
      </c>
      <c r="AX81">
        <f>IF($A81="","",'Beállítások'!$E$15*(5-K81))</f>
        <v/>
      </c>
      <c r="AY81">
        <f>IF($A81="","",'Beállítások'!$E$16*(5-L81))</f>
        <v/>
      </c>
      <c r="AZ81">
        <f>IF($A81="","",M81-ROW()/100000)</f>
        <v/>
      </c>
    </row>
    <row r="82">
      <c r="A82">
        <f>IF('Ügyfelek'!A82="","",'Ügyfelek'!A82)</f>
        <v/>
      </c>
      <c r="B82">
        <f>IF($A82="","",IF('Ügyfelek'!B82="",'Beállítások'!$B$45,IFERROR(VLOOKUP(TRIM('Ügyfelek'!B82),'Beállítások'!$A$22:$B$41,2,FALSE),'Beállítások'!$B$45)))</f>
        <v/>
      </c>
      <c r="C82">
        <f>IF($A82="","",IF('Ügyfelek'!C82="",'Beállítások'!$B$45,VLOOKUP(MAX('Ügyfelek'!C82,'Beállítások'!$H$7),'Beállítások'!$H$7:$I$11,2,TRUE)))</f>
        <v/>
      </c>
      <c r="D82">
        <f>IF($A82="","",IF('Ügyfelek'!D82="",'Beállítások'!$B$45,VLOOKUP(MAX('Ügyfelek'!D82,'Beállítások'!$K$7),'Beállítások'!$K$7:$L$11,2,TRUE)))</f>
        <v/>
      </c>
      <c r="E82">
        <f>IF($A82="","",IF('Ügyfelek'!L82="",'Beállítások'!$B$45,MIN(5,MAX(1,ROUND('Ügyfelek'!L82,0)))))</f>
        <v/>
      </c>
      <c r="F82">
        <f>IF($A82="","",IF('Ügyfelek'!I82="",'Beállítások'!$B$45,VLOOKUP(MAX('Ügyfelek'!I82,'Beállítások'!$N$7),'Beállítások'!$N$7:$O$11,2,TRUE)))</f>
        <v/>
      </c>
      <c r="G82">
        <f>IF($A82="","",IF('Ügyfelek'!N82="",'Beállítások'!$B$45,MIN(5,MAX(1,ROUND('Ügyfelek'!N82,0)))))</f>
        <v/>
      </c>
      <c r="H82">
        <f>IF($A82="","",IF('Ügyfelek'!J82="",'Beállítások'!$B$45,VLOOKUP(MAX('Ügyfelek'!J82,'Beállítások'!$Q$7),'Beállítások'!$Q$7:$R$11,2,TRUE)))</f>
        <v/>
      </c>
      <c r="I82">
        <f>IF($A82="","",IF('Ügyfelek'!K82="",'Beállítások'!$B$45,VLOOKUP(MAX('Ügyfelek'!K82,'Beállítások'!$T$7),'Beállítások'!$T$7:$U$11,2,TRUE)))</f>
        <v/>
      </c>
      <c r="J82">
        <f>IF($A82="","",IF('Ügyfelek'!M82="",'Beállítások'!$B$45,MIN(5,MAX(1,ROUND('Ügyfelek'!M82,0)))))</f>
        <v/>
      </c>
      <c r="K82">
        <f>IF($A82="","",IF('Ügyfelek'!P82="",'Beállítások'!$B$45,MIN(5,MAX(1,ROUND('Ügyfelek'!P82,0)))))</f>
        <v/>
      </c>
      <c r="L82">
        <f>IF($A82="","",IF('Ügyfelek'!O82="",'Beállítások'!$B$45,MIN(5,MAX(1,ROUND('Ügyfelek'!O82,0)))))</f>
        <v/>
      </c>
      <c r="M82" s="13">
        <f>IF($A82="","",ROUND('Beállítások'!$E$6*(B82-1)/4+'Beállítások'!$E$7*(C82-1)/4+'Beállítások'!$E$8*(D82-1)/4+'Beállítások'!$E$9*(E82-1)/4+'Beállítások'!$E$10*(F82-1)/4+'Beállítások'!$E$11*(G82-1)/4+'Beállítások'!$E$12*(H82-1)/4+'Beállítások'!$E$13*(I82-1)/4+'Beállítások'!$E$14*(J82-1)/4+'Beállítások'!$E$15*(K82-1)/4+'Beállítások'!$E$16*(L82-1)/4,1))</f>
        <v/>
      </c>
      <c r="N82" s="14">
        <f>IF($A82="","",RANK(M82,$M$2:$M$201))</f>
        <v/>
      </c>
      <c r="O82">
        <f>IF($A82="","",VLOOKUP(M82,'Beállítások'!$A$57:$E$60,2,TRUE))</f>
        <v/>
      </c>
      <c r="P82">
        <f>IF($A82="","",VLOOKUP(M82,'Beállítások'!$A$57:$E$60,3,TRUE))</f>
        <v/>
      </c>
      <c r="Q82">
        <f>IF($A82="","",INDEX('Beállítások'!$B$6:$B$16,MATCH(MAX(AD82:AN82),AD82:AN82,0)))</f>
        <v/>
      </c>
      <c r="R82">
        <f>IF($A82="","",IF(MAX(AO82:AY82)=0,"—",INDEX('Beállítások'!$B$6:$B$16,MATCH(MAX(AO82:AY82),AO82:AY82,0))))</f>
        <v/>
      </c>
      <c r="S82" s="5">
        <f>IF($A82="","",'Beállítások'!$B$47*(TRIM('Ügyfelek'!E82)="igen")+'Beállítások'!$B$48*(TRIM('Ügyfelek'!F82)="igen")+'Beállítások'!$B$49*N('Ügyfelek'!G82)+'Beállítások'!$B$46*N('Ügyfelek'!H82))</f>
        <v/>
      </c>
      <c r="T82" s="15">
        <f>IF($A82="","",VLOOKUP(M82,'Beállítások'!$A$57:$E$60,4,TRUE))</f>
        <v/>
      </c>
      <c r="U82" s="5">
        <f>IF($A82="","",N('Ügyfelek'!D82)*'Beállítások'!$B$51)</f>
        <v/>
      </c>
      <c r="V82" s="5">
        <f>IF($A82="","",CEILING(ROUND(MAX('Beállítások'!$B$50,S82*T82,U82),2),'Beállítások'!$B$52))</f>
        <v/>
      </c>
      <c r="W82">
        <f>IF($A82="","",IF(MAX('Beállítások'!$B$50,S82*T82,U82)=S82*T82,"Munkaigény × szintszorzó",IF(MAX('Beállítások'!$B$50,S82*T82,U82)=U82,"Hirdetési keret arányában","Minimumdíj")))</f>
        <v/>
      </c>
      <c r="X82" s="5">
        <f>IF(OR($A82="",'Ügyfelek'!Q82=""),"",'Ügyfelek'!Q82)</f>
        <v/>
      </c>
      <c r="Y82" s="5">
        <f>IF(X82="","",V82-X82)</f>
        <v/>
      </c>
      <c r="Z82" s="16">
        <f>IF(OR(X82="",X82=0),"",Y82/X82)</f>
        <v/>
      </c>
      <c r="AA82" s="5">
        <f>IF(OR($A82="",'Ügyfelek'!R82=""),"",'Ügyfelek'!R82*VLOOKUP(M82,'Beállítások'!$A$57:$E$60,5,TRUE))</f>
        <v/>
      </c>
      <c r="AB82" s="14">
        <f>IF($A82="","",('Ügyfelek'!B82="")+('Ügyfelek'!C82="")+('Ügyfelek'!D82="")+('Ügyfelek'!L82="")+('Ügyfelek'!I82="")+('Ügyfelek'!N82="")+('Ügyfelek'!J82="")+('Ügyfelek'!K82="")+('Ügyfelek'!M82="")+('Ügyfelek'!P82="")+('Ügyfelek'!O82=""))</f>
        <v/>
      </c>
      <c r="AD82">
        <f>IF($A82="","",B82+'Beállítások'!$E$6/1000)</f>
        <v/>
      </c>
      <c r="AE82">
        <f>IF($A82="","",C82+'Beállítások'!$E$7/1000)</f>
        <v/>
      </c>
      <c r="AF82">
        <f>IF($A82="","",D82+'Beállítások'!$E$8/1000)</f>
        <v/>
      </c>
      <c r="AG82">
        <f>IF($A82="","",E82+'Beállítások'!$E$9/1000)</f>
        <v/>
      </c>
      <c r="AH82">
        <f>IF($A82="","",F82+'Beállítások'!$E$10/1000)</f>
        <v/>
      </c>
      <c r="AI82">
        <f>IF($A82="","",G82+'Beállítások'!$E$11/1000)</f>
        <v/>
      </c>
      <c r="AJ82">
        <f>IF($A82="","",H82+'Beállítások'!$E$12/1000)</f>
        <v/>
      </c>
      <c r="AK82">
        <f>IF($A82="","",I82+'Beállítások'!$E$13/1000)</f>
        <v/>
      </c>
      <c r="AL82">
        <f>IF($A82="","",J82+'Beállítások'!$E$14/1000)</f>
        <v/>
      </c>
      <c r="AM82">
        <f>IF($A82="","",K82+'Beállítások'!$E$15/1000)</f>
        <v/>
      </c>
      <c r="AN82">
        <f>IF($A82="","",L82+'Beállítások'!$E$16/1000)</f>
        <v/>
      </c>
      <c r="AO82">
        <f>IF($A82="","",'Beállítások'!$E$6*(5-B82))</f>
        <v/>
      </c>
      <c r="AP82">
        <f>IF($A82="","",'Beállítások'!$E$7*(5-C82))</f>
        <v/>
      </c>
      <c r="AQ82">
        <f>IF($A82="","",'Beállítások'!$E$8*(5-D82))</f>
        <v/>
      </c>
      <c r="AR82">
        <f>IF($A82="","",'Beállítások'!$E$9*(5-E82))</f>
        <v/>
      </c>
      <c r="AS82">
        <f>IF($A82="","",'Beállítások'!$E$10*(5-F82))</f>
        <v/>
      </c>
      <c r="AT82">
        <f>IF($A82="","",'Beállítások'!$E$11*(5-G82))</f>
        <v/>
      </c>
      <c r="AU82">
        <f>IF($A82="","",'Beállítások'!$E$12*(5-H82))</f>
        <v/>
      </c>
      <c r="AV82">
        <f>IF($A82="","",'Beállítások'!$E$13*(5-I82))</f>
        <v/>
      </c>
      <c r="AW82">
        <f>IF($A82="","",'Beállítások'!$E$14*(5-J82))</f>
        <v/>
      </c>
      <c r="AX82">
        <f>IF($A82="","",'Beállítások'!$E$15*(5-K82))</f>
        <v/>
      </c>
      <c r="AY82">
        <f>IF($A82="","",'Beállítások'!$E$16*(5-L82))</f>
        <v/>
      </c>
      <c r="AZ82">
        <f>IF($A82="","",M82-ROW()/100000)</f>
        <v/>
      </c>
    </row>
    <row r="83">
      <c r="A83">
        <f>IF('Ügyfelek'!A83="","",'Ügyfelek'!A83)</f>
        <v/>
      </c>
      <c r="B83">
        <f>IF($A83="","",IF('Ügyfelek'!B83="",'Beállítások'!$B$45,IFERROR(VLOOKUP(TRIM('Ügyfelek'!B83),'Beállítások'!$A$22:$B$41,2,FALSE),'Beállítások'!$B$45)))</f>
        <v/>
      </c>
      <c r="C83">
        <f>IF($A83="","",IF('Ügyfelek'!C83="",'Beállítások'!$B$45,VLOOKUP(MAX('Ügyfelek'!C83,'Beállítások'!$H$7),'Beállítások'!$H$7:$I$11,2,TRUE)))</f>
        <v/>
      </c>
      <c r="D83">
        <f>IF($A83="","",IF('Ügyfelek'!D83="",'Beállítások'!$B$45,VLOOKUP(MAX('Ügyfelek'!D83,'Beállítások'!$K$7),'Beállítások'!$K$7:$L$11,2,TRUE)))</f>
        <v/>
      </c>
      <c r="E83">
        <f>IF($A83="","",IF('Ügyfelek'!L83="",'Beállítások'!$B$45,MIN(5,MAX(1,ROUND('Ügyfelek'!L83,0)))))</f>
        <v/>
      </c>
      <c r="F83">
        <f>IF($A83="","",IF('Ügyfelek'!I83="",'Beállítások'!$B$45,VLOOKUP(MAX('Ügyfelek'!I83,'Beállítások'!$N$7),'Beállítások'!$N$7:$O$11,2,TRUE)))</f>
        <v/>
      </c>
      <c r="G83">
        <f>IF($A83="","",IF('Ügyfelek'!N83="",'Beállítások'!$B$45,MIN(5,MAX(1,ROUND('Ügyfelek'!N83,0)))))</f>
        <v/>
      </c>
      <c r="H83">
        <f>IF($A83="","",IF('Ügyfelek'!J83="",'Beállítások'!$B$45,VLOOKUP(MAX('Ügyfelek'!J83,'Beállítások'!$Q$7),'Beállítások'!$Q$7:$R$11,2,TRUE)))</f>
        <v/>
      </c>
      <c r="I83">
        <f>IF($A83="","",IF('Ügyfelek'!K83="",'Beállítások'!$B$45,VLOOKUP(MAX('Ügyfelek'!K83,'Beállítások'!$T$7),'Beállítások'!$T$7:$U$11,2,TRUE)))</f>
        <v/>
      </c>
      <c r="J83">
        <f>IF($A83="","",IF('Ügyfelek'!M83="",'Beállítások'!$B$45,MIN(5,MAX(1,ROUND('Ügyfelek'!M83,0)))))</f>
        <v/>
      </c>
      <c r="K83">
        <f>IF($A83="","",IF('Ügyfelek'!P83="",'Beállítások'!$B$45,MIN(5,MAX(1,ROUND('Ügyfelek'!P83,0)))))</f>
        <v/>
      </c>
      <c r="L83">
        <f>IF($A83="","",IF('Ügyfelek'!O83="",'Beállítások'!$B$45,MIN(5,MAX(1,ROUND('Ügyfelek'!O83,0)))))</f>
        <v/>
      </c>
      <c r="M83" s="13">
        <f>IF($A83="","",ROUND('Beállítások'!$E$6*(B83-1)/4+'Beállítások'!$E$7*(C83-1)/4+'Beállítások'!$E$8*(D83-1)/4+'Beállítások'!$E$9*(E83-1)/4+'Beállítások'!$E$10*(F83-1)/4+'Beállítások'!$E$11*(G83-1)/4+'Beállítások'!$E$12*(H83-1)/4+'Beállítások'!$E$13*(I83-1)/4+'Beállítások'!$E$14*(J83-1)/4+'Beállítások'!$E$15*(K83-1)/4+'Beállítások'!$E$16*(L83-1)/4,1))</f>
        <v/>
      </c>
      <c r="N83" s="14">
        <f>IF($A83="","",RANK(M83,$M$2:$M$201))</f>
        <v/>
      </c>
      <c r="O83">
        <f>IF($A83="","",VLOOKUP(M83,'Beállítások'!$A$57:$E$60,2,TRUE))</f>
        <v/>
      </c>
      <c r="P83">
        <f>IF($A83="","",VLOOKUP(M83,'Beállítások'!$A$57:$E$60,3,TRUE))</f>
        <v/>
      </c>
      <c r="Q83">
        <f>IF($A83="","",INDEX('Beállítások'!$B$6:$B$16,MATCH(MAX(AD83:AN83),AD83:AN83,0)))</f>
        <v/>
      </c>
      <c r="R83">
        <f>IF($A83="","",IF(MAX(AO83:AY83)=0,"—",INDEX('Beállítások'!$B$6:$B$16,MATCH(MAX(AO83:AY83),AO83:AY83,0))))</f>
        <v/>
      </c>
      <c r="S83" s="5">
        <f>IF($A83="","",'Beállítások'!$B$47*(TRIM('Ügyfelek'!E83)="igen")+'Beállítások'!$B$48*(TRIM('Ügyfelek'!F83)="igen")+'Beállítások'!$B$49*N('Ügyfelek'!G83)+'Beállítások'!$B$46*N('Ügyfelek'!H83))</f>
        <v/>
      </c>
      <c r="T83" s="15">
        <f>IF($A83="","",VLOOKUP(M83,'Beállítások'!$A$57:$E$60,4,TRUE))</f>
        <v/>
      </c>
      <c r="U83" s="5">
        <f>IF($A83="","",N('Ügyfelek'!D83)*'Beállítások'!$B$51)</f>
        <v/>
      </c>
      <c r="V83" s="5">
        <f>IF($A83="","",CEILING(ROUND(MAX('Beállítások'!$B$50,S83*T83,U83),2),'Beállítások'!$B$52))</f>
        <v/>
      </c>
      <c r="W83">
        <f>IF($A83="","",IF(MAX('Beállítások'!$B$50,S83*T83,U83)=S83*T83,"Munkaigény × szintszorzó",IF(MAX('Beállítások'!$B$50,S83*T83,U83)=U83,"Hirdetési keret arányában","Minimumdíj")))</f>
        <v/>
      </c>
      <c r="X83" s="5">
        <f>IF(OR($A83="",'Ügyfelek'!Q83=""),"",'Ügyfelek'!Q83)</f>
        <v/>
      </c>
      <c r="Y83" s="5">
        <f>IF(X83="","",V83-X83)</f>
        <v/>
      </c>
      <c r="Z83" s="16">
        <f>IF(OR(X83="",X83=0),"",Y83/X83)</f>
        <v/>
      </c>
      <c r="AA83" s="5">
        <f>IF(OR($A83="",'Ügyfelek'!R83=""),"",'Ügyfelek'!R83*VLOOKUP(M83,'Beállítások'!$A$57:$E$60,5,TRUE))</f>
        <v/>
      </c>
      <c r="AB83" s="14">
        <f>IF($A83="","",('Ügyfelek'!B83="")+('Ügyfelek'!C83="")+('Ügyfelek'!D83="")+('Ügyfelek'!L83="")+('Ügyfelek'!I83="")+('Ügyfelek'!N83="")+('Ügyfelek'!J83="")+('Ügyfelek'!K83="")+('Ügyfelek'!M83="")+('Ügyfelek'!P83="")+('Ügyfelek'!O83=""))</f>
        <v/>
      </c>
      <c r="AD83">
        <f>IF($A83="","",B83+'Beállítások'!$E$6/1000)</f>
        <v/>
      </c>
      <c r="AE83">
        <f>IF($A83="","",C83+'Beállítások'!$E$7/1000)</f>
        <v/>
      </c>
      <c r="AF83">
        <f>IF($A83="","",D83+'Beállítások'!$E$8/1000)</f>
        <v/>
      </c>
      <c r="AG83">
        <f>IF($A83="","",E83+'Beállítások'!$E$9/1000)</f>
        <v/>
      </c>
      <c r="AH83">
        <f>IF($A83="","",F83+'Beállítások'!$E$10/1000)</f>
        <v/>
      </c>
      <c r="AI83">
        <f>IF($A83="","",G83+'Beállítások'!$E$11/1000)</f>
        <v/>
      </c>
      <c r="AJ83">
        <f>IF($A83="","",H83+'Beállítások'!$E$12/1000)</f>
        <v/>
      </c>
      <c r="AK83">
        <f>IF($A83="","",I83+'Beállítások'!$E$13/1000)</f>
        <v/>
      </c>
      <c r="AL83">
        <f>IF($A83="","",J83+'Beállítások'!$E$14/1000)</f>
        <v/>
      </c>
      <c r="AM83">
        <f>IF($A83="","",K83+'Beállítások'!$E$15/1000)</f>
        <v/>
      </c>
      <c r="AN83">
        <f>IF($A83="","",L83+'Beállítások'!$E$16/1000)</f>
        <v/>
      </c>
      <c r="AO83">
        <f>IF($A83="","",'Beállítások'!$E$6*(5-B83))</f>
        <v/>
      </c>
      <c r="AP83">
        <f>IF($A83="","",'Beállítások'!$E$7*(5-C83))</f>
        <v/>
      </c>
      <c r="AQ83">
        <f>IF($A83="","",'Beállítások'!$E$8*(5-D83))</f>
        <v/>
      </c>
      <c r="AR83">
        <f>IF($A83="","",'Beállítások'!$E$9*(5-E83))</f>
        <v/>
      </c>
      <c r="AS83">
        <f>IF($A83="","",'Beállítások'!$E$10*(5-F83))</f>
        <v/>
      </c>
      <c r="AT83">
        <f>IF($A83="","",'Beállítások'!$E$11*(5-G83))</f>
        <v/>
      </c>
      <c r="AU83">
        <f>IF($A83="","",'Beállítások'!$E$12*(5-H83))</f>
        <v/>
      </c>
      <c r="AV83">
        <f>IF($A83="","",'Beállítások'!$E$13*(5-I83))</f>
        <v/>
      </c>
      <c r="AW83">
        <f>IF($A83="","",'Beállítások'!$E$14*(5-J83))</f>
        <v/>
      </c>
      <c r="AX83">
        <f>IF($A83="","",'Beállítások'!$E$15*(5-K83))</f>
        <v/>
      </c>
      <c r="AY83">
        <f>IF($A83="","",'Beállítások'!$E$16*(5-L83))</f>
        <v/>
      </c>
      <c r="AZ83">
        <f>IF($A83="","",M83-ROW()/100000)</f>
        <v/>
      </c>
    </row>
    <row r="84">
      <c r="A84">
        <f>IF('Ügyfelek'!A84="","",'Ügyfelek'!A84)</f>
        <v/>
      </c>
      <c r="B84">
        <f>IF($A84="","",IF('Ügyfelek'!B84="",'Beállítások'!$B$45,IFERROR(VLOOKUP(TRIM('Ügyfelek'!B84),'Beállítások'!$A$22:$B$41,2,FALSE),'Beállítások'!$B$45)))</f>
        <v/>
      </c>
      <c r="C84">
        <f>IF($A84="","",IF('Ügyfelek'!C84="",'Beállítások'!$B$45,VLOOKUP(MAX('Ügyfelek'!C84,'Beállítások'!$H$7),'Beállítások'!$H$7:$I$11,2,TRUE)))</f>
        <v/>
      </c>
      <c r="D84">
        <f>IF($A84="","",IF('Ügyfelek'!D84="",'Beállítások'!$B$45,VLOOKUP(MAX('Ügyfelek'!D84,'Beállítások'!$K$7),'Beállítások'!$K$7:$L$11,2,TRUE)))</f>
        <v/>
      </c>
      <c r="E84">
        <f>IF($A84="","",IF('Ügyfelek'!L84="",'Beállítások'!$B$45,MIN(5,MAX(1,ROUND('Ügyfelek'!L84,0)))))</f>
        <v/>
      </c>
      <c r="F84">
        <f>IF($A84="","",IF('Ügyfelek'!I84="",'Beállítások'!$B$45,VLOOKUP(MAX('Ügyfelek'!I84,'Beállítások'!$N$7),'Beállítások'!$N$7:$O$11,2,TRUE)))</f>
        <v/>
      </c>
      <c r="G84">
        <f>IF($A84="","",IF('Ügyfelek'!N84="",'Beállítások'!$B$45,MIN(5,MAX(1,ROUND('Ügyfelek'!N84,0)))))</f>
        <v/>
      </c>
      <c r="H84">
        <f>IF($A84="","",IF('Ügyfelek'!J84="",'Beállítások'!$B$45,VLOOKUP(MAX('Ügyfelek'!J84,'Beállítások'!$Q$7),'Beállítások'!$Q$7:$R$11,2,TRUE)))</f>
        <v/>
      </c>
      <c r="I84">
        <f>IF($A84="","",IF('Ügyfelek'!K84="",'Beállítások'!$B$45,VLOOKUP(MAX('Ügyfelek'!K84,'Beállítások'!$T$7),'Beállítások'!$T$7:$U$11,2,TRUE)))</f>
        <v/>
      </c>
      <c r="J84">
        <f>IF($A84="","",IF('Ügyfelek'!M84="",'Beállítások'!$B$45,MIN(5,MAX(1,ROUND('Ügyfelek'!M84,0)))))</f>
        <v/>
      </c>
      <c r="K84">
        <f>IF($A84="","",IF('Ügyfelek'!P84="",'Beállítások'!$B$45,MIN(5,MAX(1,ROUND('Ügyfelek'!P84,0)))))</f>
        <v/>
      </c>
      <c r="L84">
        <f>IF($A84="","",IF('Ügyfelek'!O84="",'Beállítások'!$B$45,MIN(5,MAX(1,ROUND('Ügyfelek'!O84,0)))))</f>
        <v/>
      </c>
      <c r="M84" s="13">
        <f>IF($A84="","",ROUND('Beállítások'!$E$6*(B84-1)/4+'Beállítások'!$E$7*(C84-1)/4+'Beállítások'!$E$8*(D84-1)/4+'Beállítások'!$E$9*(E84-1)/4+'Beállítások'!$E$10*(F84-1)/4+'Beállítások'!$E$11*(G84-1)/4+'Beállítások'!$E$12*(H84-1)/4+'Beállítások'!$E$13*(I84-1)/4+'Beállítások'!$E$14*(J84-1)/4+'Beállítások'!$E$15*(K84-1)/4+'Beállítások'!$E$16*(L84-1)/4,1))</f>
        <v/>
      </c>
      <c r="N84" s="14">
        <f>IF($A84="","",RANK(M84,$M$2:$M$201))</f>
        <v/>
      </c>
      <c r="O84">
        <f>IF($A84="","",VLOOKUP(M84,'Beállítások'!$A$57:$E$60,2,TRUE))</f>
        <v/>
      </c>
      <c r="P84">
        <f>IF($A84="","",VLOOKUP(M84,'Beállítások'!$A$57:$E$60,3,TRUE))</f>
        <v/>
      </c>
      <c r="Q84">
        <f>IF($A84="","",INDEX('Beállítások'!$B$6:$B$16,MATCH(MAX(AD84:AN84),AD84:AN84,0)))</f>
        <v/>
      </c>
      <c r="R84">
        <f>IF($A84="","",IF(MAX(AO84:AY84)=0,"—",INDEX('Beállítások'!$B$6:$B$16,MATCH(MAX(AO84:AY84),AO84:AY84,0))))</f>
        <v/>
      </c>
      <c r="S84" s="5">
        <f>IF($A84="","",'Beállítások'!$B$47*(TRIM('Ügyfelek'!E84)="igen")+'Beállítások'!$B$48*(TRIM('Ügyfelek'!F84)="igen")+'Beállítások'!$B$49*N('Ügyfelek'!G84)+'Beállítások'!$B$46*N('Ügyfelek'!H84))</f>
        <v/>
      </c>
      <c r="T84" s="15">
        <f>IF($A84="","",VLOOKUP(M84,'Beállítások'!$A$57:$E$60,4,TRUE))</f>
        <v/>
      </c>
      <c r="U84" s="5">
        <f>IF($A84="","",N('Ügyfelek'!D84)*'Beállítások'!$B$51)</f>
        <v/>
      </c>
      <c r="V84" s="5">
        <f>IF($A84="","",CEILING(ROUND(MAX('Beállítások'!$B$50,S84*T84,U84),2),'Beállítások'!$B$52))</f>
        <v/>
      </c>
      <c r="W84">
        <f>IF($A84="","",IF(MAX('Beállítások'!$B$50,S84*T84,U84)=S84*T84,"Munkaigény × szintszorzó",IF(MAX('Beállítások'!$B$50,S84*T84,U84)=U84,"Hirdetési keret arányában","Minimumdíj")))</f>
        <v/>
      </c>
      <c r="X84" s="5">
        <f>IF(OR($A84="",'Ügyfelek'!Q84=""),"",'Ügyfelek'!Q84)</f>
        <v/>
      </c>
      <c r="Y84" s="5">
        <f>IF(X84="","",V84-X84)</f>
        <v/>
      </c>
      <c r="Z84" s="16">
        <f>IF(OR(X84="",X84=0),"",Y84/X84)</f>
        <v/>
      </c>
      <c r="AA84" s="5">
        <f>IF(OR($A84="",'Ügyfelek'!R84=""),"",'Ügyfelek'!R84*VLOOKUP(M84,'Beállítások'!$A$57:$E$60,5,TRUE))</f>
        <v/>
      </c>
      <c r="AB84" s="14">
        <f>IF($A84="","",('Ügyfelek'!B84="")+('Ügyfelek'!C84="")+('Ügyfelek'!D84="")+('Ügyfelek'!L84="")+('Ügyfelek'!I84="")+('Ügyfelek'!N84="")+('Ügyfelek'!J84="")+('Ügyfelek'!K84="")+('Ügyfelek'!M84="")+('Ügyfelek'!P84="")+('Ügyfelek'!O84=""))</f>
        <v/>
      </c>
      <c r="AD84">
        <f>IF($A84="","",B84+'Beállítások'!$E$6/1000)</f>
        <v/>
      </c>
      <c r="AE84">
        <f>IF($A84="","",C84+'Beállítások'!$E$7/1000)</f>
        <v/>
      </c>
      <c r="AF84">
        <f>IF($A84="","",D84+'Beállítások'!$E$8/1000)</f>
        <v/>
      </c>
      <c r="AG84">
        <f>IF($A84="","",E84+'Beállítások'!$E$9/1000)</f>
        <v/>
      </c>
      <c r="AH84">
        <f>IF($A84="","",F84+'Beállítások'!$E$10/1000)</f>
        <v/>
      </c>
      <c r="AI84">
        <f>IF($A84="","",G84+'Beállítások'!$E$11/1000)</f>
        <v/>
      </c>
      <c r="AJ84">
        <f>IF($A84="","",H84+'Beállítások'!$E$12/1000)</f>
        <v/>
      </c>
      <c r="AK84">
        <f>IF($A84="","",I84+'Beállítások'!$E$13/1000)</f>
        <v/>
      </c>
      <c r="AL84">
        <f>IF($A84="","",J84+'Beállítások'!$E$14/1000)</f>
        <v/>
      </c>
      <c r="AM84">
        <f>IF($A84="","",K84+'Beállítások'!$E$15/1000)</f>
        <v/>
      </c>
      <c r="AN84">
        <f>IF($A84="","",L84+'Beállítások'!$E$16/1000)</f>
        <v/>
      </c>
      <c r="AO84">
        <f>IF($A84="","",'Beállítások'!$E$6*(5-B84))</f>
        <v/>
      </c>
      <c r="AP84">
        <f>IF($A84="","",'Beállítások'!$E$7*(5-C84))</f>
        <v/>
      </c>
      <c r="AQ84">
        <f>IF($A84="","",'Beállítások'!$E$8*(5-D84))</f>
        <v/>
      </c>
      <c r="AR84">
        <f>IF($A84="","",'Beállítások'!$E$9*(5-E84))</f>
        <v/>
      </c>
      <c r="AS84">
        <f>IF($A84="","",'Beállítások'!$E$10*(5-F84))</f>
        <v/>
      </c>
      <c r="AT84">
        <f>IF($A84="","",'Beállítások'!$E$11*(5-G84))</f>
        <v/>
      </c>
      <c r="AU84">
        <f>IF($A84="","",'Beállítások'!$E$12*(5-H84))</f>
        <v/>
      </c>
      <c r="AV84">
        <f>IF($A84="","",'Beállítások'!$E$13*(5-I84))</f>
        <v/>
      </c>
      <c r="AW84">
        <f>IF($A84="","",'Beállítások'!$E$14*(5-J84))</f>
        <v/>
      </c>
      <c r="AX84">
        <f>IF($A84="","",'Beállítások'!$E$15*(5-K84))</f>
        <v/>
      </c>
      <c r="AY84">
        <f>IF($A84="","",'Beállítások'!$E$16*(5-L84))</f>
        <v/>
      </c>
      <c r="AZ84">
        <f>IF($A84="","",M84-ROW()/100000)</f>
        <v/>
      </c>
    </row>
    <row r="85">
      <c r="A85">
        <f>IF('Ügyfelek'!A85="","",'Ügyfelek'!A85)</f>
        <v/>
      </c>
      <c r="B85">
        <f>IF($A85="","",IF('Ügyfelek'!B85="",'Beállítások'!$B$45,IFERROR(VLOOKUP(TRIM('Ügyfelek'!B85),'Beállítások'!$A$22:$B$41,2,FALSE),'Beállítások'!$B$45)))</f>
        <v/>
      </c>
      <c r="C85">
        <f>IF($A85="","",IF('Ügyfelek'!C85="",'Beállítások'!$B$45,VLOOKUP(MAX('Ügyfelek'!C85,'Beállítások'!$H$7),'Beállítások'!$H$7:$I$11,2,TRUE)))</f>
        <v/>
      </c>
      <c r="D85">
        <f>IF($A85="","",IF('Ügyfelek'!D85="",'Beállítások'!$B$45,VLOOKUP(MAX('Ügyfelek'!D85,'Beállítások'!$K$7),'Beállítások'!$K$7:$L$11,2,TRUE)))</f>
        <v/>
      </c>
      <c r="E85">
        <f>IF($A85="","",IF('Ügyfelek'!L85="",'Beállítások'!$B$45,MIN(5,MAX(1,ROUND('Ügyfelek'!L85,0)))))</f>
        <v/>
      </c>
      <c r="F85">
        <f>IF($A85="","",IF('Ügyfelek'!I85="",'Beállítások'!$B$45,VLOOKUP(MAX('Ügyfelek'!I85,'Beállítások'!$N$7),'Beállítások'!$N$7:$O$11,2,TRUE)))</f>
        <v/>
      </c>
      <c r="G85">
        <f>IF($A85="","",IF('Ügyfelek'!N85="",'Beállítások'!$B$45,MIN(5,MAX(1,ROUND('Ügyfelek'!N85,0)))))</f>
        <v/>
      </c>
      <c r="H85">
        <f>IF($A85="","",IF('Ügyfelek'!J85="",'Beállítások'!$B$45,VLOOKUP(MAX('Ügyfelek'!J85,'Beállítások'!$Q$7),'Beállítások'!$Q$7:$R$11,2,TRUE)))</f>
        <v/>
      </c>
      <c r="I85">
        <f>IF($A85="","",IF('Ügyfelek'!K85="",'Beállítások'!$B$45,VLOOKUP(MAX('Ügyfelek'!K85,'Beállítások'!$T$7),'Beállítások'!$T$7:$U$11,2,TRUE)))</f>
        <v/>
      </c>
      <c r="J85">
        <f>IF($A85="","",IF('Ügyfelek'!M85="",'Beállítások'!$B$45,MIN(5,MAX(1,ROUND('Ügyfelek'!M85,0)))))</f>
        <v/>
      </c>
      <c r="K85">
        <f>IF($A85="","",IF('Ügyfelek'!P85="",'Beállítások'!$B$45,MIN(5,MAX(1,ROUND('Ügyfelek'!P85,0)))))</f>
        <v/>
      </c>
      <c r="L85">
        <f>IF($A85="","",IF('Ügyfelek'!O85="",'Beállítások'!$B$45,MIN(5,MAX(1,ROUND('Ügyfelek'!O85,0)))))</f>
        <v/>
      </c>
      <c r="M85" s="13">
        <f>IF($A85="","",ROUND('Beállítások'!$E$6*(B85-1)/4+'Beállítások'!$E$7*(C85-1)/4+'Beállítások'!$E$8*(D85-1)/4+'Beállítások'!$E$9*(E85-1)/4+'Beállítások'!$E$10*(F85-1)/4+'Beállítások'!$E$11*(G85-1)/4+'Beállítások'!$E$12*(H85-1)/4+'Beállítások'!$E$13*(I85-1)/4+'Beállítások'!$E$14*(J85-1)/4+'Beállítások'!$E$15*(K85-1)/4+'Beállítások'!$E$16*(L85-1)/4,1))</f>
        <v/>
      </c>
      <c r="N85" s="14">
        <f>IF($A85="","",RANK(M85,$M$2:$M$201))</f>
        <v/>
      </c>
      <c r="O85">
        <f>IF($A85="","",VLOOKUP(M85,'Beállítások'!$A$57:$E$60,2,TRUE))</f>
        <v/>
      </c>
      <c r="P85">
        <f>IF($A85="","",VLOOKUP(M85,'Beállítások'!$A$57:$E$60,3,TRUE))</f>
        <v/>
      </c>
      <c r="Q85">
        <f>IF($A85="","",INDEX('Beállítások'!$B$6:$B$16,MATCH(MAX(AD85:AN85),AD85:AN85,0)))</f>
        <v/>
      </c>
      <c r="R85">
        <f>IF($A85="","",IF(MAX(AO85:AY85)=0,"—",INDEX('Beállítások'!$B$6:$B$16,MATCH(MAX(AO85:AY85),AO85:AY85,0))))</f>
        <v/>
      </c>
      <c r="S85" s="5">
        <f>IF($A85="","",'Beállítások'!$B$47*(TRIM('Ügyfelek'!E85)="igen")+'Beállítások'!$B$48*(TRIM('Ügyfelek'!F85)="igen")+'Beállítások'!$B$49*N('Ügyfelek'!G85)+'Beállítások'!$B$46*N('Ügyfelek'!H85))</f>
        <v/>
      </c>
      <c r="T85" s="15">
        <f>IF($A85="","",VLOOKUP(M85,'Beállítások'!$A$57:$E$60,4,TRUE))</f>
        <v/>
      </c>
      <c r="U85" s="5">
        <f>IF($A85="","",N('Ügyfelek'!D85)*'Beállítások'!$B$51)</f>
        <v/>
      </c>
      <c r="V85" s="5">
        <f>IF($A85="","",CEILING(ROUND(MAX('Beállítások'!$B$50,S85*T85,U85),2),'Beállítások'!$B$52))</f>
        <v/>
      </c>
      <c r="W85">
        <f>IF($A85="","",IF(MAX('Beállítások'!$B$50,S85*T85,U85)=S85*T85,"Munkaigény × szintszorzó",IF(MAX('Beállítások'!$B$50,S85*T85,U85)=U85,"Hirdetési keret arányában","Minimumdíj")))</f>
        <v/>
      </c>
      <c r="X85" s="5">
        <f>IF(OR($A85="",'Ügyfelek'!Q85=""),"",'Ügyfelek'!Q85)</f>
        <v/>
      </c>
      <c r="Y85" s="5">
        <f>IF(X85="","",V85-X85)</f>
        <v/>
      </c>
      <c r="Z85" s="16">
        <f>IF(OR(X85="",X85=0),"",Y85/X85)</f>
        <v/>
      </c>
      <c r="AA85" s="5">
        <f>IF(OR($A85="",'Ügyfelek'!R85=""),"",'Ügyfelek'!R85*VLOOKUP(M85,'Beállítások'!$A$57:$E$60,5,TRUE))</f>
        <v/>
      </c>
      <c r="AB85" s="14">
        <f>IF($A85="","",('Ügyfelek'!B85="")+('Ügyfelek'!C85="")+('Ügyfelek'!D85="")+('Ügyfelek'!L85="")+('Ügyfelek'!I85="")+('Ügyfelek'!N85="")+('Ügyfelek'!J85="")+('Ügyfelek'!K85="")+('Ügyfelek'!M85="")+('Ügyfelek'!P85="")+('Ügyfelek'!O85=""))</f>
        <v/>
      </c>
      <c r="AD85">
        <f>IF($A85="","",B85+'Beállítások'!$E$6/1000)</f>
        <v/>
      </c>
      <c r="AE85">
        <f>IF($A85="","",C85+'Beállítások'!$E$7/1000)</f>
        <v/>
      </c>
      <c r="AF85">
        <f>IF($A85="","",D85+'Beállítások'!$E$8/1000)</f>
        <v/>
      </c>
      <c r="AG85">
        <f>IF($A85="","",E85+'Beállítások'!$E$9/1000)</f>
        <v/>
      </c>
      <c r="AH85">
        <f>IF($A85="","",F85+'Beállítások'!$E$10/1000)</f>
        <v/>
      </c>
      <c r="AI85">
        <f>IF($A85="","",G85+'Beállítások'!$E$11/1000)</f>
        <v/>
      </c>
      <c r="AJ85">
        <f>IF($A85="","",H85+'Beállítások'!$E$12/1000)</f>
        <v/>
      </c>
      <c r="AK85">
        <f>IF($A85="","",I85+'Beállítások'!$E$13/1000)</f>
        <v/>
      </c>
      <c r="AL85">
        <f>IF($A85="","",J85+'Beállítások'!$E$14/1000)</f>
        <v/>
      </c>
      <c r="AM85">
        <f>IF($A85="","",K85+'Beállítások'!$E$15/1000)</f>
        <v/>
      </c>
      <c r="AN85">
        <f>IF($A85="","",L85+'Beállítások'!$E$16/1000)</f>
        <v/>
      </c>
      <c r="AO85">
        <f>IF($A85="","",'Beállítások'!$E$6*(5-B85))</f>
        <v/>
      </c>
      <c r="AP85">
        <f>IF($A85="","",'Beállítások'!$E$7*(5-C85))</f>
        <v/>
      </c>
      <c r="AQ85">
        <f>IF($A85="","",'Beállítások'!$E$8*(5-D85))</f>
        <v/>
      </c>
      <c r="AR85">
        <f>IF($A85="","",'Beállítások'!$E$9*(5-E85))</f>
        <v/>
      </c>
      <c r="AS85">
        <f>IF($A85="","",'Beállítások'!$E$10*(5-F85))</f>
        <v/>
      </c>
      <c r="AT85">
        <f>IF($A85="","",'Beállítások'!$E$11*(5-G85))</f>
        <v/>
      </c>
      <c r="AU85">
        <f>IF($A85="","",'Beállítások'!$E$12*(5-H85))</f>
        <v/>
      </c>
      <c r="AV85">
        <f>IF($A85="","",'Beállítások'!$E$13*(5-I85))</f>
        <v/>
      </c>
      <c r="AW85">
        <f>IF($A85="","",'Beállítások'!$E$14*(5-J85))</f>
        <v/>
      </c>
      <c r="AX85">
        <f>IF($A85="","",'Beállítások'!$E$15*(5-K85))</f>
        <v/>
      </c>
      <c r="AY85">
        <f>IF($A85="","",'Beállítások'!$E$16*(5-L85))</f>
        <v/>
      </c>
      <c r="AZ85">
        <f>IF($A85="","",M85-ROW()/100000)</f>
        <v/>
      </c>
    </row>
    <row r="86">
      <c r="A86">
        <f>IF('Ügyfelek'!A86="","",'Ügyfelek'!A86)</f>
        <v/>
      </c>
      <c r="B86">
        <f>IF($A86="","",IF('Ügyfelek'!B86="",'Beállítások'!$B$45,IFERROR(VLOOKUP(TRIM('Ügyfelek'!B86),'Beállítások'!$A$22:$B$41,2,FALSE),'Beállítások'!$B$45)))</f>
        <v/>
      </c>
      <c r="C86">
        <f>IF($A86="","",IF('Ügyfelek'!C86="",'Beállítások'!$B$45,VLOOKUP(MAX('Ügyfelek'!C86,'Beállítások'!$H$7),'Beállítások'!$H$7:$I$11,2,TRUE)))</f>
        <v/>
      </c>
      <c r="D86">
        <f>IF($A86="","",IF('Ügyfelek'!D86="",'Beállítások'!$B$45,VLOOKUP(MAX('Ügyfelek'!D86,'Beállítások'!$K$7),'Beállítások'!$K$7:$L$11,2,TRUE)))</f>
        <v/>
      </c>
      <c r="E86">
        <f>IF($A86="","",IF('Ügyfelek'!L86="",'Beállítások'!$B$45,MIN(5,MAX(1,ROUND('Ügyfelek'!L86,0)))))</f>
        <v/>
      </c>
      <c r="F86">
        <f>IF($A86="","",IF('Ügyfelek'!I86="",'Beállítások'!$B$45,VLOOKUP(MAX('Ügyfelek'!I86,'Beállítások'!$N$7),'Beállítások'!$N$7:$O$11,2,TRUE)))</f>
        <v/>
      </c>
      <c r="G86">
        <f>IF($A86="","",IF('Ügyfelek'!N86="",'Beállítások'!$B$45,MIN(5,MAX(1,ROUND('Ügyfelek'!N86,0)))))</f>
        <v/>
      </c>
      <c r="H86">
        <f>IF($A86="","",IF('Ügyfelek'!J86="",'Beállítások'!$B$45,VLOOKUP(MAX('Ügyfelek'!J86,'Beállítások'!$Q$7),'Beállítások'!$Q$7:$R$11,2,TRUE)))</f>
        <v/>
      </c>
      <c r="I86">
        <f>IF($A86="","",IF('Ügyfelek'!K86="",'Beállítások'!$B$45,VLOOKUP(MAX('Ügyfelek'!K86,'Beállítások'!$T$7),'Beállítások'!$T$7:$U$11,2,TRUE)))</f>
        <v/>
      </c>
      <c r="J86">
        <f>IF($A86="","",IF('Ügyfelek'!M86="",'Beállítások'!$B$45,MIN(5,MAX(1,ROUND('Ügyfelek'!M86,0)))))</f>
        <v/>
      </c>
      <c r="K86">
        <f>IF($A86="","",IF('Ügyfelek'!P86="",'Beállítások'!$B$45,MIN(5,MAX(1,ROUND('Ügyfelek'!P86,0)))))</f>
        <v/>
      </c>
      <c r="L86">
        <f>IF($A86="","",IF('Ügyfelek'!O86="",'Beállítások'!$B$45,MIN(5,MAX(1,ROUND('Ügyfelek'!O86,0)))))</f>
        <v/>
      </c>
      <c r="M86" s="13">
        <f>IF($A86="","",ROUND('Beállítások'!$E$6*(B86-1)/4+'Beállítások'!$E$7*(C86-1)/4+'Beállítások'!$E$8*(D86-1)/4+'Beállítások'!$E$9*(E86-1)/4+'Beállítások'!$E$10*(F86-1)/4+'Beállítások'!$E$11*(G86-1)/4+'Beállítások'!$E$12*(H86-1)/4+'Beállítások'!$E$13*(I86-1)/4+'Beállítások'!$E$14*(J86-1)/4+'Beállítások'!$E$15*(K86-1)/4+'Beállítások'!$E$16*(L86-1)/4,1))</f>
        <v/>
      </c>
      <c r="N86" s="14">
        <f>IF($A86="","",RANK(M86,$M$2:$M$201))</f>
        <v/>
      </c>
      <c r="O86">
        <f>IF($A86="","",VLOOKUP(M86,'Beállítások'!$A$57:$E$60,2,TRUE))</f>
        <v/>
      </c>
      <c r="P86">
        <f>IF($A86="","",VLOOKUP(M86,'Beállítások'!$A$57:$E$60,3,TRUE))</f>
        <v/>
      </c>
      <c r="Q86">
        <f>IF($A86="","",INDEX('Beállítások'!$B$6:$B$16,MATCH(MAX(AD86:AN86),AD86:AN86,0)))</f>
        <v/>
      </c>
      <c r="R86">
        <f>IF($A86="","",IF(MAX(AO86:AY86)=0,"—",INDEX('Beállítások'!$B$6:$B$16,MATCH(MAX(AO86:AY86),AO86:AY86,0))))</f>
        <v/>
      </c>
      <c r="S86" s="5">
        <f>IF($A86="","",'Beállítások'!$B$47*(TRIM('Ügyfelek'!E86)="igen")+'Beállítások'!$B$48*(TRIM('Ügyfelek'!F86)="igen")+'Beállítások'!$B$49*N('Ügyfelek'!G86)+'Beállítások'!$B$46*N('Ügyfelek'!H86))</f>
        <v/>
      </c>
      <c r="T86" s="15">
        <f>IF($A86="","",VLOOKUP(M86,'Beállítások'!$A$57:$E$60,4,TRUE))</f>
        <v/>
      </c>
      <c r="U86" s="5">
        <f>IF($A86="","",N('Ügyfelek'!D86)*'Beállítások'!$B$51)</f>
        <v/>
      </c>
      <c r="V86" s="5">
        <f>IF($A86="","",CEILING(ROUND(MAX('Beállítások'!$B$50,S86*T86,U86),2),'Beállítások'!$B$52))</f>
        <v/>
      </c>
      <c r="W86">
        <f>IF($A86="","",IF(MAX('Beállítások'!$B$50,S86*T86,U86)=S86*T86,"Munkaigény × szintszorzó",IF(MAX('Beállítások'!$B$50,S86*T86,U86)=U86,"Hirdetési keret arányában","Minimumdíj")))</f>
        <v/>
      </c>
      <c r="X86" s="5">
        <f>IF(OR($A86="",'Ügyfelek'!Q86=""),"",'Ügyfelek'!Q86)</f>
        <v/>
      </c>
      <c r="Y86" s="5">
        <f>IF(X86="","",V86-X86)</f>
        <v/>
      </c>
      <c r="Z86" s="16">
        <f>IF(OR(X86="",X86=0),"",Y86/X86)</f>
        <v/>
      </c>
      <c r="AA86" s="5">
        <f>IF(OR($A86="",'Ügyfelek'!R86=""),"",'Ügyfelek'!R86*VLOOKUP(M86,'Beállítások'!$A$57:$E$60,5,TRUE))</f>
        <v/>
      </c>
      <c r="AB86" s="14">
        <f>IF($A86="","",('Ügyfelek'!B86="")+('Ügyfelek'!C86="")+('Ügyfelek'!D86="")+('Ügyfelek'!L86="")+('Ügyfelek'!I86="")+('Ügyfelek'!N86="")+('Ügyfelek'!J86="")+('Ügyfelek'!K86="")+('Ügyfelek'!M86="")+('Ügyfelek'!P86="")+('Ügyfelek'!O86=""))</f>
        <v/>
      </c>
      <c r="AD86">
        <f>IF($A86="","",B86+'Beállítások'!$E$6/1000)</f>
        <v/>
      </c>
      <c r="AE86">
        <f>IF($A86="","",C86+'Beállítások'!$E$7/1000)</f>
        <v/>
      </c>
      <c r="AF86">
        <f>IF($A86="","",D86+'Beállítások'!$E$8/1000)</f>
        <v/>
      </c>
      <c r="AG86">
        <f>IF($A86="","",E86+'Beállítások'!$E$9/1000)</f>
        <v/>
      </c>
      <c r="AH86">
        <f>IF($A86="","",F86+'Beállítások'!$E$10/1000)</f>
        <v/>
      </c>
      <c r="AI86">
        <f>IF($A86="","",G86+'Beállítások'!$E$11/1000)</f>
        <v/>
      </c>
      <c r="AJ86">
        <f>IF($A86="","",H86+'Beállítások'!$E$12/1000)</f>
        <v/>
      </c>
      <c r="AK86">
        <f>IF($A86="","",I86+'Beállítások'!$E$13/1000)</f>
        <v/>
      </c>
      <c r="AL86">
        <f>IF($A86="","",J86+'Beállítások'!$E$14/1000)</f>
        <v/>
      </c>
      <c r="AM86">
        <f>IF($A86="","",K86+'Beállítások'!$E$15/1000)</f>
        <v/>
      </c>
      <c r="AN86">
        <f>IF($A86="","",L86+'Beállítások'!$E$16/1000)</f>
        <v/>
      </c>
      <c r="AO86">
        <f>IF($A86="","",'Beállítások'!$E$6*(5-B86))</f>
        <v/>
      </c>
      <c r="AP86">
        <f>IF($A86="","",'Beállítások'!$E$7*(5-C86))</f>
        <v/>
      </c>
      <c r="AQ86">
        <f>IF($A86="","",'Beállítások'!$E$8*(5-D86))</f>
        <v/>
      </c>
      <c r="AR86">
        <f>IF($A86="","",'Beállítások'!$E$9*(5-E86))</f>
        <v/>
      </c>
      <c r="AS86">
        <f>IF($A86="","",'Beállítások'!$E$10*(5-F86))</f>
        <v/>
      </c>
      <c r="AT86">
        <f>IF($A86="","",'Beállítások'!$E$11*(5-G86))</f>
        <v/>
      </c>
      <c r="AU86">
        <f>IF($A86="","",'Beállítások'!$E$12*(5-H86))</f>
        <v/>
      </c>
      <c r="AV86">
        <f>IF($A86="","",'Beállítások'!$E$13*(5-I86))</f>
        <v/>
      </c>
      <c r="AW86">
        <f>IF($A86="","",'Beállítások'!$E$14*(5-J86))</f>
        <v/>
      </c>
      <c r="AX86">
        <f>IF($A86="","",'Beállítások'!$E$15*(5-K86))</f>
        <v/>
      </c>
      <c r="AY86">
        <f>IF($A86="","",'Beállítások'!$E$16*(5-L86))</f>
        <v/>
      </c>
      <c r="AZ86">
        <f>IF($A86="","",M86-ROW()/100000)</f>
        <v/>
      </c>
    </row>
    <row r="87">
      <c r="A87">
        <f>IF('Ügyfelek'!A87="","",'Ügyfelek'!A87)</f>
        <v/>
      </c>
      <c r="B87">
        <f>IF($A87="","",IF('Ügyfelek'!B87="",'Beállítások'!$B$45,IFERROR(VLOOKUP(TRIM('Ügyfelek'!B87),'Beállítások'!$A$22:$B$41,2,FALSE),'Beállítások'!$B$45)))</f>
        <v/>
      </c>
      <c r="C87">
        <f>IF($A87="","",IF('Ügyfelek'!C87="",'Beállítások'!$B$45,VLOOKUP(MAX('Ügyfelek'!C87,'Beállítások'!$H$7),'Beállítások'!$H$7:$I$11,2,TRUE)))</f>
        <v/>
      </c>
      <c r="D87">
        <f>IF($A87="","",IF('Ügyfelek'!D87="",'Beállítások'!$B$45,VLOOKUP(MAX('Ügyfelek'!D87,'Beállítások'!$K$7),'Beállítások'!$K$7:$L$11,2,TRUE)))</f>
        <v/>
      </c>
      <c r="E87">
        <f>IF($A87="","",IF('Ügyfelek'!L87="",'Beállítások'!$B$45,MIN(5,MAX(1,ROUND('Ügyfelek'!L87,0)))))</f>
        <v/>
      </c>
      <c r="F87">
        <f>IF($A87="","",IF('Ügyfelek'!I87="",'Beállítások'!$B$45,VLOOKUP(MAX('Ügyfelek'!I87,'Beállítások'!$N$7),'Beállítások'!$N$7:$O$11,2,TRUE)))</f>
        <v/>
      </c>
      <c r="G87">
        <f>IF($A87="","",IF('Ügyfelek'!N87="",'Beállítások'!$B$45,MIN(5,MAX(1,ROUND('Ügyfelek'!N87,0)))))</f>
        <v/>
      </c>
      <c r="H87">
        <f>IF($A87="","",IF('Ügyfelek'!J87="",'Beállítások'!$B$45,VLOOKUP(MAX('Ügyfelek'!J87,'Beállítások'!$Q$7),'Beállítások'!$Q$7:$R$11,2,TRUE)))</f>
        <v/>
      </c>
      <c r="I87">
        <f>IF($A87="","",IF('Ügyfelek'!K87="",'Beállítások'!$B$45,VLOOKUP(MAX('Ügyfelek'!K87,'Beállítások'!$T$7),'Beállítások'!$T$7:$U$11,2,TRUE)))</f>
        <v/>
      </c>
      <c r="J87">
        <f>IF($A87="","",IF('Ügyfelek'!M87="",'Beállítások'!$B$45,MIN(5,MAX(1,ROUND('Ügyfelek'!M87,0)))))</f>
        <v/>
      </c>
      <c r="K87">
        <f>IF($A87="","",IF('Ügyfelek'!P87="",'Beállítások'!$B$45,MIN(5,MAX(1,ROUND('Ügyfelek'!P87,0)))))</f>
        <v/>
      </c>
      <c r="L87">
        <f>IF($A87="","",IF('Ügyfelek'!O87="",'Beállítások'!$B$45,MIN(5,MAX(1,ROUND('Ügyfelek'!O87,0)))))</f>
        <v/>
      </c>
      <c r="M87" s="13">
        <f>IF($A87="","",ROUND('Beállítások'!$E$6*(B87-1)/4+'Beállítások'!$E$7*(C87-1)/4+'Beállítások'!$E$8*(D87-1)/4+'Beállítások'!$E$9*(E87-1)/4+'Beállítások'!$E$10*(F87-1)/4+'Beállítások'!$E$11*(G87-1)/4+'Beállítások'!$E$12*(H87-1)/4+'Beállítások'!$E$13*(I87-1)/4+'Beállítások'!$E$14*(J87-1)/4+'Beállítások'!$E$15*(K87-1)/4+'Beállítások'!$E$16*(L87-1)/4,1))</f>
        <v/>
      </c>
      <c r="N87" s="14">
        <f>IF($A87="","",RANK(M87,$M$2:$M$201))</f>
        <v/>
      </c>
      <c r="O87">
        <f>IF($A87="","",VLOOKUP(M87,'Beállítások'!$A$57:$E$60,2,TRUE))</f>
        <v/>
      </c>
      <c r="P87">
        <f>IF($A87="","",VLOOKUP(M87,'Beállítások'!$A$57:$E$60,3,TRUE))</f>
        <v/>
      </c>
      <c r="Q87">
        <f>IF($A87="","",INDEX('Beállítások'!$B$6:$B$16,MATCH(MAX(AD87:AN87),AD87:AN87,0)))</f>
        <v/>
      </c>
      <c r="R87">
        <f>IF($A87="","",IF(MAX(AO87:AY87)=0,"—",INDEX('Beállítások'!$B$6:$B$16,MATCH(MAX(AO87:AY87),AO87:AY87,0))))</f>
        <v/>
      </c>
      <c r="S87" s="5">
        <f>IF($A87="","",'Beállítások'!$B$47*(TRIM('Ügyfelek'!E87)="igen")+'Beállítások'!$B$48*(TRIM('Ügyfelek'!F87)="igen")+'Beállítások'!$B$49*N('Ügyfelek'!G87)+'Beállítások'!$B$46*N('Ügyfelek'!H87))</f>
        <v/>
      </c>
      <c r="T87" s="15">
        <f>IF($A87="","",VLOOKUP(M87,'Beállítások'!$A$57:$E$60,4,TRUE))</f>
        <v/>
      </c>
      <c r="U87" s="5">
        <f>IF($A87="","",N('Ügyfelek'!D87)*'Beállítások'!$B$51)</f>
        <v/>
      </c>
      <c r="V87" s="5">
        <f>IF($A87="","",CEILING(ROUND(MAX('Beállítások'!$B$50,S87*T87,U87),2),'Beállítások'!$B$52))</f>
        <v/>
      </c>
      <c r="W87">
        <f>IF($A87="","",IF(MAX('Beállítások'!$B$50,S87*T87,U87)=S87*T87,"Munkaigény × szintszorzó",IF(MAX('Beállítások'!$B$50,S87*T87,U87)=U87,"Hirdetési keret arányában","Minimumdíj")))</f>
        <v/>
      </c>
      <c r="X87" s="5">
        <f>IF(OR($A87="",'Ügyfelek'!Q87=""),"",'Ügyfelek'!Q87)</f>
        <v/>
      </c>
      <c r="Y87" s="5">
        <f>IF(X87="","",V87-X87)</f>
        <v/>
      </c>
      <c r="Z87" s="16">
        <f>IF(OR(X87="",X87=0),"",Y87/X87)</f>
        <v/>
      </c>
      <c r="AA87" s="5">
        <f>IF(OR($A87="",'Ügyfelek'!R87=""),"",'Ügyfelek'!R87*VLOOKUP(M87,'Beállítások'!$A$57:$E$60,5,TRUE))</f>
        <v/>
      </c>
      <c r="AB87" s="14">
        <f>IF($A87="","",('Ügyfelek'!B87="")+('Ügyfelek'!C87="")+('Ügyfelek'!D87="")+('Ügyfelek'!L87="")+('Ügyfelek'!I87="")+('Ügyfelek'!N87="")+('Ügyfelek'!J87="")+('Ügyfelek'!K87="")+('Ügyfelek'!M87="")+('Ügyfelek'!P87="")+('Ügyfelek'!O87=""))</f>
        <v/>
      </c>
      <c r="AD87">
        <f>IF($A87="","",B87+'Beállítások'!$E$6/1000)</f>
        <v/>
      </c>
      <c r="AE87">
        <f>IF($A87="","",C87+'Beállítások'!$E$7/1000)</f>
        <v/>
      </c>
      <c r="AF87">
        <f>IF($A87="","",D87+'Beállítások'!$E$8/1000)</f>
        <v/>
      </c>
      <c r="AG87">
        <f>IF($A87="","",E87+'Beállítások'!$E$9/1000)</f>
        <v/>
      </c>
      <c r="AH87">
        <f>IF($A87="","",F87+'Beállítások'!$E$10/1000)</f>
        <v/>
      </c>
      <c r="AI87">
        <f>IF($A87="","",G87+'Beállítások'!$E$11/1000)</f>
        <v/>
      </c>
      <c r="AJ87">
        <f>IF($A87="","",H87+'Beállítások'!$E$12/1000)</f>
        <v/>
      </c>
      <c r="AK87">
        <f>IF($A87="","",I87+'Beállítások'!$E$13/1000)</f>
        <v/>
      </c>
      <c r="AL87">
        <f>IF($A87="","",J87+'Beállítások'!$E$14/1000)</f>
        <v/>
      </c>
      <c r="AM87">
        <f>IF($A87="","",K87+'Beállítások'!$E$15/1000)</f>
        <v/>
      </c>
      <c r="AN87">
        <f>IF($A87="","",L87+'Beállítások'!$E$16/1000)</f>
        <v/>
      </c>
      <c r="AO87">
        <f>IF($A87="","",'Beállítások'!$E$6*(5-B87))</f>
        <v/>
      </c>
      <c r="AP87">
        <f>IF($A87="","",'Beállítások'!$E$7*(5-C87))</f>
        <v/>
      </c>
      <c r="AQ87">
        <f>IF($A87="","",'Beállítások'!$E$8*(5-D87))</f>
        <v/>
      </c>
      <c r="AR87">
        <f>IF($A87="","",'Beállítások'!$E$9*(5-E87))</f>
        <v/>
      </c>
      <c r="AS87">
        <f>IF($A87="","",'Beállítások'!$E$10*(5-F87))</f>
        <v/>
      </c>
      <c r="AT87">
        <f>IF($A87="","",'Beállítások'!$E$11*(5-G87))</f>
        <v/>
      </c>
      <c r="AU87">
        <f>IF($A87="","",'Beállítások'!$E$12*(5-H87))</f>
        <v/>
      </c>
      <c r="AV87">
        <f>IF($A87="","",'Beállítások'!$E$13*(5-I87))</f>
        <v/>
      </c>
      <c r="AW87">
        <f>IF($A87="","",'Beállítások'!$E$14*(5-J87))</f>
        <v/>
      </c>
      <c r="AX87">
        <f>IF($A87="","",'Beállítások'!$E$15*(5-K87))</f>
        <v/>
      </c>
      <c r="AY87">
        <f>IF($A87="","",'Beállítások'!$E$16*(5-L87))</f>
        <v/>
      </c>
      <c r="AZ87">
        <f>IF($A87="","",M87-ROW()/100000)</f>
        <v/>
      </c>
    </row>
    <row r="88">
      <c r="A88">
        <f>IF('Ügyfelek'!A88="","",'Ügyfelek'!A88)</f>
        <v/>
      </c>
      <c r="B88">
        <f>IF($A88="","",IF('Ügyfelek'!B88="",'Beállítások'!$B$45,IFERROR(VLOOKUP(TRIM('Ügyfelek'!B88),'Beállítások'!$A$22:$B$41,2,FALSE),'Beállítások'!$B$45)))</f>
        <v/>
      </c>
      <c r="C88">
        <f>IF($A88="","",IF('Ügyfelek'!C88="",'Beállítások'!$B$45,VLOOKUP(MAX('Ügyfelek'!C88,'Beállítások'!$H$7),'Beállítások'!$H$7:$I$11,2,TRUE)))</f>
        <v/>
      </c>
      <c r="D88">
        <f>IF($A88="","",IF('Ügyfelek'!D88="",'Beállítások'!$B$45,VLOOKUP(MAX('Ügyfelek'!D88,'Beállítások'!$K$7),'Beállítások'!$K$7:$L$11,2,TRUE)))</f>
        <v/>
      </c>
      <c r="E88">
        <f>IF($A88="","",IF('Ügyfelek'!L88="",'Beállítások'!$B$45,MIN(5,MAX(1,ROUND('Ügyfelek'!L88,0)))))</f>
        <v/>
      </c>
      <c r="F88">
        <f>IF($A88="","",IF('Ügyfelek'!I88="",'Beállítások'!$B$45,VLOOKUP(MAX('Ügyfelek'!I88,'Beállítások'!$N$7),'Beállítások'!$N$7:$O$11,2,TRUE)))</f>
        <v/>
      </c>
      <c r="G88">
        <f>IF($A88="","",IF('Ügyfelek'!N88="",'Beállítások'!$B$45,MIN(5,MAX(1,ROUND('Ügyfelek'!N88,0)))))</f>
        <v/>
      </c>
      <c r="H88">
        <f>IF($A88="","",IF('Ügyfelek'!J88="",'Beállítások'!$B$45,VLOOKUP(MAX('Ügyfelek'!J88,'Beállítások'!$Q$7),'Beállítások'!$Q$7:$R$11,2,TRUE)))</f>
        <v/>
      </c>
      <c r="I88">
        <f>IF($A88="","",IF('Ügyfelek'!K88="",'Beállítások'!$B$45,VLOOKUP(MAX('Ügyfelek'!K88,'Beállítások'!$T$7),'Beállítások'!$T$7:$U$11,2,TRUE)))</f>
        <v/>
      </c>
      <c r="J88">
        <f>IF($A88="","",IF('Ügyfelek'!M88="",'Beállítások'!$B$45,MIN(5,MAX(1,ROUND('Ügyfelek'!M88,0)))))</f>
        <v/>
      </c>
      <c r="K88">
        <f>IF($A88="","",IF('Ügyfelek'!P88="",'Beállítások'!$B$45,MIN(5,MAX(1,ROUND('Ügyfelek'!P88,0)))))</f>
        <v/>
      </c>
      <c r="L88">
        <f>IF($A88="","",IF('Ügyfelek'!O88="",'Beállítások'!$B$45,MIN(5,MAX(1,ROUND('Ügyfelek'!O88,0)))))</f>
        <v/>
      </c>
      <c r="M88" s="13">
        <f>IF($A88="","",ROUND('Beállítások'!$E$6*(B88-1)/4+'Beállítások'!$E$7*(C88-1)/4+'Beállítások'!$E$8*(D88-1)/4+'Beállítások'!$E$9*(E88-1)/4+'Beállítások'!$E$10*(F88-1)/4+'Beállítások'!$E$11*(G88-1)/4+'Beállítások'!$E$12*(H88-1)/4+'Beállítások'!$E$13*(I88-1)/4+'Beállítások'!$E$14*(J88-1)/4+'Beállítások'!$E$15*(K88-1)/4+'Beállítások'!$E$16*(L88-1)/4,1))</f>
        <v/>
      </c>
      <c r="N88" s="14">
        <f>IF($A88="","",RANK(M88,$M$2:$M$201))</f>
        <v/>
      </c>
      <c r="O88">
        <f>IF($A88="","",VLOOKUP(M88,'Beállítások'!$A$57:$E$60,2,TRUE))</f>
        <v/>
      </c>
      <c r="P88">
        <f>IF($A88="","",VLOOKUP(M88,'Beállítások'!$A$57:$E$60,3,TRUE))</f>
        <v/>
      </c>
      <c r="Q88">
        <f>IF($A88="","",INDEX('Beállítások'!$B$6:$B$16,MATCH(MAX(AD88:AN88),AD88:AN88,0)))</f>
        <v/>
      </c>
      <c r="R88">
        <f>IF($A88="","",IF(MAX(AO88:AY88)=0,"—",INDEX('Beállítások'!$B$6:$B$16,MATCH(MAX(AO88:AY88),AO88:AY88,0))))</f>
        <v/>
      </c>
      <c r="S88" s="5">
        <f>IF($A88="","",'Beállítások'!$B$47*(TRIM('Ügyfelek'!E88)="igen")+'Beállítások'!$B$48*(TRIM('Ügyfelek'!F88)="igen")+'Beállítások'!$B$49*N('Ügyfelek'!G88)+'Beállítások'!$B$46*N('Ügyfelek'!H88))</f>
        <v/>
      </c>
      <c r="T88" s="15">
        <f>IF($A88="","",VLOOKUP(M88,'Beállítások'!$A$57:$E$60,4,TRUE))</f>
        <v/>
      </c>
      <c r="U88" s="5">
        <f>IF($A88="","",N('Ügyfelek'!D88)*'Beállítások'!$B$51)</f>
        <v/>
      </c>
      <c r="V88" s="5">
        <f>IF($A88="","",CEILING(ROUND(MAX('Beállítások'!$B$50,S88*T88,U88),2),'Beállítások'!$B$52))</f>
        <v/>
      </c>
      <c r="W88">
        <f>IF($A88="","",IF(MAX('Beállítások'!$B$50,S88*T88,U88)=S88*T88,"Munkaigény × szintszorzó",IF(MAX('Beállítások'!$B$50,S88*T88,U88)=U88,"Hirdetési keret arányában","Minimumdíj")))</f>
        <v/>
      </c>
      <c r="X88" s="5">
        <f>IF(OR($A88="",'Ügyfelek'!Q88=""),"",'Ügyfelek'!Q88)</f>
        <v/>
      </c>
      <c r="Y88" s="5">
        <f>IF(X88="","",V88-X88)</f>
        <v/>
      </c>
      <c r="Z88" s="16">
        <f>IF(OR(X88="",X88=0),"",Y88/X88)</f>
        <v/>
      </c>
      <c r="AA88" s="5">
        <f>IF(OR($A88="",'Ügyfelek'!R88=""),"",'Ügyfelek'!R88*VLOOKUP(M88,'Beállítások'!$A$57:$E$60,5,TRUE))</f>
        <v/>
      </c>
      <c r="AB88" s="14">
        <f>IF($A88="","",('Ügyfelek'!B88="")+('Ügyfelek'!C88="")+('Ügyfelek'!D88="")+('Ügyfelek'!L88="")+('Ügyfelek'!I88="")+('Ügyfelek'!N88="")+('Ügyfelek'!J88="")+('Ügyfelek'!K88="")+('Ügyfelek'!M88="")+('Ügyfelek'!P88="")+('Ügyfelek'!O88=""))</f>
        <v/>
      </c>
      <c r="AD88">
        <f>IF($A88="","",B88+'Beállítások'!$E$6/1000)</f>
        <v/>
      </c>
      <c r="AE88">
        <f>IF($A88="","",C88+'Beállítások'!$E$7/1000)</f>
        <v/>
      </c>
      <c r="AF88">
        <f>IF($A88="","",D88+'Beállítások'!$E$8/1000)</f>
        <v/>
      </c>
      <c r="AG88">
        <f>IF($A88="","",E88+'Beállítások'!$E$9/1000)</f>
        <v/>
      </c>
      <c r="AH88">
        <f>IF($A88="","",F88+'Beállítások'!$E$10/1000)</f>
        <v/>
      </c>
      <c r="AI88">
        <f>IF($A88="","",G88+'Beállítások'!$E$11/1000)</f>
        <v/>
      </c>
      <c r="AJ88">
        <f>IF($A88="","",H88+'Beállítások'!$E$12/1000)</f>
        <v/>
      </c>
      <c r="AK88">
        <f>IF($A88="","",I88+'Beállítások'!$E$13/1000)</f>
        <v/>
      </c>
      <c r="AL88">
        <f>IF($A88="","",J88+'Beállítások'!$E$14/1000)</f>
        <v/>
      </c>
      <c r="AM88">
        <f>IF($A88="","",K88+'Beállítások'!$E$15/1000)</f>
        <v/>
      </c>
      <c r="AN88">
        <f>IF($A88="","",L88+'Beállítások'!$E$16/1000)</f>
        <v/>
      </c>
      <c r="AO88">
        <f>IF($A88="","",'Beállítások'!$E$6*(5-B88))</f>
        <v/>
      </c>
      <c r="AP88">
        <f>IF($A88="","",'Beállítások'!$E$7*(5-C88))</f>
        <v/>
      </c>
      <c r="AQ88">
        <f>IF($A88="","",'Beállítások'!$E$8*(5-D88))</f>
        <v/>
      </c>
      <c r="AR88">
        <f>IF($A88="","",'Beállítások'!$E$9*(5-E88))</f>
        <v/>
      </c>
      <c r="AS88">
        <f>IF($A88="","",'Beállítások'!$E$10*(5-F88))</f>
        <v/>
      </c>
      <c r="AT88">
        <f>IF($A88="","",'Beállítások'!$E$11*(5-G88))</f>
        <v/>
      </c>
      <c r="AU88">
        <f>IF($A88="","",'Beállítások'!$E$12*(5-H88))</f>
        <v/>
      </c>
      <c r="AV88">
        <f>IF($A88="","",'Beállítások'!$E$13*(5-I88))</f>
        <v/>
      </c>
      <c r="AW88">
        <f>IF($A88="","",'Beállítások'!$E$14*(5-J88))</f>
        <v/>
      </c>
      <c r="AX88">
        <f>IF($A88="","",'Beállítások'!$E$15*(5-K88))</f>
        <v/>
      </c>
      <c r="AY88">
        <f>IF($A88="","",'Beállítások'!$E$16*(5-L88))</f>
        <v/>
      </c>
      <c r="AZ88">
        <f>IF($A88="","",M88-ROW()/100000)</f>
        <v/>
      </c>
    </row>
    <row r="89">
      <c r="A89">
        <f>IF('Ügyfelek'!A89="","",'Ügyfelek'!A89)</f>
        <v/>
      </c>
      <c r="B89">
        <f>IF($A89="","",IF('Ügyfelek'!B89="",'Beállítások'!$B$45,IFERROR(VLOOKUP(TRIM('Ügyfelek'!B89),'Beállítások'!$A$22:$B$41,2,FALSE),'Beállítások'!$B$45)))</f>
        <v/>
      </c>
      <c r="C89">
        <f>IF($A89="","",IF('Ügyfelek'!C89="",'Beállítások'!$B$45,VLOOKUP(MAX('Ügyfelek'!C89,'Beállítások'!$H$7),'Beállítások'!$H$7:$I$11,2,TRUE)))</f>
        <v/>
      </c>
      <c r="D89">
        <f>IF($A89="","",IF('Ügyfelek'!D89="",'Beállítások'!$B$45,VLOOKUP(MAX('Ügyfelek'!D89,'Beállítások'!$K$7),'Beállítások'!$K$7:$L$11,2,TRUE)))</f>
        <v/>
      </c>
      <c r="E89">
        <f>IF($A89="","",IF('Ügyfelek'!L89="",'Beállítások'!$B$45,MIN(5,MAX(1,ROUND('Ügyfelek'!L89,0)))))</f>
        <v/>
      </c>
      <c r="F89">
        <f>IF($A89="","",IF('Ügyfelek'!I89="",'Beállítások'!$B$45,VLOOKUP(MAX('Ügyfelek'!I89,'Beállítások'!$N$7),'Beállítások'!$N$7:$O$11,2,TRUE)))</f>
        <v/>
      </c>
      <c r="G89">
        <f>IF($A89="","",IF('Ügyfelek'!N89="",'Beállítások'!$B$45,MIN(5,MAX(1,ROUND('Ügyfelek'!N89,0)))))</f>
        <v/>
      </c>
      <c r="H89">
        <f>IF($A89="","",IF('Ügyfelek'!J89="",'Beállítások'!$B$45,VLOOKUP(MAX('Ügyfelek'!J89,'Beállítások'!$Q$7),'Beállítások'!$Q$7:$R$11,2,TRUE)))</f>
        <v/>
      </c>
      <c r="I89">
        <f>IF($A89="","",IF('Ügyfelek'!K89="",'Beállítások'!$B$45,VLOOKUP(MAX('Ügyfelek'!K89,'Beállítások'!$T$7),'Beállítások'!$T$7:$U$11,2,TRUE)))</f>
        <v/>
      </c>
      <c r="J89">
        <f>IF($A89="","",IF('Ügyfelek'!M89="",'Beállítások'!$B$45,MIN(5,MAX(1,ROUND('Ügyfelek'!M89,0)))))</f>
        <v/>
      </c>
      <c r="K89">
        <f>IF($A89="","",IF('Ügyfelek'!P89="",'Beállítások'!$B$45,MIN(5,MAX(1,ROUND('Ügyfelek'!P89,0)))))</f>
        <v/>
      </c>
      <c r="L89">
        <f>IF($A89="","",IF('Ügyfelek'!O89="",'Beállítások'!$B$45,MIN(5,MAX(1,ROUND('Ügyfelek'!O89,0)))))</f>
        <v/>
      </c>
      <c r="M89" s="13">
        <f>IF($A89="","",ROUND('Beállítások'!$E$6*(B89-1)/4+'Beállítások'!$E$7*(C89-1)/4+'Beállítások'!$E$8*(D89-1)/4+'Beállítások'!$E$9*(E89-1)/4+'Beállítások'!$E$10*(F89-1)/4+'Beállítások'!$E$11*(G89-1)/4+'Beállítások'!$E$12*(H89-1)/4+'Beállítások'!$E$13*(I89-1)/4+'Beállítások'!$E$14*(J89-1)/4+'Beállítások'!$E$15*(K89-1)/4+'Beállítások'!$E$16*(L89-1)/4,1))</f>
        <v/>
      </c>
      <c r="N89" s="14">
        <f>IF($A89="","",RANK(M89,$M$2:$M$201))</f>
        <v/>
      </c>
      <c r="O89">
        <f>IF($A89="","",VLOOKUP(M89,'Beállítások'!$A$57:$E$60,2,TRUE))</f>
        <v/>
      </c>
      <c r="P89">
        <f>IF($A89="","",VLOOKUP(M89,'Beállítások'!$A$57:$E$60,3,TRUE))</f>
        <v/>
      </c>
      <c r="Q89">
        <f>IF($A89="","",INDEX('Beállítások'!$B$6:$B$16,MATCH(MAX(AD89:AN89),AD89:AN89,0)))</f>
        <v/>
      </c>
      <c r="R89">
        <f>IF($A89="","",IF(MAX(AO89:AY89)=0,"—",INDEX('Beállítások'!$B$6:$B$16,MATCH(MAX(AO89:AY89),AO89:AY89,0))))</f>
        <v/>
      </c>
      <c r="S89" s="5">
        <f>IF($A89="","",'Beállítások'!$B$47*(TRIM('Ügyfelek'!E89)="igen")+'Beállítások'!$B$48*(TRIM('Ügyfelek'!F89)="igen")+'Beállítások'!$B$49*N('Ügyfelek'!G89)+'Beállítások'!$B$46*N('Ügyfelek'!H89))</f>
        <v/>
      </c>
      <c r="T89" s="15">
        <f>IF($A89="","",VLOOKUP(M89,'Beállítások'!$A$57:$E$60,4,TRUE))</f>
        <v/>
      </c>
      <c r="U89" s="5">
        <f>IF($A89="","",N('Ügyfelek'!D89)*'Beállítások'!$B$51)</f>
        <v/>
      </c>
      <c r="V89" s="5">
        <f>IF($A89="","",CEILING(ROUND(MAX('Beállítások'!$B$50,S89*T89,U89),2),'Beállítások'!$B$52))</f>
        <v/>
      </c>
      <c r="W89">
        <f>IF($A89="","",IF(MAX('Beállítások'!$B$50,S89*T89,U89)=S89*T89,"Munkaigény × szintszorzó",IF(MAX('Beállítások'!$B$50,S89*T89,U89)=U89,"Hirdetési keret arányában","Minimumdíj")))</f>
        <v/>
      </c>
      <c r="X89" s="5">
        <f>IF(OR($A89="",'Ügyfelek'!Q89=""),"",'Ügyfelek'!Q89)</f>
        <v/>
      </c>
      <c r="Y89" s="5">
        <f>IF(X89="","",V89-X89)</f>
        <v/>
      </c>
      <c r="Z89" s="16">
        <f>IF(OR(X89="",X89=0),"",Y89/X89)</f>
        <v/>
      </c>
      <c r="AA89" s="5">
        <f>IF(OR($A89="",'Ügyfelek'!R89=""),"",'Ügyfelek'!R89*VLOOKUP(M89,'Beállítások'!$A$57:$E$60,5,TRUE))</f>
        <v/>
      </c>
      <c r="AB89" s="14">
        <f>IF($A89="","",('Ügyfelek'!B89="")+('Ügyfelek'!C89="")+('Ügyfelek'!D89="")+('Ügyfelek'!L89="")+('Ügyfelek'!I89="")+('Ügyfelek'!N89="")+('Ügyfelek'!J89="")+('Ügyfelek'!K89="")+('Ügyfelek'!M89="")+('Ügyfelek'!P89="")+('Ügyfelek'!O89=""))</f>
        <v/>
      </c>
      <c r="AD89">
        <f>IF($A89="","",B89+'Beállítások'!$E$6/1000)</f>
        <v/>
      </c>
      <c r="AE89">
        <f>IF($A89="","",C89+'Beállítások'!$E$7/1000)</f>
        <v/>
      </c>
      <c r="AF89">
        <f>IF($A89="","",D89+'Beállítások'!$E$8/1000)</f>
        <v/>
      </c>
      <c r="AG89">
        <f>IF($A89="","",E89+'Beállítások'!$E$9/1000)</f>
        <v/>
      </c>
      <c r="AH89">
        <f>IF($A89="","",F89+'Beállítások'!$E$10/1000)</f>
        <v/>
      </c>
      <c r="AI89">
        <f>IF($A89="","",G89+'Beállítások'!$E$11/1000)</f>
        <v/>
      </c>
      <c r="AJ89">
        <f>IF($A89="","",H89+'Beállítások'!$E$12/1000)</f>
        <v/>
      </c>
      <c r="AK89">
        <f>IF($A89="","",I89+'Beállítások'!$E$13/1000)</f>
        <v/>
      </c>
      <c r="AL89">
        <f>IF($A89="","",J89+'Beállítások'!$E$14/1000)</f>
        <v/>
      </c>
      <c r="AM89">
        <f>IF($A89="","",K89+'Beállítások'!$E$15/1000)</f>
        <v/>
      </c>
      <c r="AN89">
        <f>IF($A89="","",L89+'Beállítások'!$E$16/1000)</f>
        <v/>
      </c>
      <c r="AO89">
        <f>IF($A89="","",'Beállítások'!$E$6*(5-B89))</f>
        <v/>
      </c>
      <c r="AP89">
        <f>IF($A89="","",'Beállítások'!$E$7*(5-C89))</f>
        <v/>
      </c>
      <c r="AQ89">
        <f>IF($A89="","",'Beállítások'!$E$8*(5-D89))</f>
        <v/>
      </c>
      <c r="AR89">
        <f>IF($A89="","",'Beállítások'!$E$9*(5-E89))</f>
        <v/>
      </c>
      <c r="AS89">
        <f>IF($A89="","",'Beállítások'!$E$10*(5-F89))</f>
        <v/>
      </c>
      <c r="AT89">
        <f>IF($A89="","",'Beállítások'!$E$11*(5-G89))</f>
        <v/>
      </c>
      <c r="AU89">
        <f>IF($A89="","",'Beállítások'!$E$12*(5-H89))</f>
        <v/>
      </c>
      <c r="AV89">
        <f>IF($A89="","",'Beállítások'!$E$13*(5-I89))</f>
        <v/>
      </c>
      <c r="AW89">
        <f>IF($A89="","",'Beállítások'!$E$14*(5-J89))</f>
        <v/>
      </c>
      <c r="AX89">
        <f>IF($A89="","",'Beállítások'!$E$15*(5-K89))</f>
        <v/>
      </c>
      <c r="AY89">
        <f>IF($A89="","",'Beállítások'!$E$16*(5-L89))</f>
        <v/>
      </c>
      <c r="AZ89">
        <f>IF($A89="","",M89-ROW()/100000)</f>
        <v/>
      </c>
    </row>
    <row r="90">
      <c r="A90">
        <f>IF('Ügyfelek'!A90="","",'Ügyfelek'!A90)</f>
        <v/>
      </c>
      <c r="B90">
        <f>IF($A90="","",IF('Ügyfelek'!B90="",'Beállítások'!$B$45,IFERROR(VLOOKUP(TRIM('Ügyfelek'!B90),'Beállítások'!$A$22:$B$41,2,FALSE),'Beállítások'!$B$45)))</f>
        <v/>
      </c>
      <c r="C90">
        <f>IF($A90="","",IF('Ügyfelek'!C90="",'Beállítások'!$B$45,VLOOKUP(MAX('Ügyfelek'!C90,'Beállítások'!$H$7),'Beállítások'!$H$7:$I$11,2,TRUE)))</f>
        <v/>
      </c>
      <c r="D90">
        <f>IF($A90="","",IF('Ügyfelek'!D90="",'Beállítások'!$B$45,VLOOKUP(MAX('Ügyfelek'!D90,'Beállítások'!$K$7),'Beállítások'!$K$7:$L$11,2,TRUE)))</f>
        <v/>
      </c>
      <c r="E90">
        <f>IF($A90="","",IF('Ügyfelek'!L90="",'Beállítások'!$B$45,MIN(5,MAX(1,ROUND('Ügyfelek'!L90,0)))))</f>
        <v/>
      </c>
      <c r="F90">
        <f>IF($A90="","",IF('Ügyfelek'!I90="",'Beállítások'!$B$45,VLOOKUP(MAX('Ügyfelek'!I90,'Beállítások'!$N$7),'Beállítások'!$N$7:$O$11,2,TRUE)))</f>
        <v/>
      </c>
      <c r="G90">
        <f>IF($A90="","",IF('Ügyfelek'!N90="",'Beállítások'!$B$45,MIN(5,MAX(1,ROUND('Ügyfelek'!N90,0)))))</f>
        <v/>
      </c>
      <c r="H90">
        <f>IF($A90="","",IF('Ügyfelek'!J90="",'Beállítások'!$B$45,VLOOKUP(MAX('Ügyfelek'!J90,'Beállítások'!$Q$7),'Beállítások'!$Q$7:$R$11,2,TRUE)))</f>
        <v/>
      </c>
      <c r="I90">
        <f>IF($A90="","",IF('Ügyfelek'!K90="",'Beállítások'!$B$45,VLOOKUP(MAX('Ügyfelek'!K90,'Beállítások'!$T$7),'Beállítások'!$T$7:$U$11,2,TRUE)))</f>
        <v/>
      </c>
      <c r="J90">
        <f>IF($A90="","",IF('Ügyfelek'!M90="",'Beállítások'!$B$45,MIN(5,MAX(1,ROUND('Ügyfelek'!M90,0)))))</f>
        <v/>
      </c>
      <c r="K90">
        <f>IF($A90="","",IF('Ügyfelek'!P90="",'Beállítások'!$B$45,MIN(5,MAX(1,ROUND('Ügyfelek'!P90,0)))))</f>
        <v/>
      </c>
      <c r="L90">
        <f>IF($A90="","",IF('Ügyfelek'!O90="",'Beállítások'!$B$45,MIN(5,MAX(1,ROUND('Ügyfelek'!O90,0)))))</f>
        <v/>
      </c>
      <c r="M90" s="13">
        <f>IF($A90="","",ROUND('Beállítások'!$E$6*(B90-1)/4+'Beállítások'!$E$7*(C90-1)/4+'Beállítások'!$E$8*(D90-1)/4+'Beállítások'!$E$9*(E90-1)/4+'Beállítások'!$E$10*(F90-1)/4+'Beállítások'!$E$11*(G90-1)/4+'Beállítások'!$E$12*(H90-1)/4+'Beállítások'!$E$13*(I90-1)/4+'Beállítások'!$E$14*(J90-1)/4+'Beállítások'!$E$15*(K90-1)/4+'Beállítások'!$E$16*(L90-1)/4,1))</f>
        <v/>
      </c>
      <c r="N90" s="14">
        <f>IF($A90="","",RANK(M90,$M$2:$M$201))</f>
        <v/>
      </c>
      <c r="O90">
        <f>IF($A90="","",VLOOKUP(M90,'Beállítások'!$A$57:$E$60,2,TRUE))</f>
        <v/>
      </c>
      <c r="P90">
        <f>IF($A90="","",VLOOKUP(M90,'Beállítások'!$A$57:$E$60,3,TRUE))</f>
        <v/>
      </c>
      <c r="Q90">
        <f>IF($A90="","",INDEX('Beállítások'!$B$6:$B$16,MATCH(MAX(AD90:AN90),AD90:AN90,0)))</f>
        <v/>
      </c>
      <c r="R90">
        <f>IF($A90="","",IF(MAX(AO90:AY90)=0,"—",INDEX('Beállítások'!$B$6:$B$16,MATCH(MAX(AO90:AY90),AO90:AY90,0))))</f>
        <v/>
      </c>
      <c r="S90" s="5">
        <f>IF($A90="","",'Beállítások'!$B$47*(TRIM('Ügyfelek'!E90)="igen")+'Beállítások'!$B$48*(TRIM('Ügyfelek'!F90)="igen")+'Beállítások'!$B$49*N('Ügyfelek'!G90)+'Beállítások'!$B$46*N('Ügyfelek'!H90))</f>
        <v/>
      </c>
      <c r="T90" s="15">
        <f>IF($A90="","",VLOOKUP(M90,'Beállítások'!$A$57:$E$60,4,TRUE))</f>
        <v/>
      </c>
      <c r="U90" s="5">
        <f>IF($A90="","",N('Ügyfelek'!D90)*'Beállítások'!$B$51)</f>
        <v/>
      </c>
      <c r="V90" s="5">
        <f>IF($A90="","",CEILING(ROUND(MAX('Beállítások'!$B$50,S90*T90,U90),2),'Beállítások'!$B$52))</f>
        <v/>
      </c>
      <c r="W90">
        <f>IF($A90="","",IF(MAX('Beállítások'!$B$50,S90*T90,U90)=S90*T90,"Munkaigény × szintszorzó",IF(MAX('Beállítások'!$B$50,S90*T90,U90)=U90,"Hirdetési keret arányában","Minimumdíj")))</f>
        <v/>
      </c>
      <c r="X90" s="5">
        <f>IF(OR($A90="",'Ügyfelek'!Q90=""),"",'Ügyfelek'!Q90)</f>
        <v/>
      </c>
      <c r="Y90" s="5">
        <f>IF(X90="","",V90-X90)</f>
        <v/>
      </c>
      <c r="Z90" s="16">
        <f>IF(OR(X90="",X90=0),"",Y90/X90)</f>
        <v/>
      </c>
      <c r="AA90" s="5">
        <f>IF(OR($A90="",'Ügyfelek'!R90=""),"",'Ügyfelek'!R90*VLOOKUP(M90,'Beállítások'!$A$57:$E$60,5,TRUE))</f>
        <v/>
      </c>
      <c r="AB90" s="14">
        <f>IF($A90="","",('Ügyfelek'!B90="")+('Ügyfelek'!C90="")+('Ügyfelek'!D90="")+('Ügyfelek'!L90="")+('Ügyfelek'!I90="")+('Ügyfelek'!N90="")+('Ügyfelek'!J90="")+('Ügyfelek'!K90="")+('Ügyfelek'!M90="")+('Ügyfelek'!P90="")+('Ügyfelek'!O90=""))</f>
        <v/>
      </c>
      <c r="AD90">
        <f>IF($A90="","",B90+'Beállítások'!$E$6/1000)</f>
        <v/>
      </c>
      <c r="AE90">
        <f>IF($A90="","",C90+'Beállítások'!$E$7/1000)</f>
        <v/>
      </c>
      <c r="AF90">
        <f>IF($A90="","",D90+'Beállítások'!$E$8/1000)</f>
        <v/>
      </c>
      <c r="AG90">
        <f>IF($A90="","",E90+'Beállítások'!$E$9/1000)</f>
        <v/>
      </c>
      <c r="AH90">
        <f>IF($A90="","",F90+'Beállítások'!$E$10/1000)</f>
        <v/>
      </c>
      <c r="AI90">
        <f>IF($A90="","",G90+'Beállítások'!$E$11/1000)</f>
        <v/>
      </c>
      <c r="AJ90">
        <f>IF($A90="","",H90+'Beállítások'!$E$12/1000)</f>
        <v/>
      </c>
      <c r="AK90">
        <f>IF($A90="","",I90+'Beállítások'!$E$13/1000)</f>
        <v/>
      </c>
      <c r="AL90">
        <f>IF($A90="","",J90+'Beállítások'!$E$14/1000)</f>
        <v/>
      </c>
      <c r="AM90">
        <f>IF($A90="","",K90+'Beállítások'!$E$15/1000)</f>
        <v/>
      </c>
      <c r="AN90">
        <f>IF($A90="","",L90+'Beállítások'!$E$16/1000)</f>
        <v/>
      </c>
      <c r="AO90">
        <f>IF($A90="","",'Beállítások'!$E$6*(5-B90))</f>
        <v/>
      </c>
      <c r="AP90">
        <f>IF($A90="","",'Beállítások'!$E$7*(5-C90))</f>
        <v/>
      </c>
      <c r="AQ90">
        <f>IF($A90="","",'Beállítások'!$E$8*(5-D90))</f>
        <v/>
      </c>
      <c r="AR90">
        <f>IF($A90="","",'Beállítások'!$E$9*(5-E90))</f>
        <v/>
      </c>
      <c r="AS90">
        <f>IF($A90="","",'Beállítások'!$E$10*(5-F90))</f>
        <v/>
      </c>
      <c r="AT90">
        <f>IF($A90="","",'Beállítások'!$E$11*(5-G90))</f>
        <v/>
      </c>
      <c r="AU90">
        <f>IF($A90="","",'Beállítások'!$E$12*(5-H90))</f>
        <v/>
      </c>
      <c r="AV90">
        <f>IF($A90="","",'Beállítások'!$E$13*(5-I90))</f>
        <v/>
      </c>
      <c r="AW90">
        <f>IF($A90="","",'Beállítások'!$E$14*(5-J90))</f>
        <v/>
      </c>
      <c r="AX90">
        <f>IF($A90="","",'Beállítások'!$E$15*(5-K90))</f>
        <v/>
      </c>
      <c r="AY90">
        <f>IF($A90="","",'Beállítások'!$E$16*(5-L90))</f>
        <v/>
      </c>
      <c r="AZ90">
        <f>IF($A90="","",M90-ROW()/100000)</f>
        <v/>
      </c>
    </row>
    <row r="91">
      <c r="A91">
        <f>IF('Ügyfelek'!A91="","",'Ügyfelek'!A91)</f>
        <v/>
      </c>
      <c r="B91">
        <f>IF($A91="","",IF('Ügyfelek'!B91="",'Beállítások'!$B$45,IFERROR(VLOOKUP(TRIM('Ügyfelek'!B91),'Beállítások'!$A$22:$B$41,2,FALSE),'Beállítások'!$B$45)))</f>
        <v/>
      </c>
      <c r="C91">
        <f>IF($A91="","",IF('Ügyfelek'!C91="",'Beállítások'!$B$45,VLOOKUP(MAX('Ügyfelek'!C91,'Beállítások'!$H$7),'Beállítások'!$H$7:$I$11,2,TRUE)))</f>
        <v/>
      </c>
      <c r="D91">
        <f>IF($A91="","",IF('Ügyfelek'!D91="",'Beállítások'!$B$45,VLOOKUP(MAX('Ügyfelek'!D91,'Beállítások'!$K$7),'Beállítások'!$K$7:$L$11,2,TRUE)))</f>
        <v/>
      </c>
      <c r="E91">
        <f>IF($A91="","",IF('Ügyfelek'!L91="",'Beállítások'!$B$45,MIN(5,MAX(1,ROUND('Ügyfelek'!L91,0)))))</f>
        <v/>
      </c>
      <c r="F91">
        <f>IF($A91="","",IF('Ügyfelek'!I91="",'Beállítások'!$B$45,VLOOKUP(MAX('Ügyfelek'!I91,'Beállítások'!$N$7),'Beállítások'!$N$7:$O$11,2,TRUE)))</f>
        <v/>
      </c>
      <c r="G91">
        <f>IF($A91="","",IF('Ügyfelek'!N91="",'Beállítások'!$B$45,MIN(5,MAX(1,ROUND('Ügyfelek'!N91,0)))))</f>
        <v/>
      </c>
      <c r="H91">
        <f>IF($A91="","",IF('Ügyfelek'!J91="",'Beállítások'!$B$45,VLOOKUP(MAX('Ügyfelek'!J91,'Beállítások'!$Q$7),'Beállítások'!$Q$7:$R$11,2,TRUE)))</f>
        <v/>
      </c>
      <c r="I91">
        <f>IF($A91="","",IF('Ügyfelek'!K91="",'Beállítások'!$B$45,VLOOKUP(MAX('Ügyfelek'!K91,'Beállítások'!$T$7),'Beállítások'!$T$7:$U$11,2,TRUE)))</f>
        <v/>
      </c>
      <c r="J91">
        <f>IF($A91="","",IF('Ügyfelek'!M91="",'Beállítások'!$B$45,MIN(5,MAX(1,ROUND('Ügyfelek'!M91,0)))))</f>
        <v/>
      </c>
      <c r="K91">
        <f>IF($A91="","",IF('Ügyfelek'!P91="",'Beállítások'!$B$45,MIN(5,MAX(1,ROUND('Ügyfelek'!P91,0)))))</f>
        <v/>
      </c>
      <c r="L91">
        <f>IF($A91="","",IF('Ügyfelek'!O91="",'Beállítások'!$B$45,MIN(5,MAX(1,ROUND('Ügyfelek'!O91,0)))))</f>
        <v/>
      </c>
      <c r="M91" s="13">
        <f>IF($A91="","",ROUND('Beállítások'!$E$6*(B91-1)/4+'Beállítások'!$E$7*(C91-1)/4+'Beállítások'!$E$8*(D91-1)/4+'Beállítások'!$E$9*(E91-1)/4+'Beállítások'!$E$10*(F91-1)/4+'Beállítások'!$E$11*(G91-1)/4+'Beállítások'!$E$12*(H91-1)/4+'Beállítások'!$E$13*(I91-1)/4+'Beállítások'!$E$14*(J91-1)/4+'Beállítások'!$E$15*(K91-1)/4+'Beállítások'!$E$16*(L91-1)/4,1))</f>
        <v/>
      </c>
      <c r="N91" s="14">
        <f>IF($A91="","",RANK(M91,$M$2:$M$201))</f>
        <v/>
      </c>
      <c r="O91">
        <f>IF($A91="","",VLOOKUP(M91,'Beállítások'!$A$57:$E$60,2,TRUE))</f>
        <v/>
      </c>
      <c r="P91">
        <f>IF($A91="","",VLOOKUP(M91,'Beállítások'!$A$57:$E$60,3,TRUE))</f>
        <v/>
      </c>
      <c r="Q91">
        <f>IF($A91="","",INDEX('Beállítások'!$B$6:$B$16,MATCH(MAX(AD91:AN91),AD91:AN91,0)))</f>
        <v/>
      </c>
      <c r="R91">
        <f>IF($A91="","",IF(MAX(AO91:AY91)=0,"—",INDEX('Beállítások'!$B$6:$B$16,MATCH(MAX(AO91:AY91),AO91:AY91,0))))</f>
        <v/>
      </c>
      <c r="S91" s="5">
        <f>IF($A91="","",'Beállítások'!$B$47*(TRIM('Ügyfelek'!E91)="igen")+'Beállítások'!$B$48*(TRIM('Ügyfelek'!F91)="igen")+'Beállítások'!$B$49*N('Ügyfelek'!G91)+'Beállítások'!$B$46*N('Ügyfelek'!H91))</f>
        <v/>
      </c>
      <c r="T91" s="15">
        <f>IF($A91="","",VLOOKUP(M91,'Beállítások'!$A$57:$E$60,4,TRUE))</f>
        <v/>
      </c>
      <c r="U91" s="5">
        <f>IF($A91="","",N('Ügyfelek'!D91)*'Beállítások'!$B$51)</f>
        <v/>
      </c>
      <c r="V91" s="5">
        <f>IF($A91="","",CEILING(ROUND(MAX('Beállítások'!$B$50,S91*T91,U91),2),'Beállítások'!$B$52))</f>
        <v/>
      </c>
      <c r="W91">
        <f>IF($A91="","",IF(MAX('Beállítások'!$B$50,S91*T91,U91)=S91*T91,"Munkaigény × szintszorzó",IF(MAX('Beállítások'!$B$50,S91*T91,U91)=U91,"Hirdetési keret arányában","Minimumdíj")))</f>
        <v/>
      </c>
      <c r="X91" s="5">
        <f>IF(OR($A91="",'Ügyfelek'!Q91=""),"",'Ügyfelek'!Q91)</f>
        <v/>
      </c>
      <c r="Y91" s="5">
        <f>IF(X91="","",V91-X91)</f>
        <v/>
      </c>
      <c r="Z91" s="16">
        <f>IF(OR(X91="",X91=0),"",Y91/X91)</f>
        <v/>
      </c>
      <c r="AA91" s="5">
        <f>IF(OR($A91="",'Ügyfelek'!R91=""),"",'Ügyfelek'!R91*VLOOKUP(M91,'Beállítások'!$A$57:$E$60,5,TRUE))</f>
        <v/>
      </c>
      <c r="AB91" s="14">
        <f>IF($A91="","",('Ügyfelek'!B91="")+('Ügyfelek'!C91="")+('Ügyfelek'!D91="")+('Ügyfelek'!L91="")+('Ügyfelek'!I91="")+('Ügyfelek'!N91="")+('Ügyfelek'!J91="")+('Ügyfelek'!K91="")+('Ügyfelek'!M91="")+('Ügyfelek'!P91="")+('Ügyfelek'!O91=""))</f>
        <v/>
      </c>
      <c r="AD91">
        <f>IF($A91="","",B91+'Beállítások'!$E$6/1000)</f>
        <v/>
      </c>
      <c r="AE91">
        <f>IF($A91="","",C91+'Beállítások'!$E$7/1000)</f>
        <v/>
      </c>
      <c r="AF91">
        <f>IF($A91="","",D91+'Beállítások'!$E$8/1000)</f>
        <v/>
      </c>
      <c r="AG91">
        <f>IF($A91="","",E91+'Beállítások'!$E$9/1000)</f>
        <v/>
      </c>
      <c r="AH91">
        <f>IF($A91="","",F91+'Beállítások'!$E$10/1000)</f>
        <v/>
      </c>
      <c r="AI91">
        <f>IF($A91="","",G91+'Beállítások'!$E$11/1000)</f>
        <v/>
      </c>
      <c r="AJ91">
        <f>IF($A91="","",H91+'Beállítások'!$E$12/1000)</f>
        <v/>
      </c>
      <c r="AK91">
        <f>IF($A91="","",I91+'Beállítások'!$E$13/1000)</f>
        <v/>
      </c>
      <c r="AL91">
        <f>IF($A91="","",J91+'Beállítások'!$E$14/1000)</f>
        <v/>
      </c>
      <c r="AM91">
        <f>IF($A91="","",K91+'Beállítások'!$E$15/1000)</f>
        <v/>
      </c>
      <c r="AN91">
        <f>IF($A91="","",L91+'Beállítások'!$E$16/1000)</f>
        <v/>
      </c>
      <c r="AO91">
        <f>IF($A91="","",'Beállítások'!$E$6*(5-B91))</f>
        <v/>
      </c>
      <c r="AP91">
        <f>IF($A91="","",'Beállítások'!$E$7*(5-C91))</f>
        <v/>
      </c>
      <c r="AQ91">
        <f>IF($A91="","",'Beállítások'!$E$8*(5-D91))</f>
        <v/>
      </c>
      <c r="AR91">
        <f>IF($A91="","",'Beállítások'!$E$9*(5-E91))</f>
        <v/>
      </c>
      <c r="AS91">
        <f>IF($A91="","",'Beállítások'!$E$10*(5-F91))</f>
        <v/>
      </c>
      <c r="AT91">
        <f>IF($A91="","",'Beállítások'!$E$11*(5-G91))</f>
        <v/>
      </c>
      <c r="AU91">
        <f>IF($A91="","",'Beállítások'!$E$12*(5-H91))</f>
        <v/>
      </c>
      <c r="AV91">
        <f>IF($A91="","",'Beállítások'!$E$13*(5-I91))</f>
        <v/>
      </c>
      <c r="AW91">
        <f>IF($A91="","",'Beállítások'!$E$14*(5-J91))</f>
        <v/>
      </c>
      <c r="AX91">
        <f>IF($A91="","",'Beállítások'!$E$15*(5-K91))</f>
        <v/>
      </c>
      <c r="AY91">
        <f>IF($A91="","",'Beállítások'!$E$16*(5-L91))</f>
        <v/>
      </c>
      <c r="AZ91">
        <f>IF($A91="","",M91-ROW()/100000)</f>
        <v/>
      </c>
    </row>
    <row r="92">
      <c r="A92">
        <f>IF('Ügyfelek'!A92="","",'Ügyfelek'!A92)</f>
        <v/>
      </c>
      <c r="B92">
        <f>IF($A92="","",IF('Ügyfelek'!B92="",'Beállítások'!$B$45,IFERROR(VLOOKUP(TRIM('Ügyfelek'!B92),'Beállítások'!$A$22:$B$41,2,FALSE),'Beállítások'!$B$45)))</f>
        <v/>
      </c>
      <c r="C92">
        <f>IF($A92="","",IF('Ügyfelek'!C92="",'Beállítások'!$B$45,VLOOKUP(MAX('Ügyfelek'!C92,'Beállítások'!$H$7),'Beállítások'!$H$7:$I$11,2,TRUE)))</f>
        <v/>
      </c>
      <c r="D92">
        <f>IF($A92="","",IF('Ügyfelek'!D92="",'Beállítások'!$B$45,VLOOKUP(MAX('Ügyfelek'!D92,'Beállítások'!$K$7),'Beállítások'!$K$7:$L$11,2,TRUE)))</f>
        <v/>
      </c>
      <c r="E92">
        <f>IF($A92="","",IF('Ügyfelek'!L92="",'Beállítások'!$B$45,MIN(5,MAX(1,ROUND('Ügyfelek'!L92,0)))))</f>
        <v/>
      </c>
      <c r="F92">
        <f>IF($A92="","",IF('Ügyfelek'!I92="",'Beállítások'!$B$45,VLOOKUP(MAX('Ügyfelek'!I92,'Beállítások'!$N$7),'Beállítások'!$N$7:$O$11,2,TRUE)))</f>
        <v/>
      </c>
      <c r="G92">
        <f>IF($A92="","",IF('Ügyfelek'!N92="",'Beállítások'!$B$45,MIN(5,MAX(1,ROUND('Ügyfelek'!N92,0)))))</f>
        <v/>
      </c>
      <c r="H92">
        <f>IF($A92="","",IF('Ügyfelek'!J92="",'Beállítások'!$B$45,VLOOKUP(MAX('Ügyfelek'!J92,'Beállítások'!$Q$7),'Beállítások'!$Q$7:$R$11,2,TRUE)))</f>
        <v/>
      </c>
      <c r="I92">
        <f>IF($A92="","",IF('Ügyfelek'!K92="",'Beállítások'!$B$45,VLOOKUP(MAX('Ügyfelek'!K92,'Beállítások'!$T$7),'Beállítások'!$T$7:$U$11,2,TRUE)))</f>
        <v/>
      </c>
      <c r="J92">
        <f>IF($A92="","",IF('Ügyfelek'!M92="",'Beállítások'!$B$45,MIN(5,MAX(1,ROUND('Ügyfelek'!M92,0)))))</f>
        <v/>
      </c>
      <c r="K92">
        <f>IF($A92="","",IF('Ügyfelek'!P92="",'Beállítások'!$B$45,MIN(5,MAX(1,ROUND('Ügyfelek'!P92,0)))))</f>
        <v/>
      </c>
      <c r="L92">
        <f>IF($A92="","",IF('Ügyfelek'!O92="",'Beállítások'!$B$45,MIN(5,MAX(1,ROUND('Ügyfelek'!O92,0)))))</f>
        <v/>
      </c>
      <c r="M92" s="13">
        <f>IF($A92="","",ROUND('Beállítások'!$E$6*(B92-1)/4+'Beállítások'!$E$7*(C92-1)/4+'Beállítások'!$E$8*(D92-1)/4+'Beállítások'!$E$9*(E92-1)/4+'Beállítások'!$E$10*(F92-1)/4+'Beállítások'!$E$11*(G92-1)/4+'Beállítások'!$E$12*(H92-1)/4+'Beállítások'!$E$13*(I92-1)/4+'Beállítások'!$E$14*(J92-1)/4+'Beállítások'!$E$15*(K92-1)/4+'Beállítások'!$E$16*(L92-1)/4,1))</f>
        <v/>
      </c>
      <c r="N92" s="14">
        <f>IF($A92="","",RANK(M92,$M$2:$M$201))</f>
        <v/>
      </c>
      <c r="O92">
        <f>IF($A92="","",VLOOKUP(M92,'Beállítások'!$A$57:$E$60,2,TRUE))</f>
        <v/>
      </c>
      <c r="P92">
        <f>IF($A92="","",VLOOKUP(M92,'Beállítások'!$A$57:$E$60,3,TRUE))</f>
        <v/>
      </c>
      <c r="Q92">
        <f>IF($A92="","",INDEX('Beállítások'!$B$6:$B$16,MATCH(MAX(AD92:AN92),AD92:AN92,0)))</f>
        <v/>
      </c>
      <c r="R92">
        <f>IF($A92="","",IF(MAX(AO92:AY92)=0,"—",INDEX('Beállítások'!$B$6:$B$16,MATCH(MAX(AO92:AY92),AO92:AY92,0))))</f>
        <v/>
      </c>
      <c r="S92" s="5">
        <f>IF($A92="","",'Beállítások'!$B$47*(TRIM('Ügyfelek'!E92)="igen")+'Beállítások'!$B$48*(TRIM('Ügyfelek'!F92)="igen")+'Beállítások'!$B$49*N('Ügyfelek'!G92)+'Beállítások'!$B$46*N('Ügyfelek'!H92))</f>
        <v/>
      </c>
      <c r="T92" s="15">
        <f>IF($A92="","",VLOOKUP(M92,'Beállítások'!$A$57:$E$60,4,TRUE))</f>
        <v/>
      </c>
      <c r="U92" s="5">
        <f>IF($A92="","",N('Ügyfelek'!D92)*'Beállítások'!$B$51)</f>
        <v/>
      </c>
      <c r="V92" s="5">
        <f>IF($A92="","",CEILING(ROUND(MAX('Beállítások'!$B$50,S92*T92,U92),2),'Beállítások'!$B$52))</f>
        <v/>
      </c>
      <c r="W92">
        <f>IF($A92="","",IF(MAX('Beállítások'!$B$50,S92*T92,U92)=S92*T92,"Munkaigény × szintszorzó",IF(MAX('Beállítások'!$B$50,S92*T92,U92)=U92,"Hirdetési keret arányában","Minimumdíj")))</f>
        <v/>
      </c>
      <c r="X92" s="5">
        <f>IF(OR($A92="",'Ügyfelek'!Q92=""),"",'Ügyfelek'!Q92)</f>
        <v/>
      </c>
      <c r="Y92" s="5">
        <f>IF(X92="","",V92-X92)</f>
        <v/>
      </c>
      <c r="Z92" s="16">
        <f>IF(OR(X92="",X92=0),"",Y92/X92)</f>
        <v/>
      </c>
      <c r="AA92" s="5">
        <f>IF(OR($A92="",'Ügyfelek'!R92=""),"",'Ügyfelek'!R92*VLOOKUP(M92,'Beállítások'!$A$57:$E$60,5,TRUE))</f>
        <v/>
      </c>
      <c r="AB92" s="14">
        <f>IF($A92="","",('Ügyfelek'!B92="")+('Ügyfelek'!C92="")+('Ügyfelek'!D92="")+('Ügyfelek'!L92="")+('Ügyfelek'!I92="")+('Ügyfelek'!N92="")+('Ügyfelek'!J92="")+('Ügyfelek'!K92="")+('Ügyfelek'!M92="")+('Ügyfelek'!P92="")+('Ügyfelek'!O92=""))</f>
        <v/>
      </c>
      <c r="AD92">
        <f>IF($A92="","",B92+'Beállítások'!$E$6/1000)</f>
        <v/>
      </c>
      <c r="AE92">
        <f>IF($A92="","",C92+'Beállítások'!$E$7/1000)</f>
        <v/>
      </c>
      <c r="AF92">
        <f>IF($A92="","",D92+'Beállítások'!$E$8/1000)</f>
        <v/>
      </c>
      <c r="AG92">
        <f>IF($A92="","",E92+'Beállítások'!$E$9/1000)</f>
        <v/>
      </c>
      <c r="AH92">
        <f>IF($A92="","",F92+'Beállítások'!$E$10/1000)</f>
        <v/>
      </c>
      <c r="AI92">
        <f>IF($A92="","",G92+'Beállítások'!$E$11/1000)</f>
        <v/>
      </c>
      <c r="AJ92">
        <f>IF($A92="","",H92+'Beállítások'!$E$12/1000)</f>
        <v/>
      </c>
      <c r="AK92">
        <f>IF($A92="","",I92+'Beállítások'!$E$13/1000)</f>
        <v/>
      </c>
      <c r="AL92">
        <f>IF($A92="","",J92+'Beállítások'!$E$14/1000)</f>
        <v/>
      </c>
      <c r="AM92">
        <f>IF($A92="","",K92+'Beállítások'!$E$15/1000)</f>
        <v/>
      </c>
      <c r="AN92">
        <f>IF($A92="","",L92+'Beállítások'!$E$16/1000)</f>
        <v/>
      </c>
      <c r="AO92">
        <f>IF($A92="","",'Beállítások'!$E$6*(5-B92))</f>
        <v/>
      </c>
      <c r="AP92">
        <f>IF($A92="","",'Beállítások'!$E$7*(5-C92))</f>
        <v/>
      </c>
      <c r="AQ92">
        <f>IF($A92="","",'Beállítások'!$E$8*(5-D92))</f>
        <v/>
      </c>
      <c r="AR92">
        <f>IF($A92="","",'Beállítások'!$E$9*(5-E92))</f>
        <v/>
      </c>
      <c r="AS92">
        <f>IF($A92="","",'Beállítások'!$E$10*(5-F92))</f>
        <v/>
      </c>
      <c r="AT92">
        <f>IF($A92="","",'Beállítások'!$E$11*(5-G92))</f>
        <v/>
      </c>
      <c r="AU92">
        <f>IF($A92="","",'Beállítások'!$E$12*(5-H92))</f>
        <v/>
      </c>
      <c r="AV92">
        <f>IF($A92="","",'Beállítások'!$E$13*(5-I92))</f>
        <v/>
      </c>
      <c r="AW92">
        <f>IF($A92="","",'Beállítások'!$E$14*(5-J92))</f>
        <v/>
      </c>
      <c r="AX92">
        <f>IF($A92="","",'Beállítások'!$E$15*(5-K92))</f>
        <v/>
      </c>
      <c r="AY92">
        <f>IF($A92="","",'Beállítások'!$E$16*(5-L92))</f>
        <v/>
      </c>
      <c r="AZ92">
        <f>IF($A92="","",M92-ROW()/100000)</f>
        <v/>
      </c>
    </row>
    <row r="93">
      <c r="A93">
        <f>IF('Ügyfelek'!A93="","",'Ügyfelek'!A93)</f>
        <v/>
      </c>
      <c r="B93">
        <f>IF($A93="","",IF('Ügyfelek'!B93="",'Beállítások'!$B$45,IFERROR(VLOOKUP(TRIM('Ügyfelek'!B93),'Beállítások'!$A$22:$B$41,2,FALSE),'Beállítások'!$B$45)))</f>
        <v/>
      </c>
      <c r="C93">
        <f>IF($A93="","",IF('Ügyfelek'!C93="",'Beállítások'!$B$45,VLOOKUP(MAX('Ügyfelek'!C93,'Beállítások'!$H$7),'Beállítások'!$H$7:$I$11,2,TRUE)))</f>
        <v/>
      </c>
      <c r="D93">
        <f>IF($A93="","",IF('Ügyfelek'!D93="",'Beállítások'!$B$45,VLOOKUP(MAX('Ügyfelek'!D93,'Beállítások'!$K$7),'Beállítások'!$K$7:$L$11,2,TRUE)))</f>
        <v/>
      </c>
      <c r="E93">
        <f>IF($A93="","",IF('Ügyfelek'!L93="",'Beállítások'!$B$45,MIN(5,MAX(1,ROUND('Ügyfelek'!L93,0)))))</f>
        <v/>
      </c>
      <c r="F93">
        <f>IF($A93="","",IF('Ügyfelek'!I93="",'Beállítások'!$B$45,VLOOKUP(MAX('Ügyfelek'!I93,'Beállítások'!$N$7),'Beállítások'!$N$7:$O$11,2,TRUE)))</f>
        <v/>
      </c>
      <c r="G93">
        <f>IF($A93="","",IF('Ügyfelek'!N93="",'Beállítások'!$B$45,MIN(5,MAX(1,ROUND('Ügyfelek'!N93,0)))))</f>
        <v/>
      </c>
      <c r="H93">
        <f>IF($A93="","",IF('Ügyfelek'!J93="",'Beállítások'!$B$45,VLOOKUP(MAX('Ügyfelek'!J93,'Beállítások'!$Q$7),'Beállítások'!$Q$7:$R$11,2,TRUE)))</f>
        <v/>
      </c>
      <c r="I93">
        <f>IF($A93="","",IF('Ügyfelek'!K93="",'Beállítások'!$B$45,VLOOKUP(MAX('Ügyfelek'!K93,'Beállítások'!$T$7),'Beállítások'!$T$7:$U$11,2,TRUE)))</f>
        <v/>
      </c>
      <c r="J93">
        <f>IF($A93="","",IF('Ügyfelek'!M93="",'Beállítások'!$B$45,MIN(5,MAX(1,ROUND('Ügyfelek'!M93,0)))))</f>
        <v/>
      </c>
      <c r="K93">
        <f>IF($A93="","",IF('Ügyfelek'!P93="",'Beállítások'!$B$45,MIN(5,MAX(1,ROUND('Ügyfelek'!P93,0)))))</f>
        <v/>
      </c>
      <c r="L93">
        <f>IF($A93="","",IF('Ügyfelek'!O93="",'Beállítások'!$B$45,MIN(5,MAX(1,ROUND('Ügyfelek'!O93,0)))))</f>
        <v/>
      </c>
      <c r="M93" s="13">
        <f>IF($A93="","",ROUND('Beállítások'!$E$6*(B93-1)/4+'Beállítások'!$E$7*(C93-1)/4+'Beállítások'!$E$8*(D93-1)/4+'Beállítások'!$E$9*(E93-1)/4+'Beállítások'!$E$10*(F93-1)/4+'Beállítások'!$E$11*(G93-1)/4+'Beállítások'!$E$12*(H93-1)/4+'Beállítások'!$E$13*(I93-1)/4+'Beállítások'!$E$14*(J93-1)/4+'Beállítások'!$E$15*(K93-1)/4+'Beállítások'!$E$16*(L93-1)/4,1))</f>
        <v/>
      </c>
      <c r="N93" s="14">
        <f>IF($A93="","",RANK(M93,$M$2:$M$201))</f>
        <v/>
      </c>
      <c r="O93">
        <f>IF($A93="","",VLOOKUP(M93,'Beállítások'!$A$57:$E$60,2,TRUE))</f>
        <v/>
      </c>
      <c r="P93">
        <f>IF($A93="","",VLOOKUP(M93,'Beállítások'!$A$57:$E$60,3,TRUE))</f>
        <v/>
      </c>
      <c r="Q93">
        <f>IF($A93="","",INDEX('Beállítások'!$B$6:$B$16,MATCH(MAX(AD93:AN93),AD93:AN93,0)))</f>
        <v/>
      </c>
      <c r="R93">
        <f>IF($A93="","",IF(MAX(AO93:AY93)=0,"—",INDEX('Beállítások'!$B$6:$B$16,MATCH(MAX(AO93:AY93),AO93:AY93,0))))</f>
        <v/>
      </c>
      <c r="S93" s="5">
        <f>IF($A93="","",'Beállítások'!$B$47*(TRIM('Ügyfelek'!E93)="igen")+'Beállítások'!$B$48*(TRIM('Ügyfelek'!F93)="igen")+'Beállítások'!$B$49*N('Ügyfelek'!G93)+'Beállítások'!$B$46*N('Ügyfelek'!H93))</f>
        <v/>
      </c>
      <c r="T93" s="15">
        <f>IF($A93="","",VLOOKUP(M93,'Beállítások'!$A$57:$E$60,4,TRUE))</f>
        <v/>
      </c>
      <c r="U93" s="5">
        <f>IF($A93="","",N('Ügyfelek'!D93)*'Beállítások'!$B$51)</f>
        <v/>
      </c>
      <c r="V93" s="5">
        <f>IF($A93="","",CEILING(ROUND(MAX('Beállítások'!$B$50,S93*T93,U93),2),'Beállítások'!$B$52))</f>
        <v/>
      </c>
      <c r="W93">
        <f>IF($A93="","",IF(MAX('Beállítások'!$B$50,S93*T93,U93)=S93*T93,"Munkaigény × szintszorzó",IF(MAX('Beállítások'!$B$50,S93*T93,U93)=U93,"Hirdetési keret arányában","Minimumdíj")))</f>
        <v/>
      </c>
      <c r="X93" s="5">
        <f>IF(OR($A93="",'Ügyfelek'!Q93=""),"",'Ügyfelek'!Q93)</f>
        <v/>
      </c>
      <c r="Y93" s="5">
        <f>IF(X93="","",V93-X93)</f>
        <v/>
      </c>
      <c r="Z93" s="16">
        <f>IF(OR(X93="",X93=0),"",Y93/X93)</f>
        <v/>
      </c>
      <c r="AA93" s="5">
        <f>IF(OR($A93="",'Ügyfelek'!R93=""),"",'Ügyfelek'!R93*VLOOKUP(M93,'Beállítások'!$A$57:$E$60,5,TRUE))</f>
        <v/>
      </c>
      <c r="AB93" s="14">
        <f>IF($A93="","",('Ügyfelek'!B93="")+('Ügyfelek'!C93="")+('Ügyfelek'!D93="")+('Ügyfelek'!L93="")+('Ügyfelek'!I93="")+('Ügyfelek'!N93="")+('Ügyfelek'!J93="")+('Ügyfelek'!K93="")+('Ügyfelek'!M93="")+('Ügyfelek'!P93="")+('Ügyfelek'!O93=""))</f>
        <v/>
      </c>
      <c r="AD93">
        <f>IF($A93="","",B93+'Beállítások'!$E$6/1000)</f>
        <v/>
      </c>
      <c r="AE93">
        <f>IF($A93="","",C93+'Beállítások'!$E$7/1000)</f>
        <v/>
      </c>
      <c r="AF93">
        <f>IF($A93="","",D93+'Beállítások'!$E$8/1000)</f>
        <v/>
      </c>
      <c r="AG93">
        <f>IF($A93="","",E93+'Beállítások'!$E$9/1000)</f>
        <v/>
      </c>
      <c r="AH93">
        <f>IF($A93="","",F93+'Beállítások'!$E$10/1000)</f>
        <v/>
      </c>
      <c r="AI93">
        <f>IF($A93="","",G93+'Beállítások'!$E$11/1000)</f>
        <v/>
      </c>
      <c r="AJ93">
        <f>IF($A93="","",H93+'Beállítások'!$E$12/1000)</f>
        <v/>
      </c>
      <c r="AK93">
        <f>IF($A93="","",I93+'Beállítások'!$E$13/1000)</f>
        <v/>
      </c>
      <c r="AL93">
        <f>IF($A93="","",J93+'Beállítások'!$E$14/1000)</f>
        <v/>
      </c>
      <c r="AM93">
        <f>IF($A93="","",K93+'Beállítások'!$E$15/1000)</f>
        <v/>
      </c>
      <c r="AN93">
        <f>IF($A93="","",L93+'Beállítások'!$E$16/1000)</f>
        <v/>
      </c>
      <c r="AO93">
        <f>IF($A93="","",'Beállítások'!$E$6*(5-B93))</f>
        <v/>
      </c>
      <c r="AP93">
        <f>IF($A93="","",'Beállítások'!$E$7*(5-C93))</f>
        <v/>
      </c>
      <c r="AQ93">
        <f>IF($A93="","",'Beállítások'!$E$8*(5-D93))</f>
        <v/>
      </c>
      <c r="AR93">
        <f>IF($A93="","",'Beállítások'!$E$9*(5-E93))</f>
        <v/>
      </c>
      <c r="AS93">
        <f>IF($A93="","",'Beállítások'!$E$10*(5-F93))</f>
        <v/>
      </c>
      <c r="AT93">
        <f>IF($A93="","",'Beállítások'!$E$11*(5-G93))</f>
        <v/>
      </c>
      <c r="AU93">
        <f>IF($A93="","",'Beállítások'!$E$12*(5-H93))</f>
        <v/>
      </c>
      <c r="AV93">
        <f>IF($A93="","",'Beállítások'!$E$13*(5-I93))</f>
        <v/>
      </c>
      <c r="AW93">
        <f>IF($A93="","",'Beállítások'!$E$14*(5-J93))</f>
        <v/>
      </c>
      <c r="AX93">
        <f>IF($A93="","",'Beállítások'!$E$15*(5-K93))</f>
        <v/>
      </c>
      <c r="AY93">
        <f>IF($A93="","",'Beállítások'!$E$16*(5-L93))</f>
        <v/>
      </c>
      <c r="AZ93">
        <f>IF($A93="","",M93-ROW()/100000)</f>
        <v/>
      </c>
    </row>
    <row r="94">
      <c r="A94">
        <f>IF('Ügyfelek'!A94="","",'Ügyfelek'!A94)</f>
        <v/>
      </c>
      <c r="B94">
        <f>IF($A94="","",IF('Ügyfelek'!B94="",'Beállítások'!$B$45,IFERROR(VLOOKUP(TRIM('Ügyfelek'!B94),'Beállítások'!$A$22:$B$41,2,FALSE),'Beállítások'!$B$45)))</f>
        <v/>
      </c>
      <c r="C94">
        <f>IF($A94="","",IF('Ügyfelek'!C94="",'Beállítások'!$B$45,VLOOKUP(MAX('Ügyfelek'!C94,'Beállítások'!$H$7),'Beállítások'!$H$7:$I$11,2,TRUE)))</f>
        <v/>
      </c>
      <c r="D94">
        <f>IF($A94="","",IF('Ügyfelek'!D94="",'Beállítások'!$B$45,VLOOKUP(MAX('Ügyfelek'!D94,'Beállítások'!$K$7),'Beállítások'!$K$7:$L$11,2,TRUE)))</f>
        <v/>
      </c>
      <c r="E94">
        <f>IF($A94="","",IF('Ügyfelek'!L94="",'Beállítások'!$B$45,MIN(5,MAX(1,ROUND('Ügyfelek'!L94,0)))))</f>
        <v/>
      </c>
      <c r="F94">
        <f>IF($A94="","",IF('Ügyfelek'!I94="",'Beállítások'!$B$45,VLOOKUP(MAX('Ügyfelek'!I94,'Beállítások'!$N$7),'Beállítások'!$N$7:$O$11,2,TRUE)))</f>
        <v/>
      </c>
      <c r="G94">
        <f>IF($A94="","",IF('Ügyfelek'!N94="",'Beállítások'!$B$45,MIN(5,MAX(1,ROUND('Ügyfelek'!N94,0)))))</f>
        <v/>
      </c>
      <c r="H94">
        <f>IF($A94="","",IF('Ügyfelek'!J94="",'Beállítások'!$B$45,VLOOKUP(MAX('Ügyfelek'!J94,'Beállítások'!$Q$7),'Beállítások'!$Q$7:$R$11,2,TRUE)))</f>
        <v/>
      </c>
      <c r="I94">
        <f>IF($A94="","",IF('Ügyfelek'!K94="",'Beállítások'!$B$45,VLOOKUP(MAX('Ügyfelek'!K94,'Beállítások'!$T$7),'Beállítások'!$T$7:$U$11,2,TRUE)))</f>
        <v/>
      </c>
      <c r="J94">
        <f>IF($A94="","",IF('Ügyfelek'!M94="",'Beállítások'!$B$45,MIN(5,MAX(1,ROUND('Ügyfelek'!M94,0)))))</f>
        <v/>
      </c>
      <c r="K94">
        <f>IF($A94="","",IF('Ügyfelek'!P94="",'Beállítások'!$B$45,MIN(5,MAX(1,ROUND('Ügyfelek'!P94,0)))))</f>
        <v/>
      </c>
      <c r="L94">
        <f>IF($A94="","",IF('Ügyfelek'!O94="",'Beállítások'!$B$45,MIN(5,MAX(1,ROUND('Ügyfelek'!O94,0)))))</f>
        <v/>
      </c>
      <c r="M94" s="13">
        <f>IF($A94="","",ROUND('Beállítások'!$E$6*(B94-1)/4+'Beállítások'!$E$7*(C94-1)/4+'Beállítások'!$E$8*(D94-1)/4+'Beállítások'!$E$9*(E94-1)/4+'Beállítások'!$E$10*(F94-1)/4+'Beállítások'!$E$11*(G94-1)/4+'Beállítások'!$E$12*(H94-1)/4+'Beállítások'!$E$13*(I94-1)/4+'Beállítások'!$E$14*(J94-1)/4+'Beállítások'!$E$15*(K94-1)/4+'Beállítások'!$E$16*(L94-1)/4,1))</f>
        <v/>
      </c>
      <c r="N94" s="14">
        <f>IF($A94="","",RANK(M94,$M$2:$M$201))</f>
        <v/>
      </c>
      <c r="O94">
        <f>IF($A94="","",VLOOKUP(M94,'Beállítások'!$A$57:$E$60,2,TRUE))</f>
        <v/>
      </c>
      <c r="P94">
        <f>IF($A94="","",VLOOKUP(M94,'Beállítások'!$A$57:$E$60,3,TRUE))</f>
        <v/>
      </c>
      <c r="Q94">
        <f>IF($A94="","",INDEX('Beállítások'!$B$6:$B$16,MATCH(MAX(AD94:AN94),AD94:AN94,0)))</f>
        <v/>
      </c>
      <c r="R94">
        <f>IF($A94="","",IF(MAX(AO94:AY94)=0,"—",INDEX('Beállítások'!$B$6:$B$16,MATCH(MAX(AO94:AY94),AO94:AY94,0))))</f>
        <v/>
      </c>
      <c r="S94" s="5">
        <f>IF($A94="","",'Beállítások'!$B$47*(TRIM('Ügyfelek'!E94)="igen")+'Beállítások'!$B$48*(TRIM('Ügyfelek'!F94)="igen")+'Beállítások'!$B$49*N('Ügyfelek'!G94)+'Beállítások'!$B$46*N('Ügyfelek'!H94))</f>
        <v/>
      </c>
      <c r="T94" s="15">
        <f>IF($A94="","",VLOOKUP(M94,'Beállítások'!$A$57:$E$60,4,TRUE))</f>
        <v/>
      </c>
      <c r="U94" s="5">
        <f>IF($A94="","",N('Ügyfelek'!D94)*'Beállítások'!$B$51)</f>
        <v/>
      </c>
      <c r="V94" s="5">
        <f>IF($A94="","",CEILING(ROUND(MAX('Beállítások'!$B$50,S94*T94,U94),2),'Beállítások'!$B$52))</f>
        <v/>
      </c>
      <c r="W94">
        <f>IF($A94="","",IF(MAX('Beállítások'!$B$50,S94*T94,U94)=S94*T94,"Munkaigény × szintszorzó",IF(MAX('Beállítások'!$B$50,S94*T94,U94)=U94,"Hirdetési keret arányában","Minimumdíj")))</f>
        <v/>
      </c>
      <c r="X94" s="5">
        <f>IF(OR($A94="",'Ügyfelek'!Q94=""),"",'Ügyfelek'!Q94)</f>
        <v/>
      </c>
      <c r="Y94" s="5">
        <f>IF(X94="","",V94-X94)</f>
        <v/>
      </c>
      <c r="Z94" s="16">
        <f>IF(OR(X94="",X94=0),"",Y94/X94)</f>
        <v/>
      </c>
      <c r="AA94" s="5">
        <f>IF(OR($A94="",'Ügyfelek'!R94=""),"",'Ügyfelek'!R94*VLOOKUP(M94,'Beállítások'!$A$57:$E$60,5,TRUE))</f>
        <v/>
      </c>
      <c r="AB94" s="14">
        <f>IF($A94="","",('Ügyfelek'!B94="")+('Ügyfelek'!C94="")+('Ügyfelek'!D94="")+('Ügyfelek'!L94="")+('Ügyfelek'!I94="")+('Ügyfelek'!N94="")+('Ügyfelek'!J94="")+('Ügyfelek'!K94="")+('Ügyfelek'!M94="")+('Ügyfelek'!P94="")+('Ügyfelek'!O94=""))</f>
        <v/>
      </c>
      <c r="AD94">
        <f>IF($A94="","",B94+'Beállítások'!$E$6/1000)</f>
        <v/>
      </c>
      <c r="AE94">
        <f>IF($A94="","",C94+'Beállítások'!$E$7/1000)</f>
        <v/>
      </c>
      <c r="AF94">
        <f>IF($A94="","",D94+'Beállítások'!$E$8/1000)</f>
        <v/>
      </c>
      <c r="AG94">
        <f>IF($A94="","",E94+'Beállítások'!$E$9/1000)</f>
        <v/>
      </c>
      <c r="AH94">
        <f>IF($A94="","",F94+'Beállítások'!$E$10/1000)</f>
        <v/>
      </c>
      <c r="AI94">
        <f>IF($A94="","",G94+'Beállítások'!$E$11/1000)</f>
        <v/>
      </c>
      <c r="AJ94">
        <f>IF($A94="","",H94+'Beállítások'!$E$12/1000)</f>
        <v/>
      </c>
      <c r="AK94">
        <f>IF($A94="","",I94+'Beállítások'!$E$13/1000)</f>
        <v/>
      </c>
      <c r="AL94">
        <f>IF($A94="","",J94+'Beállítások'!$E$14/1000)</f>
        <v/>
      </c>
      <c r="AM94">
        <f>IF($A94="","",K94+'Beállítások'!$E$15/1000)</f>
        <v/>
      </c>
      <c r="AN94">
        <f>IF($A94="","",L94+'Beállítások'!$E$16/1000)</f>
        <v/>
      </c>
      <c r="AO94">
        <f>IF($A94="","",'Beállítások'!$E$6*(5-B94))</f>
        <v/>
      </c>
      <c r="AP94">
        <f>IF($A94="","",'Beállítások'!$E$7*(5-C94))</f>
        <v/>
      </c>
      <c r="AQ94">
        <f>IF($A94="","",'Beállítások'!$E$8*(5-D94))</f>
        <v/>
      </c>
      <c r="AR94">
        <f>IF($A94="","",'Beállítások'!$E$9*(5-E94))</f>
        <v/>
      </c>
      <c r="AS94">
        <f>IF($A94="","",'Beállítások'!$E$10*(5-F94))</f>
        <v/>
      </c>
      <c r="AT94">
        <f>IF($A94="","",'Beállítások'!$E$11*(5-G94))</f>
        <v/>
      </c>
      <c r="AU94">
        <f>IF($A94="","",'Beállítások'!$E$12*(5-H94))</f>
        <v/>
      </c>
      <c r="AV94">
        <f>IF($A94="","",'Beállítások'!$E$13*(5-I94))</f>
        <v/>
      </c>
      <c r="AW94">
        <f>IF($A94="","",'Beállítások'!$E$14*(5-J94))</f>
        <v/>
      </c>
      <c r="AX94">
        <f>IF($A94="","",'Beállítások'!$E$15*(5-K94))</f>
        <v/>
      </c>
      <c r="AY94">
        <f>IF($A94="","",'Beállítások'!$E$16*(5-L94))</f>
        <v/>
      </c>
      <c r="AZ94">
        <f>IF($A94="","",M94-ROW()/100000)</f>
        <v/>
      </c>
    </row>
    <row r="95">
      <c r="A95">
        <f>IF('Ügyfelek'!A95="","",'Ügyfelek'!A95)</f>
        <v/>
      </c>
      <c r="B95">
        <f>IF($A95="","",IF('Ügyfelek'!B95="",'Beállítások'!$B$45,IFERROR(VLOOKUP(TRIM('Ügyfelek'!B95),'Beállítások'!$A$22:$B$41,2,FALSE),'Beállítások'!$B$45)))</f>
        <v/>
      </c>
      <c r="C95">
        <f>IF($A95="","",IF('Ügyfelek'!C95="",'Beállítások'!$B$45,VLOOKUP(MAX('Ügyfelek'!C95,'Beállítások'!$H$7),'Beállítások'!$H$7:$I$11,2,TRUE)))</f>
        <v/>
      </c>
      <c r="D95">
        <f>IF($A95="","",IF('Ügyfelek'!D95="",'Beállítások'!$B$45,VLOOKUP(MAX('Ügyfelek'!D95,'Beállítások'!$K$7),'Beállítások'!$K$7:$L$11,2,TRUE)))</f>
        <v/>
      </c>
      <c r="E95">
        <f>IF($A95="","",IF('Ügyfelek'!L95="",'Beállítások'!$B$45,MIN(5,MAX(1,ROUND('Ügyfelek'!L95,0)))))</f>
        <v/>
      </c>
      <c r="F95">
        <f>IF($A95="","",IF('Ügyfelek'!I95="",'Beállítások'!$B$45,VLOOKUP(MAX('Ügyfelek'!I95,'Beállítások'!$N$7),'Beállítások'!$N$7:$O$11,2,TRUE)))</f>
        <v/>
      </c>
      <c r="G95">
        <f>IF($A95="","",IF('Ügyfelek'!N95="",'Beállítások'!$B$45,MIN(5,MAX(1,ROUND('Ügyfelek'!N95,0)))))</f>
        <v/>
      </c>
      <c r="H95">
        <f>IF($A95="","",IF('Ügyfelek'!J95="",'Beállítások'!$B$45,VLOOKUP(MAX('Ügyfelek'!J95,'Beállítások'!$Q$7),'Beállítások'!$Q$7:$R$11,2,TRUE)))</f>
        <v/>
      </c>
      <c r="I95">
        <f>IF($A95="","",IF('Ügyfelek'!K95="",'Beállítások'!$B$45,VLOOKUP(MAX('Ügyfelek'!K95,'Beállítások'!$T$7),'Beállítások'!$T$7:$U$11,2,TRUE)))</f>
        <v/>
      </c>
      <c r="J95">
        <f>IF($A95="","",IF('Ügyfelek'!M95="",'Beállítások'!$B$45,MIN(5,MAX(1,ROUND('Ügyfelek'!M95,0)))))</f>
        <v/>
      </c>
      <c r="K95">
        <f>IF($A95="","",IF('Ügyfelek'!P95="",'Beállítások'!$B$45,MIN(5,MAX(1,ROUND('Ügyfelek'!P95,0)))))</f>
        <v/>
      </c>
      <c r="L95">
        <f>IF($A95="","",IF('Ügyfelek'!O95="",'Beállítások'!$B$45,MIN(5,MAX(1,ROUND('Ügyfelek'!O95,0)))))</f>
        <v/>
      </c>
      <c r="M95" s="13">
        <f>IF($A95="","",ROUND('Beállítások'!$E$6*(B95-1)/4+'Beállítások'!$E$7*(C95-1)/4+'Beállítások'!$E$8*(D95-1)/4+'Beállítások'!$E$9*(E95-1)/4+'Beállítások'!$E$10*(F95-1)/4+'Beállítások'!$E$11*(G95-1)/4+'Beállítások'!$E$12*(H95-1)/4+'Beállítások'!$E$13*(I95-1)/4+'Beállítások'!$E$14*(J95-1)/4+'Beállítások'!$E$15*(K95-1)/4+'Beállítások'!$E$16*(L95-1)/4,1))</f>
        <v/>
      </c>
      <c r="N95" s="14">
        <f>IF($A95="","",RANK(M95,$M$2:$M$201))</f>
        <v/>
      </c>
      <c r="O95">
        <f>IF($A95="","",VLOOKUP(M95,'Beállítások'!$A$57:$E$60,2,TRUE))</f>
        <v/>
      </c>
      <c r="P95">
        <f>IF($A95="","",VLOOKUP(M95,'Beállítások'!$A$57:$E$60,3,TRUE))</f>
        <v/>
      </c>
      <c r="Q95">
        <f>IF($A95="","",INDEX('Beállítások'!$B$6:$B$16,MATCH(MAX(AD95:AN95),AD95:AN95,0)))</f>
        <v/>
      </c>
      <c r="R95">
        <f>IF($A95="","",IF(MAX(AO95:AY95)=0,"—",INDEX('Beállítások'!$B$6:$B$16,MATCH(MAX(AO95:AY95),AO95:AY95,0))))</f>
        <v/>
      </c>
      <c r="S95" s="5">
        <f>IF($A95="","",'Beállítások'!$B$47*(TRIM('Ügyfelek'!E95)="igen")+'Beállítások'!$B$48*(TRIM('Ügyfelek'!F95)="igen")+'Beállítások'!$B$49*N('Ügyfelek'!G95)+'Beállítások'!$B$46*N('Ügyfelek'!H95))</f>
        <v/>
      </c>
      <c r="T95" s="15">
        <f>IF($A95="","",VLOOKUP(M95,'Beállítások'!$A$57:$E$60,4,TRUE))</f>
        <v/>
      </c>
      <c r="U95" s="5">
        <f>IF($A95="","",N('Ügyfelek'!D95)*'Beállítások'!$B$51)</f>
        <v/>
      </c>
      <c r="V95" s="5">
        <f>IF($A95="","",CEILING(ROUND(MAX('Beállítások'!$B$50,S95*T95,U95),2),'Beállítások'!$B$52))</f>
        <v/>
      </c>
      <c r="W95">
        <f>IF($A95="","",IF(MAX('Beállítások'!$B$50,S95*T95,U95)=S95*T95,"Munkaigény × szintszorzó",IF(MAX('Beállítások'!$B$50,S95*T95,U95)=U95,"Hirdetési keret arányában","Minimumdíj")))</f>
        <v/>
      </c>
      <c r="X95" s="5">
        <f>IF(OR($A95="",'Ügyfelek'!Q95=""),"",'Ügyfelek'!Q95)</f>
        <v/>
      </c>
      <c r="Y95" s="5">
        <f>IF(X95="","",V95-X95)</f>
        <v/>
      </c>
      <c r="Z95" s="16">
        <f>IF(OR(X95="",X95=0),"",Y95/X95)</f>
        <v/>
      </c>
      <c r="AA95" s="5">
        <f>IF(OR($A95="",'Ügyfelek'!R95=""),"",'Ügyfelek'!R95*VLOOKUP(M95,'Beállítások'!$A$57:$E$60,5,TRUE))</f>
        <v/>
      </c>
      <c r="AB95" s="14">
        <f>IF($A95="","",('Ügyfelek'!B95="")+('Ügyfelek'!C95="")+('Ügyfelek'!D95="")+('Ügyfelek'!L95="")+('Ügyfelek'!I95="")+('Ügyfelek'!N95="")+('Ügyfelek'!J95="")+('Ügyfelek'!K95="")+('Ügyfelek'!M95="")+('Ügyfelek'!P95="")+('Ügyfelek'!O95=""))</f>
        <v/>
      </c>
      <c r="AD95">
        <f>IF($A95="","",B95+'Beállítások'!$E$6/1000)</f>
        <v/>
      </c>
      <c r="AE95">
        <f>IF($A95="","",C95+'Beállítások'!$E$7/1000)</f>
        <v/>
      </c>
      <c r="AF95">
        <f>IF($A95="","",D95+'Beállítások'!$E$8/1000)</f>
        <v/>
      </c>
      <c r="AG95">
        <f>IF($A95="","",E95+'Beállítások'!$E$9/1000)</f>
        <v/>
      </c>
      <c r="AH95">
        <f>IF($A95="","",F95+'Beállítások'!$E$10/1000)</f>
        <v/>
      </c>
      <c r="AI95">
        <f>IF($A95="","",G95+'Beállítások'!$E$11/1000)</f>
        <v/>
      </c>
      <c r="AJ95">
        <f>IF($A95="","",H95+'Beállítások'!$E$12/1000)</f>
        <v/>
      </c>
      <c r="AK95">
        <f>IF($A95="","",I95+'Beállítások'!$E$13/1000)</f>
        <v/>
      </c>
      <c r="AL95">
        <f>IF($A95="","",J95+'Beállítások'!$E$14/1000)</f>
        <v/>
      </c>
      <c r="AM95">
        <f>IF($A95="","",K95+'Beállítások'!$E$15/1000)</f>
        <v/>
      </c>
      <c r="AN95">
        <f>IF($A95="","",L95+'Beállítások'!$E$16/1000)</f>
        <v/>
      </c>
      <c r="AO95">
        <f>IF($A95="","",'Beállítások'!$E$6*(5-B95))</f>
        <v/>
      </c>
      <c r="AP95">
        <f>IF($A95="","",'Beállítások'!$E$7*(5-C95))</f>
        <v/>
      </c>
      <c r="AQ95">
        <f>IF($A95="","",'Beállítások'!$E$8*(5-D95))</f>
        <v/>
      </c>
      <c r="AR95">
        <f>IF($A95="","",'Beállítások'!$E$9*(5-E95))</f>
        <v/>
      </c>
      <c r="AS95">
        <f>IF($A95="","",'Beállítások'!$E$10*(5-F95))</f>
        <v/>
      </c>
      <c r="AT95">
        <f>IF($A95="","",'Beállítások'!$E$11*(5-G95))</f>
        <v/>
      </c>
      <c r="AU95">
        <f>IF($A95="","",'Beállítások'!$E$12*(5-H95))</f>
        <v/>
      </c>
      <c r="AV95">
        <f>IF($A95="","",'Beállítások'!$E$13*(5-I95))</f>
        <v/>
      </c>
      <c r="AW95">
        <f>IF($A95="","",'Beállítások'!$E$14*(5-J95))</f>
        <v/>
      </c>
      <c r="AX95">
        <f>IF($A95="","",'Beállítások'!$E$15*(5-K95))</f>
        <v/>
      </c>
      <c r="AY95">
        <f>IF($A95="","",'Beállítások'!$E$16*(5-L95))</f>
        <v/>
      </c>
      <c r="AZ95">
        <f>IF($A95="","",M95-ROW()/100000)</f>
        <v/>
      </c>
    </row>
    <row r="96">
      <c r="A96">
        <f>IF('Ügyfelek'!A96="","",'Ügyfelek'!A96)</f>
        <v/>
      </c>
      <c r="B96">
        <f>IF($A96="","",IF('Ügyfelek'!B96="",'Beállítások'!$B$45,IFERROR(VLOOKUP(TRIM('Ügyfelek'!B96),'Beállítások'!$A$22:$B$41,2,FALSE),'Beállítások'!$B$45)))</f>
        <v/>
      </c>
      <c r="C96">
        <f>IF($A96="","",IF('Ügyfelek'!C96="",'Beállítások'!$B$45,VLOOKUP(MAX('Ügyfelek'!C96,'Beállítások'!$H$7),'Beállítások'!$H$7:$I$11,2,TRUE)))</f>
        <v/>
      </c>
      <c r="D96">
        <f>IF($A96="","",IF('Ügyfelek'!D96="",'Beállítások'!$B$45,VLOOKUP(MAX('Ügyfelek'!D96,'Beállítások'!$K$7),'Beállítások'!$K$7:$L$11,2,TRUE)))</f>
        <v/>
      </c>
      <c r="E96">
        <f>IF($A96="","",IF('Ügyfelek'!L96="",'Beállítások'!$B$45,MIN(5,MAX(1,ROUND('Ügyfelek'!L96,0)))))</f>
        <v/>
      </c>
      <c r="F96">
        <f>IF($A96="","",IF('Ügyfelek'!I96="",'Beállítások'!$B$45,VLOOKUP(MAX('Ügyfelek'!I96,'Beállítások'!$N$7),'Beállítások'!$N$7:$O$11,2,TRUE)))</f>
        <v/>
      </c>
      <c r="G96">
        <f>IF($A96="","",IF('Ügyfelek'!N96="",'Beállítások'!$B$45,MIN(5,MAX(1,ROUND('Ügyfelek'!N96,0)))))</f>
        <v/>
      </c>
      <c r="H96">
        <f>IF($A96="","",IF('Ügyfelek'!J96="",'Beállítások'!$B$45,VLOOKUP(MAX('Ügyfelek'!J96,'Beállítások'!$Q$7),'Beállítások'!$Q$7:$R$11,2,TRUE)))</f>
        <v/>
      </c>
      <c r="I96">
        <f>IF($A96="","",IF('Ügyfelek'!K96="",'Beállítások'!$B$45,VLOOKUP(MAX('Ügyfelek'!K96,'Beállítások'!$T$7),'Beállítások'!$T$7:$U$11,2,TRUE)))</f>
        <v/>
      </c>
      <c r="J96">
        <f>IF($A96="","",IF('Ügyfelek'!M96="",'Beállítások'!$B$45,MIN(5,MAX(1,ROUND('Ügyfelek'!M96,0)))))</f>
        <v/>
      </c>
      <c r="K96">
        <f>IF($A96="","",IF('Ügyfelek'!P96="",'Beállítások'!$B$45,MIN(5,MAX(1,ROUND('Ügyfelek'!P96,0)))))</f>
        <v/>
      </c>
      <c r="L96">
        <f>IF($A96="","",IF('Ügyfelek'!O96="",'Beállítások'!$B$45,MIN(5,MAX(1,ROUND('Ügyfelek'!O96,0)))))</f>
        <v/>
      </c>
      <c r="M96" s="13">
        <f>IF($A96="","",ROUND('Beállítások'!$E$6*(B96-1)/4+'Beállítások'!$E$7*(C96-1)/4+'Beállítások'!$E$8*(D96-1)/4+'Beállítások'!$E$9*(E96-1)/4+'Beállítások'!$E$10*(F96-1)/4+'Beállítások'!$E$11*(G96-1)/4+'Beállítások'!$E$12*(H96-1)/4+'Beállítások'!$E$13*(I96-1)/4+'Beállítások'!$E$14*(J96-1)/4+'Beállítások'!$E$15*(K96-1)/4+'Beállítások'!$E$16*(L96-1)/4,1))</f>
        <v/>
      </c>
      <c r="N96" s="14">
        <f>IF($A96="","",RANK(M96,$M$2:$M$201))</f>
        <v/>
      </c>
      <c r="O96">
        <f>IF($A96="","",VLOOKUP(M96,'Beállítások'!$A$57:$E$60,2,TRUE))</f>
        <v/>
      </c>
      <c r="P96">
        <f>IF($A96="","",VLOOKUP(M96,'Beállítások'!$A$57:$E$60,3,TRUE))</f>
        <v/>
      </c>
      <c r="Q96">
        <f>IF($A96="","",INDEX('Beállítások'!$B$6:$B$16,MATCH(MAX(AD96:AN96),AD96:AN96,0)))</f>
        <v/>
      </c>
      <c r="R96">
        <f>IF($A96="","",IF(MAX(AO96:AY96)=0,"—",INDEX('Beállítások'!$B$6:$B$16,MATCH(MAX(AO96:AY96),AO96:AY96,0))))</f>
        <v/>
      </c>
      <c r="S96" s="5">
        <f>IF($A96="","",'Beállítások'!$B$47*(TRIM('Ügyfelek'!E96)="igen")+'Beállítások'!$B$48*(TRIM('Ügyfelek'!F96)="igen")+'Beállítások'!$B$49*N('Ügyfelek'!G96)+'Beállítások'!$B$46*N('Ügyfelek'!H96))</f>
        <v/>
      </c>
      <c r="T96" s="15">
        <f>IF($A96="","",VLOOKUP(M96,'Beállítások'!$A$57:$E$60,4,TRUE))</f>
        <v/>
      </c>
      <c r="U96" s="5">
        <f>IF($A96="","",N('Ügyfelek'!D96)*'Beállítások'!$B$51)</f>
        <v/>
      </c>
      <c r="V96" s="5">
        <f>IF($A96="","",CEILING(ROUND(MAX('Beállítások'!$B$50,S96*T96,U96),2),'Beállítások'!$B$52))</f>
        <v/>
      </c>
      <c r="W96">
        <f>IF($A96="","",IF(MAX('Beállítások'!$B$50,S96*T96,U96)=S96*T96,"Munkaigény × szintszorzó",IF(MAX('Beállítások'!$B$50,S96*T96,U96)=U96,"Hirdetési keret arányában","Minimumdíj")))</f>
        <v/>
      </c>
      <c r="X96" s="5">
        <f>IF(OR($A96="",'Ügyfelek'!Q96=""),"",'Ügyfelek'!Q96)</f>
        <v/>
      </c>
      <c r="Y96" s="5">
        <f>IF(X96="","",V96-X96)</f>
        <v/>
      </c>
      <c r="Z96" s="16">
        <f>IF(OR(X96="",X96=0),"",Y96/X96)</f>
        <v/>
      </c>
      <c r="AA96" s="5">
        <f>IF(OR($A96="",'Ügyfelek'!R96=""),"",'Ügyfelek'!R96*VLOOKUP(M96,'Beállítások'!$A$57:$E$60,5,TRUE))</f>
        <v/>
      </c>
      <c r="AB96" s="14">
        <f>IF($A96="","",('Ügyfelek'!B96="")+('Ügyfelek'!C96="")+('Ügyfelek'!D96="")+('Ügyfelek'!L96="")+('Ügyfelek'!I96="")+('Ügyfelek'!N96="")+('Ügyfelek'!J96="")+('Ügyfelek'!K96="")+('Ügyfelek'!M96="")+('Ügyfelek'!P96="")+('Ügyfelek'!O96=""))</f>
        <v/>
      </c>
      <c r="AD96">
        <f>IF($A96="","",B96+'Beállítások'!$E$6/1000)</f>
        <v/>
      </c>
      <c r="AE96">
        <f>IF($A96="","",C96+'Beállítások'!$E$7/1000)</f>
        <v/>
      </c>
      <c r="AF96">
        <f>IF($A96="","",D96+'Beállítások'!$E$8/1000)</f>
        <v/>
      </c>
      <c r="AG96">
        <f>IF($A96="","",E96+'Beállítások'!$E$9/1000)</f>
        <v/>
      </c>
      <c r="AH96">
        <f>IF($A96="","",F96+'Beállítások'!$E$10/1000)</f>
        <v/>
      </c>
      <c r="AI96">
        <f>IF($A96="","",G96+'Beállítások'!$E$11/1000)</f>
        <v/>
      </c>
      <c r="AJ96">
        <f>IF($A96="","",H96+'Beállítások'!$E$12/1000)</f>
        <v/>
      </c>
      <c r="AK96">
        <f>IF($A96="","",I96+'Beállítások'!$E$13/1000)</f>
        <v/>
      </c>
      <c r="AL96">
        <f>IF($A96="","",J96+'Beállítások'!$E$14/1000)</f>
        <v/>
      </c>
      <c r="AM96">
        <f>IF($A96="","",K96+'Beállítások'!$E$15/1000)</f>
        <v/>
      </c>
      <c r="AN96">
        <f>IF($A96="","",L96+'Beállítások'!$E$16/1000)</f>
        <v/>
      </c>
      <c r="AO96">
        <f>IF($A96="","",'Beállítások'!$E$6*(5-B96))</f>
        <v/>
      </c>
      <c r="AP96">
        <f>IF($A96="","",'Beállítások'!$E$7*(5-C96))</f>
        <v/>
      </c>
      <c r="AQ96">
        <f>IF($A96="","",'Beállítások'!$E$8*(5-D96))</f>
        <v/>
      </c>
      <c r="AR96">
        <f>IF($A96="","",'Beállítások'!$E$9*(5-E96))</f>
        <v/>
      </c>
      <c r="AS96">
        <f>IF($A96="","",'Beállítások'!$E$10*(5-F96))</f>
        <v/>
      </c>
      <c r="AT96">
        <f>IF($A96="","",'Beállítások'!$E$11*(5-G96))</f>
        <v/>
      </c>
      <c r="AU96">
        <f>IF($A96="","",'Beállítások'!$E$12*(5-H96))</f>
        <v/>
      </c>
      <c r="AV96">
        <f>IF($A96="","",'Beállítások'!$E$13*(5-I96))</f>
        <v/>
      </c>
      <c r="AW96">
        <f>IF($A96="","",'Beállítások'!$E$14*(5-J96))</f>
        <v/>
      </c>
      <c r="AX96">
        <f>IF($A96="","",'Beállítások'!$E$15*(5-K96))</f>
        <v/>
      </c>
      <c r="AY96">
        <f>IF($A96="","",'Beállítások'!$E$16*(5-L96))</f>
        <v/>
      </c>
      <c r="AZ96">
        <f>IF($A96="","",M96-ROW()/100000)</f>
        <v/>
      </c>
    </row>
    <row r="97">
      <c r="A97">
        <f>IF('Ügyfelek'!A97="","",'Ügyfelek'!A97)</f>
        <v/>
      </c>
      <c r="B97">
        <f>IF($A97="","",IF('Ügyfelek'!B97="",'Beállítások'!$B$45,IFERROR(VLOOKUP(TRIM('Ügyfelek'!B97),'Beállítások'!$A$22:$B$41,2,FALSE),'Beállítások'!$B$45)))</f>
        <v/>
      </c>
      <c r="C97">
        <f>IF($A97="","",IF('Ügyfelek'!C97="",'Beállítások'!$B$45,VLOOKUP(MAX('Ügyfelek'!C97,'Beállítások'!$H$7),'Beállítások'!$H$7:$I$11,2,TRUE)))</f>
        <v/>
      </c>
      <c r="D97">
        <f>IF($A97="","",IF('Ügyfelek'!D97="",'Beállítások'!$B$45,VLOOKUP(MAX('Ügyfelek'!D97,'Beállítások'!$K$7),'Beállítások'!$K$7:$L$11,2,TRUE)))</f>
        <v/>
      </c>
      <c r="E97">
        <f>IF($A97="","",IF('Ügyfelek'!L97="",'Beállítások'!$B$45,MIN(5,MAX(1,ROUND('Ügyfelek'!L97,0)))))</f>
        <v/>
      </c>
      <c r="F97">
        <f>IF($A97="","",IF('Ügyfelek'!I97="",'Beállítások'!$B$45,VLOOKUP(MAX('Ügyfelek'!I97,'Beállítások'!$N$7),'Beállítások'!$N$7:$O$11,2,TRUE)))</f>
        <v/>
      </c>
      <c r="G97">
        <f>IF($A97="","",IF('Ügyfelek'!N97="",'Beállítások'!$B$45,MIN(5,MAX(1,ROUND('Ügyfelek'!N97,0)))))</f>
        <v/>
      </c>
      <c r="H97">
        <f>IF($A97="","",IF('Ügyfelek'!J97="",'Beállítások'!$B$45,VLOOKUP(MAX('Ügyfelek'!J97,'Beállítások'!$Q$7),'Beállítások'!$Q$7:$R$11,2,TRUE)))</f>
        <v/>
      </c>
      <c r="I97">
        <f>IF($A97="","",IF('Ügyfelek'!K97="",'Beállítások'!$B$45,VLOOKUP(MAX('Ügyfelek'!K97,'Beállítások'!$T$7),'Beállítások'!$T$7:$U$11,2,TRUE)))</f>
        <v/>
      </c>
      <c r="J97">
        <f>IF($A97="","",IF('Ügyfelek'!M97="",'Beállítások'!$B$45,MIN(5,MAX(1,ROUND('Ügyfelek'!M97,0)))))</f>
        <v/>
      </c>
      <c r="K97">
        <f>IF($A97="","",IF('Ügyfelek'!P97="",'Beállítások'!$B$45,MIN(5,MAX(1,ROUND('Ügyfelek'!P97,0)))))</f>
        <v/>
      </c>
      <c r="L97">
        <f>IF($A97="","",IF('Ügyfelek'!O97="",'Beállítások'!$B$45,MIN(5,MAX(1,ROUND('Ügyfelek'!O97,0)))))</f>
        <v/>
      </c>
      <c r="M97" s="13">
        <f>IF($A97="","",ROUND('Beállítások'!$E$6*(B97-1)/4+'Beállítások'!$E$7*(C97-1)/4+'Beállítások'!$E$8*(D97-1)/4+'Beállítások'!$E$9*(E97-1)/4+'Beállítások'!$E$10*(F97-1)/4+'Beállítások'!$E$11*(G97-1)/4+'Beállítások'!$E$12*(H97-1)/4+'Beállítások'!$E$13*(I97-1)/4+'Beállítások'!$E$14*(J97-1)/4+'Beállítások'!$E$15*(K97-1)/4+'Beállítások'!$E$16*(L97-1)/4,1))</f>
        <v/>
      </c>
      <c r="N97" s="14">
        <f>IF($A97="","",RANK(M97,$M$2:$M$201))</f>
        <v/>
      </c>
      <c r="O97">
        <f>IF($A97="","",VLOOKUP(M97,'Beállítások'!$A$57:$E$60,2,TRUE))</f>
        <v/>
      </c>
      <c r="P97">
        <f>IF($A97="","",VLOOKUP(M97,'Beállítások'!$A$57:$E$60,3,TRUE))</f>
        <v/>
      </c>
      <c r="Q97">
        <f>IF($A97="","",INDEX('Beállítások'!$B$6:$B$16,MATCH(MAX(AD97:AN97),AD97:AN97,0)))</f>
        <v/>
      </c>
      <c r="R97">
        <f>IF($A97="","",IF(MAX(AO97:AY97)=0,"—",INDEX('Beállítások'!$B$6:$B$16,MATCH(MAX(AO97:AY97),AO97:AY97,0))))</f>
        <v/>
      </c>
      <c r="S97" s="5">
        <f>IF($A97="","",'Beállítások'!$B$47*(TRIM('Ügyfelek'!E97)="igen")+'Beállítások'!$B$48*(TRIM('Ügyfelek'!F97)="igen")+'Beállítások'!$B$49*N('Ügyfelek'!G97)+'Beállítások'!$B$46*N('Ügyfelek'!H97))</f>
        <v/>
      </c>
      <c r="T97" s="15">
        <f>IF($A97="","",VLOOKUP(M97,'Beállítások'!$A$57:$E$60,4,TRUE))</f>
        <v/>
      </c>
      <c r="U97" s="5">
        <f>IF($A97="","",N('Ügyfelek'!D97)*'Beállítások'!$B$51)</f>
        <v/>
      </c>
      <c r="V97" s="5">
        <f>IF($A97="","",CEILING(ROUND(MAX('Beállítások'!$B$50,S97*T97,U97),2),'Beállítások'!$B$52))</f>
        <v/>
      </c>
      <c r="W97">
        <f>IF($A97="","",IF(MAX('Beállítások'!$B$50,S97*T97,U97)=S97*T97,"Munkaigény × szintszorzó",IF(MAX('Beállítások'!$B$50,S97*T97,U97)=U97,"Hirdetési keret arányában","Minimumdíj")))</f>
        <v/>
      </c>
      <c r="X97" s="5">
        <f>IF(OR($A97="",'Ügyfelek'!Q97=""),"",'Ügyfelek'!Q97)</f>
        <v/>
      </c>
      <c r="Y97" s="5">
        <f>IF(X97="","",V97-X97)</f>
        <v/>
      </c>
      <c r="Z97" s="16">
        <f>IF(OR(X97="",X97=0),"",Y97/X97)</f>
        <v/>
      </c>
      <c r="AA97" s="5">
        <f>IF(OR($A97="",'Ügyfelek'!R97=""),"",'Ügyfelek'!R97*VLOOKUP(M97,'Beállítások'!$A$57:$E$60,5,TRUE))</f>
        <v/>
      </c>
      <c r="AB97" s="14">
        <f>IF($A97="","",('Ügyfelek'!B97="")+('Ügyfelek'!C97="")+('Ügyfelek'!D97="")+('Ügyfelek'!L97="")+('Ügyfelek'!I97="")+('Ügyfelek'!N97="")+('Ügyfelek'!J97="")+('Ügyfelek'!K97="")+('Ügyfelek'!M97="")+('Ügyfelek'!P97="")+('Ügyfelek'!O97=""))</f>
        <v/>
      </c>
      <c r="AD97">
        <f>IF($A97="","",B97+'Beállítások'!$E$6/1000)</f>
        <v/>
      </c>
      <c r="AE97">
        <f>IF($A97="","",C97+'Beállítások'!$E$7/1000)</f>
        <v/>
      </c>
      <c r="AF97">
        <f>IF($A97="","",D97+'Beállítások'!$E$8/1000)</f>
        <v/>
      </c>
      <c r="AG97">
        <f>IF($A97="","",E97+'Beállítások'!$E$9/1000)</f>
        <v/>
      </c>
      <c r="AH97">
        <f>IF($A97="","",F97+'Beállítások'!$E$10/1000)</f>
        <v/>
      </c>
      <c r="AI97">
        <f>IF($A97="","",G97+'Beállítások'!$E$11/1000)</f>
        <v/>
      </c>
      <c r="AJ97">
        <f>IF($A97="","",H97+'Beállítások'!$E$12/1000)</f>
        <v/>
      </c>
      <c r="AK97">
        <f>IF($A97="","",I97+'Beállítások'!$E$13/1000)</f>
        <v/>
      </c>
      <c r="AL97">
        <f>IF($A97="","",J97+'Beállítások'!$E$14/1000)</f>
        <v/>
      </c>
      <c r="AM97">
        <f>IF($A97="","",K97+'Beállítások'!$E$15/1000)</f>
        <v/>
      </c>
      <c r="AN97">
        <f>IF($A97="","",L97+'Beállítások'!$E$16/1000)</f>
        <v/>
      </c>
      <c r="AO97">
        <f>IF($A97="","",'Beállítások'!$E$6*(5-B97))</f>
        <v/>
      </c>
      <c r="AP97">
        <f>IF($A97="","",'Beállítások'!$E$7*(5-C97))</f>
        <v/>
      </c>
      <c r="AQ97">
        <f>IF($A97="","",'Beállítások'!$E$8*(5-D97))</f>
        <v/>
      </c>
      <c r="AR97">
        <f>IF($A97="","",'Beállítások'!$E$9*(5-E97))</f>
        <v/>
      </c>
      <c r="AS97">
        <f>IF($A97="","",'Beállítások'!$E$10*(5-F97))</f>
        <v/>
      </c>
      <c r="AT97">
        <f>IF($A97="","",'Beállítások'!$E$11*(5-G97))</f>
        <v/>
      </c>
      <c r="AU97">
        <f>IF($A97="","",'Beállítások'!$E$12*(5-H97))</f>
        <v/>
      </c>
      <c r="AV97">
        <f>IF($A97="","",'Beállítások'!$E$13*(5-I97))</f>
        <v/>
      </c>
      <c r="AW97">
        <f>IF($A97="","",'Beállítások'!$E$14*(5-J97))</f>
        <v/>
      </c>
      <c r="AX97">
        <f>IF($A97="","",'Beállítások'!$E$15*(5-K97))</f>
        <v/>
      </c>
      <c r="AY97">
        <f>IF($A97="","",'Beállítások'!$E$16*(5-L97))</f>
        <v/>
      </c>
      <c r="AZ97">
        <f>IF($A97="","",M97-ROW()/100000)</f>
        <v/>
      </c>
    </row>
    <row r="98">
      <c r="A98">
        <f>IF('Ügyfelek'!A98="","",'Ügyfelek'!A98)</f>
        <v/>
      </c>
      <c r="B98">
        <f>IF($A98="","",IF('Ügyfelek'!B98="",'Beállítások'!$B$45,IFERROR(VLOOKUP(TRIM('Ügyfelek'!B98),'Beállítások'!$A$22:$B$41,2,FALSE),'Beállítások'!$B$45)))</f>
        <v/>
      </c>
      <c r="C98">
        <f>IF($A98="","",IF('Ügyfelek'!C98="",'Beállítások'!$B$45,VLOOKUP(MAX('Ügyfelek'!C98,'Beállítások'!$H$7),'Beállítások'!$H$7:$I$11,2,TRUE)))</f>
        <v/>
      </c>
      <c r="D98">
        <f>IF($A98="","",IF('Ügyfelek'!D98="",'Beállítások'!$B$45,VLOOKUP(MAX('Ügyfelek'!D98,'Beállítások'!$K$7),'Beállítások'!$K$7:$L$11,2,TRUE)))</f>
        <v/>
      </c>
      <c r="E98">
        <f>IF($A98="","",IF('Ügyfelek'!L98="",'Beállítások'!$B$45,MIN(5,MAX(1,ROUND('Ügyfelek'!L98,0)))))</f>
        <v/>
      </c>
      <c r="F98">
        <f>IF($A98="","",IF('Ügyfelek'!I98="",'Beállítások'!$B$45,VLOOKUP(MAX('Ügyfelek'!I98,'Beállítások'!$N$7),'Beállítások'!$N$7:$O$11,2,TRUE)))</f>
        <v/>
      </c>
      <c r="G98">
        <f>IF($A98="","",IF('Ügyfelek'!N98="",'Beállítások'!$B$45,MIN(5,MAX(1,ROUND('Ügyfelek'!N98,0)))))</f>
        <v/>
      </c>
      <c r="H98">
        <f>IF($A98="","",IF('Ügyfelek'!J98="",'Beállítások'!$B$45,VLOOKUP(MAX('Ügyfelek'!J98,'Beállítások'!$Q$7),'Beállítások'!$Q$7:$R$11,2,TRUE)))</f>
        <v/>
      </c>
      <c r="I98">
        <f>IF($A98="","",IF('Ügyfelek'!K98="",'Beállítások'!$B$45,VLOOKUP(MAX('Ügyfelek'!K98,'Beállítások'!$T$7),'Beállítások'!$T$7:$U$11,2,TRUE)))</f>
        <v/>
      </c>
      <c r="J98">
        <f>IF($A98="","",IF('Ügyfelek'!M98="",'Beállítások'!$B$45,MIN(5,MAX(1,ROUND('Ügyfelek'!M98,0)))))</f>
        <v/>
      </c>
      <c r="K98">
        <f>IF($A98="","",IF('Ügyfelek'!P98="",'Beállítások'!$B$45,MIN(5,MAX(1,ROUND('Ügyfelek'!P98,0)))))</f>
        <v/>
      </c>
      <c r="L98">
        <f>IF($A98="","",IF('Ügyfelek'!O98="",'Beállítások'!$B$45,MIN(5,MAX(1,ROUND('Ügyfelek'!O98,0)))))</f>
        <v/>
      </c>
      <c r="M98" s="13">
        <f>IF($A98="","",ROUND('Beállítások'!$E$6*(B98-1)/4+'Beállítások'!$E$7*(C98-1)/4+'Beállítások'!$E$8*(D98-1)/4+'Beállítások'!$E$9*(E98-1)/4+'Beállítások'!$E$10*(F98-1)/4+'Beállítások'!$E$11*(G98-1)/4+'Beállítások'!$E$12*(H98-1)/4+'Beállítások'!$E$13*(I98-1)/4+'Beállítások'!$E$14*(J98-1)/4+'Beállítások'!$E$15*(K98-1)/4+'Beállítások'!$E$16*(L98-1)/4,1))</f>
        <v/>
      </c>
      <c r="N98" s="14">
        <f>IF($A98="","",RANK(M98,$M$2:$M$201))</f>
        <v/>
      </c>
      <c r="O98">
        <f>IF($A98="","",VLOOKUP(M98,'Beállítások'!$A$57:$E$60,2,TRUE))</f>
        <v/>
      </c>
      <c r="P98">
        <f>IF($A98="","",VLOOKUP(M98,'Beállítások'!$A$57:$E$60,3,TRUE))</f>
        <v/>
      </c>
      <c r="Q98">
        <f>IF($A98="","",INDEX('Beállítások'!$B$6:$B$16,MATCH(MAX(AD98:AN98),AD98:AN98,0)))</f>
        <v/>
      </c>
      <c r="R98">
        <f>IF($A98="","",IF(MAX(AO98:AY98)=0,"—",INDEX('Beállítások'!$B$6:$B$16,MATCH(MAX(AO98:AY98),AO98:AY98,0))))</f>
        <v/>
      </c>
      <c r="S98" s="5">
        <f>IF($A98="","",'Beállítások'!$B$47*(TRIM('Ügyfelek'!E98)="igen")+'Beállítások'!$B$48*(TRIM('Ügyfelek'!F98)="igen")+'Beállítások'!$B$49*N('Ügyfelek'!G98)+'Beállítások'!$B$46*N('Ügyfelek'!H98))</f>
        <v/>
      </c>
      <c r="T98" s="15">
        <f>IF($A98="","",VLOOKUP(M98,'Beállítások'!$A$57:$E$60,4,TRUE))</f>
        <v/>
      </c>
      <c r="U98" s="5">
        <f>IF($A98="","",N('Ügyfelek'!D98)*'Beállítások'!$B$51)</f>
        <v/>
      </c>
      <c r="V98" s="5">
        <f>IF($A98="","",CEILING(ROUND(MAX('Beállítások'!$B$50,S98*T98,U98),2),'Beállítások'!$B$52))</f>
        <v/>
      </c>
      <c r="W98">
        <f>IF($A98="","",IF(MAX('Beállítások'!$B$50,S98*T98,U98)=S98*T98,"Munkaigény × szintszorzó",IF(MAX('Beállítások'!$B$50,S98*T98,U98)=U98,"Hirdetési keret arányában","Minimumdíj")))</f>
        <v/>
      </c>
      <c r="X98" s="5">
        <f>IF(OR($A98="",'Ügyfelek'!Q98=""),"",'Ügyfelek'!Q98)</f>
        <v/>
      </c>
      <c r="Y98" s="5">
        <f>IF(X98="","",V98-X98)</f>
        <v/>
      </c>
      <c r="Z98" s="16">
        <f>IF(OR(X98="",X98=0),"",Y98/X98)</f>
        <v/>
      </c>
      <c r="AA98" s="5">
        <f>IF(OR($A98="",'Ügyfelek'!R98=""),"",'Ügyfelek'!R98*VLOOKUP(M98,'Beállítások'!$A$57:$E$60,5,TRUE))</f>
        <v/>
      </c>
      <c r="AB98" s="14">
        <f>IF($A98="","",('Ügyfelek'!B98="")+('Ügyfelek'!C98="")+('Ügyfelek'!D98="")+('Ügyfelek'!L98="")+('Ügyfelek'!I98="")+('Ügyfelek'!N98="")+('Ügyfelek'!J98="")+('Ügyfelek'!K98="")+('Ügyfelek'!M98="")+('Ügyfelek'!P98="")+('Ügyfelek'!O98=""))</f>
        <v/>
      </c>
      <c r="AD98">
        <f>IF($A98="","",B98+'Beállítások'!$E$6/1000)</f>
        <v/>
      </c>
      <c r="AE98">
        <f>IF($A98="","",C98+'Beállítások'!$E$7/1000)</f>
        <v/>
      </c>
      <c r="AF98">
        <f>IF($A98="","",D98+'Beállítások'!$E$8/1000)</f>
        <v/>
      </c>
      <c r="AG98">
        <f>IF($A98="","",E98+'Beállítások'!$E$9/1000)</f>
        <v/>
      </c>
      <c r="AH98">
        <f>IF($A98="","",F98+'Beállítások'!$E$10/1000)</f>
        <v/>
      </c>
      <c r="AI98">
        <f>IF($A98="","",G98+'Beállítások'!$E$11/1000)</f>
        <v/>
      </c>
      <c r="AJ98">
        <f>IF($A98="","",H98+'Beállítások'!$E$12/1000)</f>
        <v/>
      </c>
      <c r="AK98">
        <f>IF($A98="","",I98+'Beállítások'!$E$13/1000)</f>
        <v/>
      </c>
      <c r="AL98">
        <f>IF($A98="","",J98+'Beállítások'!$E$14/1000)</f>
        <v/>
      </c>
      <c r="AM98">
        <f>IF($A98="","",K98+'Beállítások'!$E$15/1000)</f>
        <v/>
      </c>
      <c r="AN98">
        <f>IF($A98="","",L98+'Beállítások'!$E$16/1000)</f>
        <v/>
      </c>
      <c r="AO98">
        <f>IF($A98="","",'Beállítások'!$E$6*(5-B98))</f>
        <v/>
      </c>
      <c r="AP98">
        <f>IF($A98="","",'Beállítások'!$E$7*(5-C98))</f>
        <v/>
      </c>
      <c r="AQ98">
        <f>IF($A98="","",'Beállítások'!$E$8*(5-D98))</f>
        <v/>
      </c>
      <c r="AR98">
        <f>IF($A98="","",'Beállítások'!$E$9*(5-E98))</f>
        <v/>
      </c>
      <c r="AS98">
        <f>IF($A98="","",'Beállítások'!$E$10*(5-F98))</f>
        <v/>
      </c>
      <c r="AT98">
        <f>IF($A98="","",'Beállítások'!$E$11*(5-G98))</f>
        <v/>
      </c>
      <c r="AU98">
        <f>IF($A98="","",'Beállítások'!$E$12*(5-H98))</f>
        <v/>
      </c>
      <c r="AV98">
        <f>IF($A98="","",'Beállítások'!$E$13*(5-I98))</f>
        <v/>
      </c>
      <c r="AW98">
        <f>IF($A98="","",'Beállítások'!$E$14*(5-J98))</f>
        <v/>
      </c>
      <c r="AX98">
        <f>IF($A98="","",'Beállítások'!$E$15*(5-K98))</f>
        <v/>
      </c>
      <c r="AY98">
        <f>IF($A98="","",'Beállítások'!$E$16*(5-L98))</f>
        <v/>
      </c>
      <c r="AZ98">
        <f>IF($A98="","",M98-ROW()/100000)</f>
        <v/>
      </c>
    </row>
    <row r="99">
      <c r="A99">
        <f>IF('Ügyfelek'!A99="","",'Ügyfelek'!A99)</f>
        <v/>
      </c>
      <c r="B99">
        <f>IF($A99="","",IF('Ügyfelek'!B99="",'Beállítások'!$B$45,IFERROR(VLOOKUP(TRIM('Ügyfelek'!B99),'Beállítások'!$A$22:$B$41,2,FALSE),'Beállítások'!$B$45)))</f>
        <v/>
      </c>
      <c r="C99">
        <f>IF($A99="","",IF('Ügyfelek'!C99="",'Beállítások'!$B$45,VLOOKUP(MAX('Ügyfelek'!C99,'Beállítások'!$H$7),'Beállítások'!$H$7:$I$11,2,TRUE)))</f>
        <v/>
      </c>
      <c r="D99">
        <f>IF($A99="","",IF('Ügyfelek'!D99="",'Beállítások'!$B$45,VLOOKUP(MAX('Ügyfelek'!D99,'Beállítások'!$K$7),'Beállítások'!$K$7:$L$11,2,TRUE)))</f>
        <v/>
      </c>
      <c r="E99">
        <f>IF($A99="","",IF('Ügyfelek'!L99="",'Beállítások'!$B$45,MIN(5,MAX(1,ROUND('Ügyfelek'!L99,0)))))</f>
        <v/>
      </c>
      <c r="F99">
        <f>IF($A99="","",IF('Ügyfelek'!I99="",'Beállítások'!$B$45,VLOOKUP(MAX('Ügyfelek'!I99,'Beállítások'!$N$7),'Beállítások'!$N$7:$O$11,2,TRUE)))</f>
        <v/>
      </c>
      <c r="G99">
        <f>IF($A99="","",IF('Ügyfelek'!N99="",'Beállítások'!$B$45,MIN(5,MAX(1,ROUND('Ügyfelek'!N99,0)))))</f>
        <v/>
      </c>
      <c r="H99">
        <f>IF($A99="","",IF('Ügyfelek'!J99="",'Beállítások'!$B$45,VLOOKUP(MAX('Ügyfelek'!J99,'Beállítások'!$Q$7),'Beállítások'!$Q$7:$R$11,2,TRUE)))</f>
        <v/>
      </c>
      <c r="I99">
        <f>IF($A99="","",IF('Ügyfelek'!K99="",'Beállítások'!$B$45,VLOOKUP(MAX('Ügyfelek'!K99,'Beállítások'!$T$7),'Beállítások'!$T$7:$U$11,2,TRUE)))</f>
        <v/>
      </c>
      <c r="J99">
        <f>IF($A99="","",IF('Ügyfelek'!M99="",'Beállítások'!$B$45,MIN(5,MAX(1,ROUND('Ügyfelek'!M99,0)))))</f>
        <v/>
      </c>
      <c r="K99">
        <f>IF($A99="","",IF('Ügyfelek'!P99="",'Beállítások'!$B$45,MIN(5,MAX(1,ROUND('Ügyfelek'!P99,0)))))</f>
        <v/>
      </c>
      <c r="L99">
        <f>IF($A99="","",IF('Ügyfelek'!O99="",'Beállítások'!$B$45,MIN(5,MAX(1,ROUND('Ügyfelek'!O99,0)))))</f>
        <v/>
      </c>
      <c r="M99" s="13">
        <f>IF($A99="","",ROUND('Beállítások'!$E$6*(B99-1)/4+'Beállítások'!$E$7*(C99-1)/4+'Beállítások'!$E$8*(D99-1)/4+'Beállítások'!$E$9*(E99-1)/4+'Beállítások'!$E$10*(F99-1)/4+'Beállítások'!$E$11*(G99-1)/4+'Beállítások'!$E$12*(H99-1)/4+'Beállítások'!$E$13*(I99-1)/4+'Beállítások'!$E$14*(J99-1)/4+'Beállítások'!$E$15*(K99-1)/4+'Beállítások'!$E$16*(L99-1)/4,1))</f>
        <v/>
      </c>
      <c r="N99" s="14">
        <f>IF($A99="","",RANK(M99,$M$2:$M$201))</f>
        <v/>
      </c>
      <c r="O99">
        <f>IF($A99="","",VLOOKUP(M99,'Beállítások'!$A$57:$E$60,2,TRUE))</f>
        <v/>
      </c>
      <c r="P99">
        <f>IF($A99="","",VLOOKUP(M99,'Beállítások'!$A$57:$E$60,3,TRUE))</f>
        <v/>
      </c>
      <c r="Q99">
        <f>IF($A99="","",INDEX('Beállítások'!$B$6:$B$16,MATCH(MAX(AD99:AN99),AD99:AN99,0)))</f>
        <v/>
      </c>
      <c r="R99">
        <f>IF($A99="","",IF(MAX(AO99:AY99)=0,"—",INDEX('Beállítások'!$B$6:$B$16,MATCH(MAX(AO99:AY99),AO99:AY99,0))))</f>
        <v/>
      </c>
      <c r="S99" s="5">
        <f>IF($A99="","",'Beállítások'!$B$47*(TRIM('Ügyfelek'!E99)="igen")+'Beállítások'!$B$48*(TRIM('Ügyfelek'!F99)="igen")+'Beállítások'!$B$49*N('Ügyfelek'!G99)+'Beállítások'!$B$46*N('Ügyfelek'!H99))</f>
        <v/>
      </c>
      <c r="T99" s="15">
        <f>IF($A99="","",VLOOKUP(M99,'Beállítások'!$A$57:$E$60,4,TRUE))</f>
        <v/>
      </c>
      <c r="U99" s="5">
        <f>IF($A99="","",N('Ügyfelek'!D99)*'Beállítások'!$B$51)</f>
        <v/>
      </c>
      <c r="V99" s="5">
        <f>IF($A99="","",CEILING(ROUND(MAX('Beállítások'!$B$50,S99*T99,U99),2),'Beállítások'!$B$52))</f>
        <v/>
      </c>
      <c r="W99">
        <f>IF($A99="","",IF(MAX('Beállítások'!$B$50,S99*T99,U99)=S99*T99,"Munkaigény × szintszorzó",IF(MAX('Beállítások'!$B$50,S99*T99,U99)=U99,"Hirdetési keret arányában","Minimumdíj")))</f>
        <v/>
      </c>
      <c r="X99" s="5">
        <f>IF(OR($A99="",'Ügyfelek'!Q99=""),"",'Ügyfelek'!Q99)</f>
        <v/>
      </c>
      <c r="Y99" s="5">
        <f>IF(X99="","",V99-X99)</f>
        <v/>
      </c>
      <c r="Z99" s="16">
        <f>IF(OR(X99="",X99=0),"",Y99/X99)</f>
        <v/>
      </c>
      <c r="AA99" s="5">
        <f>IF(OR($A99="",'Ügyfelek'!R99=""),"",'Ügyfelek'!R99*VLOOKUP(M99,'Beállítások'!$A$57:$E$60,5,TRUE))</f>
        <v/>
      </c>
      <c r="AB99" s="14">
        <f>IF($A99="","",('Ügyfelek'!B99="")+('Ügyfelek'!C99="")+('Ügyfelek'!D99="")+('Ügyfelek'!L99="")+('Ügyfelek'!I99="")+('Ügyfelek'!N99="")+('Ügyfelek'!J99="")+('Ügyfelek'!K99="")+('Ügyfelek'!M99="")+('Ügyfelek'!P99="")+('Ügyfelek'!O99=""))</f>
        <v/>
      </c>
      <c r="AD99">
        <f>IF($A99="","",B99+'Beállítások'!$E$6/1000)</f>
        <v/>
      </c>
      <c r="AE99">
        <f>IF($A99="","",C99+'Beállítások'!$E$7/1000)</f>
        <v/>
      </c>
      <c r="AF99">
        <f>IF($A99="","",D99+'Beállítások'!$E$8/1000)</f>
        <v/>
      </c>
      <c r="AG99">
        <f>IF($A99="","",E99+'Beállítások'!$E$9/1000)</f>
        <v/>
      </c>
      <c r="AH99">
        <f>IF($A99="","",F99+'Beállítások'!$E$10/1000)</f>
        <v/>
      </c>
      <c r="AI99">
        <f>IF($A99="","",G99+'Beállítások'!$E$11/1000)</f>
        <v/>
      </c>
      <c r="AJ99">
        <f>IF($A99="","",H99+'Beállítások'!$E$12/1000)</f>
        <v/>
      </c>
      <c r="AK99">
        <f>IF($A99="","",I99+'Beállítások'!$E$13/1000)</f>
        <v/>
      </c>
      <c r="AL99">
        <f>IF($A99="","",J99+'Beállítások'!$E$14/1000)</f>
        <v/>
      </c>
      <c r="AM99">
        <f>IF($A99="","",K99+'Beállítások'!$E$15/1000)</f>
        <v/>
      </c>
      <c r="AN99">
        <f>IF($A99="","",L99+'Beállítások'!$E$16/1000)</f>
        <v/>
      </c>
      <c r="AO99">
        <f>IF($A99="","",'Beállítások'!$E$6*(5-B99))</f>
        <v/>
      </c>
      <c r="AP99">
        <f>IF($A99="","",'Beállítások'!$E$7*(5-C99))</f>
        <v/>
      </c>
      <c r="AQ99">
        <f>IF($A99="","",'Beállítások'!$E$8*(5-D99))</f>
        <v/>
      </c>
      <c r="AR99">
        <f>IF($A99="","",'Beállítások'!$E$9*(5-E99))</f>
        <v/>
      </c>
      <c r="AS99">
        <f>IF($A99="","",'Beállítások'!$E$10*(5-F99))</f>
        <v/>
      </c>
      <c r="AT99">
        <f>IF($A99="","",'Beállítások'!$E$11*(5-G99))</f>
        <v/>
      </c>
      <c r="AU99">
        <f>IF($A99="","",'Beállítások'!$E$12*(5-H99))</f>
        <v/>
      </c>
      <c r="AV99">
        <f>IF($A99="","",'Beállítások'!$E$13*(5-I99))</f>
        <v/>
      </c>
      <c r="AW99">
        <f>IF($A99="","",'Beállítások'!$E$14*(5-J99))</f>
        <v/>
      </c>
      <c r="AX99">
        <f>IF($A99="","",'Beállítások'!$E$15*(5-K99))</f>
        <v/>
      </c>
      <c r="AY99">
        <f>IF($A99="","",'Beállítások'!$E$16*(5-L99))</f>
        <v/>
      </c>
      <c r="AZ99">
        <f>IF($A99="","",M99-ROW()/100000)</f>
        <v/>
      </c>
    </row>
    <row r="100">
      <c r="A100">
        <f>IF('Ügyfelek'!A100="","",'Ügyfelek'!A100)</f>
        <v/>
      </c>
      <c r="B100">
        <f>IF($A100="","",IF('Ügyfelek'!B100="",'Beállítások'!$B$45,IFERROR(VLOOKUP(TRIM('Ügyfelek'!B100),'Beállítások'!$A$22:$B$41,2,FALSE),'Beállítások'!$B$45)))</f>
        <v/>
      </c>
      <c r="C100">
        <f>IF($A100="","",IF('Ügyfelek'!C100="",'Beállítások'!$B$45,VLOOKUP(MAX('Ügyfelek'!C100,'Beállítások'!$H$7),'Beállítások'!$H$7:$I$11,2,TRUE)))</f>
        <v/>
      </c>
      <c r="D100">
        <f>IF($A100="","",IF('Ügyfelek'!D100="",'Beállítások'!$B$45,VLOOKUP(MAX('Ügyfelek'!D100,'Beállítások'!$K$7),'Beállítások'!$K$7:$L$11,2,TRUE)))</f>
        <v/>
      </c>
      <c r="E100">
        <f>IF($A100="","",IF('Ügyfelek'!L100="",'Beállítások'!$B$45,MIN(5,MAX(1,ROUND('Ügyfelek'!L100,0)))))</f>
        <v/>
      </c>
      <c r="F100">
        <f>IF($A100="","",IF('Ügyfelek'!I100="",'Beállítások'!$B$45,VLOOKUP(MAX('Ügyfelek'!I100,'Beállítások'!$N$7),'Beállítások'!$N$7:$O$11,2,TRUE)))</f>
        <v/>
      </c>
      <c r="G100">
        <f>IF($A100="","",IF('Ügyfelek'!N100="",'Beállítások'!$B$45,MIN(5,MAX(1,ROUND('Ügyfelek'!N100,0)))))</f>
        <v/>
      </c>
      <c r="H100">
        <f>IF($A100="","",IF('Ügyfelek'!J100="",'Beállítások'!$B$45,VLOOKUP(MAX('Ügyfelek'!J100,'Beállítások'!$Q$7),'Beállítások'!$Q$7:$R$11,2,TRUE)))</f>
        <v/>
      </c>
      <c r="I100">
        <f>IF($A100="","",IF('Ügyfelek'!K100="",'Beállítások'!$B$45,VLOOKUP(MAX('Ügyfelek'!K100,'Beállítások'!$T$7),'Beállítások'!$T$7:$U$11,2,TRUE)))</f>
        <v/>
      </c>
      <c r="J100">
        <f>IF($A100="","",IF('Ügyfelek'!M100="",'Beállítások'!$B$45,MIN(5,MAX(1,ROUND('Ügyfelek'!M100,0)))))</f>
        <v/>
      </c>
      <c r="K100">
        <f>IF($A100="","",IF('Ügyfelek'!P100="",'Beállítások'!$B$45,MIN(5,MAX(1,ROUND('Ügyfelek'!P100,0)))))</f>
        <v/>
      </c>
      <c r="L100">
        <f>IF($A100="","",IF('Ügyfelek'!O100="",'Beállítások'!$B$45,MIN(5,MAX(1,ROUND('Ügyfelek'!O100,0)))))</f>
        <v/>
      </c>
      <c r="M100" s="13">
        <f>IF($A100="","",ROUND('Beállítások'!$E$6*(B100-1)/4+'Beállítások'!$E$7*(C100-1)/4+'Beállítások'!$E$8*(D100-1)/4+'Beállítások'!$E$9*(E100-1)/4+'Beállítások'!$E$10*(F100-1)/4+'Beállítások'!$E$11*(G100-1)/4+'Beállítások'!$E$12*(H100-1)/4+'Beállítások'!$E$13*(I100-1)/4+'Beállítások'!$E$14*(J100-1)/4+'Beállítások'!$E$15*(K100-1)/4+'Beállítások'!$E$16*(L100-1)/4,1))</f>
        <v/>
      </c>
      <c r="N100" s="14">
        <f>IF($A100="","",RANK(M100,$M$2:$M$201))</f>
        <v/>
      </c>
      <c r="O100">
        <f>IF($A100="","",VLOOKUP(M100,'Beállítások'!$A$57:$E$60,2,TRUE))</f>
        <v/>
      </c>
      <c r="P100">
        <f>IF($A100="","",VLOOKUP(M100,'Beállítások'!$A$57:$E$60,3,TRUE))</f>
        <v/>
      </c>
      <c r="Q100">
        <f>IF($A100="","",INDEX('Beállítások'!$B$6:$B$16,MATCH(MAX(AD100:AN100),AD100:AN100,0)))</f>
        <v/>
      </c>
      <c r="R100">
        <f>IF($A100="","",IF(MAX(AO100:AY100)=0,"—",INDEX('Beállítások'!$B$6:$B$16,MATCH(MAX(AO100:AY100),AO100:AY100,0))))</f>
        <v/>
      </c>
      <c r="S100" s="5">
        <f>IF($A100="","",'Beállítások'!$B$47*(TRIM('Ügyfelek'!E100)="igen")+'Beállítások'!$B$48*(TRIM('Ügyfelek'!F100)="igen")+'Beállítások'!$B$49*N('Ügyfelek'!G100)+'Beállítások'!$B$46*N('Ügyfelek'!H100))</f>
        <v/>
      </c>
      <c r="T100" s="15">
        <f>IF($A100="","",VLOOKUP(M100,'Beállítások'!$A$57:$E$60,4,TRUE))</f>
        <v/>
      </c>
      <c r="U100" s="5">
        <f>IF($A100="","",N('Ügyfelek'!D100)*'Beállítások'!$B$51)</f>
        <v/>
      </c>
      <c r="V100" s="5">
        <f>IF($A100="","",CEILING(ROUND(MAX('Beállítások'!$B$50,S100*T100,U100),2),'Beállítások'!$B$52))</f>
        <v/>
      </c>
      <c r="W100">
        <f>IF($A100="","",IF(MAX('Beállítások'!$B$50,S100*T100,U100)=S100*T100,"Munkaigény × szintszorzó",IF(MAX('Beállítások'!$B$50,S100*T100,U100)=U100,"Hirdetési keret arányában","Minimumdíj")))</f>
        <v/>
      </c>
      <c r="X100" s="5">
        <f>IF(OR($A100="",'Ügyfelek'!Q100=""),"",'Ügyfelek'!Q100)</f>
        <v/>
      </c>
      <c r="Y100" s="5">
        <f>IF(X100="","",V100-X100)</f>
        <v/>
      </c>
      <c r="Z100" s="16">
        <f>IF(OR(X100="",X100=0),"",Y100/X100)</f>
        <v/>
      </c>
      <c r="AA100" s="5">
        <f>IF(OR($A100="",'Ügyfelek'!R100=""),"",'Ügyfelek'!R100*VLOOKUP(M100,'Beállítások'!$A$57:$E$60,5,TRUE))</f>
        <v/>
      </c>
      <c r="AB100" s="14">
        <f>IF($A100="","",('Ügyfelek'!B100="")+('Ügyfelek'!C100="")+('Ügyfelek'!D100="")+('Ügyfelek'!L100="")+('Ügyfelek'!I100="")+('Ügyfelek'!N100="")+('Ügyfelek'!J100="")+('Ügyfelek'!K100="")+('Ügyfelek'!M100="")+('Ügyfelek'!P100="")+('Ügyfelek'!O100=""))</f>
        <v/>
      </c>
      <c r="AD100">
        <f>IF($A100="","",B100+'Beállítások'!$E$6/1000)</f>
        <v/>
      </c>
      <c r="AE100">
        <f>IF($A100="","",C100+'Beállítások'!$E$7/1000)</f>
        <v/>
      </c>
      <c r="AF100">
        <f>IF($A100="","",D100+'Beállítások'!$E$8/1000)</f>
        <v/>
      </c>
      <c r="AG100">
        <f>IF($A100="","",E100+'Beállítások'!$E$9/1000)</f>
        <v/>
      </c>
      <c r="AH100">
        <f>IF($A100="","",F100+'Beállítások'!$E$10/1000)</f>
        <v/>
      </c>
      <c r="AI100">
        <f>IF($A100="","",G100+'Beállítások'!$E$11/1000)</f>
        <v/>
      </c>
      <c r="AJ100">
        <f>IF($A100="","",H100+'Beállítások'!$E$12/1000)</f>
        <v/>
      </c>
      <c r="AK100">
        <f>IF($A100="","",I100+'Beállítások'!$E$13/1000)</f>
        <v/>
      </c>
      <c r="AL100">
        <f>IF($A100="","",J100+'Beállítások'!$E$14/1000)</f>
        <v/>
      </c>
      <c r="AM100">
        <f>IF($A100="","",K100+'Beállítások'!$E$15/1000)</f>
        <v/>
      </c>
      <c r="AN100">
        <f>IF($A100="","",L100+'Beállítások'!$E$16/1000)</f>
        <v/>
      </c>
      <c r="AO100">
        <f>IF($A100="","",'Beállítások'!$E$6*(5-B100))</f>
        <v/>
      </c>
      <c r="AP100">
        <f>IF($A100="","",'Beállítások'!$E$7*(5-C100))</f>
        <v/>
      </c>
      <c r="AQ100">
        <f>IF($A100="","",'Beállítások'!$E$8*(5-D100))</f>
        <v/>
      </c>
      <c r="AR100">
        <f>IF($A100="","",'Beállítások'!$E$9*(5-E100))</f>
        <v/>
      </c>
      <c r="AS100">
        <f>IF($A100="","",'Beállítások'!$E$10*(5-F100))</f>
        <v/>
      </c>
      <c r="AT100">
        <f>IF($A100="","",'Beállítások'!$E$11*(5-G100))</f>
        <v/>
      </c>
      <c r="AU100">
        <f>IF($A100="","",'Beállítások'!$E$12*(5-H100))</f>
        <v/>
      </c>
      <c r="AV100">
        <f>IF($A100="","",'Beállítások'!$E$13*(5-I100))</f>
        <v/>
      </c>
      <c r="AW100">
        <f>IF($A100="","",'Beállítások'!$E$14*(5-J100))</f>
        <v/>
      </c>
      <c r="AX100">
        <f>IF($A100="","",'Beállítások'!$E$15*(5-K100))</f>
        <v/>
      </c>
      <c r="AY100">
        <f>IF($A100="","",'Beállítások'!$E$16*(5-L100))</f>
        <v/>
      </c>
      <c r="AZ100">
        <f>IF($A100="","",M100-ROW()/100000)</f>
        <v/>
      </c>
    </row>
    <row r="101">
      <c r="A101">
        <f>IF('Ügyfelek'!A101="","",'Ügyfelek'!A101)</f>
        <v/>
      </c>
      <c r="B101">
        <f>IF($A101="","",IF('Ügyfelek'!B101="",'Beállítások'!$B$45,IFERROR(VLOOKUP(TRIM('Ügyfelek'!B101),'Beállítások'!$A$22:$B$41,2,FALSE),'Beállítások'!$B$45)))</f>
        <v/>
      </c>
      <c r="C101">
        <f>IF($A101="","",IF('Ügyfelek'!C101="",'Beállítások'!$B$45,VLOOKUP(MAX('Ügyfelek'!C101,'Beállítások'!$H$7),'Beállítások'!$H$7:$I$11,2,TRUE)))</f>
        <v/>
      </c>
      <c r="D101">
        <f>IF($A101="","",IF('Ügyfelek'!D101="",'Beállítások'!$B$45,VLOOKUP(MAX('Ügyfelek'!D101,'Beállítások'!$K$7),'Beállítások'!$K$7:$L$11,2,TRUE)))</f>
        <v/>
      </c>
      <c r="E101">
        <f>IF($A101="","",IF('Ügyfelek'!L101="",'Beállítások'!$B$45,MIN(5,MAX(1,ROUND('Ügyfelek'!L101,0)))))</f>
        <v/>
      </c>
      <c r="F101">
        <f>IF($A101="","",IF('Ügyfelek'!I101="",'Beállítások'!$B$45,VLOOKUP(MAX('Ügyfelek'!I101,'Beállítások'!$N$7),'Beállítások'!$N$7:$O$11,2,TRUE)))</f>
        <v/>
      </c>
      <c r="G101">
        <f>IF($A101="","",IF('Ügyfelek'!N101="",'Beállítások'!$B$45,MIN(5,MAX(1,ROUND('Ügyfelek'!N101,0)))))</f>
        <v/>
      </c>
      <c r="H101">
        <f>IF($A101="","",IF('Ügyfelek'!J101="",'Beállítások'!$B$45,VLOOKUP(MAX('Ügyfelek'!J101,'Beállítások'!$Q$7),'Beállítások'!$Q$7:$R$11,2,TRUE)))</f>
        <v/>
      </c>
      <c r="I101">
        <f>IF($A101="","",IF('Ügyfelek'!K101="",'Beállítások'!$B$45,VLOOKUP(MAX('Ügyfelek'!K101,'Beállítások'!$T$7),'Beállítások'!$T$7:$U$11,2,TRUE)))</f>
        <v/>
      </c>
      <c r="J101">
        <f>IF($A101="","",IF('Ügyfelek'!M101="",'Beállítások'!$B$45,MIN(5,MAX(1,ROUND('Ügyfelek'!M101,0)))))</f>
        <v/>
      </c>
      <c r="K101">
        <f>IF($A101="","",IF('Ügyfelek'!P101="",'Beállítások'!$B$45,MIN(5,MAX(1,ROUND('Ügyfelek'!P101,0)))))</f>
        <v/>
      </c>
      <c r="L101">
        <f>IF($A101="","",IF('Ügyfelek'!O101="",'Beállítások'!$B$45,MIN(5,MAX(1,ROUND('Ügyfelek'!O101,0)))))</f>
        <v/>
      </c>
      <c r="M101" s="13">
        <f>IF($A101="","",ROUND('Beállítások'!$E$6*(B101-1)/4+'Beállítások'!$E$7*(C101-1)/4+'Beállítások'!$E$8*(D101-1)/4+'Beállítások'!$E$9*(E101-1)/4+'Beállítások'!$E$10*(F101-1)/4+'Beállítások'!$E$11*(G101-1)/4+'Beállítások'!$E$12*(H101-1)/4+'Beállítások'!$E$13*(I101-1)/4+'Beállítások'!$E$14*(J101-1)/4+'Beállítások'!$E$15*(K101-1)/4+'Beállítások'!$E$16*(L101-1)/4,1))</f>
        <v/>
      </c>
      <c r="N101" s="14">
        <f>IF($A101="","",RANK(M101,$M$2:$M$201))</f>
        <v/>
      </c>
      <c r="O101">
        <f>IF($A101="","",VLOOKUP(M101,'Beállítások'!$A$57:$E$60,2,TRUE))</f>
        <v/>
      </c>
      <c r="P101">
        <f>IF($A101="","",VLOOKUP(M101,'Beállítások'!$A$57:$E$60,3,TRUE))</f>
        <v/>
      </c>
      <c r="Q101">
        <f>IF($A101="","",INDEX('Beállítások'!$B$6:$B$16,MATCH(MAX(AD101:AN101),AD101:AN101,0)))</f>
        <v/>
      </c>
      <c r="R101">
        <f>IF($A101="","",IF(MAX(AO101:AY101)=0,"—",INDEX('Beállítások'!$B$6:$B$16,MATCH(MAX(AO101:AY101),AO101:AY101,0))))</f>
        <v/>
      </c>
      <c r="S101" s="5">
        <f>IF($A101="","",'Beállítások'!$B$47*(TRIM('Ügyfelek'!E101)="igen")+'Beállítások'!$B$48*(TRIM('Ügyfelek'!F101)="igen")+'Beállítások'!$B$49*N('Ügyfelek'!G101)+'Beállítások'!$B$46*N('Ügyfelek'!H101))</f>
        <v/>
      </c>
      <c r="T101" s="15">
        <f>IF($A101="","",VLOOKUP(M101,'Beállítások'!$A$57:$E$60,4,TRUE))</f>
        <v/>
      </c>
      <c r="U101" s="5">
        <f>IF($A101="","",N('Ügyfelek'!D101)*'Beállítások'!$B$51)</f>
        <v/>
      </c>
      <c r="V101" s="5">
        <f>IF($A101="","",CEILING(ROUND(MAX('Beállítások'!$B$50,S101*T101,U101),2),'Beállítások'!$B$52))</f>
        <v/>
      </c>
      <c r="W101">
        <f>IF($A101="","",IF(MAX('Beállítások'!$B$50,S101*T101,U101)=S101*T101,"Munkaigény × szintszorzó",IF(MAX('Beállítások'!$B$50,S101*T101,U101)=U101,"Hirdetési keret arányában","Minimumdíj")))</f>
        <v/>
      </c>
      <c r="X101" s="5">
        <f>IF(OR($A101="",'Ügyfelek'!Q101=""),"",'Ügyfelek'!Q101)</f>
        <v/>
      </c>
      <c r="Y101" s="5">
        <f>IF(X101="","",V101-X101)</f>
        <v/>
      </c>
      <c r="Z101" s="16">
        <f>IF(OR(X101="",X101=0),"",Y101/X101)</f>
        <v/>
      </c>
      <c r="AA101" s="5">
        <f>IF(OR($A101="",'Ügyfelek'!R101=""),"",'Ügyfelek'!R101*VLOOKUP(M101,'Beállítások'!$A$57:$E$60,5,TRUE))</f>
        <v/>
      </c>
      <c r="AB101" s="14">
        <f>IF($A101="","",('Ügyfelek'!B101="")+('Ügyfelek'!C101="")+('Ügyfelek'!D101="")+('Ügyfelek'!L101="")+('Ügyfelek'!I101="")+('Ügyfelek'!N101="")+('Ügyfelek'!J101="")+('Ügyfelek'!K101="")+('Ügyfelek'!M101="")+('Ügyfelek'!P101="")+('Ügyfelek'!O101=""))</f>
        <v/>
      </c>
      <c r="AD101">
        <f>IF($A101="","",B101+'Beállítások'!$E$6/1000)</f>
        <v/>
      </c>
      <c r="AE101">
        <f>IF($A101="","",C101+'Beállítások'!$E$7/1000)</f>
        <v/>
      </c>
      <c r="AF101">
        <f>IF($A101="","",D101+'Beállítások'!$E$8/1000)</f>
        <v/>
      </c>
      <c r="AG101">
        <f>IF($A101="","",E101+'Beállítások'!$E$9/1000)</f>
        <v/>
      </c>
      <c r="AH101">
        <f>IF($A101="","",F101+'Beállítások'!$E$10/1000)</f>
        <v/>
      </c>
      <c r="AI101">
        <f>IF($A101="","",G101+'Beállítások'!$E$11/1000)</f>
        <v/>
      </c>
      <c r="AJ101">
        <f>IF($A101="","",H101+'Beállítások'!$E$12/1000)</f>
        <v/>
      </c>
      <c r="AK101">
        <f>IF($A101="","",I101+'Beállítások'!$E$13/1000)</f>
        <v/>
      </c>
      <c r="AL101">
        <f>IF($A101="","",J101+'Beállítások'!$E$14/1000)</f>
        <v/>
      </c>
      <c r="AM101">
        <f>IF($A101="","",K101+'Beállítások'!$E$15/1000)</f>
        <v/>
      </c>
      <c r="AN101">
        <f>IF($A101="","",L101+'Beállítások'!$E$16/1000)</f>
        <v/>
      </c>
      <c r="AO101">
        <f>IF($A101="","",'Beállítások'!$E$6*(5-B101))</f>
        <v/>
      </c>
      <c r="AP101">
        <f>IF($A101="","",'Beállítások'!$E$7*(5-C101))</f>
        <v/>
      </c>
      <c r="AQ101">
        <f>IF($A101="","",'Beállítások'!$E$8*(5-D101))</f>
        <v/>
      </c>
      <c r="AR101">
        <f>IF($A101="","",'Beállítások'!$E$9*(5-E101))</f>
        <v/>
      </c>
      <c r="AS101">
        <f>IF($A101="","",'Beállítások'!$E$10*(5-F101))</f>
        <v/>
      </c>
      <c r="AT101">
        <f>IF($A101="","",'Beállítások'!$E$11*(5-G101))</f>
        <v/>
      </c>
      <c r="AU101">
        <f>IF($A101="","",'Beállítások'!$E$12*(5-H101))</f>
        <v/>
      </c>
      <c r="AV101">
        <f>IF($A101="","",'Beállítások'!$E$13*(5-I101))</f>
        <v/>
      </c>
      <c r="AW101">
        <f>IF($A101="","",'Beállítások'!$E$14*(5-J101))</f>
        <v/>
      </c>
      <c r="AX101">
        <f>IF($A101="","",'Beállítások'!$E$15*(5-K101))</f>
        <v/>
      </c>
      <c r="AY101">
        <f>IF($A101="","",'Beállítások'!$E$16*(5-L101))</f>
        <v/>
      </c>
      <c r="AZ101">
        <f>IF($A101="","",M101-ROW()/100000)</f>
        <v/>
      </c>
    </row>
    <row r="102">
      <c r="A102">
        <f>IF('Ügyfelek'!A102="","",'Ügyfelek'!A102)</f>
        <v/>
      </c>
      <c r="B102">
        <f>IF($A102="","",IF('Ügyfelek'!B102="",'Beállítások'!$B$45,IFERROR(VLOOKUP(TRIM('Ügyfelek'!B102),'Beállítások'!$A$22:$B$41,2,FALSE),'Beállítások'!$B$45)))</f>
        <v/>
      </c>
      <c r="C102">
        <f>IF($A102="","",IF('Ügyfelek'!C102="",'Beállítások'!$B$45,VLOOKUP(MAX('Ügyfelek'!C102,'Beállítások'!$H$7),'Beállítások'!$H$7:$I$11,2,TRUE)))</f>
        <v/>
      </c>
      <c r="D102">
        <f>IF($A102="","",IF('Ügyfelek'!D102="",'Beállítások'!$B$45,VLOOKUP(MAX('Ügyfelek'!D102,'Beállítások'!$K$7),'Beállítások'!$K$7:$L$11,2,TRUE)))</f>
        <v/>
      </c>
      <c r="E102">
        <f>IF($A102="","",IF('Ügyfelek'!L102="",'Beállítások'!$B$45,MIN(5,MAX(1,ROUND('Ügyfelek'!L102,0)))))</f>
        <v/>
      </c>
      <c r="F102">
        <f>IF($A102="","",IF('Ügyfelek'!I102="",'Beállítások'!$B$45,VLOOKUP(MAX('Ügyfelek'!I102,'Beállítások'!$N$7),'Beállítások'!$N$7:$O$11,2,TRUE)))</f>
        <v/>
      </c>
      <c r="G102">
        <f>IF($A102="","",IF('Ügyfelek'!N102="",'Beállítások'!$B$45,MIN(5,MAX(1,ROUND('Ügyfelek'!N102,0)))))</f>
        <v/>
      </c>
      <c r="H102">
        <f>IF($A102="","",IF('Ügyfelek'!J102="",'Beállítások'!$B$45,VLOOKUP(MAX('Ügyfelek'!J102,'Beállítások'!$Q$7),'Beállítások'!$Q$7:$R$11,2,TRUE)))</f>
        <v/>
      </c>
      <c r="I102">
        <f>IF($A102="","",IF('Ügyfelek'!K102="",'Beállítások'!$B$45,VLOOKUP(MAX('Ügyfelek'!K102,'Beállítások'!$T$7),'Beállítások'!$T$7:$U$11,2,TRUE)))</f>
        <v/>
      </c>
      <c r="J102">
        <f>IF($A102="","",IF('Ügyfelek'!M102="",'Beállítások'!$B$45,MIN(5,MAX(1,ROUND('Ügyfelek'!M102,0)))))</f>
        <v/>
      </c>
      <c r="K102">
        <f>IF($A102="","",IF('Ügyfelek'!P102="",'Beállítások'!$B$45,MIN(5,MAX(1,ROUND('Ügyfelek'!P102,0)))))</f>
        <v/>
      </c>
      <c r="L102">
        <f>IF($A102="","",IF('Ügyfelek'!O102="",'Beállítások'!$B$45,MIN(5,MAX(1,ROUND('Ügyfelek'!O102,0)))))</f>
        <v/>
      </c>
      <c r="M102" s="13">
        <f>IF($A102="","",ROUND('Beállítások'!$E$6*(B102-1)/4+'Beállítások'!$E$7*(C102-1)/4+'Beállítások'!$E$8*(D102-1)/4+'Beállítások'!$E$9*(E102-1)/4+'Beállítások'!$E$10*(F102-1)/4+'Beállítások'!$E$11*(G102-1)/4+'Beállítások'!$E$12*(H102-1)/4+'Beállítások'!$E$13*(I102-1)/4+'Beállítások'!$E$14*(J102-1)/4+'Beállítások'!$E$15*(K102-1)/4+'Beállítások'!$E$16*(L102-1)/4,1))</f>
        <v/>
      </c>
      <c r="N102" s="14">
        <f>IF($A102="","",RANK(M102,$M$2:$M$201))</f>
        <v/>
      </c>
      <c r="O102">
        <f>IF($A102="","",VLOOKUP(M102,'Beállítások'!$A$57:$E$60,2,TRUE))</f>
        <v/>
      </c>
      <c r="P102">
        <f>IF($A102="","",VLOOKUP(M102,'Beállítások'!$A$57:$E$60,3,TRUE))</f>
        <v/>
      </c>
      <c r="Q102">
        <f>IF($A102="","",INDEX('Beállítások'!$B$6:$B$16,MATCH(MAX(AD102:AN102),AD102:AN102,0)))</f>
        <v/>
      </c>
      <c r="R102">
        <f>IF($A102="","",IF(MAX(AO102:AY102)=0,"—",INDEX('Beállítások'!$B$6:$B$16,MATCH(MAX(AO102:AY102),AO102:AY102,0))))</f>
        <v/>
      </c>
      <c r="S102" s="5">
        <f>IF($A102="","",'Beállítások'!$B$47*(TRIM('Ügyfelek'!E102)="igen")+'Beállítások'!$B$48*(TRIM('Ügyfelek'!F102)="igen")+'Beállítások'!$B$49*N('Ügyfelek'!G102)+'Beállítások'!$B$46*N('Ügyfelek'!H102))</f>
        <v/>
      </c>
      <c r="T102" s="15">
        <f>IF($A102="","",VLOOKUP(M102,'Beállítások'!$A$57:$E$60,4,TRUE))</f>
        <v/>
      </c>
      <c r="U102" s="5">
        <f>IF($A102="","",N('Ügyfelek'!D102)*'Beállítások'!$B$51)</f>
        <v/>
      </c>
      <c r="V102" s="5">
        <f>IF($A102="","",CEILING(ROUND(MAX('Beállítások'!$B$50,S102*T102,U102),2),'Beállítások'!$B$52))</f>
        <v/>
      </c>
      <c r="W102">
        <f>IF($A102="","",IF(MAX('Beállítások'!$B$50,S102*T102,U102)=S102*T102,"Munkaigény × szintszorzó",IF(MAX('Beállítások'!$B$50,S102*T102,U102)=U102,"Hirdetési keret arányában","Minimumdíj")))</f>
        <v/>
      </c>
      <c r="X102" s="5">
        <f>IF(OR($A102="",'Ügyfelek'!Q102=""),"",'Ügyfelek'!Q102)</f>
        <v/>
      </c>
      <c r="Y102" s="5">
        <f>IF(X102="","",V102-X102)</f>
        <v/>
      </c>
      <c r="Z102" s="16">
        <f>IF(OR(X102="",X102=0),"",Y102/X102)</f>
        <v/>
      </c>
      <c r="AA102" s="5">
        <f>IF(OR($A102="",'Ügyfelek'!R102=""),"",'Ügyfelek'!R102*VLOOKUP(M102,'Beállítások'!$A$57:$E$60,5,TRUE))</f>
        <v/>
      </c>
      <c r="AB102" s="14">
        <f>IF($A102="","",('Ügyfelek'!B102="")+('Ügyfelek'!C102="")+('Ügyfelek'!D102="")+('Ügyfelek'!L102="")+('Ügyfelek'!I102="")+('Ügyfelek'!N102="")+('Ügyfelek'!J102="")+('Ügyfelek'!K102="")+('Ügyfelek'!M102="")+('Ügyfelek'!P102="")+('Ügyfelek'!O102=""))</f>
        <v/>
      </c>
      <c r="AD102">
        <f>IF($A102="","",B102+'Beállítások'!$E$6/1000)</f>
        <v/>
      </c>
      <c r="AE102">
        <f>IF($A102="","",C102+'Beállítások'!$E$7/1000)</f>
        <v/>
      </c>
      <c r="AF102">
        <f>IF($A102="","",D102+'Beállítások'!$E$8/1000)</f>
        <v/>
      </c>
      <c r="AG102">
        <f>IF($A102="","",E102+'Beállítások'!$E$9/1000)</f>
        <v/>
      </c>
      <c r="AH102">
        <f>IF($A102="","",F102+'Beállítások'!$E$10/1000)</f>
        <v/>
      </c>
      <c r="AI102">
        <f>IF($A102="","",G102+'Beállítások'!$E$11/1000)</f>
        <v/>
      </c>
      <c r="AJ102">
        <f>IF($A102="","",H102+'Beállítások'!$E$12/1000)</f>
        <v/>
      </c>
      <c r="AK102">
        <f>IF($A102="","",I102+'Beállítások'!$E$13/1000)</f>
        <v/>
      </c>
      <c r="AL102">
        <f>IF($A102="","",J102+'Beállítások'!$E$14/1000)</f>
        <v/>
      </c>
      <c r="AM102">
        <f>IF($A102="","",K102+'Beállítások'!$E$15/1000)</f>
        <v/>
      </c>
      <c r="AN102">
        <f>IF($A102="","",L102+'Beállítások'!$E$16/1000)</f>
        <v/>
      </c>
      <c r="AO102">
        <f>IF($A102="","",'Beállítások'!$E$6*(5-B102))</f>
        <v/>
      </c>
      <c r="AP102">
        <f>IF($A102="","",'Beállítások'!$E$7*(5-C102))</f>
        <v/>
      </c>
      <c r="AQ102">
        <f>IF($A102="","",'Beállítások'!$E$8*(5-D102))</f>
        <v/>
      </c>
      <c r="AR102">
        <f>IF($A102="","",'Beállítások'!$E$9*(5-E102))</f>
        <v/>
      </c>
      <c r="AS102">
        <f>IF($A102="","",'Beállítások'!$E$10*(5-F102))</f>
        <v/>
      </c>
      <c r="AT102">
        <f>IF($A102="","",'Beállítások'!$E$11*(5-G102))</f>
        <v/>
      </c>
      <c r="AU102">
        <f>IF($A102="","",'Beállítások'!$E$12*(5-H102))</f>
        <v/>
      </c>
      <c r="AV102">
        <f>IF($A102="","",'Beállítások'!$E$13*(5-I102))</f>
        <v/>
      </c>
      <c r="AW102">
        <f>IF($A102="","",'Beállítások'!$E$14*(5-J102))</f>
        <v/>
      </c>
      <c r="AX102">
        <f>IF($A102="","",'Beállítások'!$E$15*(5-K102))</f>
        <v/>
      </c>
      <c r="AY102">
        <f>IF($A102="","",'Beállítások'!$E$16*(5-L102))</f>
        <v/>
      </c>
      <c r="AZ102">
        <f>IF($A102="","",M102-ROW()/100000)</f>
        <v/>
      </c>
    </row>
    <row r="103">
      <c r="A103">
        <f>IF('Ügyfelek'!A103="","",'Ügyfelek'!A103)</f>
        <v/>
      </c>
      <c r="B103">
        <f>IF($A103="","",IF('Ügyfelek'!B103="",'Beállítások'!$B$45,IFERROR(VLOOKUP(TRIM('Ügyfelek'!B103),'Beállítások'!$A$22:$B$41,2,FALSE),'Beállítások'!$B$45)))</f>
        <v/>
      </c>
      <c r="C103">
        <f>IF($A103="","",IF('Ügyfelek'!C103="",'Beállítások'!$B$45,VLOOKUP(MAX('Ügyfelek'!C103,'Beállítások'!$H$7),'Beállítások'!$H$7:$I$11,2,TRUE)))</f>
        <v/>
      </c>
      <c r="D103">
        <f>IF($A103="","",IF('Ügyfelek'!D103="",'Beállítások'!$B$45,VLOOKUP(MAX('Ügyfelek'!D103,'Beállítások'!$K$7),'Beállítások'!$K$7:$L$11,2,TRUE)))</f>
        <v/>
      </c>
      <c r="E103">
        <f>IF($A103="","",IF('Ügyfelek'!L103="",'Beállítások'!$B$45,MIN(5,MAX(1,ROUND('Ügyfelek'!L103,0)))))</f>
        <v/>
      </c>
      <c r="F103">
        <f>IF($A103="","",IF('Ügyfelek'!I103="",'Beállítások'!$B$45,VLOOKUP(MAX('Ügyfelek'!I103,'Beállítások'!$N$7),'Beállítások'!$N$7:$O$11,2,TRUE)))</f>
        <v/>
      </c>
      <c r="G103">
        <f>IF($A103="","",IF('Ügyfelek'!N103="",'Beállítások'!$B$45,MIN(5,MAX(1,ROUND('Ügyfelek'!N103,0)))))</f>
        <v/>
      </c>
      <c r="H103">
        <f>IF($A103="","",IF('Ügyfelek'!J103="",'Beállítások'!$B$45,VLOOKUP(MAX('Ügyfelek'!J103,'Beállítások'!$Q$7),'Beállítások'!$Q$7:$R$11,2,TRUE)))</f>
        <v/>
      </c>
      <c r="I103">
        <f>IF($A103="","",IF('Ügyfelek'!K103="",'Beállítások'!$B$45,VLOOKUP(MAX('Ügyfelek'!K103,'Beállítások'!$T$7),'Beállítások'!$T$7:$U$11,2,TRUE)))</f>
        <v/>
      </c>
      <c r="J103">
        <f>IF($A103="","",IF('Ügyfelek'!M103="",'Beállítások'!$B$45,MIN(5,MAX(1,ROUND('Ügyfelek'!M103,0)))))</f>
        <v/>
      </c>
      <c r="K103">
        <f>IF($A103="","",IF('Ügyfelek'!P103="",'Beállítások'!$B$45,MIN(5,MAX(1,ROUND('Ügyfelek'!P103,0)))))</f>
        <v/>
      </c>
      <c r="L103">
        <f>IF($A103="","",IF('Ügyfelek'!O103="",'Beállítások'!$B$45,MIN(5,MAX(1,ROUND('Ügyfelek'!O103,0)))))</f>
        <v/>
      </c>
      <c r="M103" s="13">
        <f>IF($A103="","",ROUND('Beállítások'!$E$6*(B103-1)/4+'Beállítások'!$E$7*(C103-1)/4+'Beállítások'!$E$8*(D103-1)/4+'Beállítások'!$E$9*(E103-1)/4+'Beállítások'!$E$10*(F103-1)/4+'Beállítások'!$E$11*(G103-1)/4+'Beállítások'!$E$12*(H103-1)/4+'Beállítások'!$E$13*(I103-1)/4+'Beállítások'!$E$14*(J103-1)/4+'Beállítások'!$E$15*(K103-1)/4+'Beállítások'!$E$16*(L103-1)/4,1))</f>
        <v/>
      </c>
      <c r="N103" s="14">
        <f>IF($A103="","",RANK(M103,$M$2:$M$201))</f>
        <v/>
      </c>
      <c r="O103">
        <f>IF($A103="","",VLOOKUP(M103,'Beállítások'!$A$57:$E$60,2,TRUE))</f>
        <v/>
      </c>
      <c r="P103">
        <f>IF($A103="","",VLOOKUP(M103,'Beállítások'!$A$57:$E$60,3,TRUE))</f>
        <v/>
      </c>
      <c r="Q103">
        <f>IF($A103="","",INDEX('Beállítások'!$B$6:$B$16,MATCH(MAX(AD103:AN103),AD103:AN103,0)))</f>
        <v/>
      </c>
      <c r="R103">
        <f>IF($A103="","",IF(MAX(AO103:AY103)=0,"—",INDEX('Beállítások'!$B$6:$B$16,MATCH(MAX(AO103:AY103),AO103:AY103,0))))</f>
        <v/>
      </c>
      <c r="S103" s="5">
        <f>IF($A103="","",'Beállítások'!$B$47*(TRIM('Ügyfelek'!E103)="igen")+'Beállítások'!$B$48*(TRIM('Ügyfelek'!F103)="igen")+'Beállítások'!$B$49*N('Ügyfelek'!G103)+'Beállítások'!$B$46*N('Ügyfelek'!H103))</f>
        <v/>
      </c>
      <c r="T103" s="15">
        <f>IF($A103="","",VLOOKUP(M103,'Beállítások'!$A$57:$E$60,4,TRUE))</f>
        <v/>
      </c>
      <c r="U103" s="5">
        <f>IF($A103="","",N('Ügyfelek'!D103)*'Beállítások'!$B$51)</f>
        <v/>
      </c>
      <c r="V103" s="5">
        <f>IF($A103="","",CEILING(ROUND(MAX('Beállítások'!$B$50,S103*T103,U103),2),'Beállítások'!$B$52))</f>
        <v/>
      </c>
      <c r="W103">
        <f>IF($A103="","",IF(MAX('Beállítások'!$B$50,S103*T103,U103)=S103*T103,"Munkaigény × szintszorzó",IF(MAX('Beállítások'!$B$50,S103*T103,U103)=U103,"Hirdetési keret arányában","Minimumdíj")))</f>
        <v/>
      </c>
      <c r="X103" s="5">
        <f>IF(OR($A103="",'Ügyfelek'!Q103=""),"",'Ügyfelek'!Q103)</f>
        <v/>
      </c>
      <c r="Y103" s="5">
        <f>IF(X103="","",V103-X103)</f>
        <v/>
      </c>
      <c r="Z103" s="16">
        <f>IF(OR(X103="",X103=0),"",Y103/X103)</f>
        <v/>
      </c>
      <c r="AA103" s="5">
        <f>IF(OR($A103="",'Ügyfelek'!R103=""),"",'Ügyfelek'!R103*VLOOKUP(M103,'Beállítások'!$A$57:$E$60,5,TRUE))</f>
        <v/>
      </c>
      <c r="AB103" s="14">
        <f>IF($A103="","",('Ügyfelek'!B103="")+('Ügyfelek'!C103="")+('Ügyfelek'!D103="")+('Ügyfelek'!L103="")+('Ügyfelek'!I103="")+('Ügyfelek'!N103="")+('Ügyfelek'!J103="")+('Ügyfelek'!K103="")+('Ügyfelek'!M103="")+('Ügyfelek'!P103="")+('Ügyfelek'!O103=""))</f>
        <v/>
      </c>
      <c r="AD103">
        <f>IF($A103="","",B103+'Beállítások'!$E$6/1000)</f>
        <v/>
      </c>
      <c r="AE103">
        <f>IF($A103="","",C103+'Beállítások'!$E$7/1000)</f>
        <v/>
      </c>
      <c r="AF103">
        <f>IF($A103="","",D103+'Beállítások'!$E$8/1000)</f>
        <v/>
      </c>
      <c r="AG103">
        <f>IF($A103="","",E103+'Beállítások'!$E$9/1000)</f>
        <v/>
      </c>
      <c r="AH103">
        <f>IF($A103="","",F103+'Beállítások'!$E$10/1000)</f>
        <v/>
      </c>
      <c r="AI103">
        <f>IF($A103="","",G103+'Beállítások'!$E$11/1000)</f>
        <v/>
      </c>
      <c r="AJ103">
        <f>IF($A103="","",H103+'Beállítások'!$E$12/1000)</f>
        <v/>
      </c>
      <c r="AK103">
        <f>IF($A103="","",I103+'Beállítások'!$E$13/1000)</f>
        <v/>
      </c>
      <c r="AL103">
        <f>IF($A103="","",J103+'Beállítások'!$E$14/1000)</f>
        <v/>
      </c>
      <c r="AM103">
        <f>IF($A103="","",K103+'Beállítások'!$E$15/1000)</f>
        <v/>
      </c>
      <c r="AN103">
        <f>IF($A103="","",L103+'Beállítások'!$E$16/1000)</f>
        <v/>
      </c>
      <c r="AO103">
        <f>IF($A103="","",'Beállítások'!$E$6*(5-B103))</f>
        <v/>
      </c>
      <c r="AP103">
        <f>IF($A103="","",'Beállítások'!$E$7*(5-C103))</f>
        <v/>
      </c>
      <c r="AQ103">
        <f>IF($A103="","",'Beállítások'!$E$8*(5-D103))</f>
        <v/>
      </c>
      <c r="AR103">
        <f>IF($A103="","",'Beállítások'!$E$9*(5-E103))</f>
        <v/>
      </c>
      <c r="AS103">
        <f>IF($A103="","",'Beállítások'!$E$10*(5-F103))</f>
        <v/>
      </c>
      <c r="AT103">
        <f>IF($A103="","",'Beállítások'!$E$11*(5-G103))</f>
        <v/>
      </c>
      <c r="AU103">
        <f>IF($A103="","",'Beállítások'!$E$12*(5-H103))</f>
        <v/>
      </c>
      <c r="AV103">
        <f>IF($A103="","",'Beállítások'!$E$13*(5-I103))</f>
        <v/>
      </c>
      <c r="AW103">
        <f>IF($A103="","",'Beállítások'!$E$14*(5-J103))</f>
        <v/>
      </c>
      <c r="AX103">
        <f>IF($A103="","",'Beállítások'!$E$15*(5-K103))</f>
        <v/>
      </c>
      <c r="AY103">
        <f>IF($A103="","",'Beállítások'!$E$16*(5-L103))</f>
        <v/>
      </c>
      <c r="AZ103">
        <f>IF($A103="","",M103-ROW()/100000)</f>
        <v/>
      </c>
    </row>
    <row r="104">
      <c r="A104">
        <f>IF('Ügyfelek'!A104="","",'Ügyfelek'!A104)</f>
        <v/>
      </c>
      <c r="B104">
        <f>IF($A104="","",IF('Ügyfelek'!B104="",'Beállítások'!$B$45,IFERROR(VLOOKUP(TRIM('Ügyfelek'!B104),'Beállítások'!$A$22:$B$41,2,FALSE),'Beállítások'!$B$45)))</f>
        <v/>
      </c>
      <c r="C104">
        <f>IF($A104="","",IF('Ügyfelek'!C104="",'Beállítások'!$B$45,VLOOKUP(MAX('Ügyfelek'!C104,'Beállítások'!$H$7),'Beállítások'!$H$7:$I$11,2,TRUE)))</f>
        <v/>
      </c>
      <c r="D104">
        <f>IF($A104="","",IF('Ügyfelek'!D104="",'Beállítások'!$B$45,VLOOKUP(MAX('Ügyfelek'!D104,'Beállítások'!$K$7),'Beállítások'!$K$7:$L$11,2,TRUE)))</f>
        <v/>
      </c>
      <c r="E104">
        <f>IF($A104="","",IF('Ügyfelek'!L104="",'Beállítások'!$B$45,MIN(5,MAX(1,ROUND('Ügyfelek'!L104,0)))))</f>
        <v/>
      </c>
      <c r="F104">
        <f>IF($A104="","",IF('Ügyfelek'!I104="",'Beállítások'!$B$45,VLOOKUP(MAX('Ügyfelek'!I104,'Beállítások'!$N$7),'Beállítások'!$N$7:$O$11,2,TRUE)))</f>
        <v/>
      </c>
      <c r="G104">
        <f>IF($A104="","",IF('Ügyfelek'!N104="",'Beállítások'!$B$45,MIN(5,MAX(1,ROUND('Ügyfelek'!N104,0)))))</f>
        <v/>
      </c>
      <c r="H104">
        <f>IF($A104="","",IF('Ügyfelek'!J104="",'Beállítások'!$B$45,VLOOKUP(MAX('Ügyfelek'!J104,'Beállítások'!$Q$7),'Beállítások'!$Q$7:$R$11,2,TRUE)))</f>
        <v/>
      </c>
      <c r="I104">
        <f>IF($A104="","",IF('Ügyfelek'!K104="",'Beállítások'!$B$45,VLOOKUP(MAX('Ügyfelek'!K104,'Beállítások'!$T$7),'Beállítások'!$T$7:$U$11,2,TRUE)))</f>
        <v/>
      </c>
      <c r="J104">
        <f>IF($A104="","",IF('Ügyfelek'!M104="",'Beállítások'!$B$45,MIN(5,MAX(1,ROUND('Ügyfelek'!M104,0)))))</f>
        <v/>
      </c>
      <c r="K104">
        <f>IF($A104="","",IF('Ügyfelek'!P104="",'Beállítások'!$B$45,MIN(5,MAX(1,ROUND('Ügyfelek'!P104,0)))))</f>
        <v/>
      </c>
      <c r="L104">
        <f>IF($A104="","",IF('Ügyfelek'!O104="",'Beállítások'!$B$45,MIN(5,MAX(1,ROUND('Ügyfelek'!O104,0)))))</f>
        <v/>
      </c>
      <c r="M104" s="13">
        <f>IF($A104="","",ROUND('Beállítások'!$E$6*(B104-1)/4+'Beállítások'!$E$7*(C104-1)/4+'Beállítások'!$E$8*(D104-1)/4+'Beállítások'!$E$9*(E104-1)/4+'Beállítások'!$E$10*(F104-1)/4+'Beállítások'!$E$11*(G104-1)/4+'Beállítások'!$E$12*(H104-1)/4+'Beállítások'!$E$13*(I104-1)/4+'Beállítások'!$E$14*(J104-1)/4+'Beállítások'!$E$15*(K104-1)/4+'Beállítások'!$E$16*(L104-1)/4,1))</f>
        <v/>
      </c>
      <c r="N104" s="14">
        <f>IF($A104="","",RANK(M104,$M$2:$M$201))</f>
        <v/>
      </c>
      <c r="O104">
        <f>IF($A104="","",VLOOKUP(M104,'Beállítások'!$A$57:$E$60,2,TRUE))</f>
        <v/>
      </c>
      <c r="P104">
        <f>IF($A104="","",VLOOKUP(M104,'Beállítások'!$A$57:$E$60,3,TRUE))</f>
        <v/>
      </c>
      <c r="Q104">
        <f>IF($A104="","",INDEX('Beállítások'!$B$6:$B$16,MATCH(MAX(AD104:AN104),AD104:AN104,0)))</f>
        <v/>
      </c>
      <c r="R104">
        <f>IF($A104="","",IF(MAX(AO104:AY104)=0,"—",INDEX('Beállítások'!$B$6:$B$16,MATCH(MAX(AO104:AY104),AO104:AY104,0))))</f>
        <v/>
      </c>
      <c r="S104" s="5">
        <f>IF($A104="","",'Beállítások'!$B$47*(TRIM('Ügyfelek'!E104)="igen")+'Beállítások'!$B$48*(TRIM('Ügyfelek'!F104)="igen")+'Beállítások'!$B$49*N('Ügyfelek'!G104)+'Beállítások'!$B$46*N('Ügyfelek'!H104))</f>
        <v/>
      </c>
      <c r="T104" s="15">
        <f>IF($A104="","",VLOOKUP(M104,'Beállítások'!$A$57:$E$60,4,TRUE))</f>
        <v/>
      </c>
      <c r="U104" s="5">
        <f>IF($A104="","",N('Ügyfelek'!D104)*'Beállítások'!$B$51)</f>
        <v/>
      </c>
      <c r="V104" s="5">
        <f>IF($A104="","",CEILING(ROUND(MAX('Beállítások'!$B$50,S104*T104,U104),2),'Beállítások'!$B$52))</f>
        <v/>
      </c>
      <c r="W104">
        <f>IF($A104="","",IF(MAX('Beállítások'!$B$50,S104*T104,U104)=S104*T104,"Munkaigény × szintszorzó",IF(MAX('Beállítások'!$B$50,S104*T104,U104)=U104,"Hirdetési keret arányában","Minimumdíj")))</f>
        <v/>
      </c>
      <c r="X104" s="5">
        <f>IF(OR($A104="",'Ügyfelek'!Q104=""),"",'Ügyfelek'!Q104)</f>
        <v/>
      </c>
      <c r="Y104" s="5">
        <f>IF(X104="","",V104-X104)</f>
        <v/>
      </c>
      <c r="Z104" s="16">
        <f>IF(OR(X104="",X104=0),"",Y104/X104)</f>
        <v/>
      </c>
      <c r="AA104" s="5">
        <f>IF(OR($A104="",'Ügyfelek'!R104=""),"",'Ügyfelek'!R104*VLOOKUP(M104,'Beállítások'!$A$57:$E$60,5,TRUE))</f>
        <v/>
      </c>
      <c r="AB104" s="14">
        <f>IF($A104="","",('Ügyfelek'!B104="")+('Ügyfelek'!C104="")+('Ügyfelek'!D104="")+('Ügyfelek'!L104="")+('Ügyfelek'!I104="")+('Ügyfelek'!N104="")+('Ügyfelek'!J104="")+('Ügyfelek'!K104="")+('Ügyfelek'!M104="")+('Ügyfelek'!P104="")+('Ügyfelek'!O104=""))</f>
        <v/>
      </c>
      <c r="AD104">
        <f>IF($A104="","",B104+'Beállítások'!$E$6/1000)</f>
        <v/>
      </c>
      <c r="AE104">
        <f>IF($A104="","",C104+'Beállítások'!$E$7/1000)</f>
        <v/>
      </c>
      <c r="AF104">
        <f>IF($A104="","",D104+'Beállítások'!$E$8/1000)</f>
        <v/>
      </c>
      <c r="AG104">
        <f>IF($A104="","",E104+'Beállítások'!$E$9/1000)</f>
        <v/>
      </c>
      <c r="AH104">
        <f>IF($A104="","",F104+'Beállítások'!$E$10/1000)</f>
        <v/>
      </c>
      <c r="AI104">
        <f>IF($A104="","",G104+'Beállítások'!$E$11/1000)</f>
        <v/>
      </c>
      <c r="AJ104">
        <f>IF($A104="","",H104+'Beállítások'!$E$12/1000)</f>
        <v/>
      </c>
      <c r="AK104">
        <f>IF($A104="","",I104+'Beállítások'!$E$13/1000)</f>
        <v/>
      </c>
      <c r="AL104">
        <f>IF($A104="","",J104+'Beállítások'!$E$14/1000)</f>
        <v/>
      </c>
      <c r="AM104">
        <f>IF($A104="","",K104+'Beállítások'!$E$15/1000)</f>
        <v/>
      </c>
      <c r="AN104">
        <f>IF($A104="","",L104+'Beállítások'!$E$16/1000)</f>
        <v/>
      </c>
      <c r="AO104">
        <f>IF($A104="","",'Beállítások'!$E$6*(5-B104))</f>
        <v/>
      </c>
      <c r="AP104">
        <f>IF($A104="","",'Beállítások'!$E$7*(5-C104))</f>
        <v/>
      </c>
      <c r="AQ104">
        <f>IF($A104="","",'Beállítások'!$E$8*(5-D104))</f>
        <v/>
      </c>
      <c r="AR104">
        <f>IF($A104="","",'Beállítások'!$E$9*(5-E104))</f>
        <v/>
      </c>
      <c r="AS104">
        <f>IF($A104="","",'Beállítások'!$E$10*(5-F104))</f>
        <v/>
      </c>
      <c r="AT104">
        <f>IF($A104="","",'Beállítások'!$E$11*(5-G104))</f>
        <v/>
      </c>
      <c r="AU104">
        <f>IF($A104="","",'Beállítások'!$E$12*(5-H104))</f>
        <v/>
      </c>
      <c r="AV104">
        <f>IF($A104="","",'Beállítások'!$E$13*(5-I104))</f>
        <v/>
      </c>
      <c r="AW104">
        <f>IF($A104="","",'Beállítások'!$E$14*(5-J104))</f>
        <v/>
      </c>
      <c r="AX104">
        <f>IF($A104="","",'Beállítások'!$E$15*(5-K104))</f>
        <v/>
      </c>
      <c r="AY104">
        <f>IF($A104="","",'Beállítások'!$E$16*(5-L104))</f>
        <v/>
      </c>
      <c r="AZ104">
        <f>IF($A104="","",M104-ROW()/100000)</f>
        <v/>
      </c>
    </row>
    <row r="105">
      <c r="A105">
        <f>IF('Ügyfelek'!A105="","",'Ügyfelek'!A105)</f>
        <v/>
      </c>
      <c r="B105">
        <f>IF($A105="","",IF('Ügyfelek'!B105="",'Beállítások'!$B$45,IFERROR(VLOOKUP(TRIM('Ügyfelek'!B105),'Beállítások'!$A$22:$B$41,2,FALSE),'Beállítások'!$B$45)))</f>
        <v/>
      </c>
      <c r="C105">
        <f>IF($A105="","",IF('Ügyfelek'!C105="",'Beállítások'!$B$45,VLOOKUP(MAX('Ügyfelek'!C105,'Beállítások'!$H$7),'Beállítások'!$H$7:$I$11,2,TRUE)))</f>
        <v/>
      </c>
      <c r="D105">
        <f>IF($A105="","",IF('Ügyfelek'!D105="",'Beállítások'!$B$45,VLOOKUP(MAX('Ügyfelek'!D105,'Beállítások'!$K$7),'Beállítások'!$K$7:$L$11,2,TRUE)))</f>
        <v/>
      </c>
      <c r="E105">
        <f>IF($A105="","",IF('Ügyfelek'!L105="",'Beállítások'!$B$45,MIN(5,MAX(1,ROUND('Ügyfelek'!L105,0)))))</f>
        <v/>
      </c>
      <c r="F105">
        <f>IF($A105="","",IF('Ügyfelek'!I105="",'Beállítások'!$B$45,VLOOKUP(MAX('Ügyfelek'!I105,'Beállítások'!$N$7),'Beállítások'!$N$7:$O$11,2,TRUE)))</f>
        <v/>
      </c>
      <c r="G105">
        <f>IF($A105="","",IF('Ügyfelek'!N105="",'Beállítások'!$B$45,MIN(5,MAX(1,ROUND('Ügyfelek'!N105,0)))))</f>
        <v/>
      </c>
      <c r="H105">
        <f>IF($A105="","",IF('Ügyfelek'!J105="",'Beállítások'!$B$45,VLOOKUP(MAX('Ügyfelek'!J105,'Beállítások'!$Q$7),'Beállítások'!$Q$7:$R$11,2,TRUE)))</f>
        <v/>
      </c>
      <c r="I105">
        <f>IF($A105="","",IF('Ügyfelek'!K105="",'Beállítások'!$B$45,VLOOKUP(MAX('Ügyfelek'!K105,'Beállítások'!$T$7),'Beállítások'!$T$7:$U$11,2,TRUE)))</f>
        <v/>
      </c>
      <c r="J105">
        <f>IF($A105="","",IF('Ügyfelek'!M105="",'Beállítások'!$B$45,MIN(5,MAX(1,ROUND('Ügyfelek'!M105,0)))))</f>
        <v/>
      </c>
      <c r="K105">
        <f>IF($A105="","",IF('Ügyfelek'!P105="",'Beállítások'!$B$45,MIN(5,MAX(1,ROUND('Ügyfelek'!P105,0)))))</f>
        <v/>
      </c>
      <c r="L105">
        <f>IF($A105="","",IF('Ügyfelek'!O105="",'Beállítások'!$B$45,MIN(5,MAX(1,ROUND('Ügyfelek'!O105,0)))))</f>
        <v/>
      </c>
      <c r="M105" s="13">
        <f>IF($A105="","",ROUND('Beállítások'!$E$6*(B105-1)/4+'Beállítások'!$E$7*(C105-1)/4+'Beállítások'!$E$8*(D105-1)/4+'Beállítások'!$E$9*(E105-1)/4+'Beállítások'!$E$10*(F105-1)/4+'Beállítások'!$E$11*(G105-1)/4+'Beállítások'!$E$12*(H105-1)/4+'Beállítások'!$E$13*(I105-1)/4+'Beállítások'!$E$14*(J105-1)/4+'Beállítások'!$E$15*(K105-1)/4+'Beállítások'!$E$16*(L105-1)/4,1))</f>
        <v/>
      </c>
      <c r="N105" s="14">
        <f>IF($A105="","",RANK(M105,$M$2:$M$201))</f>
        <v/>
      </c>
      <c r="O105">
        <f>IF($A105="","",VLOOKUP(M105,'Beállítások'!$A$57:$E$60,2,TRUE))</f>
        <v/>
      </c>
      <c r="P105">
        <f>IF($A105="","",VLOOKUP(M105,'Beállítások'!$A$57:$E$60,3,TRUE))</f>
        <v/>
      </c>
      <c r="Q105">
        <f>IF($A105="","",INDEX('Beállítások'!$B$6:$B$16,MATCH(MAX(AD105:AN105),AD105:AN105,0)))</f>
        <v/>
      </c>
      <c r="R105">
        <f>IF($A105="","",IF(MAX(AO105:AY105)=0,"—",INDEX('Beállítások'!$B$6:$B$16,MATCH(MAX(AO105:AY105),AO105:AY105,0))))</f>
        <v/>
      </c>
      <c r="S105" s="5">
        <f>IF($A105="","",'Beállítások'!$B$47*(TRIM('Ügyfelek'!E105)="igen")+'Beállítások'!$B$48*(TRIM('Ügyfelek'!F105)="igen")+'Beállítások'!$B$49*N('Ügyfelek'!G105)+'Beállítások'!$B$46*N('Ügyfelek'!H105))</f>
        <v/>
      </c>
      <c r="T105" s="15">
        <f>IF($A105="","",VLOOKUP(M105,'Beállítások'!$A$57:$E$60,4,TRUE))</f>
        <v/>
      </c>
      <c r="U105" s="5">
        <f>IF($A105="","",N('Ügyfelek'!D105)*'Beállítások'!$B$51)</f>
        <v/>
      </c>
      <c r="V105" s="5">
        <f>IF($A105="","",CEILING(ROUND(MAX('Beállítások'!$B$50,S105*T105,U105),2),'Beállítások'!$B$52))</f>
        <v/>
      </c>
      <c r="W105">
        <f>IF($A105="","",IF(MAX('Beállítások'!$B$50,S105*T105,U105)=S105*T105,"Munkaigény × szintszorzó",IF(MAX('Beállítások'!$B$50,S105*T105,U105)=U105,"Hirdetési keret arányában","Minimumdíj")))</f>
        <v/>
      </c>
      <c r="X105" s="5">
        <f>IF(OR($A105="",'Ügyfelek'!Q105=""),"",'Ügyfelek'!Q105)</f>
        <v/>
      </c>
      <c r="Y105" s="5">
        <f>IF(X105="","",V105-X105)</f>
        <v/>
      </c>
      <c r="Z105" s="16">
        <f>IF(OR(X105="",X105=0),"",Y105/X105)</f>
        <v/>
      </c>
      <c r="AA105" s="5">
        <f>IF(OR($A105="",'Ügyfelek'!R105=""),"",'Ügyfelek'!R105*VLOOKUP(M105,'Beállítások'!$A$57:$E$60,5,TRUE))</f>
        <v/>
      </c>
      <c r="AB105" s="14">
        <f>IF($A105="","",('Ügyfelek'!B105="")+('Ügyfelek'!C105="")+('Ügyfelek'!D105="")+('Ügyfelek'!L105="")+('Ügyfelek'!I105="")+('Ügyfelek'!N105="")+('Ügyfelek'!J105="")+('Ügyfelek'!K105="")+('Ügyfelek'!M105="")+('Ügyfelek'!P105="")+('Ügyfelek'!O105=""))</f>
        <v/>
      </c>
      <c r="AD105">
        <f>IF($A105="","",B105+'Beállítások'!$E$6/1000)</f>
        <v/>
      </c>
      <c r="AE105">
        <f>IF($A105="","",C105+'Beállítások'!$E$7/1000)</f>
        <v/>
      </c>
      <c r="AF105">
        <f>IF($A105="","",D105+'Beállítások'!$E$8/1000)</f>
        <v/>
      </c>
      <c r="AG105">
        <f>IF($A105="","",E105+'Beállítások'!$E$9/1000)</f>
        <v/>
      </c>
      <c r="AH105">
        <f>IF($A105="","",F105+'Beállítások'!$E$10/1000)</f>
        <v/>
      </c>
      <c r="AI105">
        <f>IF($A105="","",G105+'Beállítások'!$E$11/1000)</f>
        <v/>
      </c>
      <c r="AJ105">
        <f>IF($A105="","",H105+'Beállítások'!$E$12/1000)</f>
        <v/>
      </c>
      <c r="AK105">
        <f>IF($A105="","",I105+'Beállítások'!$E$13/1000)</f>
        <v/>
      </c>
      <c r="AL105">
        <f>IF($A105="","",J105+'Beállítások'!$E$14/1000)</f>
        <v/>
      </c>
      <c r="AM105">
        <f>IF($A105="","",K105+'Beállítások'!$E$15/1000)</f>
        <v/>
      </c>
      <c r="AN105">
        <f>IF($A105="","",L105+'Beállítások'!$E$16/1000)</f>
        <v/>
      </c>
      <c r="AO105">
        <f>IF($A105="","",'Beállítások'!$E$6*(5-B105))</f>
        <v/>
      </c>
      <c r="AP105">
        <f>IF($A105="","",'Beállítások'!$E$7*(5-C105))</f>
        <v/>
      </c>
      <c r="AQ105">
        <f>IF($A105="","",'Beállítások'!$E$8*(5-D105))</f>
        <v/>
      </c>
      <c r="AR105">
        <f>IF($A105="","",'Beállítások'!$E$9*(5-E105))</f>
        <v/>
      </c>
      <c r="AS105">
        <f>IF($A105="","",'Beállítások'!$E$10*(5-F105))</f>
        <v/>
      </c>
      <c r="AT105">
        <f>IF($A105="","",'Beállítások'!$E$11*(5-G105))</f>
        <v/>
      </c>
      <c r="AU105">
        <f>IF($A105="","",'Beállítások'!$E$12*(5-H105))</f>
        <v/>
      </c>
      <c r="AV105">
        <f>IF($A105="","",'Beállítások'!$E$13*(5-I105))</f>
        <v/>
      </c>
      <c r="AW105">
        <f>IF($A105="","",'Beállítások'!$E$14*(5-J105))</f>
        <v/>
      </c>
      <c r="AX105">
        <f>IF($A105="","",'Beállítások'!$E$15*(5-K105))</f>
        <v/>
      </c>
      <c r="AY105">
        <f>IF($A105="","",'Beállítások'!$E$16*(5-L105))</f>
        <v/>
      </c>
      <c r="AZ105">
        <f>IF($A105="","",M105-ROW()/100000)</f>
        <v/>
      </c>
    </row>
    <row r="106">
      <c r="A106">
        <f>IF('Ügyfelek'!A106="","",'Ügyfelek'!A106)</f>
        <v/>
      </c>
      <c r="B106">
        <f>IF($A106="","",IF('Ügyfelek'!B106="",'Beállítások'!$B$45,IFERROR(VLOOKUP(TRIM('Ügyfelek'!B106),'Beállítások'!$A$22:$B$41,2,FALSE),'Beállítások'!$B$45)))</f>
        <v/>
      </c>
      <c r="C106">
        <f>IF($A106="","",IF('Ügyfelek'!C106="",'Beállítások'!$B$45,VLOOKUP(MAX('Ügyfelek'!C106,'Beállítások'!$H$7),'Beállítások'!$H$7:$I$11,2,TRUE)))</f>
        <v/>
      </c>
      <c r="D106">
        <f>IF($A106="","",IF('Ügyfelek'!D106="",'Beállítások'!$B$45,VLOOKUP(MAX('Ügyfelek'!D106,'Beállítások'!$K$7),'Beállítások'!$K$7:$L$11,2,TRUE)))</f>
        <v/>
      </c>
      <c r="E106">
        <f>IF($A106="","",IF('Ügyfelek'!L106="",'Beállítások'!$B$45,MIN(5,MAX(1,ROUND('Ügyfelek'!L106,0)))))</f>
        <v/>
      </c>
      <c r="F106">
        <f>IF($A106="","",IF('Ügyfelek'!I106="",'Beállítások'!$B$45,VLOOKUP(MAX('Ügyfelek'!I106,'Beállítások'!$N$7),'Beállítások'!$N$7:$O$11,2,TRUE)))</f>
        <v/>
      </c>
      <c r="G106">
        <f>IF($A106="","",IF('Ügyfelek'!N106="",'Beállítások'!$B$45,MIN(5,MAX(1,ROUND('Ügyfelek'!N106,0)))))</f>
        <v/>
      </c>
      <c r="H106">
        <f>IF($A106="","",IF('Ügyfelek'!J106="",'Beállítások'!$B$45,VLOOKUP(MAX('Ügyfelek'!J106,'Beállítások'!$Q$7),'Beállítások'!$Q$7:$R$11,2,TRUE)))</f>
        <v/>
      </c>
      <c r="I106">
        <f>IF($A106="","",IF('Ügyfelek'!K106="",'Beállítások'!$B$45,VLOOKUP(MAX('Ügyfelek'!K106,'Beállítások'!$T$7),'Beállítások'!$T$7:$U$11,2,TRUE)))</f>
        <v/>
      </c>
      <c r="J106">
        <f>IF($A106="","",IF('Ügyfelek'!M106="",'Beállítások'!$B$45,MIN(5,MAX(1,ROUND('Ügyfelek'!M106,0)))))</f>
        <v/>
      </c>
      <c r="K106">
        <f>IF($A106="","",IF('Ügyfelek'!P106="",'Beállítások'!$B$45,MIN(5,MAX(1,ROUND('Ügyfelek'!P106,0)))))</f>
        <v/>
      </c>
      <c r="L106">
        <f>IF($A106="","",IF('Ügyfelek'!O106="",'Beállítások'!$B$45,MIN(5,MAX(1,ROUND('Ügyfelek'!O106,0)))))</f>
        <v/>
      </c>
      <c r="M106" s="13">
        <f>IF($A106="","",ROUND('Beállítások'!$E$6*(B106-1)/4+'Beállítások'!$E$7*(C106-1)/4+'Beállítások'!$E$8*(D106-1)/4+'Beállítások'!$E$9*(E106-1)/4+'Beállítások'!$E$10*(F106-1)/4+'Beállítások'!$E$11*(G106-1)/4+'Beállítások'!$E$12*(H106-1)/4+'Beállítások'!$E$13*(I106-1)/4+'Beállítások'!$E$14*(J106-1)/4+'Beállítások'!$E$15*(K106-1)/4+'Beállítások'!$E$16*(L106-1)/4,1))</f>
        <v/>
      </c>
      <c r="N106" s="14">
        <f>IF($A106="","",RANK(M106,$M$2:$M$201))</f>
        <v/>
      </c>
      <c r="O106">
        <f>IF($A106="","",VLOOKUP(M106,'Beállítások'!$A$57:$E$60,2,TRUE))</f>
        <v/>
      </c>
      <c r="P106">
        <f>IF($A106="","",VLOOKUP(M106,'Beállítások'!$A$57:$E$60,3,TRUE))</f>
        <v/>
      </c>
      <c r="Q106">
        <f>IF($A106="","",INDEX('Beállítások'!$B$6:$B$16,MATCH(MAX(AD106:AN106),AD106:AN106,0)))</f>
        <v/>
      </c>
      <c r="R106">
        <f>IF($A106="","",IF(MAX(AO106:AY106)=0,"—",INDEX('Beállítások'!$B$6:$B$16,MATCH(MAX(AO106:AY106),AO106:AY106,0))))</f>
        <v/>
      </c>
      <c r="S106" s="5">
        <f>IF($A106="","",'Beállítások'!$B$47*(TRIM('Ügyfelek'!E106)="igen")+'Beállítások'!$B$48*(TRIM('Ügyfelek'!F106)="igen")+'Beállítások'!$B$49*N('Ügyfelek'!G106)+'Beállítások'!$B$46*N('Ügyfelek'!H106))</f>
        <v/>
      </c>
      <c r="T106" s="15">
        <f>IF($A106="","",VLOOKUP(M106,'Beállítások'!$A$57:$E$60,4,TRUE))</f>
        <v/>
      </c>
      <c r="U106" s="5">
        <f>IF($A106="","",N('Ügyfelek'!D106)*'Beállítások'!$B$51)</f>
        <v/>
      </c>
      <c r="V106" s="5">
        <f>IF($A106="","",CEILING(ROUND(MAX('Beállítások'!$B$50,S106*T106,U106),2),'Beállítások'!$B$52))</f>
        <v/>
      </c>
      <c r="W106">
        <f>IF($A106="","",IF(MAX('Beállítások'!$B$50,S106*T106,U106)=S106*T106,"Munkaigény × szintszorzó",IF(MAX('Beállítások'!$B$50,S106*T106,U106)=U106,"Hirdetési keret arányában","Minimumdíj")))</f>
        <v/>
      </c>
      <c r="X106" s="5">
        <f>IF(OR($A106="",'Ügyfelek'!Q106=""),"",'Ügyfelek'!Q106)</f>
        <v/>
      </c>
      <c r="Y106" s="5">
        <f>IF(X106="","",V106-X106)</f>
        <v/>
      </c>
      <c r="Z106" s="16">
        <f>IF(OR(X106="",X106=0),"",Y106/X106)</f>
        <v/>
      </c>
      <c r="AA106" s="5">
        <f>IF(OR($A106="",'Ügyfelek'!R106=""),"",'Ügyfelek'!R106*VLOOKUP(M106,'Beállítások'!$A$57:$E$60,5,TRUE))</f>
        <v/>
      </c>
      <c r="AB106" s="14">
        <f>IF($A106="","",('Ügyfelek'!B106="")+('Ügyfelek'!C106="")+('Ügyfelek'!D106="")+('Ügyfelek'!L106="")+('Ügyfelek'!I106="")+('Ügyfelek'!N106="")+('Ügyfelek'!J106="")+('Ügyfelek'!K106="")+('Ügyfelek'!M106="")+('Ügyfelek'!P106="")+('Ügyfelek'!O106=""))</f>
        <v/>
      </c>
      <c r="AD106">
        <f>IF($A106="","",B106+'Beállítások'!$E$6/1000)</f>
        <v/>
      </c>
      <c r="AE106">
        <f>IF($A106="","",C106+'Beállítások'!$E$7/1000)</f>
        <v/>
      </c>
      <c r="AF106">
        <f>IF($A106="","",D106+'Beállítások'!$E$8/1000)</f>
        <v/>
      </c>
      <c r="AG106">
        <f>IF($A106="","",E106+'Beállítások'!$E$9/1000)</f>
        <v/>
      </c>
      <c r="AH106">
        <f>IF($A106="","",F106+'Beállítások'!$E$10/1000)</f>
        <v/>
      </c>
      <c r="AI106">
        <f>IF($A106="","",G106+'Beállítások'!$E$11/1000)</f>
        <v/>
      </c>
      <c r="AJ106">
        <f>IF($A106="","",H106+'Beállítások'!$E$12/1000)</f>
        <v/>
      </c>
      <c r="AK106">
        <f>IF($A106="","",I106+'Beállítások'!$E$13/1000)</f>
        <v/>
      </c>
      <c r="AL106">
        <f>IF($A106="","",J106+'Beállítások'!$E$14/1000)</f>
        <v/>
      </c>
      <c r="AM106">
        <f>IF($A106="","",K106+'Beállítások'!$E$15/1000)</f>
        <v/>
      </c>
      <c r="AN106">
        <f>IF($A106="","",L106+'Beállítások'!$E$16/1000)</f>
        <v/>
      </c>
      <c r="AO106">
        <f>IF($A106="","",'Beállítások'!$E$6*(5-B106))</f>
        <v/>
      </c>
      <c r="AP106">
        <f>IF($A106="","",'Beállítások'!$E$7*(5-C106))</f>
        <v/>
      </c>
      <c r="AQ106">
        <f>IF($A106="","",'Beállítások'!$E$8*(5-D106))</f>
        <v/>
      </c>
      <c r="AR106">
        <f>IF($A106="","",'Beállítások'!$E$9*(5-E106))</f>
        <v/>
      </c>
      <c r="AS106">
        <f>IF($A106="","",'Beállítások'!$E$10*(5-F106))</f>
        <v/>
      </c>
      <c r="AT106">
        <f>IF($A106="","",'Beállítások'!$E$11*(5-G106))</f>
        <v/>
      </c>
      <c r="AU106">
        <f>IF($A106="","",'Beállítások'!$E$12*(5-H106))</f>
        <v/>
      </c>
      <c r="AV106">
        <f>IF($A106="","",'Beállítások'!$E$13*(5-I106))</f>
        <v/>
      </c>
      <c r="AW106">
        <f>IF($A106="","",'Beállítások'!$E$14*(5-J106))</f>
        <v/>
      </c>
      <c r="AX106">
        <f>IF($A106="","",'Beállítások'!$E$15*(5-K106))</f>
        <v/>
      </c>
      <c r="AY106">
        <f>IF($A106="","",'Beállítások'!$E$16*(5-L106))</f>
        <v/>
      </c>
      <c r="AZ106">
        <f>IF($A106="","",M106-ROW()/100000)</f>
        <v/>
      </c>
    </row>
    <row r="107">
      <c r="A107">
        <f>IF('Ügyfelek'!A107="","",'Ügyfelek'!A107)</f>
        <v/>
      </c>
      <c r="B107">
        <f>IF($A107="","",IF('Ügyfelek'!B107="",'Beállítások'!$B$45,IFERROR(VLOOKUP(TRIM('Ügyfelek'!B107),'Beállítások'!$A$22:$B$41,2,FALSE),'Beállítások'!$B$45)))</f>
        <v/>
      </c>
      <c r="C107">
        <f>IF($A107="","",IF('Ügyfelek'!C107="",'Beállítások'!$B$45,VLOOKUP(MAX('Ügyfelek'!C107,'Beállítások'!$H$7),'Beállítások'!$H$7:$I$11,2,TRUE)))</f>
        <v/>
      </c>
      <c r="D107">
        <f>IF($A107="","",IF('Ügyfelek'!D107="",'Beállítások'!$B$45,VLOOKUP(MAX('Ügyfelek'!D107,'Beállítások'!$K$7),'Beállítások'!$K$7:$L$11,2,TRUE)))</f>
        <v/>
      </c>
      <c r="E107">
        <f>IF($A107="","",IF('Ügyfelek'!L107="",'Beállítások'!$B$45,MIN(5,MAX(1,ROUND('Ügyfelek'!L107,0)))))</f>
        <v/>
      </c>
      <c r="F107">
        <f>IF($A107="","",IF('Ügyfelek'!I107="",'Beállítások'!$B$45,VLOOKUP(MAX('Ügyfelek'!I107,'Beállítások'!$N$7),'Beállítások'!$N$7:$O$11,2,TRUE)))</f>
        <v/>
      </c>
      <c r="G107">
        <f>IF($A107="","",IF('Ügyfelek'!N107="",'Beállítások'!$B$45,MIN(5,MAX(1,ROUND('Ügyfelek'!N107,0)))))</f>
        <v/>
      </c>
      <c r="H107">
        <f>IF($A107="","",IF('Ügyfelek'!J107="",'Beállítások'!$B$45,VLOOKUP(MAX('Ügyfelek'!J107,'Beállítások'!$Q$7),'Beállítások'!$Q$7:$R$11,2,TRUE)))</f>
        <v/>
      </c>
      <c r="I107">
        <f>IF($A107="","",IF('Ügyfelek'!K107="",'Beállítások'!$B$45,VLOOKUP(MAX('Ügyfelek'!K107,'Beállítások'!$T$7),'Beállítások'!$T$7:$U$11,2,TRUE)))</f>
        <v/>
      </c>
      <c r="J107">
        <f>IF($A107="","",IF('Ügyfelek'!M107="",'Beállítások'!$B$45,MIN(5,MAX(1,ROUND('Ügyfelek'!M107,0)))))</f>
        <v/>
      </c>
      <c r="K107">
        <f>IF($A107="","",IF('Ügyfelek'!P107="",'Beállítások'!$B$45,MIN(5,MAX(1,ROUND('Ügyfelek'!P107,0)))))</f>
        <v/>
      </c>
      <c r="L107">
        <f>IF($A107="","",IF('Ügyfelek'!O107="",'Beállítások'!$B$45,MIN(5,MAX(1,ROUND('Ügyfelek'!O107,0)))))</f>
        <v/>
      </c>
      <c r="M107" s="13">
        <f>IF($A107="","",ROUND('Beállítások'!$E$6*(B107-1)/4+'Beállítások'!$E$7*(C107-1)/4+'Beállítások'!$E$8*(D107-1)/4+'Beállítások'!$E$9*(E107-1)/4+'Beállítások'!$E$10*(F107-1)/4+'Beállítások'!$E$11*(G107-1)/4+'Beállítások'!$E$12*(H107-1)/4+'Beállítások'!$E$13*(I107-1)/4+'Beállítások'!$E$14*(J107-1)/4+'Beállítások'!$E$15*(K107-1)/4+'Beállítások'!$E$16*(L107-1)/4,1))</f>
        <v/>
      </c>
      <c r="N107" s="14">
        <f>IF($A107="","",RANK(M107,$M$2:$M$201))</f>
        <v/>
      </c>
      <c r="O107">
        <f>IF($A107="","",VLOOKUP(M107,'Beállítások'!$A$57:$E$60,2,TRUE))</f>
        <v/>
      </c>
      <c r="P107">
        <f>IF($A107="","",VLOOKUP(M107,'Beállítások'!$A$57:$E$60,3,TRUE))</f>
        <v/>
      </c>
      <c r="Q107">
        <f>IF($A107="","",INDEX('Beállítások'!$B$6:$B$16,MATCH(MAX(AD107:AN107),AD107:AN107,0)))</f>
        <v/>
      </c>
      <c r="R107">
        <f>IF($A107="","",IF(MAX(AO107:AY107)=0,"—",INDEX('Beállítások'!$B$6:$B$16,MATCH(MAX(AO107:AY107),AO107:AY107,0))))</f>
        <v/>
      </c>
      <c r="S107" s="5">
        <f>IF($A107="","",'Beállítások'!$B$47*(TRIM('Ügyfelek'!E107)="igen")+'Beállítások'!$B$48*(TRIM('Ügyfelek'!F107)="igen")+'Beállítások'!$B$49*N('Ügyfelek'!G107)+'Beállítások'!$B$46*N('Ügyfelek'!H107))</f>
        <v/>
      </c>
      <c r="T107" s="15">
        <f>IF($A107="","",VLOOKUP(M107,'Beállítások'!$A$57:$E$60,4,TRUE))</f>
        <v/>
      </c>
      <c r="U107" s="5">
        <f>IF($A107="","",N('Ügyfelek'!D107)*'Beállítások'!$B$51)</f>
        <v/>
      </c>
      <c r="V107" s="5">
        <f>IF($A107="","",CEILING(ROUND(MAX('Beállítások'!$B$50,S107*T107,U107),2),'Beállítások'!$B$52))</f>
        <v/>
      </c>
      <c r="W107">
        <f>IF($A107="","",IF(MAX('Beállítások'!$B$50,S107*T107,U107)=S107*T107,"Munkaigény × szintszorzó",IF(MAX('Beállítások'!$B$50,S107*T107,U107)=U107,"Hirdetési keret arányában","Minimumdíj")))</f>
        <v/>
      </c>
      <c r="X107" s="5">
        <f>IF(OR($A107="",'Ügyfelek'!Q107=""),"",'Ügyfelek'!Q107)</f>
        <v/>
      </c>
      <c r="Y107" s="5">
        <f>IF(X107="","",V107-X107)</f>
        <v/>
      </c>
      <c r="Z107" s="16">
        <f>IF(OR(X107="",X107=0),"",Y107/X107)</f>
        <v/>
      </c>
      <c r="AA107" s="5">
        <f>IF(OR($A107="",'Ügyfelek'!R107=""),"",'Ügyfelek'!R107*VLOOKUP(M107,'Beállítások'!$A$57:$E$60,5,TRUE))</f>
        <v/>
      </c>
      <c r="AB107" s="14">
        <f>IF($A107="","",('Ügyfelek'!B107="")+('Ügyfelek'!C107="")+('Ügyfelek'!D107="")+('Ügyfelek'!L107="")+('Ügyfelek'!I107="")+('Ügyfelek'!N107="")+('Ügyfelek'!J107="")+('Ügyfelek'!K107="")+('Ügyfelek'!M107="")+('Ügyfelek'!P107="")+('Ügyfelek'!O107=""))</f>
        <v/>
      </c>
      <c r="AD107">
        <f>IF($A107="","",B107+'Beállítások'!$E$6/1000)</f>
        <v/>
      </c>
      <c r="AE107">
        <f>IF($A107="","",C107+'Beállítások'!$E$7/1000)</f>
        <v/>
      </c>
      <c r="AF107">
        <f>IF($A107="","",D107+'Beállítások'!$E$8/1000)</f>
        <v/>
      </c>
      <c r="AG107">
        <f>IF($A107="","",E107+'Beállítások'!$E$9/1000)</f>
        <v/>
      </c>
      <c r="AH107">
        <f>IF($A107="","",F107+'Beállítások'!$E$10/1000)</f>
        <v/>
      </c>
      <c r="AI107">
        <f>IF($A107="","",G107+'Beállítások'!$E$11/1000)</f>
        <v/>
      </c>
      <c r="AJ107">
        <f>IF($A107="","",H107+'Beállítások'!$E$12/1000)</f>
        <v/>
      </c>
      <c r="AK107">
        <f>IF($A107="","",I107+'Beállítások'!$E$13/1000)</f>
        <v/>
      </c>
      <c r="AL107">
        <f>IF($A107="","",J107+'Beállítások'!$E$14/1000)</f>
        <v/>
      </c>
      <c r="AM107">
        <f>IF($A107="","",K107+'Beállítások'!$E$15/1000)</f>
        <v/>
      </c>
      <c r="AN107">
        <f>IF($A107="","",L107+'Beállítások'!$E$16/1000)</f>
        <v/>
      </c>
      <c r="AO107">
        <f>IF($A107="","",'Beállítások'!$E$6*(5-B107))</f>
        <v/>
      </c>
      <c r="AP107">
        <f>IF($A107="","",'Beállítások'!$E$7*(5-C107))</f>
        <v/>
      </c>
      <c r="AQ107">
        <f>IF($A107="","",'Beállítások'!$E$8*(5-D107))</f>
        <v/>
      </c>
      <c r="AR107">
        <f>IF($A107="","",'Beállítások'!$E$9*(5-E107))</f>
        <v/>
      </c>
      <c r="AS107">
        <f>IF($A107="","",'Beállítások'!$E$10*(5-F107))</f>
        <v/>
      </c>
      <c r="AT107">
        <f>IF($A107="","",'Beállítások'!$E$11*(5-G107))</f>
        <v/>
      </c>
      <c r="AU107">
        <f>IF($A107="","",'Beállítások'!$E$12*(5-H107))</f>
        <v/>
      </c>
      <c r="AV107">
        <f>IF($A107="","",'Beállítások'!$E$13*(5-I107))</f>
        <v/>
      </c>
      <c r="AW107">
        <f>IF($A107="","",'Beállítások'!$E$14*(5-J107))</f>
        <v/>
      </c>
      <c r="AX107">
        <f>IF($A107="","",'Beállítások'!$E$15*(5-K107))</f>
        <v/>
      </c>
      <c r="AY107">
        <f>IF($A107="","",'Beállítások'!$E$16*(5-L107))</f>
        <v/>
      </c>
      <c r="AZ107">
        <f>IF($A107="","",M107-ROW()/100000)</f>
        <v/>
      </c>
    </row>
    <row r="108">
      <c r="A108">
        <f>IF('Ügyfelek'!A108="","",'Ügyfelek'!A108)</f>
        <v/>
      </c>
      <c r="B108">
        <f>IF($A108="","",IF('Ügyfelek'!B108="",'Beállítások'!$B$45,IFERROR(VLOOKUP(TRIM('Ügyfelek'!B108),'Beállítások'!$A$22:$B$41,2,FALSE),'Beállítások'!$B$45)))</f>
        <v/>
      </c>
      <c r="C108">
        <f>IF($A108="","",IF('Ügyfelek'!C108="",'Beállítások'!$B$45,VLOOKUP(MAX('Ügyfelek'!C108,'Beállítások'!$H$7),'Beállítások'!$H$7:$I$11,2,TRUE)))</f>
        <v/>
      </c>
      <c r="D108">
        <f>IF($A108="","",IF('Ügyfelek'!D108="",'Beállítások'!$B$45,VLOOKUP(MAX('Ügyfelek'!D108,'Beállítások'!$K$7),'Beállítások'!$K$7:$L$11,2,TRUE)))</f>
        <v/>
      </c>
      <c r="E108">
        <f>IF($A108="","",IF('Ügyfelek'!L108="",'Beállítások'!$B$45,MIN(5,MAX(1,ROUND('Ügyfelek'!L108,0)))))</f>
        <v/>
      </c>
      <c r="F108">
        <f>IF($A108="","",IF('Ügyfelek'!I108="",'Beállítások'!$B$45,VLOOKUP(MAX('Ügyfelek'!I108,'Beállítások'!$N$7),'Beállítások'!$N$7:$O$11,2,TRUE)))</f>
        <v/>
      </c>
      <c r="G108">
        <f>IF($A108="","",IF('Ügyfelek'!N108="",'Beállítások'!$B$45,MIN(5,MAX(1,ROUND('Ügyfelek'!N108,0)))))</f>
        <v/>
      </c>
      <c r="H108">
        <f>IF($A108="","",IF('Ügyfelek'!J108="",'Beállítások'!$B$45,VLOOKUP(MAX('Ügyfelek'!J108,'Beállítások'!$Q$7),'Beállítások'!$Q$7:$R$11,2,TRUE)))</f>
        <v/>
      </c>
      <c r="I108">
        <f>IF($A108="","",IF('Ügyfelek'!K108="",'Beállítások'!$B$45,VLOOKUP(MAX('Ügyfelek'!K108,'Beállítások'!$T$7),'Beállítások'!$T$7:$U$11,2,TRUE)))</f>
        <v/>
      </c>
      <c r="J108">
        <f>IF($A108="","",IF('Ügyfelek'!M108="",'Beállítások'!$B$45,MIN(5,MAX(1,ROUND('Ügyfelek'!M108,0)))))</f>
        <v/>
      </c>
      <c r="K108">
        <f>IF($A108="","",IF('Ügyfelek'!P108="",'Beállítások'!$B$45,MIN(5,MAX(1,ROUND('Ügyfelek'!P108,0)))))</f>
        <v/>
      </c>
      <c r="L108">
        <f>IF($A108="","",IF('Ügyfelek'!O108="",'Beállítások'!$B$45,MIN(5,MAX(1,ROUND('Ügyfelek'!O108,0)))))</f>
        <v/>
      </c>
      <c r="M108" s="13">
        <f>IF($A108="","",ROUND('Beállítások'!$E$6*(B108-1)/4+'Beállítások'!$E$7*(C108-1)/4+'Beállítások'!$E$8*(D108-1)/4+'Beállítások'!$E$9*(E108-1)/4+'Beállítások'!$E$10*(F108-1)/4+'Beállítások'!$E$11*(G108-1)/4+'Beállítások'!$E$12*(H108-1)/4+'Beállítások'!$E$13*(I108-1)/4+'Beállítások'!$E$14*(J108-1)/4+'Beállítások'!$E$15*(K108-1)/4+'Beállítások'!$E$16*(L108-1)/4,1))</f>
        <v/>
      </c>
      <c r="N108" s="14">
        <f>IF($A108="","",RANK(M108,$M$2:$M$201))</f>
        <v/>
      </c>
      <c r="O108">
        <f>IF($A108="","",VLOOKUP(M108,'Beállítások'!$A$57:$E$60,2,TRUE))</f>
        <v/>
      </c>
      <c r="P108">
        <f>IF($A108="","",VLOOKUP(M108,'Beállítások'!$A$57:$E$60,3,TRUE))</f>
        <v/>
      </c>
      <c r="Q108">
        <f>IF($A108="","",INDEX('Beállítások'!$B$6:$B$16,MATCH(MAX(AD108:AN108),AD108:AN108,0)))</f>
        <v/>
      </c>
      <c r="R108">
        <f>IF($A108="","",IF(MAX(AO108:AY108)=0,"—",INDEX('Beállítások'!$B$6:$B$16,MATCH(MAX(AO108:AY108),AO108:AY108,0))))</f>
        <v/>
      </c>
      <c r="S108" s="5">
        <f>IF($A108="","",'Beállítások'!$B$47*(TRIM('Ügyfelek'!E108)="igen")+'Beállítások'!$B$48*(TRIM('Ügyfelek'!F108)="igen")+'Beállítások'!$B$49*N('Ügyfelek'!G108)+'Beállítások'!$B$46*N('Ügyfelek'!H108))</f>
        <v/>
      </c>
      <c r="T108" s="15">
        <f>IF($A108="","",VLOOKUP(M108,'Beállítások'!$A$57:$E$60,4,TRUE))</f>
        <v/>
      </c>
      <c r="U108" s="5">
        <f>IF($A108="","",N('Ügyfelek'!D108)*'Beállítások'!$B$51)</f>
        <v/>
      </c>
      <c r="V108" s="5">
        <f>IF($A108="","",CEILING(ROUND(MAX('Beállítások'!$B$50,S108*T108,U108),2),'Beállítások'!$B$52))</f>
        <v/>
      </c>
      <c r="W108">
        <f>IF($A108="","",IF(MAX('Beállítások'!$B$50,S108*T108,U108)=S108*T108,"Munkaigény × szintszorzó",IF(MAX('Beállítások'!$B$50,S108*T108,U108)=U108,"Hirdetési keret arányában","Minimumdíj")))</f>
        <v/>
      </c>
      <c r="X108" s="5">
        <f>IF(OR($A108="",'Ügyfelek'!Q108=""),"",'Ügyfelek'!Q108)</f>
        <v/>
      </c>
      <c r="Y108" s="5">
        <f>IF(X108="","",V108-X108)</f>
        <v/>
      </c>
      <c r="Z108" s="16">
        <f>IF(OR(X108="",X108=0),"",Y108/X108)</f>
        <v/>
      </c>
      <c r="AA108" s="5">
        <f>IF(OR($A108="",'Ügyfelek'!R108=""),"",'Ügyfelek'!R108*VLOOKUP(M108,'Beállítások'!$A$57:$E$60,5,TRUE))</f>
        <v/>
      </c>
      <c r="AB108" s="14">
        <f>IF($A108="","",('Ügyfelek'!B108="")+('Ügyfelek'!C108="")+('Ügyfelek'!D108="")+('Ügyfelek'!L108="")+('Ügyfelek'!I108="")+('Ügyfelek'!N108="")+('Ügyfelek'!J108="")+('Ügyfelek'!K108="")+('Ügyfelek'!M108="")+('Ügyfelek'!P108="")+('Ügyfelek'!O108=""))</f>
        <v/>
      </c>
      <c r="AD108">
        <f>IF($A108="","",B108+'Beállítások'!$E$6/1000)</f>
        <v/>
      </c>
      <c r="AE108">
        <f>IF($A108="","",C108+'Beállítások'!$E$7/1000)</f>
        <v/>
      </c>
      <c r="AF108">
        <f>IF($A108="","",D108+'Beállítások'!$E$8/1000)</f>
        <v/>
      </c>
      <c r="AG108">
        <f>IF($A108="","",E108+'Beállítások'!$E$9/1000)</f>
        <v/>
      </c>
      <c r="AH108">
        <f>IF($A108="","",F108+'Beállítások'!$E$10/1000)</f>
        <v/>
      </c>
      <c r="AI108">
        <f>IF($A108="","",G108+'Beállítások'!$E$11/1000)</f>
        <v/>
      </c>
      <c r="AJ108">
        <f>IF($A108="","",H108+'Beállítások'!$E$12/1000)</f>
        <v/>
      </c>
      <c r="AK108">
        <f>IF($A108="","",I108+'Beállítások'!$E$13/1000)</f>
        <v/>
      </c>
      <c r="AL108">
        <f>IF($A108="","",J108+'Beállítások'!$E$14/1000)</f>
        <v/>
      </c>
      <c r="AM108">
        <f>IF($A108="","",K108+'Beállítások'!$E$15/1000)</f>
        <v/>
      </c>
      <c r="AN108">
        <f>IF($A108="","",L108+'Beállítások'!$E$16/1000)</f>
        <v/>
      </c>
      <c r="AO108">
        <f>IF($A108="","",'Beállítások'!$E$6*(5-B108))</f>
        <v/>
      </c>
      <c r="AP108">
        <f>IF($A108="","",'Beállítások'!$E$7*(5-C108))</f>
        <v/>
      </c>
      <c r="AQ108">
        <f>IF($A108="","",'Beállítások'!$E$8*(5-D108))</f>
        <v/>
      </c>
      <c r="AR108">
        <f>IF($A108="","",'Beállítások'!$E$9*(5-E108))</f>
        <v/>
      </c>
      <c r="AS108">
        <f>IF($A108="","",'Beállítások'!$E$10*(5-F108))</f>
        <v/>
      </c>
      <c r="AT108">
        <f>IF($A108="","",'Beállítások'!$E$11*(5-G108))</f>
        <v/>
      </c>
      <c r="AU108">
        <f>IF($A108="","",'Beállítások'!$E$12*(5-H108))</f>
        <v/>
      </c>
      <c r="AV108">
        <f>IF($A108="","",'Beállítások'!$E$13*(5-I108))</f>
        <v/>
      </c>
      <c r="AW108">
        <f>IF($A108="","",'Beállítások'!$E$14*(5-J108))</f>
        <v/>
      </c>
      <c r="AX108">
        <f>IF($A108="","",'Beállítások'!$E$15*(5-K108))</f>
        <v/>
      </c>
      <c r="AY108">
        <f>IF($A108="","",'Beállítások'!$E$16*(5-L108))</f>
        <v/>
      </c>
      <c r="AZ108">
        <f>IF($A108="","",M108-ROW()/100000)</f>
        <v/>
      </c>
    </row>
    <row r="109">
      <c r="A109">
        <f>IF('Ügyfelek'!A109="","",'Ügyfelek'!A109)</f>
        <v/>
      </c>
      <c r="B109">
        <f>IF($A109="","",IF('Ügyfelek'!B109="",'Beállítások'!$B$45,IFERROR(VLOOKUP(TRIM('Ügyfelek'!B109),'Beállítások'!$A$22:$B$41,2,FALSE),'Beállítások'!$B$45)))</f>
        <v/>
      </c>
      <c r="C109">
        <f>IF($A109="","",IF('Ügyfelek'!C109="",'Beállítások'!$B$45,VLOOKUP(MAX('Ügyfelek'!C109,'Beállítások'!$H$7),'Beállítások'!$H$7:$I$11,2,TRUE)))</f>
        <v/>
      </c>
      <c r="D109">
        <f>IF($A109="","",IF('Ügyfelek'!D109="",'Beállítások'!$B$45,VLOOKUP(MAX('Ügyfelek'!D109,'Beállítások'!$K$7),'Beállítások'!$K$7:$L$11,2,TRUE)))</f>
        <v/>
      </c>
      <c r="E109">
        <f>IF($A109="","",IF('Ügyfelek'!L109="",'Beállítások'!$B$45,MIN(5,MAX(1,ROUND('Ügyfelek'!L109,0)))))</f>
        <v/>
      </c>
      <c r="F109">
        <f>IF($A109="","",IF('Ügyfelek'!I109="",'Beállítások'!$B$45,VLOOKUP(MAX('Ügyfelek'!I109,'Beállítások'!$N$7),'Beállítások'!$N$7:$O$11,2,TRUE)))</f>
        <v/>
      </c>
      <c r="G109">
        <f>IF($A109="","",IF('Ügyfelek'!N109="",'Beállítások'!$B$45,MIN(5,MAX(1,ROUND('Ügyfelek'!N109,0)))))</f>
        <v/>
      </c>
      <c r="H109">
        <f>IF($A109="","",IF('Ügyfelek'!J109="",'Beállítások'!$B$45,VLOOKUP(MAX('Ügyfelek'!J109,'Beállítások'!$Q$7),'Beállítások'!$Q$7:$R$11,2,TRUE)))</f>
        <v/>
      </c>
      <c r="I109">
        <f>IF($A109="","",IF('Ügyfelek'!K109="",'Beállítások'!$B$45,VLOOKUP(MAX('Ügyfelek'!K109,'Beállítások'!$T$7),'Beállítások'!$T$7:$U$11,2,TRUE)))</f>
        <v/>
      </c>
      <c r="J109">
        <f>IF($A109="","",IF('Ügyfelek'!M109="",'Beállítások'!$B$45,MIN(5,MAX(1,ROUND('Ügyfelek'!M109,0)))))</f>
        <v/>
      </c>
      <c r="K109">
        <f>IF($A109="","",IF('Ügyfelek'!P109="",'Beállítások'!$B$45,MIN(5,MAX(1,ROUND('Ügyfelek'!P109,0)))))</f>
        <v/>
      </c>
      <c r="L109">
        <f>IF($A109="","",IF('Ügyfelek'!O109="",'Beállítások'!$B$45,MIN(5,MAX(1,ROUND('Ügyfelek'!O109,0)))))</f>
        <v/>
      </c>
      <c r="M109" s="13">
        <f>IF($A109="","",ROUND('Beállítások'!$E$6*(B109-1)/4+'Beállítások'!$E$7*(C109-1)/4+'Beállítások'!$E$8*(D109-1)/4+'Beállítások'!$E$9*(E109-1)/4+'Beállítások'!$E$10*(F109-1)/4+'Beállítások'!$E$11*(G109-1)/4+'Beállítások'!$E$12*(H109-1)/4+'Beállítások'!$E$13*(I109-1)/4+'Beállítások'!$E$14*(J109-1)/4+'Beállítások'!$E$15*(K109-1)/4+'Beállítások'!$E$16*(L109-1)/4,1))</f>
        <v/>
      </c>
      <c r="N109" s="14">
        <f>IF($A109="","",RANK(M109,$M$2:$M$201))</f>
        <v/>
      </c>
      <c r="O109">
        <f>IF($A109="","",VLOOKUP(M109,'Beállítások'!$A$57:$E$60,2,TRUE))</f>
        <v/>
      </c>
      <c r="P109">
        <f>IF($A109="","",VLOOKUP(M109,'Beállítások'!$A$57:$E$60,3,TRUE))</f>
        <v/>
      </c>
      <c r="Q109">
        <f>IF($A109="","",INDEX('Beállítások'!$B$6:$B$16,MATCH(MAX(AD109:AN109),AD109:AN109,0)))</f>
        <v/>
      </c>
      <c r="R109">
        <f>IF($A109="","",IF(MAX(AO109:AY109)=0,"—",INDEX('Beállítások'!$B$6:$B$16,MATCH(MAX(AO109:AY109),AO109:AY109,0))))</f>
        <v/>
      </c>
      <c r="S109" s="5">
        <f>IF($A109="","",'Beállítások'!$B$47*(TRIM('Ügyfelek'!E109)="igen")+'Beállítások'!$B$48*(TRIM('Ügyfelek'!F109)="igen")+'Beállítások'!$B$49*N('Ügyfelek'!G109)+'Beállítások'!$B$46*N('Ügyfelek'!H109))</f>
        <v/>
      </c>
      <c r="T109" s="15">
        <f>IF($A109="","",VLOOKUP(M109,'Beállítások'!$A$57:$E$60,4,TRUE))</f>
        <v/>
      </c>
      <c r="U109" s="5">
        <f>IF($A109="","",N('Ügyfelek'!D109)*'Beállítások'!$B$51)</f>
        <v/>
      </c>
      <c r="V109" s="5">
        <f>IF($A109="","",CEILING(ROUND(MAX('Beállítások'!$B$50,S109*T109,U109),2),'Beállítások'!$B$52))</f>
        <v/>
      </c>
      <c r="W109">
        <f>IF($A109="","",IF(MAX('Beállítások'!$B$50,S109*T109,U109)=S109*T109,"Munkaigény × szintszorzó",IF(MAX('Beállítások'!$B$50,S109*T109,U109)=U109,"Hirdetési keret arányában","Minimumdíj")))</f>
        <v/>
      </c>
      <c r="X109" s="5">
        <f>IF(OR($A109="",'Ügyfelek'!Q109=""),"",'Ügyfelek'!Q109)</f>
        <v/>
      </c>
      <c r="Y109" s="5">
        <f>IF(X109="","",V109-X109)</f>
        <v/>
      </c>
      <c r="Z109" s="16">
        <f>IF(OR(X109="",X109=0),"",Y109/X109)</f>
        <v/>
      </c>
      <c r="AA109" s="5">
        <f>IF(OR($A109="",'Ügyfelek'!R109=""),"",'Ügyfelek'!R109*VLOOKUP(M109,'Beállítások'!$A$57:$E$60,5,TRUE))</f>
        <v/>
      </c>
      <c r="AB109" s="14">
        <f>IF($A109="","",('Ügyfelek'!B109="")+('Ügyfelek'!C109="")+('Ügyfelek'!D109="")+('Ügyfelek'!L109="")+('Ügyfelek'!I109="")+('Ügyfelek'!N109="")+('Ügyfelek'!J109="")+('Ügyfelek'!K109="")+('Ügyfelek'!M109="")+('Ügyfelek'!P109="")+('Ügyfelek'!O109=""))</f>
        <v/>
      </c>
      <c r="AD109">
        <f>IF($A109="","",B109+'Beállítások'!$E$6/1000)</f>
        <v/>
      </c>
      <c r="AE109">
        <f>IF($A109="","",C109+'Beállítások'!$E$7/1000)</f>
        <v/>
      </c>
      <c r="AF109">
        <f>IF($A109="","",D109+'Beállítások'!$E$8/1000)</f>
        <v/>
      </c>
      <c r="AG109">
        <f>IF($A109="","",E109+'Beállítások'!$E$9/1000)</f>
        <v/>
      </c>
      <c r="AH109">
        <f>IF($A109="","",F109+'Beállítások'!$E$10/1000)</f>
        <v/>
      </c>
      <c r="AI109">
        <f>IF($A109="","",G109+'Beállítások'!$E$11/1000)</f>
        <v/>
      </c>
      <c r="AJ109">
        <f>IF($A109="","",H109+'Beállítások'!$E$12/1000)</f>
        <v/>
      </c>
      <c r="AK109">
        <f>IF($A109="","",I109+'Beállítások'!$E$13/1000)</f>
        <v/>
      </c>
      <c r="AL109">
        <f>IF($A109="","",J109+'Beállítások'!$E$14/1000)</f>
        <v/>
      </c>
      <c r="AM109">
        <f>IF($A109="","",K109+'Beállítások'!$E$15/1000)</f>
        <v/>
      </c>
      <c r="AN109">
        <f>IF($A109="","",L109+'Beállítások'!$E$16/1000)</f>
        <v/>
      </c>
      <c r="AO109">
        <f>IF($A109="","",'Beállítások'!$E$6*(5-B109))</f>
        <v/>
      </c>
      <c r="AP109">
        <f>IF($A109="","",'Beállítások'!$E$7*(5-C109))</f>
        <v/>
      </c>
      <c r="AQ109">
        <f>IF($A109="","",'Beállítások'!$E$8*(5-D109))</f>
        <v/>
      </c>
      <c r="AR109">
        <f>IF($A109="","",'Beállítások'!$E$9*(5-E109))</f>
        <v/>
      </c>
      <c r="AS109">
        <f>IF($A109="","",'Beállítások'!$E$10*(5-F109))</f>
        <v/>
      </c>
      <c r="AT109">
        <f>IF($A109="","",'Beállítások'!$E$11*(5-G109))</f>
        <v/>
      </c>
      <c r="AU109">
        <f>IF($A109="","",'Beállítások'!$E$12*(5-H109))</f>
        <v/>
      </c>
      <c r="AV109">
        <f>IF($A109="","",'Beállítások'!$E$13*(5-I109))</f>
        <v/>
      </c>
      <c r="AW109">
        <f>IF($A109="","",'Beállítások'!$E$14*(5-J109))</f>
        <v/>
      </c>
      <c r="AX109">
        <f>IF($A109="","",'Beállítások'!$E$15*(5-K109))</f>
        <v/>
      </c>
      <c r="AY109">
        <f>IF($A109="","",'Beállítások'!$E$16*(5-L109))</f>
        <v/>
      </c>
      <c r="AZ109">
        <f>IF($A109="","",M109-ROW()/100000)</f>
        <v/>
      </c>
    </row>
    <row r="110">
      <c r="A110">
        <f>IF('Ügyfelek'!A110="","",'Ügyfelek'!A110)</f>
        <v/>
      </c>
      <c r="B110">
        <f>IF($A110="","",IF('Ügyfelek'!B110="",'Beállítások'!$B$45,IFERROR(VLOOKUP(TRIM('Ügyfelek'!B110),'Beállítások'!$A$22:$B$41,2,FALSE),'Beállítások'!$B$45)))</f>
        <v/>
      </c>
      <c r="C110">
        <f>IF($A110="","",IF('Ügyfelek'!C110="",'Beállítások'!$B$45,VLOOKUP(MAX('Ügyfelek'!C110,'Beállítások'!$H$7),'Beállítások'!$H$7:$I$11,2,TRUE)))</f>
        <v/>
      </c>
      <c r="D110">
        <f>IF($A110="","",IF('Ügyfelek'!D110="",'Beállítások'!$B$45,VLOOKUP(MAX('Ügyfelek'!D110,'Beállítások'!$K$7),'Beállítások'!$K$7:$L$11,2,TRUE)))</f>
        <v/>
      </c>
      <c r="E110">
        <f>IF($A110="","",IF('Ügyfelek'!L110="",'Beállítások'!$B$45,MIN(5,MAX(1,ROUND('Ügyfelek'!L110,0)))))</f>
        <v/>
      </c>
      <c r="F110">
        <f>IF($A110="","",IF('Ügyfelek'!I110="",'Beállítások'!$B$45,VLOOKUP(MAX('Ügyfelek'!I110,'Beállítások'!$N$7),'Beállítások'!$N$7:$O$11,2,TRUE)))</f>
        <v/>
      </c>
      <c r="G110">
        <f>IF($A110="","",IF('Ügyfelek'!N110="",'Beállítások'!$B$45,MIN(5,MAX(1,ROUND('Ügyfelek'!N110,0)))))</f>
        <v/>
      </c>
      <c r="H110">
        <f>IF($A110="","",IF('Ügyfelek'!J110="",'Beállítások'!$B$45,VLOOKUP(MAX('Ügyfelek'!J110,'Beállítások'!$Q$7),'Beállítások'!$Q$7:$R$11,2,TRUE)))</f>
        <v/>
      </c>
      <c r="I110">
        <f>IF($A110="","",IF('Ügyfelek'!K110="",'Beállítások'!$B$45,VLOOKUP(MAX('Ügyfelek'!K110,'Beállítások'!$T$7),'Beállítások'!$T$7:$U$11,2,TRUE)))</f>
        <v/>
      </c>
      <c r="J110">
        <f>IF($A110="","",IF('Ügyfelek'!M110="",'Beállítások'!$B$45,MIN(5,MAX(1,ROUND('Ügyfelek'!M110,0)))))</f>
        <v/>
      </c>
      <c r="K110">
        <f>IF($A110="","",IF('Ügyfelek'!P110="",'Beállítások'!$B$45,MIN(5,MAX(1,ROUND('Ügyfelek'!P110,0)))))</f>
        <v/>
      </c>
      <c r="L110">
        <f>IF($A110="","",IF('Ügyfelek'!O110="",'Beállítások'!$B$45,MIN(5,MAX(1,ROUND('Ügyfelek'!O110,0)))))</f>
        <v/>
      </c>
      <c r="M110" s="13">
        <f>IF($A110="","",ROUND('Beállítások'!$E$6*(B110-1)/4+'Beállítások'!$E$7*(C110-1)/4+'Beállítások'!$E$8*(D110-1)/4+'Beállítások'!$E$9*(E110-1)/4+'Beállítások'!$E$10*(F110-1)/4+'Beállítások'!$E$11*(G110-1)/4+'Beállítások'!$E$12*(H110-1)/4+'Beállítások'!$E$13*(I110-1)/4+'Beállítások'!$E$14*(J110-1)/4+'Beállítások'!$E$15*(K110-1)/4+'Beállítások'!$E$16*(L110-1)/4,1))</f>
        <v/>
      </c>
      <c r="N110" s="14">
        <f>IF($A110="","",RANK(M110,$M$2:$M$201))</f>
        <v/>
      </c>
      <c r="O110">
        <f>IF($A110="","",VLOOKUP(M110,'Beállítások'!$A$57:$E$60,2,TRUE))</f>
        <v/>
      </c>
      <c r="P110">
        <f>IF($A110="","",VLOOKUP(M110,'Beállítások'!$A$57:$E$60,3,TRUE))</f>
        <v/>
      </c>
      <c r="Q110">
        <f>IF($A110="","",INDEX('Beállítások'!$B$6:$B$16,MATCH(MAX(AD110:AN110),AD110:AN110,0)))</f>
        <v/>
      </c>
      <c r="R110">
        <f>IF($A110="","",IF(MAX(AO110:AY110)=0,"—",INDEX('Beállítások'!$B$6:$B$16,MATCH(MAX(AO110:AY110),AO110:AY110,0))))</f>
        <v/>
      </c>
      <c r="S110" s="5">
        <f>IF($A110="","",'Beállítások'!$B$47*(TRIM('Ügyfelek'!E110)="igen")+'Beállítások'!$B$48*(TRIM('Ügyfelek'!F110)="igen")+'Beállítások'!$B$49*N('Ügyfelek'!G110)+'Beállítások'!$B$46*N('Ügyfelek'!H110))</f>
        <v/>
      </c>
      <c r="T110" s="15">
        <f>IF($A110="","",VLOOKUP(M110,'Beállítások'!$A$57:$E$60,4,TRUE))</f>
        <v/>
      </c>
      <c r="U110" s="5">
        <f>IF($A110="","",N('Ügyfelek'!D110)*'Beállítások'!$B$51)</f>
        <v/>
      </c>
      <c r="V110" s="5">
        <f>IF($A110="","",CEILING(ROUND(MAX('Beállítások'!$B$50,S110*T110,U110),2),'Beállítások'!$B$52))</f>
        <v/>
      </c>
      <c r="W110">
        <f>IF($A110="","",IF(MAX('Beállítások'!$B$50,S110*T110,U110)=S110*T110,"Munkaigény × szintszorzó",IF(MAX('Beállítások'!$B$50,S110*T110,U110)=U110,"Hirdetési keret arányában","Minimumdíj")))</f>
        <v/>
      </c>
      <c r="X110" s="5">
        <f>IF(OR($A110="",'Ügyfelek'!Q110=""),"",'Ügyfelek'!Q110)</f>
        <v/>
      </c>
      <c r="Y110" s="5">
        <f>IF(X110="","",V110-X110)</f>
        <v/>
      </c>
      <c r="Z110" s="16">
        <f>IF(OR(X110="",X110=0),"",Y110/X110)</f>
        <v/>
      </c>
      <c r="AA110" s="5">
        <f>IF(OR($A110="",'Ügyfelek'!R110=""),"",'Ügyfelek'!R110*VLOOKUP(M110,'Beállítások'!$A$57:$E$60,5,TRUE))</f>
        <v/>
      </c>
      <c r="AB110" s="14">
        <f>IF($A110="","",('Ügyfelek'!B110="")+('Ügyfelek'!C110="")+('Ügyfelek'!D110="")+('Ügyfelek'!L110="")+('Ügyfelek'!I110="")+('Ügyfelek'!N110="")+('Ügyfelek'!J110="")+('Ügyfelek'!K110="")+('Ügyfelek'!M110="")+('Ügyfelek'!P110="")+('Ügyfelek'!O110=""))</f>
        <v/>
      </c>
      <c r="AD110">
        <f>IF($A110="","",B110+'Beállítások'!$E$6/1000)</f>
        <v/>
      </c>
      <c r="AE110">
        <f>IF($A110="","",C110+'Beállítások'!$E$7/1000)</f>
        <v/>
      </c>
      <c r="AF110">
        <f>IF($A110="","",D110+'Beállítások'!$E$8/1000)</f>
        <v/>
      </c>
      <c r="AG110">
        <f>IF($A110="","",E110+'Beállítások'!$E$9/1000)</f>
        <v/>
      </c>
      <c r="AH110">
        <f>IF($A110="","",F110+'Beállítások'!$E$10/1000)</f>
        <v/>
      </c>
      <c r="AI110">
        <f>IF($A110="","",G110+'Beállítások'!$E$11/1000)</f>
        <v/>
      </c>
      <c r="AJ110">
        <f>IF($A110="","",H110+'Beállítások'!$E$12/1000)</f>
        <v/>
      </c>
      <c r="AK110">
        <f>IF($A110="","",I110+'Beállítások'!$E$13/1000)</f>
        <v/>
      </c>
      <c r="AL110">
        <f>IF($A110="","",J110+'Beállítások'!$E$14/1000)</f>
        <v/>
      </c>
      <c r="AM110">
        <f>IF($A110="","",K110+'Beállítások'!$E$15/1000)</f>
        <v/>
      </c>
      <c r="AN110">
        <f>IF($A110="","",L110+'Beállítások'!$E$16/1000)</f>
        <v/>
      </c>
      <c r="AO110">
        <f>IF($A110="","",'Beállítások'!$E$6*(5-B110))</f>
        <v/>
      </c>
      <c r="AP110">
        <f>IF($A110="","",'Beállítások'!$E$7*(5-C110))</f>
        <v/>
      </c>
      <c r="AQ110">
        <f>IF($A110="","",'Beállítások'!$E$8*(5-D110))</f>
        <v/>
      </c>
      <c r="AR110">
        <f>IF($A110="","",'Beállítások'!$E$9*(5-E110))</f>
        <v/>
      </c>
      <c r="AS110">
        <f>IF($A110="","",'Beállítások'!$E$10*(5-F110))</f>
        <v/>
      </c>
      <c r="AT110">
        <f>IF($A110="","",'Beállítások'!$E$11*(5-G110))</f>
        <v/>
      </c>
      <c r="AU110">
        <f>IF($A110="","",'Beállítások'!$E$12*(5-H110))</f>
        <v/>
      </c>
      <c r="AV110">
        <f>IF($A110="","",'Beállítások'!$E$13*(5-I110))</f>
        <v/>
      </c>
      <c r="AW110">
        <f>IF($A110="","",'Beállítások'!$E$14*(5-J110))</f>
        <v/>
      </c>
      <c r="AX110">
        <f>IF($A110="","",'Beállítások'!$E$15*(5-K110))</f>
        <v/>
      </c>
      <c r="AY110">
        <f>IF($A110="","",'Beállítások'!$E$16*(5-L110))</f>
        <v/>
      </c>
      <c r="AZ110">
        <f>IF($A110="","",M110-ROW()/100000)</f>
        <v/>
      </c>
    </row>
    <row r="111">
      <c r="A111">
        <f>IF('Ügyfelek'!A111="","",'Ügyfelek'!A111)</f>
        <v/>
      </c>
      <c r="B111">
        <f>IF($A111="","",IF('Ügyfelek'!B111="",'Beállítások'!$B$45,IFERROR(VLOOKUP(TRIM('Ügyfelek'!B111),'Beállítások'!$A$22:$B$41,2,FALSE),'Beállítások'!$B$45)))</f>
        <v/>
      </c>
      <c r="C111">
        <f>IF($A111="","",IF('Ügyfelek'!C111="",'Beállítások'!$B$45,VLOOKUP(MAX('Ügyfelek'!C111,'Beállítások'!$H$7),'Beállítások'!$H$7:$I$11,2,TRUE)))</f>
        <v/>
      </c>
      <c r="D111">
        <f>IF($A111="","",IF('Ügyfelek'!D111="",'Beállítások'!$B$45,VLOOKUP(MAX('Ügyfelek'!D111,'Beállítások'!$K$7),'Beállítások'!$K$7:$L$11,2,TRUE)))</f>
        <v/>
      </c>
      <c r="E111">
        <f>IF($A111="","",IF('Ügyfelek'!L111="",'Beállítások'!$B$45,MIN(5,MAX(1,ROUND('Ügyfelek'!L111,0)))))</f>
        <v/>
      </c>
      <c r="F111">
        <f>IF($A111="","",IF('Ügyfelek'!I111="",'Beállítások'!$B$45,VLOOKUP(MAX('Ügyfelek'!I111,'Beállítások'!$N$7),'Beállítások'!$N$7:$O$11,2,TRUE)))</f>
        <v/>
      </c>
      <c r="G111">
        <f>IF($A111="","",IF('Ügyfelek'!N111="",'Beállítások'!$B$45,MIN(5,MAX(1,ROUND('Ügyfelek'!N111,0)))))</f>
        <v/>
      </c>
      <c r="H111">
        <f>IF($A111="","",IF('Ügyfelek'!J111="",'Beállítások'!$B$45,VLOOKUP(MAX('Ügyfelek'!J111,'Beállítások'!$Q$7),'Beállítások'!$Q$7:$R$11,2,TRUE)))</f>
        <v/>
      </c>
      <c r="I111">
        <f>IF($A111="","",IF('Ügyfelek'!K111="",'Beállítások'!$B$45,VLOOKUP(MAX('Ügyfelek'!K111,'Beállítások'!$T$7),'Beállítások'!$T$7:$U$11,2,TRUE)))</f>
        <v/>
      </c>
      <c r="J111">
        <f>IF($A111="","",IF('Ügyfelek'!M111="",'Beállítások'!$B$45,MIN(5,MAX(1,ROUND('Ügyfelek'!M111,0)))))</f>
        <v/>
      </c>
      <c r="K111">
        <f>IF($A111="","",IF('Ügyfelek'!P111="",'Beállítások'!$B$45,MIN(5,MAX(1,ROUND('Ügyfelek'!P111,0)))))</f>
        <v/>
      </c>
      <c r="L111">
        <f>IF($A111="","",IF('Ügyfelek'!O111="",'Beállítások'!$B$45,MIN(5,MAX(1,ROUND('Ügyfelek'!O111,0)))))</f>
        <v/>
      </c>
      <c r="M111" s="13">
        <f>IF($A111="","",ROUND('Beállítások'!$E$6*(B111-1)/4+'Beállítások'!$E$7*(C111-1)/4+'Beállítások'!$E$8*(D111-1)/4+'Beállítások'!$E$9*(E111-1)/4+'Beállítások'!$E$10*(F111-1)/4+'Beállítások'!$E$11*(G111-1)/4+'Beállítások'!$E$12*(H111-1)/4+'Beállítások'!$E$13*(I111-1)/4+'Beállítások'!$E$14*(J111-1)/4+'Beállítások'!$E$15*(K111-1)/4+'Beállítások'!$E$16*(L111-1)/4,1))</f>
        <v/>
      </c>
      <c r="N111" s="14">
        <f>IF($A111="","",RANK(M111,$M$2:$M$201))</f>
        <v/>
      </c>
      <c r="O111">
        <f>IF($A111="","",VLOOKUP(M111,'Beállítások'!$A$57:$E$60,2,TRUE))</f>
        <v/>
      </c>
      <c r="P111">
        <f>IF($A111="","",VLOOKUP(M111,'Beállítások'!$A$57:$E$60,3,TRUE))</f>
        <v/>
      </c>
      <c r="Q111">
        <f>IF($A111="","",INDEX('Beállítások'!$B$6:$B$16,MATCH(MAX(AD111:AN111),AD111:AN111,0)))</f>
        <v/>
      </c>
      <c r="R111">
        <f>IF($A111="","",IF(MAX(AO111:AY111)=0,"—",INDEX('Beállítások'!$B$6:$B$16,MATCH(MAX(AO111:AY111),AO111:AY111,0))))</f>
        <v/>
      </c>
      <c r="S111" s="5">
        <f>IF($A111="","",'Beállítások'!$B$47*(TRIM('Ügyfelek'!E111)="igen")+'Beállítások'!$B$48*(TRIM('Ügyfelek'!F111)="igen")+'Beállítások'!$B$49*N('Ügyfelek'!G111)+'Beállítások'!$B$46*N('Ügyfelek'!H111))</f>
        <v/>
      </c>
      <c r="T111" s="15">
        <f>IF($A111="","",VLOOKUP(M111,'Beállítások'!$A$57:$E$60,4,TRUE))</f>
        <v/>
      </c>
      <c r="U111" s="5">
        <f>IF($A111="","",N('Ügyfelek'!D111)*'Beállítások'!$B$51)</f>
        <v/>
      </c>
      <c r="V111" s="5">
        <f>IF($A111="","",CEILING(ROUND(MAX('Beállítások'!$B$50,S111*T111,U111),2),'Beállítások'!$B$52))</f>
        <v/>
      </c>
      <c r="W111">
        <f>IF($A111="","",IF(MAX('Beállítások'!$B$50,S111*T111,U111)=S111*T111,"Munkaigény × szintszorzó",IF(MAX('Beállítások'!$B$50,S111*T111,U111)=U111,"Hirdetési keret arányában","Minimumdíj")))</f>
        <v/>
      </c>
      <c r="X111" s="5">
        <f>IF(OR($A111="",'Ügyfelek'!Q111=""),"",'Ügyfelek'!Q111)</f>
        <v/>
      </c>
      <c r="Y111" s="5">
        <f>IF(X111="","",V111-X111)</f>
        <v/>
      </c>
      <c r="Z111" s="16">
        <f>IF(OR(X111="",X111=0),"",Y111/X111)</f>
        <v/>
      </c>
      <c r="AA111" s="5">
        <f>IF(OR($A111="",'Ügyfelek'!R111=""),"",'Ügyfelek'!R111*VLOOKUP(M111,'Beállítások'!$A$57:$E$60,5,TRUE))</f>
        <v/>
      </c>
      <c r="AB111" s="14">
        <f>IF($A111="","",('Ügyfelek'!B111="")+('Ügyfelek'!C111="")+('Ügyfelek'!D111="")+('Ügyfelek'!L111="")+('Ügyfelek'!I111="")+('Ügyfelek'!N111="")+('Ügyfelek'!J111="")+('Ügyfelek'!K111="")+('Ügyfelek'!M111="")+('Ügyfelek'!P111="")+('Ügyfelek'!O111=""))</f>
        <v/>
      </c>
      <c r="AD111">
        <f>IF($A111="","",B111+'Beállítások'!$E$6/1000)</f>
        <v/>
      </c>
      <c r="AE111">
        <f>IF($A111="","",C111+'Beállítások'!$E$7/1000)</f>
        <v/>
      </c>
      <c r="AF111">
        <f>IF($A111="","",D111+'Beállítások'!$E$8/1000)</f>
        <v/>
      </c>
      <c r="AG111">
        <f>IF($A111="","",E111+'Beállítások'!$E$9/1000)</f>
        <v/>
      </c>
      <c r="AH111">
        <f>IF($A111="","",F111+'Beállítások'!$E$10/1000)</f>
        <v/>
      </c>
      <c r="AI111">
        <f>IF($A111="","",G111+'Beállítások'!$E$11/1000)</f>
        <v/>
      </c>
      <c r="AJ111">
        <f>IF($A111="","",H111+'Beállítások'!$E$12/1000)</f>
        <v/>
      </c>
      <c r="AK111">
        <f>IF($A111="","",I111+'Beállítások'!$E$13/1000)</f>
        <v/>
      </c>
      <c r="AL111">
        <f>IF($A111="","",J111+'Beállítások'!$E$14/1000)</f>
        <v/>
      </c>
      <c r="AM111">
        <f>IF($A111="","",K111+'Beállítások'!$E$15/1000)</f>
        <v/>
      </c>
      <c r="AN111">
        <f>IF($A111="","",L111+'Beállítások'!$E$16/1000)</f>
        <v/>
      </c>
      <c r="AO111">
        <f>IF($A111="","",'Beállítások'!$E$6*(5-B111))</f>
        <v/>
      </c>
      <c r="AP111">
        <f>IF($A111="","",'Beállítások'!$E$7*(5-C111))</f>
        <v/>
      </c>
      <c r="AQ111">
        <f>IF($A111="","",'Beállítások'!$E$8*(5-D111))</f>
        <v/>
      </c>
      <c r="AR111">
        <f>IF($A111="","",'Beállítások'!$E$9*(5-E111))</f>
        <v/>
      </c>
      <c r="AS111">
        <f>IF($A111="","",'Beállítások'!$E$10*(5-F111))</f>
        <v/>
      </c>
      <c r="AT111">
        <f>IF($A111="","",'Beállítások'!$E$11*(5-G111))</f>
        <v/>
      </c>
      <c r="AU111">
        <f>IF($A111="","",'Beállítások'!$E$12*(5-H111))</f>
        <v/>
      </c>
      <c r="AV111">
        <f>IF($A111="","",'Beállítások'!$E$13*(5-I111))</f>
        <v/>
      </c>
      <c r="AW111">
        <f>IF($A111="","",'Beállítások'!$E$14*(5-J111))</f>
        <v/>
      </c>
      <c r="AX111">
        <f>IF($A111="","",'Beállítások'!$E$15*(5-K111))</f>
        <v/>
      </c>
      <c r="AY111">
        <f>IF($A111="","",'Beállítások'!$E$16*(5-L111))</f>
        <v/>
      </c>
      <c r="AZ111">
        <f>IF($A111="","",M111-ROW()/100000)</f>
        <v/>
      </c>
    </row>
    <row r="112">
      <c r="A112">
        <f>IF('Ügyfelek'!A112="","",'Ügyfelek'!A112)</f>
        <v/>
      </c>
      <c r="B112">
        <f>IF($A112="","",IF('Ügyfelek'!B112="",'Beállítások'!$B$45,IFERROR(VLOOKUP(TRIM('Ügyfelek'!B112),'Beállítások'!$A$22:$B$41,2,FALSE),'Beállítások'!$B$45)))</f>
        <v/>
      </c>
      <c r="C112">
        <f>IF($A112="","",IF('Ügyfelek'!C112="",'Beállítások'!$B$45,VLOOKUP(MAX('Ügyfelek'!C112,'Beállítások'!$H$7),'Beállítások'!$H$7:$I$11,2,TRUE)))</f>
        <v/>
      </c>
      <c r="D112">
        <f>IF($A112="","",IF('Ügyfelek'!D112="",'Beállítások'!$B$45,VLOOKUP(MAX('Ügyfelek'!D112,'Beállítások'!$K$7),'Beállítások'!$K$7:$L$11,2,TRUE)))</f>
        <v/>
      </c>
      <c r="E112">
        <f>IF($A112="","",IF('Ügyfelek'!L112="",'Beállítások'!$B$45,MIN(5,MAX(1,ROUND('Ügyfelek'!L112,0)))))</f>
        <v/>
      </c>
      <c r="F112">
        <f>IF($A112="","",IF('Ügyfelek'!I112="",'Beállítások'!$B$45,VLOOKUP(MAX('Ügyfelek'!I112,'Beállítások'!$N$7),'Beállítások'!$N$7:$O$11,2,TRUE)))</f>
        <v/>
      </c>
      <c r="G112">
        <f>IF($A112="","",IF('Ügyfelek'!N112="",'Beállítások'!$B$45,MIN(5,MAX(1,ROUND('Ügyfelek'!N112,0)))))</f>
        <v/>
      </c>
      <c r="H112">
        <f>IF($A112="","",IF('Ügyfelek'!J112="",'Beállítások'!$B$45,VLOOKUP(MAX('Ügyfelek'!J112,'Beállítások'!$Q$7),'Beállítások'!$Q$7:$R$11,2,TRUE)))</f>
        <v/>
      </c>
      <c r="I112">
        <f>IF($A112="","",IF('Ügyfelek'!K112="",'Beállítások'!$B$45,VLOOKUP(MAX('Ügyfelek'!K112,'Beállítások'!$T$7),'Beállítások'!$T$7:$U$11,2,TRUE)))</f>
        <v/>
      </c>
      <c r="J112">
        <f>IF($A112="","",IF('Ügyfelek'!M112="",'Beállítások'!$B$45,MIN(5,MAX(1,ROUND('Ügyfelek'!M112,0)))))</f>
        <v/>
      </c>
      <c r="K112">
        <f>IF($A112="","",IF('Ügyfelek'!P112="",'Beállítások'!$B$45,MIN(5,MAX(1,ROUND('Ügyfelek'!P112,0)))))</f>
        <v/>
      </c>
      <c r="L112">
        <f>IF($A112="","",IF('Ügyfelek'!O112="",'Beállítások'!$B$45,MIN(5,MAX(1,ROUND('Ügyfelek'!O112,0)))))</f>
        <v/>
      </c>
      <c r="M112" s="13">
        <f>IF($A112="","",ROUND('Beállítások'!$E$6*(B112-1)/4+'Beállítások'!$E$7*(C112-1)/4+'Beállítások'!$E$8*(D112-1)/4+'Beállítások'!$E$9*(E112-1)/4+'Beállítások'!$E$10*(F112-1)/4+'Beállítások'!$E$11*(G112-1)/4+'Beállítások'!$E$12*(H112-1)/4+'Beállítások'!$E$13*(I112-1)/4+'Beállítások'!$E$14*(J112-1)/4+'Beállítások'!$E$15*(K112-1)/4+'Beállítások'!$E$16*(L112-1)/4,1))</f>
        <v/>
      </c>
      <c r="N112" s="14">
        <f>IF($A112="","",RANK(M112,$M$2:$M$201))</f>
        <v/>
      </c>
      <c r="O112">
        <f>IF($A112="","",VLOOKUP(M112,'Beállítások'!$A$57:$E$60,2,TRUE))</f>
        <v/>
      </c>
      <c r="P112">
        <f>IF($A112="","",VLOOKUP(M112,'Beállítások'!$A$57:$E$60,3,TRUE))</f>
        <v/>
      </c>
      <c r="Q112">
        <f>IF($A112="","",INDEX('Beállítások'!$B$6:$B$16,MATCH(MAX(AD112:AN112),AD112:AN112,0)))</f>
        <v/>
      </c>
      <c r="R112">
        <f>IF($A112="","",IF(MAX(AO112:AY112)=0,"—",INDEX('Beállítások'!$B$6:$B$16,MATCH(MAX(AO112:AY112),AO112:AY112,0))))</f>
        <v/>
      </c>
      <c r="S112" s="5">
        <f>IF($A112="","",'Beállítások'!$B$47*(TRIM('Ügyfelek'!E112)="igen")+'Beállítások'!$B$48*(TRIM('Ügyfelek'!F112)="igen")+'Beállítások'!$B$49*N('Ügyfelek'!G112)+'Beállítások'!$B$46*N('Ügyfelek'!H112))</f>
        <v/>
      </c>
      <c r="T112" s="15">
        <f>IF($A112="","",VLOOKUP(M112,'Beállítások'!$A$57:$E$60,4,TRUE))</f>
        <v/>
      </c>
      <c r="U112" s="5">
        <f>IF($A112="","",N('Ügyfelek'!D112)*'Beállítások'!$B$51)</f>
        <v/>
      </c>
      <c r="V112" s="5">
        <f>IF($A112="","",CEILING(ROUND(MAX('Beállítások'!$B$50,S112*T112,U112),2),'Beállítások'!$B$52))</f>
        <v/>
      </c>
      <c r="W112">
        <f>IF($A112="","",IF(MAX('Beállítások'!$B$50,S112*T112,U112)=S112*T112,"Munkaigény × szintszorzó",IF(MAX('Beállítások'!$B$50,S112*T112,U112)=U112,"Hirdetési keret arányában","Minimumdíj")))</f>
        <v/>
      </c>
      <c r="X112" s="5">
        <f>IF(OR($A112="",'Ügyfelek'!Q112=""),"",'Ügyfelek'!Q112)</f>
        <v/>
      </c>
      <c r="Y112" s="5">
        <f>IF(X112="","",V112-X112)</f>
        <v/>
      </c>
      <c r="Z112" s="16">
        <f>IF(OR(X112="",X112=0),"",Y112/X112)</f>
        <v/>
      </c>
      <c r="AA112" s="5">
        <f>IF(OR($A112="",'Ügyfelek'!R112=""),"",'Ügyfelek'!R112*VLOOKUP(M112,'Beállítások'!$A$57:$E$60,5,TRUE))</f>
        <v/>
      </c>
      <c r="AB112" s="14">
        <f>IF($A112="","",('Ügyfelek'!B112="")+('Ügyfelek'!C112="")+('Ügyfelek'!D112="")+('Ügyfelek'!L112="")+('Ügyfelek'!I112="")+('Ügyfelek'!N112="")+('Ügyfelek'!J112="")+('Ügyfelek'!K112="")+('Ügyfelek'!M112="")+('Ügyfelek'!P112="")+('Ügyfelek'!O112=""))</f>
        <v/>
      </c>
      <c r="AD112">
        <f>IF($A112="","",B112+'Beállítások'!$E$6/1000)</f>
        <v/>
      </c>
      <c r="AE112">
        <f>IF($A112="","",C112+'Beállítások'!$E$7/1000)</f>
        <v/>
      </c>
      <c r="AF112">
        <f>IF($A112="","",D112+'Beállítások'!$E$8/1000)</f>
        <v/>
      </c>
      <c r="AG112">
        <f>IF($A112="","",E112+'Beállítások'!$E$9/1000)</f>
        <v/>
      </c>
      <c r="AH112">
        <f>IF($A112="","",F112+'Beállítások'!$E$10/1000)</f>
        <v/>
      </c>
      <c r="AI112">
        <f>IF($A112="","",G112+'Beállítások'!$E$11/1000)</f>
        <v/>
      </c>
      <c r="AJ112">
        <f>IF($A112="","",H112+'Beállítások'!$E$12/1000)</f>
        <v/>
      </c>
      <c r="AK112">
        <f>IF($A112="","",I112+'Beállítások'!$E$13/1000)</f>
        <v/>
      </c>
      <c r="AL112">
        <f>IF($A112="","",J112+'Beállítások'!$E$14/1000)</f>
        <v/>
      </c>
      <c r="AM112">
        <f>IF($A112="","",K112+'Beállítások'!$E$15/1000)</f>
        <v/>
      </c>
      <c r="AN112">
        <f>IF($A112="","",L112+'Beállítások'!$E$16/1000)</f>
        <v/>
      </c>
      <c r="AO112">
        <f>IF($A112="","",'Beállítások'!$E$6*(5-B112))</f>
        <v/>
      </c>
      <c r="AP112">
        <f>IF($A112="","",'Beállítások'!$E$7*(5-C112))</f>
        <v/>
      </c>
      <c r="AQ112">
        <f>IF($A112="","",'Beállítások'!$E$8*(5-D112))</f>
        <v/>
      </c>
      <c r="AR112">
        <f>IF($A112="","",'Beállítások'!$E$9*(5-E112))</f>
        <v/>
      </c>
      <c r="AS112">
        <f>IF($A112="","",'Beállítások'!$E$10*(5-F112))</f>
        <v/>
      </c>
      <c r="AT112">
        <f>IF($A112="","",'Beállítások'!$E$11*(5-G112))</f>
        <v/>
      </c>
      <c r="AU112">
        <f>IF($A112="","",'Beállítások'!$E$12*(5-H112))</f>
        <v/>
      </c>
      <c r="AV112">
        <f>IF($A112="","",'Beállítások'!$E$13*(5-I112))</f>
        <v/>
      </c>
      <c r="AW112">
        <f>IF($A112="","",'Beállítások'!$E$14*(5-J112))</f>
        <v/>
      </c>
      <c r="AX112">
        <f>IF($A112="","",'Beállítások'!$E$15*(5-K112))</f>
        <v/>
      </c>
      <c r="AY112">
        <f>IF($A112="","",'Beállítások'!$E$16*(5-L112))</f>
        <v/>
      </c>
      <c r="AZ112">
        <f>IF($A112="","",M112-ROW()/100000)</f>
        <v/>
      </c>
    </row>
    <row r="113">
      <c r="A113">
        <f>IF('Ügyfelek'!A113="","",'Ügyfelek'!A113)</f>
        <v/>
      </c>
      <c r="B113">
        <f>IF($A113="","",IF('Ügyfelek'!B113="",'Beállítások'!$B$45,IFERROR(VLOOKUP(TRIM('Ügyfelek'!B113),'Beállítások'!$A$22:$B$41,2,FALSE),'Beállítások'!$B$45)))</f>
        <v/>
      </c>
      <c r="C113">
        <f>IF($A113="","",IF('Ügyfelek'!C113="",'Beállítások'!$B$45,VLOOKUP(MAX('Ügyfelek'!C113,'Beállítások'!$H$7),'Beállítások'!$H$7:$I$11,2,TRUE)))</f>
        <v/>
      </c>
      <c r="D113">
        <f>IF($A113="","",IF('Ügyfelek'!D113="",'Beállítások'!$B$45,VLOOKUP(MAX('Ügyfelek'!D113,'Beállítások'!$K$7),'Beállítások'!$K$7:$L$11,2,TRUE)))</f>
        <v/>
      </c>
      <c r="E113">
        <f>IF($A113="","",IF('Ügyfelek'!L113="",'Beállítások'!$B$45,MIN(5,MAX(1,ROUND('Ügyfelek'!L113,0)))))</f>
        <v/>
      </c>
      <c r="F113">
        <f>IF($A113="","",IF('Ügyfelek'!I113="",'Beállítások'!$B$45,VLOOKUP(MAX('Ügyfelek'!I113,'Beállítások'!$N$7),'Beállítások'!$N$7:$O$11,2,TRUE)))</f>
        <v/>
      </c>
      <c r="G113">
        <f>IF($A113="","",IF('Ügyfelek'!N113="",'Beállítások'!$B$45,MIN(5,MAX(1,ROUND('Ügyfelek'!N113,0)))))</f>
        <v/>
      </c>
      <c r="H113">
        <f>IF($A113="","",IF('Ügyfelek'!J113="",'Beállítások'!$B$45,VLOOKUP(MAX('Ügyfelek'!J113,'Beállítások'!$Q$7),'Beállítások'!$Q$7:$R$11,2,TRUE)))</f>
        <v/>
      </c>
      <c r="I113">
        <f>IF($A113="","",IF('Ügyfelek'!K113="",'Beállítások'!$B$45,VLOOKUP(MAX('Ügyfelek'!K113,'Beállítások'!$T$7),'Beállítások'!$T$7:$U$11,2,TRUE)))</f>
        <v/>
      </c>
      <c r="J113">
        <f>IF($A113="","",IF('Ügyfelek'!M113="",'Beállítások'!$B$45,MIN(5,MAX(1,ROUND('Ügyfelek'!M113,0)))))</f>
        <v/>
      </c>
      <c r="K113">
        <f>IF($A113="","",IF('Ügyfelek'!P113="",'Beállítások'!$B$45,MIN(5,MAX(1,ROUND('Ügyfelek'!P113,0)))))</f>
        <v/>
      </c>
      <c r="L113">
        <f>IF($A113="","",IF('Ügyfelek'!O113="",'Beállítások'!$B$45,MIN(5,MAX(1,ROUND('Ügyfelek'!O113,0)))))</f>
        <v/>
      </c>
      <c r="M113" s="13">
        <f>IF($A113="","",ROUND('Beállítások'!$E$6*(B113-1)/4+'Beállítások'!$E$7*(C113-1)/4+'Beállítások'!$E$8*(D113-1)/4+'Beállítások'!$E$9*(E113-1)/4+'Beállítások'!$E$10*(F113-1)/4+'Beállítások'!$E$11*(G113-1)/4+'Beállítások'!$E$12*(H113-1)/4+'Beállítások'!$E$13*(I113-1)/4+'Beállítások'!$E$14*(J113-1)/4+'Beállítások'!$E$15*(K113-1)/4+'Beállítások'!$E$16*(L113-1)/4,1))</f>
        <v/>
      </c>
      <c r="N113" s="14">
        <f>IF($A113="","",RANK(M113,$M$2:$M$201))</f>
        <v/>
      </c>
      <c r="O113">
        <f>IF($A113="","",VLOOKUP(M113,'Beállítások'!$A$57:$E$60,2,TRUE))</f>
        <v/>
      </c>
      <c r="P113">
        <f>IF($A113="","",VLOOKUP(M113,'Beállítások'!$A$57:$E$60,3,TRUE))</f>
        <v/>
      </c>
      <c r="Q113">
        <f>IF($A113="","",INDEX('Beállítások'!$B$6:$B$16,MATCH(MAX(AD113:AN113),AD113:AN113,0)))</f>
        <v/>
      </c>
      <c r="R113">
        <f>IF($A113="","",IF(MAX(AO113:AY113)=0,"—",INDEX('Beállítások'!$B$6:$B$16,MATCH(MAX(AO113:AY113),AO113:AY113,0))))</f>
        <v/>
      </c>
      <c r="S113" s="5">
        <f>IF($A113="","",'Beállítások'!$B$47*(TRIM('Ügyfelek'!E113)="igen")+'Beállítások'!$B$48*(TRIM('Ügyfelek'!F113)="igen")+'Beállítások'!$B$49*N('Ügyfelek'!G113)+'Beállítások'!$B$46*N('Ügyfelek'!H113))</f>
        <v/>
      </c>
      <c r="T113" s="15">
        <f>IF($A113="","",VLOOKUP(M113,'Beállítások'!$A$57:$E$60,4,TRUE))</f>
        <v/>
      </c>
      <c r="U113" s="5">
        <f>IF($A113="","",N('Ügyfelek'!D113)*'Beállítások'!$B$51)</f>
        <v/>
      </c>
      <c r="V113" s="5">
        <f>IF($A113="","",CEILING(ROUND(MAX('Beállítások'!$B$50,S113*T113,U113),2),'Beállítások'!$B$52))</f>
        <v/>
      </c>
      <c r="W113">
        <f>IF($A113="","",IF(MAX('Beállítások'!$B$50,S113*T113,U113)=S113*T113,"Munkaigény × szintszorzó",IF(MAX('Beállítások'!$B$50,S113*T113,U113)=U113,"Hirdetési keret arányában","Minimumdíj")))</f>
        <v/>
      </c>
      <c r="X113" s="5">
        <f>IF(OR($A113="",'Ügyfelek'!Q113=""),"",'Ügyfelek'!Q113)</f>
        <v/>
      </c>
      <c r="Y113" s="5">
        <f>IF(X113="","",V113-X113)</f>
        <v/>
      </c>
      <c r="Z113" s="16">
        <f>IF(OR(X113="",X113=0),"",Y113/X113)</f>
        <v/>
      </c>
      <c r="AA113" s="5">
        <f>IF(OR($A113="",'Ügyfelek'!R113=""),"",'Ügyfelek'!R113*VLOOKUP(M113,'Beállítások'!$A$57:$E$60,5,TRUE))</f>
        <v/>
      </c>
      <c r="AB113" s="14">
        <f>IF($A113="","",('Ügyfelek'!B113="")+('Ügyfelek'!C113="")+('Ügyfelek'!D113="")+('Ügyfelek'!L113="")+('Ügyfelek'!I113="")+('Ügyfelek'!N113="")+('Ügyfelek'!J113="")+('Ügyfelek'!K113="")+('Ügyfelek'!M113="")+('Ügyfelek'!P113="")+('Ügyfelek'!O113=""))</f>
        <v/>
      </c>
      <c r="AD113">
        <f>IF($A113="","",B113+'Beállítások'!$E$6/1000)</f>
        <v/>
      </c>
      <c r="AE113">
        <f>IF($A113="","",C113+'Beállítások'!$E$7/1000)</f>
        <v/>
      </c>
      <c r="AF113">
        <f>IF($A113="","",D113+'Beállítások'!$E$8/1000)</f>
        <v/>
      </c>
      <c r="AG113">
        <f>IF($A113="","",E113+'Beállítások'!$E$9/1000)</f>
        <v/>
      </c>
      <c r="AH113">
        <f>IF($A113="","",F113+'Beállítások'!$E$10/1000)</f>
        <v/>
      </c>
      <c r="AI113">
        <f>IF($A113="","",G113+'Beállítások'!$E$11/1000)</f>
        <v/>
      </c>
      <c r="AJ113">
        <f>IF($A113="","",H113+'Beállítások'!$E$12/1000)</f>
        <v/>
      </c>
      <c r="AK113">
        <f>IF($A113="","",I113+'Beállítások'!$E$13/1000)</f>
        <v/>
      </c>
      <c r="AL113">
        <f>IF($A113="","",J113+'Beállítások'!$E$14/1000)</f>
        <v/>
      </c>
      <c r="AM113">
        <f>IF($A113="","",K113+'Beállítások'!$E$15/1000)</f>
        <v/>
      </c>
      <c r="AN113">
        <f>IF($A113="","",L113+'Beállítások'!$E$16/1000)</f>
        <v/>
      </c>
      <c r="AO113">
        <f>IF($A113="","",'Beállítások'!$E$6*(5-B113))</f>
        <v/>
      </c>
      <c r="AP113">
        <f>IF($A113="","",'Beállítások'!$E$7*(5-C113))</f>
        <v/>
      </c>
      <c r="AQ113">
        <f>IF($A113="","",'Beállítások'!$E$8*(5-D113))</f>
        <v/>
      </c>
      <c r="AR113">
        <f>IF($A113="","",'Beállítások'!$E$9*(5-E113))</f>
        <v/>
      </c>
      <c r="AS113">
        <f>IF($A113="","",'Beállítások'!$E$10*(5-F113))</f>
        <v/>
      </c>
      <c r="AT113">
        <f>IF($A113="","",'Beállítások'!$E$11*(5-G113))</f>
        <v/>
      </c>
      <c r="AU113">
        <f>IF($A113="","",'Beállítások'!$E$12*(5-H113))</f>
        <v/>
      </c>
      <c r="AV113">
        <f>IF($A113="","",'Beállítások'!$E$13*(5-I113))</f>
        <v/>
      </c>
      <c r="AW113">
        <f>IF($A113="","",'Beállítások'!$E$14*(5-J113))</f>
        <v/>
      </c>
      <c r="AX113">
        <f>IF($A113="","",'Beállítások'!$E$15*(5-K113))</f>
        <v/>
      </c>
      <c r="AY113">
        <f>IF($A113="","",'Beállítások'!$E$16*(5-L113))</f>
        <v/>
      </c>
      <c r="AZ113">
        <f>IF($A113="","",M113-ROW()/100000)</f>
        <v/>
      </c>
    </row>
    <row r="114">
      <c r="A114">
        <f>IF('Ügyfelek'!A114="","",'Ügyfelek'!A114)</f>
        <v/>
      </c>
      <c r="B114">
        <f>IF($A114="","",IF('Ügyfelek'!B114="",'Beállítások'!$B$45,IFERROR(VLOOKUP(TRIM('Ügyfelek'!B114),'Beállítások'!$A$22:$B$41,2,FALSE),'Beállítások'!$B$45)))</f>
        <v/>
      </c>
      <c r="C114">
        <f>IF($A114="","",IF('Ügyfelek'!C114="",'Beállítások'!$B$45,VLOOKUP(MAX('Ügyfelek'!C114,'Beállítások'!$H$7),'Beállítások'!$H$7:$I$11,2,TRUE)))</f>
        <v/>
      </c>
      <c r="D114">
        <f>IF($A114="","",IF('Ügyfelek'!D114="",'Beállítások'!$B$45,VLOOKUP(MAX('Ügyfelek'!D114,'Beállítások'!$K$7),'Beállítások'!$K$7:$L$11,2,TRUE)))</f>
        <v/>
      </c>
      <c r="E114">
        <f>IF($A114="","",IF('Ügyfelek'!L114="",'Beállítások'!$B$45,MIN(5,MAX(1,ROUND('Ügyfelek'!L114,0)))))</f>
        <v/>
      </c>
      <c r="F114">
        <f>IF($A114="","",IF('Ügyfelek'!I114="",'Beállítások'!$B$45,VLOOKUP(MAX('Ügyfelek'!I114,'Beállítások'!$N$7),'Beállítások'!$N$7:$O$11,2,TRUE)))</f>
        <v/>
      </c>
      <c r="G114">
        <f>IF($A114="","",IF('Ügyfelek'!N114="",'Beállítások'!$B$45,MIN(5,MAX(1,ROUND('Ügyfelek'!N114,0)))))</f>
        <v/>
      </c>
      <c r="H114">
        <f>IF($A114="","",IF('Ügyfelek'!J114="",'Beállítások'!$B$45,VLOOKUP(MAX('Ügyfelek'!J114,'Beállítások'!$Q$7),'Beállítások'!$Q$7:$R$11,2,TRUE)))</f>
        <v/>
      </c>
      <c r="I114">
        <f>IF($A114="","",IF('Ügyfelek'!K114="",'Beállítások'!$B$45,VLOOKUP(MAX('Ügyfelek'!K114,'Beállítások'!$T$7),'Beállítások'!$T$7:$U$11,2,TRUE)))</f>
        <v/>
      </c>
      <c r="J114">
        <f>IF($A114="","",IF('Ügyfelek'!M114="",'Beállítások'!$B$45,MIN(5,MAX(1,ROUND('Ügyfelek'!M114,0)))))</f>
        <v/>
      </c>
      <c r="K114">
        <f>IF($A114="","",IF('Ügyfelek'!P114="",'Beállítások'!$B$45,MIN(5,MAX(1,ROUND('Ügyfelek'!P114,0)))))</f>
        <v/>
      </c>
      <c r="L114">
        <f>IF($A114="","",IF('Ügyfelek'!O114="",'Beállítások'!$B$45,MIN(5,MAX(1,ROUND('Ügyfelek'!O114,0)))))</f>
        <v/>
      </c>
      <c r="M114" s="13">
        <f>IF($A114="","",ROUND('Beállítások'!$E$6*(B114-1)/4+'Beállítások'!$E$7*(C114-1)/4+'Beállítások'!$E$8*(D114-1)/4+'Beállítások'!$E$9*(E114-1)/4+'Beállítások'!$E$10*(F114-1)/4+'Beállítások'!$E$11*(G114-1)/4+'Beállítások'!$E$12*(H114-1)/4+'Beállítások'!$E$13*(I114-1)/4+'Beállítások'!$E$14*(J114-1)/4+'Beállítások'!$E$15*(K114-1)/4+'Beállítások'!$E$16*(L114-1)/4,1))</f>
        <v/>
      </c>
      <c r="N114" s="14">
        <f>IF($A114="","",RANK(M114,$M$2:$M$201))</f>
        <v/>
      </c>
      <c r="O114">
        <f>IF($A114="","",VLOOKUP(M114,'Beállítások'!$A$57:$E$60,2,TRUE))</f>
        <v/>
      </c>
      <c r="P114">
        <f>IF($A114="","",VLOOKUP(M114,'Beállítások'!$A$57:$E$60,3,TRUE))</f>
        <v/>
      </c>
      <c r="Q114">
        <f>IF($A114="","",INDEX('Beállítások'!$B$6:$B$16,MATCH(MAX(AD114:AN114),AD114:AN114,0)))</f>
        <v/>
      </c>
      <c r="R114">
        <f>IF($A114="","",IF(MAX(AO114:AY114)=0,"—",INDEX('Beállítások'!$B$6:$B$16,MATCH(MAX(AO114:AY114),AO114:AY114,0))))</f>
        <v/>
      </c>
      <c r="S114" s="5">
        <f>IF($A114="","",'Beállítások'!$B$47*(TRIM('Ügyfelek'!E114)="igen")+'Beállítások'!$B$48*(TRIM('Ügyfelek'!F114)="igen")+'Beállítások'!$B$49*N('Ügyfelek'!G114)+'Beállítások'!$B$46*N('Ügyfelek'!H114))</f>
        <v/>
      </c>
      <c r="T114" s="15">
        <f>IF($A114="","",VLOOKUP(M114,'Beállítások'!$A$57:$E$60,4,TRUE))</f>
        <v/>
      </c>
      <c r="U114" s="5">
        <f>IF($A114="","",N('Ügyfelek'!D114)*'Beállítások'!$B$51)</f>
        <v/>
      </c>
      <c r="V114" s="5">
        <f>IF($A114="","",CEILING(ROUND(MAX('Beállítások'!$B$50,S114*T114,U114),2),'Beállítások'!$B$52))</f>
        <v/>
      </c>
      <c r="W114">
        <f>IF($A114="","",IF(MAX('Beállítások'!$B$50,S114*T114,U114)=S114*T114,"Munkaigény × szintszorzó",IF(MAX('Beállítások'!$B$50,S114*T114,U114)=U114,"Hirdetési keret arányában","Minimumdíj")))</f>
        <v/>
      </c>
      <c r="X114" s="5">
        <f>IF(OR($A114="",'Ügyfelek'!Q114=""),"",'Ügyfelek'!Q114)</f>
        <v/>
      </c>
      <c r="Y114" s="5">
        <f>IF(X114="","",V114-X114)</f>
        <v/>
      </c>
      <c r="Z114" s="16">
        <f>IF(OR(X114="",X114=0),"",Y114/X114)</f>
        <v/>
      </c>
      <c r="AA114" s="5">
        <f>IF(OR($A114="",'Ügyfelek'!R114=""),"",'Ügyfelek'!R114*VLOOKUP(M114,'Beállítások'!$A$57:$E$60,5,TRUE))</f>
        <v/>
      </c>
      <c r="AB114" s="14">
        <f>IF($A114="","",('Ügyfelek'!B114="")+('Ügyfelek'!C114="")+('Ügyfelek'!D114="")+('Ügyfelek'!L114="")+('Ügyfelek'!I114="")+('Ügyfelek'!N114="")+('Ügyfelek'!J114="")+('Ügyfelek'!K114="")+('Ügyfelek'!M114="")+('Ügyfelek'!P114="")+('Ügyfelek'!O114=""))</f>
        <v/>
      </c>
      <c r="AD114">
        <f>IF($A114="","",B114+'Beállítások'!$E$6/1000)</f>
        <v/>
      </c>
      <c r="AE114">
        <f>IF($A114="","",C114+'Beállítások'!$E$7/1000)</f>
        <v/>
      </c>
      <c r="AF114">
        <f>IF($A114="","",D114+'Beállítások'!$E$8/1000)</f>
        <v/>
      </c>
      <c r="AG114">
        <f>IF($A114="","",E114+'Beállítások'!$E$9/1000)</f>
        <v/>
      </c>
      <c r="AH114">
        <f>IF($A114="","",F114+'Beállítások'!$E$10/1000)</f>
        <v/>
      </c>
      <c r="AI114">
        <f>IF($A114="","",G114+'Beállítások'!$E$11/1000)</f>
        <v/>
      </c>
      <c r="AJ114">
        <f>IF($A114="","",H114+'Beállítások'!$E$12/1000)</f>
        <v/>
      </c>
      <c r="AK114">
        <f>IF($A114="","",I114+'Beállítások'!$E$13/1000)</f>
        <v/>
      </c>
      <c r="AL114">
        <f>IF($A114="","",J114+'Beállítások'!$E$14/1000)</f>
        <v/>
      </c>
      <c r="AM114">
        <f>IF($A114="","",K114+'Beállítások'!$E$15/1000)</f>
        <v/>
      </c>
      <c r="AN114">
        <f>IF($A114="","",L114+'Beállítások'!$E$16/1000)</f>
        <v/>
      </c>
      <c r="AO114">
        <f>IF($A114="","",'Beállítások'!$E$6*(5-B114))</f>
        <v/>
      </c>
      <c r="AP114">
        <f>IF($A114="","",'Beállítások'!$E$7*(5-C114))</f>
        <v/>
      </c>
      <c r="AQ114">
        <f>IF($A114="","",'Beállítások'!$E$8*(5-D114))</f>
        <v/>
      </c>
      <c r="AR114">
        <f>IF($A114="","",'Beállítások'!$E$9*(5-E114))</f>
        <v/>
      </c>
      <c r="AS114">
        <f>IF($A114="","",'Beállítások'!$E$10*(5-F114))</f>
        <v/>
      </c>
      <c r="AT114">
        <f>IF($A114="","",'Beállítások'!$E$11*(5-G114))</f>
        <v/>
      </c>
      <c r="AU114">
        <f>IF($A114="","",'Beállítások'!$E$12*(5-H114))</f>
        <v/>
      </c>
      <c r="AV114">
        <f>IF($A114="","",'Beállítások'!$E$13*(5-I114))</f>
        <v/>
      </c>
      <c r="AW114">
        <f>IF($A114="","",'Beállítások'!$E$14*(5-J114))</f>
        <v/>
      </c>
      <c r="AX114">
        <f>IF($A114="","",'Beállítások'!$E$15*(5-K114))</f>
        <v/>
      </c>
      <c r="AY114">
        <f>IF($A114="","",'Beállítások'!$E$16*(5-L114))</f>
        <v/>
      </c>
      <c r="AZ114">
        <f>IF($A114="","",M114-ROW()/100000)</f>
        <v/>
      </c>
    </row>
    <row r="115">
      <c r="A115">
        <f>IF('Ügyfelek'!A115="","",'Ügyfelek'!A115)</f>
        <v/>
      </c>
      <c r="B115">
        <f>IF($A115="","",IF('Ügyfelek'!B115="",'Beállítások'!$B$45,IFERROR(VLOOKUP(TRIM('Ügyfelek'!B115),'Beállítások'!$A$22:$B$41,2,FALSE),'Beállítások'!$B$45)))</f>
        <v/>
      </c>
      <c r="C115">
        <f>IF($A115="","",IF('Ügyfelek'!C115="",'Beállítások'!$B$45,VLOOKUP(MAX('Ügyfelek'!C115,'Beállítások'!$H$7),'Beállítások'!$H$7:$I$11,2,TRUE)))</f>
        <v/>
      </c>
      <c r="D115">
        <f>IF($A115="","",IF('Ügyfelek'!D115="",'Beállítások'!$B$45,VLOOKUP(MAX('Ügyfelek'!D115,'Beállítások'!$K$7),'Beállítások'!$K$7:$L$11,2,TRUE)))</f>
        <v/>
      </c>
      <c r="E115">
        <f>IF($A115="","",IF('Ügyfelek'!L115="",'Beállítások'!$B$45,MIN(5,MAX(1,ROUND('Ügyfelek'!L115,0)))))</f>
        <v/>
      </c>
      <c r="F115">
        <f>IF($A115="","",IF('Ügyfelek'!I115="",'Beállítások'!$B$45,VLOOKUP(MAX('Ügyfelek'!I115,'Beállítások'!$N$7),'Beállítások'!$N$7:$O$11,2,TRUE)))</f>
        <v/>
      </c>
      <c r="G115">
        <f>IF($A115="","",IF('Ügyfelek'!N115="",'Beállítások'!$B$45,MIN(5,MAX(1,ROUND('Ügyfelek'!N115,0)))))</f>
        <v/>
      </c>
      <c r="H115">
        <f>IF($A115="","",IF('Ügyfelek'!J115="",'Beállítások'!$B$45,VLOOKUP(MAX('Ügyfelek'!J115,'Beállítások'!$Q$7),'Beállítások'!$Q$7:$R$11,2,TRUE)))</f>
        <v/>
      </c>
      <c r="I115">
        <f>IF($A115="","",IF('Ügyfelek'!K115="",'Beállítások'!$B$45,VLOOKUP(MAX('Ügyfelek'!K115,'Beállítások'!$T$7),'Beállítások'!$T$7:$U$11,2,TRUE)))</f>
        <v/>
      </c>
      <c r="J115">
        <f>IF($A115="","",IF('Ügyfelek'!M115="",'Beállítások'!$B$45,MIN(5,MAX(1,ROUND('Ügyfelek'!M115,0)))))</f>
        <v/>
      </c>
      <c r="K115">
        <f>IF($A115="","",IF('Ügyfelek'!P115="",'Beállítások'!$B$45,MIN(5,MAX(1,ROUND('Ügyfelek'!P115,0)))))</f>
        <v/>
      </c>
      <c r="L115">
        <f>IF($A115="","",IF('Ügyfelek'!O115="",'Beállítások'!$B$45,MIN(5,MAX(1,ROUND('Ügyfelek'!O115,0)))))</f>
        <v/>
      </c>
      <c r="M115" s="13">
        <f>IF($A115="","",ROUND('Beállítások'!$E$6*(B115-1)/4+'Beállítások'!$E$7*(C115-1)/4+'Beállítások'!$E$8*(D115-1)/4+'Beállítások'!$E$9*(E115-1)/4+'Beállítások'!$E$10*(F115-1)/4+'Beállítások'!$E$11*(G115-1)/4+'Beállítások'!$E$12*(H115-1)/4+'Beállítások'!$E$13*(I115-1)/4+'Beállítások'!$E$14*(J115-1)/4+'Beállítások'!$E$15*(K115-1)/4+'Beállítások'!$E$16*(L115-1)/4,1))</f>
        <v/>
      </c>
      <c r="N115" s="14">
        <f>IF($A115="","",RANK(M115,$M$2:$M$201))</f>
        <v/>
      </c>
      <c r="O115">
        <f>IF($A115="","",VLOOKUP(M115,'Beállítások'!$A$57:$E$60,2,TRUE))</f>
        <v/>
      </c>
      <c r="P115">
        <f>IF($A115="","",VLOOKUP(M115,'Beállítások'!$A$57:$E$60,3,TRUE))</f>
        <v/>
      </c>
      <c r="Q115">
        <f>IF($A115="","",INDEX('Beállítások'!$B$6:$B$16,MATCH(MAX(AD115:AN115),AD115:AN115,0)))</f>
        <v/>
      </c>
      <c r="R115">
        <f>IF($A115="","",IF(MAX(AO115:AY115)=0,"—",INDEX('Beállítások'!$B$6:$B$16,MATCH(MAX(AO115:AY115),AO115:AY115,0))))</f>
        <v/>
      </c>
      <c r="S115" s="5">
        <f>IF($A115="","",'Beállítások'!$B$47*(TRIM('Ügyfelek'!E115)="igen")+'Beállítások'!$B$48*(TRIM('Ügyfelek'!F115)="igen")+'Beállítások'!$B$49*N('Ügyfelek'!G115)+'Beállítások'!$B$46*N('Ügyfelek'!H115))</f>
        <v/>
      </c>
      <c r="T115" s="15">
        <f>IF($A115="","",VLOOKUP(M115,'Beállítások'!$A$57:$E$60,4,TRUE))</f>
        <v/>
      </c>
      <c r="U115" s="5">
        <f>IF($A115="","",N('Ügyfelek'!D115)*'Beállítások'!$B$51)</f>
        <v/>
      </c>
      <c r="V115" s="5">
        <f>IF($A115="","",CEILING(ROUND(MAX('Beállítások'!$B$50,S115*T115,U115),2),'Beállítások'!$B$52))</f>
        <v/>
      </c>
      <c r="W115">
        <f>IF($A115="","",IF(MAX('Beállítások'!$B$50,S115*T115,U115)=S115*T115,"Munkaigény × szintszorzó",IF(MAX('Beállítások'!$B$50,S115*T115,U115)=U115,"Hirdetési keret arányában","Minimumdíj")))</f>
        <v/>
      </c>
      <c r="X115" s="5">
        <f>IF(OR($A115="",'Ügyfelek'!Q115=""),"",'Ügyfelek'!Q115)</f>
        <v/>
      </c>
      <c r="Y115" s="5">
        <f>IF(X115="","",V115-X115)</f>
        <v/>
      </c>
      <c r="Z115" s="16">
        <f>IF(OR(X115="",X115=0),"",Y115/X115)</f>
        <v/>
      </c>
      <c r="AA115" s="5">
        <f>IF(OR($A115="",'Ügyfelek'!R115=""),"",'Ügyfelek'!R115*VLOOKUP(M115,'Beállítások'!$A$57:$E$60,5,TRUE))</f>
        <v/>
      </c>
      <c r="AB115" s="14">
        <f>IF($A115="","",('Ügyfelek'!B115="")+('Ügyfelek'!C115="")+('Ügyfelek'!D115="")+('Ügyfelek'!L115="")+('Ügyfelek'!I115="")+('Ügyfelek'!N115="")+('Ügyfelek'!J115="")+('Ügyfelek'!K115="")+('Ügyfelek'!M115="")+('Ügyfelek'!P115="")+('Ügyfelek'!O115=""))</f>
        <v/>
      </c>
      <c r="AD115">
        <f>IF($A115="","",B115+'Beállítások'!$E$6/1000)</f>
        <v/>
      </c>
      <c r="AE115">
        <f>IF($A115="","",C115+'Beállítások'!$E$7/1000)</f>
        <v/>
      </c>
      <c r="AF115">
        <f>IF($A115="","",D115+'Beállítások'!$E$8/1000)</f>
        <v/>
      </c>
      <c r="AG115">
        <f>IF($A115="","",E115+'Beállítások'!$E$9/1000)</f>
        <v/>
      </c>
      <c r="AH115">
        <f>IF($A115="","",F115+'Beállítások'!$E$10/1000)</f>
        <v/>
      </c>
      <c r="AI115">
        <f>IF($A115="","",G115+'Beállítások'!$E$11/1000)</f>
        <v/>
      </c>
      <c r="AJ115">
        <f>IF($A115="","",H115+'Beállítások'!$E$12/1000)</f>
        <v/>
      </c>
      <c r="AK115">
        <f>IF($A115="","",I115+'Beállítások'!$E$13/1000)</f>
        <v/>
      </c>
      <c r="AL115">
        <f>IF($A115="","",J115+'Beállítások'!$E$14/1000)</f>
        <v/>
      </c>
      <c r="AM115">
        <f>IF($A115="","",K115+'Beállítások'!$E$15/1000)</f>
        <v/>
      </c>
      <c r="AN115">
        <f>IF($A115="","",L115+'Beállítások'!$E$16/1000)</f>
        <v/>
      </c>
      <c r="AO115">
        <f>IF($A115="","",'Beállítások'!$E$6*(5-B115))</f>
        <v/>
      </c>
      <c r="AP115">
        <f>IF($A115="","",'Beállítások'!$E$7*(5-C115))</f>
        <v/>
      </c>
      <c r="AQ115">
        <f>IF($A115="","",'Beállítások'!$E$8*(5-D115))</f>
        <v/>
      </c>
      <c r="AR115">
        <f>IF($A115="","",'Beállítások'!$E$9*(5-E115))</f>
        <v/>
      </c>
      <c r="AS115">
        <f>IF($A115="","",'Beállítások'!$E$10*(5-F115))</f>
        <v/>
      </c>
      <c r="AT115">
        <f>IF($A115="","",'Beállítások'!$E$11*(5-G115))</f>
        <v/>
      </c>
      <c r="AU115">
        <f>IF($A115="","",'Beállítások'!$E$12*(5-H115))</f>
        <v/>
      </c>
      <c r="AV115">
        <f>IF($A115="","",'Beállítások'!$E$13*(5-I115))</f>
        <v/>
      </c>
      <c r="AW115">
        <f>IF($A115="","",'Beállítások'!$E$14*(5-J115))</f>
        <v/>
      </c>
      <c r="AX115">
        <f>IF($A115="","",'Beállítások'!$E$15*(5-K115))</f>
        <v/>
      </c>
      <c r="AY115">
        <f>IF($A115="","",'Beállítások'!$E$16*(5-L115))</f>
        <v/>
      </c>
      <c r="AZ115">
        <f>IF($A115="","",M115-ROW()/100000)</f>
        <v/>
      </c>
    </row>
    <row r="116">
      <c r="A116">
        <f>IF('Ügyfelek'!A116="","",'Ügyfelek'!A116)</f>
        <v/>
      </c>
      <c r="B116">
        <f>IF($A116="","",IF('Ügyfelek'!B116="",'Beállítások'!$B$45,IFERROR(VLOOKUP(TRIM('Ügyfelek'!B116),'Beállítások'!$A$22:$B$41,2,FALSE),'Beállítások'!$B$45)))</f>
        <v/>
      </c>
      <c r="C116">
        <f>IF($A116="","",IF('Ügyfelek'!C116="",'Beállítások'!$B$45,VLOOKUP(MAX('Ügyfelek'!C116,'Beállítások'!$H$7),'Beállítások'!$H$7:$I$11,2,TRUE)))</f>
        <v/>
      </c>
      <c r="D116">
        <f>IF($A116="","",IF('Ügyfelek'!D116="",'Beállítások'!$B$45,VLOOKUP(MAX('Ügyfelek'!D116,'Beállítások'!$K$7),'Beállítások'!$K$7:$L$11,2,TRUE)))</f>
        <v/>
      </c>
      <c r="E116">
        <f>IF($A116="","",IF('Ügyfelek'!L116="",'Beállítások'!$B$45,MIN(5,MAX(1,ROUND('Ügyfelek'!L116,0)))))</f>
        <v/>
      </c>
      <c r="F116">
        <f>IF($A116="","",IF('Ügyfelek'!I116="",'Beállítások'!$B$45,VLOOKUP(MAX('Ügyfelek'!I116,'Beállítások'!$N$7),'Beállítások'!$N$7:$O$11,2,TRUE)))</f>
        <v/>
      </c>
      <c r="G116">
        <f>IF($A116="","",IF('Ügyfelek'!N116="",'Beállítások'!$B$45,MIN(5,MAX(1,ROUND('Ügyfelek'!N116,0)))))</f>
        <v/>
      </c>
      <c r="H116">
        <f>IF($A116="","",IF('Ügyfelek'!J116="",'Beállítások'!$B$45,VLOOKUP(MAX('Ügyfelek'!J116,'Beállítások'!$Q$7),'Beállítások'!$Q$7:$R$11,2,TRUE)))</f>
        <v/>
      </c>
      <c r="I116">
        <f>IF($A116="","",IF('Ügyfelek'!K116="",'Beállítások'!$B$45,VLOOKUP(MAX('Ügyfelek'!K116,'Beállítások'!$T$7),'Beállítások'!$T$7:$U$11,2,TRUE)))</f>
        <v/>
      </c>
      <c r="J116">
        <f>IF($A116="","",IF('Ügyfelek'!M116="",'Beállítások'!$B$45,MIN(5,MAX(1,ROUND('Ügyfelek'!M116,0)))))</f>
        <v/>
      </c>
      <c r="K116">
        <f>IF($A116="","",IF('Ügyfelek'!P116="",'Beállítások'!$B$45,MIN(5,MAX(1,ROUND('Ügyfelek'!P116,0)))))</f>
        <v/>
      </c>
      <c r="L116">
        <f>IF($A116="","",IF('Ügyfelek'!O116="",'Beállítások'!$B$45,MIN(5,MAX(1,ROUND('Ügyfelek'!O116,0)))))</f>
        <v/>
      </c>
      <c r="M116" s="13">
        <f>IF($A116="","",ROUND('Beállítások'!$E$6*(B116-1)/4+'Beállítások'!$E$7*(C116-1)/4+'Beállítások'!$E$8*(D116-1)/4+'Beállítások'!$E$9*(E116-1)/4+'Beállítások'!$E$10*(F116-1)/4+'Beállítások'!$E$11*(G116-1)/4+'Beállítások'!$E$12*(H116-1)/4+'Beállítások'!$E$13*(I116-1)/4+'Beállítások'!$E$14*(J116-1)/4+'Beállítások'!$E$15*(K116-1)/4+'Beállítások'!$E$16*(L116-1)/4,1))</f>
        <v/>
      </c>
      <c r="N116" s="14">
        <f>IF($A116="","",RANK(M116,$M$2:$M$201))</f>
        <v/>
      </c>
      <c r="O116">
        <f>IF($A116="","",VLOOKUP(M116,'Beállítások'!$A$57:$E$60,2,TRUE))</f>
        <v/>
      </c>
      <c r="P116">
        <f>IF($A116="","",VLOOKUP(M116,'Beállítások'!$A$57:$E$60,3,TRUE))</f>
        <v/>
      </c>
      <c r="Q116">
        <f>IF($A116="","",INDEX('Beállítások'!$B$6:$B$16,MATCH(MAX(AD116:AN116),AD116:AN116,0)))</f>
        <v/>
      </c>
      <c r="R116">
        <f>IF($A116="","",IF(MAX(AO116:AY116)=0,"—",INDEX('Beállítások'!$B$6:$B$16,MATCH(MAX(AO116:AY116),AO116:AY116,0))))</f>
        <v/>
      </c>
      <c r="S116" s="5">
        <f>IF($A116="","",'Beállítások'!$B$47*(TRIM('Ügyfelek'!E116)="igen")+'Beállítások'!$B$48*(TRIM('Ügyfelek'!F116)="igen")+'Beállítások'!$B$49*N('Ügyfelek'!G116)+'Beállítások'!$B$46*N('Ügyfelek'!H116))</f>
        <v/>
      </c>
      <c r="T116" s="15">
        <f>IF($A116="","",VLOOKUP(M116,'Beállítások'!$A$57:$E$60,4,TRUE))</f>
        <v/>
      </c>
      <c r="U116" s="5">
        <f>IF($A116="","",N('Ügyfelek'!D116)*'Beállítások'!$B$51)</f>
        <v/>
      </c>
      <c r="V116" s="5">
        <f>IF($A116="","",CEILING(ROUND(MAX('Beállítások'!$B$50,S116*T116,U116),2),'Beállítások'!$B$52))</f>
        <v/>
      </c>
      <c r="W116">
        <f>IF($A116="","",IF(MAX('Beállítások'!$B$50,S116*T116,U116)=S116*T116,"Munkaigény × szintszorzó",IF(MAX('Beállítások'!$B$50,S116*T116,U116)=U116,"Hirdetési keret arányában","Minimumdíj")))</f>
        <v/>
      </c>
      <c r="X116" s="5">
        <f>IF(OR($A116="",'Ügyfelek'!Q116=""),"",'Ügyfelek'!Q116)</f>
        <v/>
      </c>
      <c r="Y116" s="5">
        <f>IF(X116="","",V116-X116)</f>
        <v/>
      </c>
      <c r="Z116" s="16">
        <f>IF(OR(X116="",X116=0),"",Y116/X116)</f>
        <v/>
      </c>
      <c r="AA116" s="5">
        <f>IF(OR($A116="",'Ügyfelek'!R116=""),"",'Ügyfelek'!R116*VLOOKUP(M116,'Beállítások'!$A$57:$E$60,5,TRUE))</f>
        <v/>
      </c>
      <c r="AB116" s="14">
        <f>IF($A116="","",('Ügyfelek'!B116="")+('Ügyfelek'!C116="")+('Ügyfelek'!D116="")+('Ügyfelek'!L116="")+('Ügyfelek'!I116="")+('Ügyfelek'!N116="")+('Ügyfelek'!J116="")+('Ügyfelek'!K116="")+('Ügyfelek'!M116="")+('Ügyfelek'!P116="")+('Ügyfelek'!O116=""))</f>
        <v/>
      </c>
      <c r="AD116">
        <f>IF($A116="","",B116+'Beállítások'!$E$6/1000)</f>
        <v/>
      </c>
      <c r="AE116">
        <f>IF($A116="","",C116+'Beállítások'!$E$7/1000)</f>
        <v/>
      </c>
      <c r="AF116">
        <f>IF($A116="","",D116+'Beállítások'!$E$8/1000)</f>
        <v/>
      </c>
      <c r="AG116">
        <f>IF($A116="","",E116+'Beállítások'!$E$9/1000)</f>
        <v/>
      </c>
      <c r="AH116">
        <f>IF($A116="","",F116+'Beállítások'!$E$10/1000)</f>
        <v/>
      </c>
      <c r="AI116">
        <f>IF($A116="","",G116+'Beállítások'!$E$11/1000)</f>
        <v/>
      </c>
      <c r="AJ116">
        <f>IF($A116="","",H116+'Beállítások'!$E$12/1000)</f>
        <v/>
      </c>
      <c r="AK116">
        <f>IF($A116="","",I116+'Beállítások'!$E$13/1000)</f>
        <v/>
      </c>
      <c r="AL116">
        <f>IF($A116="","",J116+'Beállítások'!$E$14/1000)</f>
        <v/>
      </c>
      <c r="AM116">
        <f>IF($A116="","",K116+'Beállítások'!$E$15/1000)</f>
        <v/>
      </c>
      <c r="AN116">
        <f>IF($A116="","",L116+'Beállítások'!$E$16/1000)</f>
        <v/>
      </c>
      <c r="AO116">
        <f>IF($A116="","",'Beállítások'!$E$6*(5-B116))</f>
        <v/>
      </c>
      <c r="AP116">
        <f>IF($A116="","",'Beállítások'!$E$7*(5-C116))</f>
        <v/>
      </c>
      <c r="AQ116">
        <f>IF($A116="","",'Beállítások'!$E$8*(5-D116))</f>
        <v/>
      </c>
      <c r="AR116">
        <f>IF($A116="","",'Beállítások'!$E$9*(5-E116))</f>
        <v/>
      </c>
      <c r="AS116">
        <f>IF($A116="","",'Beállítások'!$E$10*(5-F116))</f>
        <v/>
      </c>
      <c r="AT116">
        <f>IF($A116="","",'Beállítások'!$E$11*(5-G116))</f>
        <v/>
      </c>
      <c r="AU116">
        <f>IF($A116="","",'Beállítások'!$E$12*(5-H116))</f>
        <v/>
      </c>
      <c r="AV116">
        <f>IF($A116="","",'Beállítások'!$E$13*(5-I116))</f>
        <v/>
      </c>
      <c r="AW116">
        <f>IF($A116="","",'Beállítások'!$E$14*(5-J116))</f>
        <v/>
      </c>
      <c r="AX116">
        <f>IF($A116="","",'Beállítások'!$E$15*(5-K116))</f>
        <v/>
      </c>
      <c r="AY116">
        <f>IF($A116="","",'Beállítások'!$E$16*(5-L116))</f>
        <v/>
      </c>
      <c r="AZ116">
        <f>IF($A116="","",M116-ROW()/100000)</f>
        <v/>
      </c>
    </row>
    <row r="117">
      <c r="A117">
        <f>IF('Ügyfelek'!A117="","",'Ügyfelek'!A117)</f>
        <v/>
      </c>
      <c r="B117">
        <f>IF($A117="","",IF('Ügyfelek'!B117="",'Beállítások'!$B$45,IFERROR(VLOOKUP(TRIM('Ügyfelek'!B117),'Beállítások'!$A$22:$B$41,2,FALSE),'Beállítások'!$B$45)))</f>
        <v/>
      </c>
      <c r="C117">
        <f>IF($A117="","",IF('Ügyfelek'!C117="",'Beállítások'!$B$45,VLOOKUP(MAX('Ügyfelek'!C117,'Beállítások'!$H$7),'Beállítások'!$H$7:$I$11,2,TRUE)))</f>
        <v/>
      </c>
      <c r="D117">
        <f>IF($A117="","",IF('Ügyfelek'!D117="",'Beállítások'!$B$45,VLOOKUP(MAX('Ügyfelek'!D117,'Beállítások'!$K$7),'Beállítások'!$K$7:$L$11,2,TRUE)))</f>
        <v/>
      </c>
      <c r="E117">
        <f>IF($A117="","",IF('Ügyfelek'!L117="",'Beállítások'!$B$45,MIN(5,MAX(1,ROUND('Ügyfelek'!L117,0)))))</f>
        <v/>
      </c>
      <c r="F117">
        <f>IF($A117="","",IF('Ügyfelek'!I117="",'Beállítások'!$B$45,VLOOKUP(MAX('Ügyfelek'!I117,'Beállítások'!$N$7),'Beállítások'!$N$7:$O$11,2,TRUE)))</f>
        <v/>
      </c>
      <c r="G117">
        <f>IF($A117="","",IF('Ügyfelek'!N117="",'Beállítások'!$B$45,MIN(5,MAX(1,ROUND('Ügyfelek'!N117,0)))))</f>
        <v/>
      </c>
      <c r="H117">
        <f>IF($A117="","",IF('Ügyfelek'!J117="",'Beállítások'!$B$45,VLOOKUP(MAX('Ügyfelek'!J117,'Beállítások'!$Q$7),'Beállítások'!$Q$7:$R$11,2,TRUE)))</f>
        <v/>
      </c>
      <c r="I117">
        <f>IF($A117="","",IF('Ügyfelek'!K117="",'Beállítások'!$B$45,VLOOKUP(MAX('Ügyfelek'!K117,'Beállítások'!$T$7),'Beállítások'!$T$7:$U$11,2,TRUE)))</f>
        <v/>
      </c>
      <c r="J117">
        <f>IF($A117="","",IF('Ügyfelek'!M117="",'Beállítások'!$B$45,MIN(5,MAX(1,ROUND('Ügyfelek'!M117,0)))))</f>
        <v/>
      </c>
      <c r="K117">
        <f>IF($A117="","",IF('Ügyfelek'!P117="",'Beállítások'!$B$45,MIN(5,MAX(1,ROUND('Ügyfelek'!P117,0)))))</f>
        <v/>
      </c>
      <c r="L117">
        <f>IF($A117="","",IF('Ügyfelek'!O117="",'Beállítások'!$B$45,MIN(5,MAX(1,ROUND('Ügyfelek'!O117,0)))))</f>
        <v/>
      </c>
      <c r="M117" s="13">
        <f>IF($A117="","",ROUND('Beállítások'!$E$6*(B117-1)/4+'Beállítások'!$E$7*(C117-1)/4+'Beállítások'!$E$8*(D117-1)/4+'Beállítások'!$E$9*(E117-1)/4+'Beállítások'!$E$10*(F117-1)/4+'Beállítások'!$E$11*(G117-1)/4+'Beállítások'!$E$12*(H117-1)/4+'Beállítások'!$E$13*(I117-1)/4+'Beállítások'!$E$14*(J117-1)/4+'Beállítások'!$E$15*(K117-1)/4+'Beállítások'!$E$16*(L117-1)/4,1))</f>
        <v/>
      </c>
      <c r="N117" s="14">
        <f>IF($A117="","",RANK(M117,$M$2:$M$201))</f>
        <v/>
      </c>
      <c r="O117">
        <f>IF($A117="","",VLOOKUP(M117,'Beállítások'!$A$57:$E$60,2,TRUE))</f>
        <v/>
      </c>
      <c r="P117">
        <f>IF($A117="","",VLOOKUP(M117,'Beállítások'!$A$57:$E$60,3,TRUE))</f>
        <v/>
      </c>
      <c r="Q117">
        <f>IF($A117="","",INDEX('Beállítások'!$B$6:$B$16,MATCH(MAX(AD117:AN117),AD117:AN117,0)))</f>
        <v/>
      </c>
      <c r="R117">
        <f>IF($A117="","",IF(MAX(AO117:AY117)=0,"—",INDEX('Beállítások'!$B$6:$B$16,MATCH(MAX(AO117:AY117),AO117:AY117,0))))</f>
        <v/>
      </c>
      <c r="S117" s="5">
        <f>IF($A117="","",'Beállítások'!$B$47*(TRIM('Ügyfelek'!E117)="igen")+'Beállítások'!$B$48*(TRIM('Ügyfelek'!F117)="igen")+'Beállítások'!$B$49*N('Ügyfelek'!G117)+'Beállítások'!$B$46*N('Ügyfelek'!H117))</f>
        <v/>
      </c>
      <c r="T117" s="15">
        <f>IF($A117="","",VLOOKUP(M117,'Beállítások'!$A$57:$E$60,4,TRUE))</f>
        <v/>
      </c>
      <c r="U117" s="5">
        <f>IF($A117="","",N('Ügyfelek'!D117)*'Beállítások'!$B$51)</f>
        <v/>
      </c>
      <c r="V117" s="5">
        <f>IF($A117="","",CEILING(ROUND(MAX('Beállítások'!$B$50,S117*T117,U117),2),'Beállítások'!$B$52))</f>
        <v/>
      </c>
      <c r="W117">
        <f>IF($A117="","",IF(MAX('Beállítások'!$B$50,S117*T117,U117)=S117*T117,"Munkaigény × szintszorzó",IF(MAX('Beállítások'!$B$50,S117*T117,U117)=U117,"Hirdetési keret arányában","Minimumdíj")))</f>
        <v/>
      </c>
      <c r="X117" s="5">
        <f>IF(OR($A117="",'Ügyfelek'!Q117=""),"",'Ügyfelek'!Q117)</f>
        <v/>
      </c>
      <c r="Y117" s="5">
        <f>IF(X117="","",V117-X117)</f>
        <v/>
      </c>
      <c r="Z117" s="16">
        <f>IF(OR(X117="",X117=0),"",Y117/X117)</f>
        <v/>
      </c>
      <c r="AA117" s="5">
        <f>IF(OR($A117="",'Ügyfelek'!R117=""),"",'Ügyfelek'!R117*VLOOKUP(M117,'Beállítások'!$A$57:$E$60,5,TRUE))</f>
        <v/>
      </c>
      <c r="AB117" s="14">
        <f>IF($A117="","",('Ügyfelek'!B117="")+('Ügyfelek'!C117="")+('Ügyfelek'!D117="")+('Ügyfelek'!L117="")+('Ügyfelek'!I117="")+('Ügyfelek'!N117="")+('Ügyfelek'!J117="")+('Ügyfelek'!K117="")+('Ügyfelek'!M117="")+('Ügyfelek'!P117="")+('Ügyfelek'!O117=""))</f>
        <v/>
      </c>
      <c r="AD117">
        <f>IF($A117="","",B117+'Beállítások'!$E$6/1000)</f>
        <v/>
      </c>
      <c r="AE117">
        <f>IF($A117="","",C117+'Beállítások'!$E$7/1000)</f>
        <v/>
      </c>
      <c r="AF117">
        <f>IF($A117="","",D117+'Beállítások'!$E$8/1000)</f>
        <v/>
      </c>
      <c r="AG117">
        <f>IF($A117="","",E117+'Beállítások'!$E$9/1000)</f>
        <v/>
      </c>
      <c r="AH117">
        <f>IF($A117="","",F117+'Beállítások'!$E$10/1000)</f>
        <v/>
      </c>
      <c r="AI117">
        <f>IF($A117="","",G117+'Beállítások'!$E$11/1000)</f>
        <v/>
      </c>
      <c r="AJ117">
        <f>IF($A117="","",H117+'Beállítások'!$E$12/1000)</f>
        <v/>
      </c>
      <c r="AK117">
        <f>IF($A117="","",I117+'Beállítások'!$E$13/1000)</f>
        <v/>
      </c>
      <c r="AL117">
        <f>IF($A117="","",J117+'Beállítások'!$E$14/1000)</f>
        <v/>
      </c>
      <c r="AM117">
        <f>IF($A117="","",K117+'Beállítások'!$E$15/1000)</f>
        <v/>
      </c>
      <c r="AN117">
        <f>IF($A117="","",L117+'Beállítások'!$E$16/1000)</f>
        <v/>
      </c>
      <c r="AO117">
        <f>IF($A117="","",'Beállítások'!$E$6*(5-B117))</f>
        <v/>
      </c>
      <c r="AP117">
        <f>IF($A117="","",'Beállítások'!$E$7*(5-C117))</f>
        <v/>
      </c>
      <c r="AQ117">
        <f>IF($A117="","",'Beállítások'!$E$8*(5-D117))</f>
        <v/>
      </c>
      <c r="AR117">
        <f>IF($A117="","",'Beállítások'!$E$9*(5-E117))</f>
        <v/>
      </c>
      <c r="AS117">
        <f>IF($A117="","",'Beállítások'!$E$10*(5-F117))</f>
        <v/>
      </c>
      <c r="AT117">
        <f>IF($A117="","",'Beállítások'!$E$11*(5-G117))</f>
        <v/>
      </c>
      <c r="AU117">
        <f>IF($A117="","",'Beállítások'!$E$12*(5-H117))</f>
        <v/>
      </c>
      <c r="AV117">
        <f>IF($A117="","",'Beállítások'!$E$13*(5-I117))</f>
        <v/>
      </c>
      <c r="AW117">
        <f>IF($A117="","",'Beállítások'!$E$14*(5-J117))</f>
        <v/>
      </c>
      <c r="AX117">
        <f>IF($A117="","",'Beállítások'!$E$15*(5-K117))</f>
        <v/>
      </c>
      <c r="AY117">
        <f>IF($A117="","",'Beállítások'!$E$16*(5-L117))</f>
        <v/>
      </c>
      <c r="AZ117">
        <f>IF($A117="","",M117-ROW()/100000)</f>
        <v/>
      </c>
    </row>
    <row r="118">
      <c r="A118">
        <f>IF('Ügyfelek'!A118="","",'Ügyfelek'!A118)</f>
        <v/>
      </c>
      <c r="B118">
        <f>IF($A118="","",IF('Ügyfelek'!B118="",'Beállítások'!$B$45,IFERROR(VLOOKUP(TRIM('Ügyfelek'!B118),'Beállítások'!$A$22:$B$41,2,FALSE),'Beállítások'!$B$45)))</f>
        <v/>
      </c>
      <c r="C118">
        <f>IF($A118="","",IF('Ügyfelek'!C118="",'Beállítások'!$B$45,VLOOKUP(MAX('Ügyfelek'!C118,'Beállítások'!$H$7),'Beállítások'!$H$7:$I$11,2,TRUE)))</f>
        <v/>
      </c>
      <c r="D118">
        <f>IF($A118="","",IF('Ügyfelek'!D118="",'Beállítások'!$B$45,VLOOKUP(MAX('Ügyfelek'!D118,'Beállítások'!$K$7),'Beállítások'!$K$7:$L$11,2,TRUE)))</f>
        <v/>
      </c>
      <c r="E118">
        <f>IF($A118="","",IF('Ügyfelek'!L118="",'Beállítások'!$B$45,MIN(5,MAX(1,ROUND('Ügyfelek'!L118,0)))))</f>
        <v/>
      </c>
      <c r="F118">
        <f>IF($A118="","",IF('Ügyfelek'!I118="",'Beállítások'!$B$45,VLOOKUP(MAX('Ügyfelek'!I118,'Beállítások'!$N$7),'Beállítások'!$N$7:$O$11,2,TRUE)))</f>
        <v/>
      </c>
      <c r="G118">
        <f>IF($A118="","",IF('Ügyfelek'!N118="",'Beállítások'!$B$45,MIN(5,MAX(1,ROUND('Ügyfelek'!N118,0)))))</f>
        <v/>
      </c>
      <c r="H118">
        <f>IF($A118="","",IF('Ügyfelek'!J118="",'Beállítások'!$B$45,VLOOKUP(MAX('Ügyfelek'!J118,'Beállítások'!$Q$7),'Beállítások'!$Q$7:$R$11,2,TRUE)))</f>
        <v/>
      </c>
      <c r="I118">
        <f>IF($A118="","",IF('Ügyfelek'!K118="",'Beállítások'!$B$45,VLOOKUP(MAX('Ügyfelek'!K118,'Beállítások'!$T$7),'Beállítások'!$T$7:$U$11,2,TRUE)))</f>
        <v/>
      </c>
      <c r="J118">
        <f>IF($A118="","",IF('Ügyfelek'!M118="",'Beállítások'!$B$45,MIN(5,MAX(1,ROUND('Ügyfelek'!M118,0)))))</f>
        <v/>
      </c>
      <c r="K118">
        <f>IF($A118="","",IF('Ügyfelek'!P118="",'Beállítások'!$B$45,MIN(5,MAX(1,ROUND('Ügyfelek'!P118,0)))))</f>
        <v/>
      </c>
      <c r="L118">
        <f>IF($A118="","",IF('Ügyfelek'!O118="",'Beállítások'!$B$45,MIN(5,MAX(1,ROUND('Ügyfelek'!O118,0)))))</f>
        <v/>
      </c>
      <c r="M118" s="13">
        <f>IF($A118="","",ROUND('Beállítások'!$E$6*(B118-1)/4+'Beállítások'!$E$7*(C118-1)/4+'Beállítások'!$E$8*(D118-1)/4+'Beállítások'!$E$9*(E118-1)/4+'Beállítások'!$E$10*(F118-1)/4+'Beállítások'!$E$11*(G118-1)/4+'Beállítások'!$E$12*(H118-1)/4+'Beállítások'!$E$13*(I118-1)/4+'Beállítások'!$E$14*(J118-1)/4+'Beállítások'!$E$15*(K118-1)/4+'Beállítások'!$E$16*(L118-1)/4,1))</f>
        <v/>
      </c>
      <c r="N118" s="14">
        <f>IF($A118="","",RANK(M118,$M$2:$M$201))</f>
        <v/>
      </c>
      <c r="O118">
        <f>IF($A118="","",VLOOKUP(M118,'Beállítások'!$A$57:$E$60,2,TRUE))</f>
        <v/>
      </c>
      <c r="P118">
        <f>IF($A118="","",VLOOKUP(M118,'Beállítások'!$A$57:$E$60,3,TRUE))</f>
        <v/>
      </c>
      <c r="Q118">
        <f>IF($A118="","",INDEX('Beállítások'!$B$6:$B$16,MATCH(MAX(AD118:AN118),AD118:AN118,0)))</f>
        <v/>
      </c>
      <c r="R118">
        <f>IF($A118="","",IF(MAX(AO118:AY118)=0,"—",INDEX('Beállítások'!$B$6:$B$16,MATCH(MAX(AO118:AY118),AO118:AY118,0))))</f>
        <v/>
      </c>
      <c r="S118" s="5">
        <f>IF($A118="","",'Beállítások'!$B$47*(TRIM('Ügyfelek'!E118)="igen")+'Beállítások'!$B$48*(TRIM('Ügyfelek'!F118)="igen")+'Beállítások'!$B$49*N('Ügyfelek'!G118)+'Beállítások'!$B$46*N('Ügyfelek'!H118))</f>
        <v/>
      </c>
      <c r="T118" s="15">
        <f>IF($A118="","",VLOOKUP(M118,'Beállítások'!$A$57:$E$60,4,TRUE))</f>
        <v/>
      </c>
      <c r="U118" s="5">
        <f>IF($A118="","",N('Ügyfelek'!D118)*'Beállítások'!$B$51)</f>
        <v/>
      </c>
      <c r="V118" s="5">
        <f>IF($A118="","",CEILING(ROUND(MAX('Beállítások'!$B$50,S118*T118,U118),2),'Beállítások'!$B$52))</f>
        <v/>
      </c>
      <c r="W118">
        <f>IF($A118="","",IF(MAX('Beállítások'!$B$50,S118*T118,U118)=S118*T118,"Munkaigény × szintszorzó",IF(MAX('Beállítások'!$B$50,S118*T118,U118)=U118,"Hirdetési keret arányában","Minimumdíj")))</f>
        <v/>
      </c>
      <c r="X118" s="5">
        <f>IF(OR($A118="",'Ügyfelek'!Q118=""),"",'Ügyfelek'!Q118)</f>
        <v/>
      </c>
      <c r="Y118" s="5">
        <f>IF(X118="","",V118-X118)</f>
        <v/>
      </c>
      <c r="Z118" s="16">
        <f>IF(OR(X118="",X118=0),"",Y118/X118)</f>
        <v/>
      </c>
      <c r="AA118" s="5">
        <f>IF(OR($A118="",'Ügyfelek'!R118=""),"",'Ügyfelek'!R118*VLOOKUP(M118,'Beállítások'!$A$57:$E$60,5,TRUE))</f>
        <v/>
      </c>
      <c r="AB118" s="14">
        <f>IF($A118="","",('Ügyfelek'!B118="")+('Ügyfelek'!C118="")+('Ügyfelek'!D118="")+('Ügyfelek'!L118="")+('Ügyfelek'!I118="")+('Ügyfelek'!N118="")+('Ügyfelek'!J118="")+('Ügyfelek'!K118="")+('Ügyfelek'!M118="")+('Ügyfelek'!P118="")+('Ügyfelek'!O118=""))</f>
        <v/>
      </c>
      <c r="AD118">
        <f>IF($A118="","",B118+'Beállítások'!$E$6/1000)</f>
        <v/>
      </c>
      <c r="AE118">
        <f>IF($A118="","",C118+'Beállítások'!$E$7/1000)</f>
        <v/>
      </c>
      <c r="AF118">
        <f>IF($A118="","",D118+'Beállítások'!$E$8/1000)</f>
        <v/>
      </c>
      <c r="AG118">
        <f>IF($A118="","",E118+'Beállítások'!$E$9/1000)</f>
        <v/>
      </c>
      <c r="AH118">
        <f>IF($A118="","",F118+'Beállítások'!$E$10/1000)</f>
        <v/>
      </c>
      <c r="AI118">
        <f>IF($A118="","",G118+'Beállítások'!$E$11/1000)</f>
        <v/>
      </c>
      <c r="AJ118">
        <f>IF($A118="","",H118+'Beállítások'!$E$12/1000)</f>
        <v/>
      </c>
      <c r="AK118">
        <f>IF($A118="","",I118+'Beállítások'!$E$13/1000)</f>
        <v/>
      </c>
      <c r="AL118">
        <f>IF($A118="","",J118+'Beállítások'!$E$14/1000)</f>
        <v/>
      </c>
      <c r="AM118">
        <f>IF($A118="","",K118+'Beállítások'!$E$15/1000)</f>
        <v/>
      </c>
      <c r="AN118">
        <f>IF($A118="","",L118+'Beállítások'!$E$16/1000)</f>
        <v/>
      </c>
      <c r="AO118">
        <f>IF($A118="","",'Beállítások'!$E$6*(5-B118))</f>
        <v/>
      </c>
      <c r="AP118">
        <f>IF($A118="","",'Beállítások'!$E$7*(5-C118))</f>
        <v/>
      </c>
      <c r="AQ118">
        <f>IF($A118="","",'Beállítások'!$E$8*(5-D118))</f>
        <v/>
      </c>
      <c r="AR118">
        <f>IF($A118="","",'Beállítások'!$E$9*(5-E118))</f>
        <v/>
      </c>
      <c r="AS118">
        <f>IF($A118="","",'Beállítások'!$E$10*(5-F118))</f>
        <v/>
      </c>
      <c r="AT118">
        <f>IF($A118="","",'Beállítások'!$E$11*(5-G118))</f>
        <v/>
      </c>
      <c r="AU118">
        <f>IF($A118="","",'Beállítások'!$E$12*(5-H118))</f>
        <v/>
      </c>
      <c r="AV118">
        <f>IF($A118="","",'Beállítások'!$E$13*(5-I118))</f>
        <v/>
      </c>
      <c r="AW118">
        <f>IF($A118="","",'Beállítások'!$E$14*(5-J118))</f>
        <v/>
      </c>
      <c r="AX118">
        <f>IF($A118="","",'Beállítások'!$E$15*(5-K118))</f>
        <v/>
      </c>
      <c r="AY118">
        <f>IF($A118="","",'Beállítások'!$E$16*(5-L118))</f>
        <v/>
      </c>
      <c r="AZ118">
        <f>IF($A118="","",M118-ROW()/100000)</f>
        <v/>
      </c>
    </row>
    <row r="119">
      <c r="A119">
        <f>IF('Ügyfelek'!A119="","",'Ügyfelek'!A119)</f>
        <v/>
      </c>
      <c r="B119">
        <f>IF($A119="","",IF('Ügyfelek'!B119="",'Beállítások'!$B$45,IFERROR(VLOOKUP(TRIM('Ügyfelek'!B119),'Beállítások'!$A$22:$B$41,2,FALSE),'Beállítások'!$B$45)))</f>
        <v/>
      </c>
      <c r="C119">
        <f>IF($A119="","",IF('Ügyfelek'!C119="",'Beállítások'!$B$45,VLOOKUP(MAX('Ügyfelek'!C119,'Beállítások'!$H$7),'Beállítások'!$H$7:$I$11,2,TRUE)))</f>
        <v/>
      </c>
      <c r="D119">
        <f>IF($A119="","",IF('Ügyfelek'!D119="",'Beállítások'!$B$45,VLOOKUP(MAX('Ügyfelek'!D119,'Beállítások'!$K$7),'Beállítások'!$K$7:$L$11,2,TRUE)))</f>
        <v/>
      </c>
      <c r="E119">
        <f>IF($A119="","",IF('Ügyfelek'!L119="",'Beállítások'!$B$45,MIN(5,MAX(1,ROUND('Ügyfelek'!L119,0)))))</f>
        <v/>
      </c>
      <c r="F119">
        <f>IF($A119="","",IF('Ügyfelek'!I119="",'Beállítások'!$B$45,VLOOKUP(MAX('Ügyfelek'!I119,'Beállítások'!$N$7),'Beállítások'!$N$7:$O$11,2,TRUE)))</f>
        <v/>
      </c>
      <c r="G119">
        <f>IF($A119="","",IF('Ügyfelek'!N119="",'Beállítások'!$B$45,MIN(5,MAX(1,ROUND('Ügyfelek'!N119,0)))))</f>
        <v/>
      </c>
      <c r="H119">
        <f>IF($A119="","",IF('Ügyfelek'!J119="",'Beállítások'!$B$45,VLOOKUP(MAX('Ügyfelek'!J119,'Beállítások'!$Q$7),'Beállítások'!$Q$7:$R$11,2,TRUE)))</f>
        <v/>
      </c>
      <c r="I119">
        <f>IF($A119="","",IF('Ügyfelek'!K119="",'Beállítások'!$B$45,VLOOKUP(MAX('Ügyfelek'!K119,'Beállítások'!$T$7),'Beállítások'!$T$7:$U$11,2,TRUE)))</f>
        <v/>
      </c>
      <c r="J119">
        <f>IF($A119="","",IF('Ügyfelek'!M119="",'Beállítások'!$B$45,MIN(5,MAX(1,ROUND('Ügyfelek'!M119,0)))))</f>
        <v/>
      </c>
      <c r="K119">
        <f>IF($A119="","",IF('Ügyfelek'!P119="",'Beállítások'!$B$45,MIN(5,MAX(1,ROUND('Ügyfelek'!P119,0)))))</f>
        <v/>
      </c>
      <c r="L119">
        <f>IF($A119="","",IF('Ügyfelek'!O119="",'Beállítások'!$B$45,MIN(5,MAX(1,ROUND('Ügyfelek'!O119,0)))))</f>
        <v/>
      </c>
      <c r="M119" s="13">
        <f>IF($A119="","",ROUND('Beállítások'!$E$6*(B119-1)/4+'Beállítások'!$E$7*(C119-1)/4+'Beállítások'!$E$8*(D119-1)/4+'Beállítások'!$E$9*(E119-1)/4+'Beállítások'!$E$10*(F119-1)/4+'Beállítások'!$E$11*(G119-1)/4+'Beállítások'!$E$12*(H119-1)/4+'Beállítások'!$E$13*(I119-1)/4+'Beállítások'!$E$14*(J119-1)/4+'Beállítások'!$E$15*(K119-1)/4+'Beállítások'!$E$16*(L119-1)/4,1))</f>
        <v/>
      </c>
      <c r="N119" s="14">
        <f>IF($A119="","",RANK(M119,$M$2:$M$201))</f>
        <v/>
      </c>
      <c r="O119">
        <f>IF($A119="","",VLOOKUP(M119,'Beállítások'!$A$57:$E$60,2,TRUE))</f>
        <v/>
      </c>
      <c r="P119">
        <f>IF($A119="","",VLOOKUP(M119,'Beállítások'!$A$57:$E$60,3,TRUE))</f>
        <v/>
      </c>
      <c r="Q119">
        <f>IF($A119="","",INDEX('Beállítások'!$B$6:$B$16,MATCH(MAX(AD119:AN119),AD119:AN119,0)))</f>
        <v/>
      </c>
      <c r="R119">
        <f>IF($A119="","",IF(MAX(AO119:AY119)=0,"—",INDEX('Beállítások'!$B$6:$B$16,MATCH(MAX(AO119:AY119),AO119:AY119,0))))</f>
        <v/>
      </c>
      <c r="S119" s="5">
        <f>IF($A119="","",'Beállítások'!$B$47*(TRIM('Ügyfelek'!E119)="igen")+'Beállítások'!$B$48*(TRIM('Ügyfelek'!F119)="igen")+'Beállítások'!$B$49*N('Ügyfelek'!G119)+'Beállítások'!$B$46*N('Ügyfelek'!H119))</f>
        <v/>
      </c>
      <c r="T119" s="15">
        <f>IF($A119="","",VLOOKUP(M119,'Beállítások'!$A$57:$E$60,4,TRUE))</f>
        <v/>
      </c>
      <c r="U119" s="5">
        <f>IF($A119="","",N('Ügyfelek'!D119)*'Beállítások'!$B$51)</f>
        <v/>
      </c>
      <c r="V119" s="5">
        <f>IF($A119="","",CEILING(ROUND(MAX('Beállítások'!$B$50,S119*T119,U119),2),'Beállítások'!$B$52))</f>
        <v/>
      </c>
      <c r="W119">
        <f>IF($A119="","",IF(MAX('Beállítások'!$B$50,S119*T119,U119)=S119*T119,"Munkaigény × szintszorzó",IF(MAX('Beállítások'!$B$50,S119*T119,U119)=U119,"Hirdetési keret arányában","Minimumdíj")))</f>
        <v/>
      </c>
      <c r="X119" s="5">
        <f>IF(OR($A119="",'Ügyfelek'!Q119=""),"",'Ügyfelek'!Q119)</f>
        <v/>
      </c>
      <c r="Y119" s="5">
        <f>IF(X119="","",V119-X119)</f>
        <v/>
      </c>
      <c r="Z119" s="16">
        <f>IF(OR(X119="",X119=0),"",Y119/X119)</f>
        <v/>
      </c>
      <c r="AA119" s="5">
        <f>IF(OR($A119="",'Ügyfelek'!R119=""),"",'Ügyfelek'!R119*VLOOKUP(M119,'Beállítások'!$A$57:$E$60,5,TRUE))</f>
        <v/>
      </c>
      <c r="AB119" s="14">
        <f>IF($A119="","",('Ügyfelek'!B119="")+('Ügyfelek'!C119="")+('Ügyfelek'!D119="")+('Ügyfelek'!L119="")+('Ügyfelek'!I119="")+('Ügyfelek'!N119="")+('Ügyfelek'!J119="")+('Ügyfelek'!K119="")+('Ügyfelek'!M119="")+('Ügyfelek'!P119="")+('Ügyfelek'!O119=""))</f>
        <v/>
      </c>
      <c r="AD119">
        <f>IF($A119="","",B119+'Beállítások'!$E$6/1000)</f>
        <v/>
      </c>
      <c r="AE119">
        <f>IF($A119="","",C119+'Beállítások'!$E$7/1000)</f>
        <v/>
      </c>
      <c r="AF119">
        <f>IF($A119="","",D119+'Beállítások'!$E$8/1000)</f>
        <v/>
      </c>
      <c r="AG119">
        <f>IF($A119="","",E119+'Beállítások'!$E$9/1000)</f>
        <v/>
      </c>
      <c r="AH119">
        <f>IF($A119="","",F119+'Beállítások'!$E$10/1000)</f>
        <v/>
      </c>
      <c r="AI119">
        <f>IF($A119="","",G119+'Beállítások'!$E$11/1000)</f>
        <v/>
      </c>
      <c r="AJ119">
        <f>IF($A119="","",H119+'Beállítások'!$E$12/1000)</f>
        <v/>
      </c>
      <c r="AK119">
        <f>IF($A119="","",I119+'Beállítások'!$E$13/1000)</f>
        <v/>
      </c>
      <c r="AL119">
        <f>IF($A119="","",J119+'Beállítások'!$E$14/1000)</f>
        <v/>
      </c>
      <c r="AM119">
        <f>IF($A119="","",K119+'Beállítások'!$E$15/1000)</f>
        <v/>
      </c>
      <c r="AN119">
        <f>IF($A119="","",L119+'Beállítások'!$E$16/1000)</f>
        <v/>
      </c>
      <c r="AO119">
        <f>IF($A119="","",'Beállítások'!$E$6*(5-B119))</f>
        <v/>
      </c>
      <c r="AP119">
        <f>IF($A119="","",'Beállítások'!$E$7*(5-C119))</f>
        <v/>
      </c>
      <c r="AQ119">
        <f>IF($A119="","",'Beállítások'!$E$8*(5-D119))</f>
        <v/>
      </c>
      <c r="AR119">
        <f>IF($A119="","",'Beállítások'!$E$9*(5-E119))</f>
        <v/>
      </c>
      <c r="AS119">
        <f>IF($A119="","",'Beállítások'!$E$10*(5-F119))</f>
        <v/>
      </c>
      <c r="AT119">
        <f>IF($A119="","",'Beállítások'!$E$11*(5-G119))</f>
        <v/>
      </c>
      <c r="AU119">
        <f>IF($A119="","",'Beállítások'!$E$12*(5-H119))</f>
        <v/>
      </c>
      <c r="AV119">
        <f>IF($A119="","",'Beállítások'!$E$13*(5-I119))</f>
        <v/>
      </c>
      <c r="AW119">
        <f>IF($A119="","",'Beállítások'!$E$14*(5-J119))</f>
        <v/>
      </c>
      <c r="AX119">
        <f>IF($A119="","",'Beállítások'!$E$15*(5-K119))</f>
        <v/>
      </c>
      <c r="AY119">
        <f>IF($A119="","",'Beállítások'!$E$16*(5-L119))</f>
        <v/>
      </c>
      <c r="AZ119">
        <f>IF($A119="","",M119-ROW()/100000)</f>
        <v/>
      </c>
    </row>
    <row r="120">
      <c r="A120">
        <f>IF('Ügyfelek'!A120="","",'Ügyfelek'!A120)</f>
        <v/>
      </c>
      <c r="B120">
        <f>IF($A120="","",IF('Ügyfelek'!B120="",'Beállítások'!$B$45,IFERROR(VLOOKUP(TRIM('Ügyfelek'!B120),'Beállítások'!$A$22:$B$41,2,FALSE),'Beállítások'!$B$45)))</f>
        <v/>
      </c>
      <c r="C120">
        <f>IF($A120="","",IF('Ügyfelek'!C120="",'Beállítások'!$B$45,VLOOKUP(MAX('Ügyfelek'!C120,'Beállítások'!$H$7),'Beállítások'!$H$7:$I$11,2,TRUE)))</f>
        <v/>
      </c>
      <c r="D120">
        <f>IF($A120="","",IF('Ügyfelek'!D120="",'Beállítások'!$B$45,VLOOKUP(MAX('Ügyfelek'!D120,'Beállítások'!$K$7),'Beállítások'!$K$7:$L$11,2,TRUE)))</f>
        <v/>
      </c>
      <c r="E120">
        <f>IF($A120="","",IF('Ügyfelek'!L120="",'Beállítások'!$B$45,MIN(5,MAX(1,ROUND('Ügyfelek'!L120,0)))))</f>
        <v/>
      </c>
      <c r="F120">
        <f>IF($A120="","",IF('Ügyfelek'!I120="",'Beállítások'!$B$45,VLOOKUP(MAX('Ügyfelek'!I120,'Beállítások'!$N$7),'Beállítások'!$N$7:$O$11,2,TRUE)))</f>
        <v/>
      </c>
      <c r="G120">
        <f>IF($A120="","",IF('Ügyfelek'!N120="",'Beállítások'!$B$45,MIN(5,MAX(1,ROUND('Ügyfelek'!N120,0)))))</f>
        <v/>
      </c>
      <c r="H120">
        <f>IF($A120="","",IF('Ügyfelek'!J120="",'Beállítások'!$B$45,VLOOKUP(MAX('Ügyfelek'!J120,'Beállítások'!$Q$7),'Beállítások'!$Q$7:$R$11,2,TRUE)))</f>
        <v/>
      </c>
      <c r="I120">
        <f>IF($A120="","",IF('Ügyfelek'!K120="",'Beállítások'!$B$45,VLOOKUP(MAX('Ügyfelek'!K120,'Beállítások'!$T$7),'Beállítások'!$T$7:$U$11,2,TRUE)))</f>
        <v/>
      </c>
      <c r="J120">
        <f>IF($A120="","",IF('Ügyfelek'!M120="",'Beállítások'!$B$45,MIN(5,MAX(1,ROUND('Ügyfelek'!M120,0)))))</f>
        <v/>
      </c>
      <c r="K120">
        <f>IF($A120="","",IF('Ügyfelek'!P120="",'Beállítások'!$B$45,MIN(5,MAX(1,ROUND('Ügyfelek'!P120,0)))))</f>
        <v/>
      </c>
      <c r="L120">
        <f>IF($A120="","",IF('Ügyfelek'!O120="",'Beállítások'!$B$45,MIN(5,MAX(1,ROUND('Ügyfelek'!O120,0)))))</f>
        <v/>
      </c>
      <c r="M120" s="13">
        <f>IF($A120="","",ROUND('Beállítások'!$E$6*(B120-1)/4+'Beállítások'!$E$7*(C120-1)/4+'Beállítások'!$E$8*(D120-1)/4+'Beállítások'!$E$9*(E120-1)/4+'Beállítások'!$E$10*(F120-1)/4+'Beállítások'!$E$11*(G120-1)/4+'Beállítások'!$E$12*(H120-1)/4+'Beállítások'!$E$13*(I120-1)/4+'Beállítások'!$E$14*(J120-1)/4+'Beállítások'!$E$15*(K120-1)/4+'Beállítások'!$E$16*(L120-1)/4,1))</f>
        <v/>
      </c>
      <c r="N120" s="14">
        <f>IF($A120="","",RANK(M120,$M$2:$M$201))</f>
        <v/>
      </c>
      <c r="O120">
        <f>IF($A120="","",VLOOKUP(M120,'Beállítások'!$A$57:$E$60,2,TRUE))</f>
        <v/>
      </c>
      <c r="P120">
        <f>IF($A120="","",VLOOKUP(M120,'Beállítások'!$A$57:$E$60,3,TRUE))</f>
        <v/>
      </c>
      <c r="Q120">
        <f>IF($A120="","",INDEX('Beállítások'!$B$6:$B$16,MATCH(MAX(AD120:AN120),AD120:AN120,0)))</f>
        <v/>
      </c>
      <c r="R120">
        <f>IF($A120="","",IF(MAX(AO120:AY120)=0,"—",INDEX('Beállítások'!$B$6:$B$16,MATCH(MAX(AO120:AY120),AO120:AY120,0))))</f>
        <v/>
      </c>
      <c r="S120" s="5">
        <f>IF($A120="","",'Beállítások'!$B$47*(TRIM('Ügyfelek'!E120)="igen")+'Beállítások'!$B$48*(TRIM('Ügyfelek'!F120)="igen")+'Beállítások'!$B$49*N('Ügyfelek'!G120)+'Beállítások'!$B$46*N('Ügyfelek'!H120))</f>
        <v/>
      </c>
      <c r="T120" s="15">
        <f>IF($A120="","",VLOOKUP(M120,'Beállítások'!$A$57:$E$60,4,TRUE))</f>
        <v/>
      </c>
      <c r="U120" s="5">
        <f>IF($A120="","",N('Ügyfelek'!D120)*'Beállítások'!$B$51)</f>
        <v/>
      </c>
      <c r="V120" s="5">
        <f>IF($A120="","",CEILING(ROUND(MAX('Beállítások'!$B$50,S120*T120,U120),2),'Beállítások'!$B$52))</f>
        <v/>
      </c>
      <c r="W120">
        <f>IF($A120="","",IF(MAX('Beállítások'!$B$50,S120*T120,U120)=S120*T120,"Munkaigény × szintszorzó",IF(MAX('Beállítások'!$B$50,S120*T120,U120)=U120,"Hirdetési keret arányában","Minimumdíj")))</f>
        <v/>
      </c>
      <c r="X120" s="5">
        <f>IF(OR($A120="",'Ügyfelek'!Q120=""),"",'Ügyfelek'!Q120)</f>
        <v/>
      </c>
      <c r="Y120" s="5">
        <f>IF(X120="","",V120-X120)</f>
        <v/>
      </c>
      <c r="Z120" s="16">
        <f>IF(OR(X120="",X120=0),"",Y120/X120)</f>
        <v/>
      </c>
      <c r="AA120" s="5">
        <f>IF(OR($A120="",'Ügyfelek'!R120=""),"",'Ügyfelek'!R120*VLOOKUP(M120,'Beállítások'!$A$57:$E$60,5,TRUE))</f>
        <v/>
      </c>
      <c r="AB120" s="14">
        <f>IF($A120="","",('Ügyfelek'!B120="")+('Ügyfelek'!C120="")+('Ügyfelek'!D120="")+('Ügyfelek'!L120="")+('Ügyfelek'!I120="")+('Ügyfelek'!N120="")+('Ügyfelek'!J120="")+('Ügyfelek'!K120="")+('Ügyfelek'!M120="")+('Ügyfelek'!P120="")+('Ügyfelek'!O120=""))</f>
        <v/>
      </c>
      <c r="AD120">
        <f>IF($A120="","",B120+'Beállítások'!$E$6/1000)</f>
        <v/>
      </c>
      <c r="AE120">
        <f>IF($A120="","",C120+'Beállítások'!$E$7/1000)</f>
        <v/>
      </c>
      <c r="AF120">
        <f>IF($A120="","",D120+'Beállítások'!$E$8/1000)</f>
        <v/>
      </c>
      <c r="AG120">
        <f>IF($A120="","",E120+'Beállítások'!$E$9/1000)</f>
        <v/>
      </c>
      <c r="AH120">
        <f>IF($A120="","",F120+'Beállítások'!$E$10/1000)</f>
        <v/>
      </c>
      <c r="AI120">
        <f>IF($A120="","",G120+'Beállítások'!$E$11/1000)</f>
        <v/>
      </c>
      <c r="AJ120">
        <f>IF($A120="","",H120+'Beállítások'!$E$12/1000)</f>
        <v/>
      </c>
      <c r="AK120">
        <f>IF($A120="","",I120+'Beállítások'!$E$13/1000)</f>
        <v/>
      </c>
      <c r="AL120">
        <f>IF($A120="","",J120+'Beállítások'!$E$14/1000)</f>
        <v/>
      </c>
      <c r="AM120">
        <f>IF($A120="","",K120+'Beállítások'!$E$15/1000)</f>
        <v/>
      </c>
      <c r="AN120">
        <f>IF($A120="","",L120+'Beállítások'!$E$16/1000)</f>
        <v/>
      </c>
      <c r="AO120">
        <f>IF($A120="","",'Beállítások'!$E$6*(5-B120))</f>
        <v/>
      </c>
      <c r="AP120">
        <f>IF($A120="","",'Beállítások'!$E$7*(5-C120))</f>
        <v/>
      </c>
      <c r="AQ120">
        <f>IF($A120="","",'Beállítások'!$E$8*(5-D120))</f>
        <v/>
      </c>
      <c r="AR120">
        <f>IF($A120="","",'Beállítások'!$E$9*(5-E120))</f>
        <v/>
      </c>
      <c r="AS120">
        <f>IF($A120="","",'Beállítások'!$E$10*(5-F120))</f>
        <v/>
      </c>
      <c r="AT120">
        <f>IF($A120="","",'Beállítások'!$E$11*(5-G120))</f>
        <v/>
      </c>
      <c r="AU120">
        <f>IF($A120="","",'Beállítások'!$E$12*(5-H120))</f>
        <v/>
      </c>
      <c r="AV120">
        <f>IF($A120="","",'Beállítások'!$E$13*(5-I120))</f>
        <v/>
      </c>
      <c r="AW120">
        <f>IF($A120="","",'Beállítások'!$E$14*(5-J120))</f>
        <v/>
      </c>
      <c r="AX120">
        <f>IF($A120="","",'Beállítások'!$E$15*(5-K120))</f>
        <v/>
      </c>
      <c r="AY120">
        <f>IF($A120="","",'Beállítások'!$E$16*(5-L120))</f>
        <v/>
      </c>
      <c r="AZ120">
        <f>IF($A120="","",M120-ROW()/100000)</f>
        <v/>
      </c>
    </row>
    <row r="121">
      <c r="A121">
        <f>IF('Ügyfelek'!A121="","",'Ügyfelek'!A121)</f>
        <v/>
      </c>
      <c r="B121">
        <f>IF($A121="","",IF('Ügyfelek'!B121="",'Beállítások'!$B$45,IFERROR(VLOOKUP(TRIM('Ügyfelek'!B121),'Beállítások'!$A$22:$B$41,2,FALSE),'Beállítások'!$B$45)))</f>
        <v/>
      </c>
      <c r="C121">
        <f>IF($A121="","",IF('Ügyfelek'!C121="",'Beállítások'!$B$45,VLOOKUP(MAX('Ügyfelek'!C121,'Beállítások'!$H$7),'Beállítások'!$H$7:$I$11,2,TRUE)))</f>
        <v/>
      </c>
      <c r="D121">
        <f>IF($A121="","",IF('Ügyfelek'!D121="",'Beállítások'!$B$45,VLOOKUP(MAX('Ügyfelek'!D121,'Beállítások'!$K$7),'Beállítások'!$K$7:$L$11,2,TRUE)))</f>
        <v/>
      </c>
      <c r="E121">
        <f>IF($A121="","",IF('Ügyfelek'!L121="",'Beállítások'!$B$45,MIN(5,MAX(1,ROUND('Ügyfelek'!L121,0)))))</f>
        <v/>
      </c>
      <c r="F121">
        <f>IF($A121="","",IF('Ügyfelek'!I121="",'Beállítások'!$B$45,VLOOKUP(MAX('Ügyfelek'!I121,'Beállítások'!$N$7),'Beállítások'!$N$7:$O$11,2,TRUE)))</f>
        <v/>
      </c>
      <c r="G121">
        <f>IF($A121="","",IF('Ügyfelek'!N121="",'Beállítások'!$B$45,MIN(5,MAX(1,ROUND('Ügyfelek'!N121,0)))))</f>
        <v/>
      </c>
      <c r="H121">
        <f>IF($A121="","",IF('Ügyfelek'!J121="",'Beállítások'!$B$45,VLOOKUP(MAX('Ügyfelek'!J121,'Beállítások'!$Q$7),'Beállítások'!$Q$7:$R$11,2,TRUE)))</f>
        <v/>
      </c>
      <c r="I121">
        <f>IF($A121="","",IF('Ügyfelek'!K121="",'Beállítások'!$B$45,VLOOKUP(MAX('Ügyfelek'!K121,'Beállítások'!$T$7),'Beállítások'!$T$7:$U$11,2,TRUE)))</f>
        <v/>
      </c>
      <c r="J121">
        <f>IF($A121="","",IF('Ügyfelek'!M121="",'Beállítások'!$B$45,MIN(5,MAX(1,ROUND('Ügyfelek'!M121,0)))))</f>
        <v/>
      </c>
      <c r="K121">
        <f>IF($A121="","",IF('Ügyfelek'!P121="",'Beállítások'!$B$45,MIN(5,MAX(1,ROUND('Ügyfelek'!P121,0)))))</f>
        <v/>
      </c>
      <c r="L121">
        <f>IF($A121="","",IF('Ügyfelek'!O121="",'Beállítások'!$B$45,MIN(5,MAX(1,ROUND('Ügyfelek'!O121,0)))))</f>
        <v/>
      </c>
      <c r="M121" s="13">
        <f>IF($A121="","",ROUND('Beállítások'!$E$6*(B121-1)/4+'Beállítások'!$E$7*(C121-1)/4+'Beállítások'!$E$8*(D121-1)/4+'Beállítások'!$E$9*(E121-1)/4+'Beállítások'!$E$10*(F121-1)/4+'Beállítások'!$E$11*(G121-1)/4+'Beállítások'!$E$12*(H121-1)/4+'Beállítások'!$E$13*(I121-1)/4+'Beállítások'!$E$14*(J121-1)/4+'Beállítások'!$E$15*(K121-1)/4+'Beállítások'!$E$16*(L121-1)/4,1))</f>
        <v/>
      </c>
      <c r="N121" s="14">
        <f>IF($A121="","",RANK(M121,$M$2:$M$201))</f>
        <v/>
      </c>
      <c r="O121">
        <f>IF($A121="","",VLOOKUP(M121,'Beállítások'!$A$57:$E$60,2,TRUE))</f>
        <v/>
      </c>
      <c r="P121">
        <f>IF($A121="","",VLOOKUP(M121,'Beállítások'!$A$57:$E$60,3,TRUE))</f>
        <v/>
      </c>
      <c r="Q121">
        <f>IF($A121="","",INDEX('Beállítások'!$B$6:$B$16,MATCH(MAX(AD121:AN121),AD121:AN121,0)))</f>
        <v/>
      </c>
      <c r="R121">
        <f>IF($A121="","",IF(MAX(AO121:AY121)=0,"—",INDEX('Beállítások'!$B$6:$B$16,MATCH(MAX(AO121:AY121),AO121:AY121,0))))</f>
        <v/>
      </c>
      <c r="S121" s="5">
        <f>IF($A121="","",'Beállítások'!$B$47*(TRIM('Ügyfelek'!E121)="igen")+'Beállítások'!$B$48*(TRIM('Ügyfelek'!F121)="igen")+'Beállítások'!$B$49*N('Ügyfelek'!G121)+'Beállítások'!$B$46*N('Ügyfelek'!H121))</f>
        <v/>
      </c>
      <c r="T121" s="15">
        <f>IF($A121="","",VLOOKUP(M121,'Beállítások'!$A$57:$E$60,4,TRUE))</f>
        <v/>
      </c>
      <c r="U121" s="5">
        <f>IF($A121="","",N('Ügyfelek'!D121)*'Beállítások'!$B$51)</f>
        <v/>
      </c>
      <c r="V121" s="5">
        <f>IF($A121="","",CEILING(ROUND(MAX('Beállítások'!$B$50,S121*T121,U121),2),'Beállítások'!$B$52))</f>
        <v/>
      </c>
      <c r="W121">
        <f>IF($A121="","",IF(MAX('Beállítások'!$B$50,S121*T121,U121)=S121*T121,"Munkaigény × szintszorzó",IF(MAX('Beállítások'!$B$50,S121*T121,U121)=U121,"Hirdetési keret arányában","Minimumdíj")))</f>
        <v/>
      </c>
      <c r="X121" s="5">
        <f>IF(OR($A121="",'Ügyfelek'!Q121=""),"",'Ügyfelek'!Q121)</f>
        <v/>
      </c>
      <c r="Y121" s="5">
        <f>IF(X121="","",V121-X121)</f>
        <v/>
      </c>
      <c r="Z121" s="16">
        <f>IF(OR(X121="",X121=0),"",Y121/X121)</f>
        <v/>
      </c>
      <c r="AA121" s="5">
        <f>IF(OR($A121="",'Ügyfelek'!R121=""),"",'Ügyfelek'!R121*VLOOKUP(M121,'Beállítások'!$A$57:$E$60,5,TRUE))</f>
        <v/>
      </c>
      <c r="AB121" s="14">
        <f>IF($A121="","",('Ügyfelek'!B121="")+('Ügyfelek'!C121="")+('Ügyfelek'!D121="")+('Ügyfelek'!L121="")+('Ügyfelek'!I121="")+('Ügyfelek'!N121="")+('Ügyfelek'!J121="")+('Ügyfelek'!K121="")+('Ügyfelek'!M121="")+('Ügyfelek'!P121="")+('Ügyfelek'!O121=""))</f>
        <v/>
      </c>
      <c r="AD121">
        <f>IF($A121="","",B121+'Beállítások'!$E$6/1000)</f>
        <v/>
      </c>
      <c r="AE121">
        <f>IF($A121="","",C121+'Beállítások'!$E$7/1000)</f>
        <v/>
      </c>
      <c r="AF121">
        <f>IF($A121="","",D121+'Beállítások'!$E$8/1000)</f>
        <v/>
      </c>
      <c r="AG121">
        <f>IF($A121="","",E121+'Beállítások'!$E$9/1000)</f>
        <v/>
      </c>
      <c r="AH121">
        <f>IF($A121="","",F121+'Beállítások'!$E$10/1000)</f>
        <v/>
      </c>
      <c r="AI121">
        <f>IF($A121="","",G121+'Beállítások'!$E$11/1000)</f>
        <v/>
      </c>
      <c r="AJ121">
        <f>IF($A121="","",H121+'Beállítások'!$E$12/1000)</f>
        <v/>
      </c>
      <c r="AK121">
        <f>IF($A121="","",I121+'Beállítások'!$E$13/1000)</f>
        <v/>
      </c>
      <c r="AL121">
        <f>IF($A121="","",J121+'Beállítások'!$E$14/1000)</f>
        <v/>
      </c>
      <c r="AM121">
        <f>IF($A121="","",K121+'Beállítások'!$E$15/1000)</f>
        <v/>
      </c>
      <c r="AN121">
        <f>IF($A121="","",L121+'Beállítások'!$E$16/1000)</f>
        <v/>
      </c>
      <c r="AO121">
        <f>IF($A121="","",'Beállítások'!$E$6*(5-B121))</f>
        <v/>
      </c>
      <c r="AP121">
        <f>IF($A121="","",'Beállítások'!$E$7*(5-C121))</f>
        <v/>
      </c>
      <c r="AQ121">
        <f>IF($A121="","",'Beállítások'!$E$8*(5-D121))</f>
        <v/>
      </c>
      <c r="AR121">
        <f>IF($A121="","",'Beállítások'!$E$9*(5-E121))</f>
        <v/>
      </c>
      <c r="AS121">
        <f>IF($A121="","",'Beállítások'!$E$10*(5-F121))</f>
        <v/>
      </c>
      <c r="AT121">
        <f>IF($A121="","",'Beállítások'!$E$11*(5-G121))</f>
        <v/>
      </c>
      <c r="AU121">
        <f>IF($A121="","",'Beállítások'!$E$12*(5-H121))</f>
        <v/>
      </c>
      <c r="AV121">
        <f>IF($A121="","",'Beállítások'!$E$13*(5-I121))</f>
        <v/>
      </c>
      <c r="AW121">
        <f>IF($A121="","",'Beállítások'!$E$14*(5-J121))</f>
        <v/>
      </c>
      <c r="AX121">
        <f>IF($A121="","",'Beállítások'!$E$15*(5-K121))</f>
        <v/>
      </c>
      <c r="AY121">
        <f>IF($A121="","",'Beállítások'!$E$16*(5-L121))</f>
        <v/>
      </c>
      <c r="AZ121">
        <f>IF($A121="","",M121-ROW()/100000)</f>
        <v/>
      </c>
    </row>
    <row r="122">
      <c r="A122">
        <f>IF('Ügyfelek'!A122="","",'Ügyfelek'!A122)</f>
        <v/>
      </c>
      <c r="B122">
        <f>IF($A122="","",IF('Ügyfelek'!B122="",'Beállítások'!$B$45,IFERROR(VLOOKUP(TRIM('Ügyfelek'!B122),'Beállítások'!$A$22:$B$41,2,FALSE),'Beállítások'!$B$45)))</f>
        <v/>
      </c>
      <c r="C122">
        <f>IF($A122="","",IF('Ügyfelek'!C122="",'Beállítások'!$B$45,VLOOKUP(MAX('Ügyfelek'!C122,'Beállítások'!$H$7),'Beállítások'!$H$7:$I$11,2,TRUE)))</f>
        <v/>
      </c>
      <c r="D122">
        <f>IF($A122="","",IF('Ügyfelek'!D122="",'Beállítások'!$B$45,VLOOKUP(MAX('Ügyfelek'!D122,'Beállítások'!$K$7),'Beállítások'!$K$7:$L$11,2,TRUE)))</f>
        <v/>
      </c>
      <c r="E122">
        <f>IF($A122="","",IF('Ügyfelek'!L122="",'Beállítások'!$B$45,MIN(5,MAX(1,ROUND('Ügyfelek'!L122,0)))))</f>
        <v/>
      </c>
      <c r="F122">
        <f>IF($A122="","",IF('Ügyfelek'!I122="",'Beállítások'!$B$45,VLOOKUP(MAX('Ügyfelek'!I122,'Beállítások'!$N$7),'Beállítások'!$N$7:$O$11,2,TRUE)))</f>
        <v/>
      </c>
      <c r="G122">
        <f>IF($A122="","",IF('Ügyfelek'!N122="",'Beállítások'!$B$45,MIN(5,MAX(1,ROUND('Ügyfelek'!N122,0)))))</f>
        <v/>
      </c>
      <c r="H122">
        <f>IF($A122="","",IF('Ügyfelek'!J122="",'Beállítások'!$B$45,VLOOKUP(MAX('Ügyfelek'!J122,'Beállítások'!$Q$7),'Beállítások'!$Q$7:$R$11,2,TRUE)))</f>
        <v/>
      </c>
      <c r="I122">
        <f>IF($A122="","",IF('Ügyfelek'!K122="",'Beállítások'!$B$45,VLOOKUP(MAX('Ügyfelek'!K122,'Beállítások'!$T$7),'Beállítások'!$T$7:$U$11,2,TRUE)))</f>
        <v/>
      </c>
      <c r="J122">
        <f>IF($A122="","",IF('Ügyfelek'!M122="",'Beállítások'!$B$45,MIN(5,MAX(1,ROUND('Ügyfelek'!M122,0)))))</f>
        <v/>
      </c>
      <c r="K122">
        <f>IF($A122="","",IF('Ügyfelek'!P122="",'Beállítások'!$B$45,MIN(5,MAX(1,ROUND('Ügyfelek'!P122,0)))))</f>
        <v/>
      </c>
      <c r="L122">
        <f>IF($A122="","",IF('Ügyfelek'!O122="",'Beállítások'!$B$45,MIN(5,MAX(1,ROUND('Ügyfelek'!O122,0)))))</f>
        <v/>
      </c>
      <c r="M122" s="13">
        <f>IF($A122="","",ROUND('Beállítások'!$E$6*(B122-1)/4+'Beállítások'!$E$7*(C122-1)/4+'Beállítások'!$E$8*(D122-1)/4+'Beállítások'!$E$9*(E122-1)/4+'Beállítások'!$E$10*(F122-1)/4+'Beállítások'!$E$11*(G122-1)/4+'Beállítások'!$E$12*(H122-1)/4+'Beállítások'!$E$13*(I122-1)/4+'Beállítások'!$E$14*(J122-1)/4+'Beállítások'!$E$15*(K122-1)/4+'Beállítások'!$E$16*(L122-1)/4,1))</f>
        <v/>
      </c>
      <c r="N122" s="14">
        <f>IF($A122="","",RANK(M122,$M$2:$M$201))</f>
        <v/>
      </c>
      <c r="O122">
        <f>IF($A122="","",VLOOKUP(M122,'Beállítások'!$A$57:$E$60,2,TRUE))</f>
        <v/>
      </c>
      <c r="P122">
        <f>IF($A122="","",VLOOKUP(M122,'Beállítások'!$A$57:$E$60,3,TRUE))</f>
        <v/>
      </c>
      <c r="Q122">
        <f>IF($A122="","",INDEX('Beállítások'!$B$6:$B$16,MATCH(MAX(AD122:AN122),AD122:AN122,0)))</f>
        <v/>
      </c>
      <c r="R122">
        <f>IF($A122="","",IF(MAX(AO122:AY122)=0,"—",INDEX('Beállítások'!$B$6:$B$16,MATCH(MAX(AO122:AY122),AO122:AY122,0))))</f>
        <v/>
      </c>
      <c r="S122" s="5">
        <f>IF($A122="","",'Beállítások'!$B$47*(TRIM('Ügyfelek'!E122)="igen")+'Beállítások'!$B$48*(TRIM('Ügyfelek'!F122)="igen")+'Beállítások'!$B$49*N('Ügyfelek'!G122)+'Beállítások'!$B$46*N('Ügyfelek'!H122))</f>
        <v/>
      </c>
      <c r="T122" s="15">
        <f>IF($A122="","",VLOOKUP(M122,'Beállítások'!$A$57:$E$60,4,TRUE))</f>
        <v/>
      </c>
      <c r="U122" s="5">
        <f>IF($A122="","",N('Ügyfelek'!D122)*'Beállítások'!$B$51)</f>
        <v/>
      </c>
      <c r="V122" s="5">
        <f>IF($A122="","",CEILING(ROUND(MAX('Beállítások'!$B$50,S122*T122,U122),2),'Beállítások'!$B$52))</f>
        <v/>
      </c>
      <c r="W122">
        <f>IF($A122="","",IF(MAX('Beállítások'!$B$50,S122*T122,U122)=S122*T122,"Munkaigény × szintszorzó",IF(MAX('Beállítások'!$B$50,S122*T122,U122)=U122,"Hirdetési keret arányában","Minimumdíj")))</f>
        <v/>
      </c>
      <c r="X122" s="5">
        <f>IF(OR($A122="",'Ügyfelek'!Q122=""),"",'Ügyfelek'!Q122)</f>
        <v/>
      </c>
      <c r="Y122" s="5">
        <f>IF(X122="","",V122-X122)</f>
        <v/>
      </c>
      <c r="Z122" s="16">
        <f>IF(OR(X122="",X122=0),"",Y122/X122)</f>
        <v/>
      </c>
      <c r="AA122" s="5">
        <f>IF(OR($A122="",'Ügyfelek'!R122=""),"",'Ügyfelek'!R122*VLOOKUP(M122,'Beállítások'!$A$57:$E$60,5,TRUE))</f>
        <v/>
      </c>
      <c r="AB122" s="14">
        <f>IF($A122="","",('Ügyfelek'!B122="")+('Ügyfelek'!C122="")+('Ügyfelek'!D122="")+('Ügyfelek'!L122="")+('Ügyfelek'!I122="")+('Ügyfelek'!N122="")+('Ügyfelek'!J122="")+('Ügyfelek'!K122="")+('Ügyfelek'!M122="")+('Ügyfelek'!P122="")+('Ügyfelek'!O122=""))</f>
        <v/>
      </c>
      <c r="AD122">
        <f>IF($A122="","",B122+'Beállítások'!$E$6/1000)</f>
        <v/>
      </c>
      <c r="AE122">
        <f>IF($A122="","",C122+'Beállítások'!$E$7/1000)</f>
        <v/>
      </c>
      <c r="AF122">
        <f>IF($A122="","",D122+'Beállítások'!$E$8/1000)</f>
        <v/>
      </c>
      <c r="AG122">
        <f>IF($A122="","",E122+'Beállítások'!$E$9/1000)</f>
        <v/>
      </c>
      <c r="AH122">
        <f>IF($A122="","",F122+'Beállítások'!$E$10/1000)</f>
        <v/>
      </c>
      <c r="AI122">
        <f>IF($A122="","",G122+'Beállítások'!$E$11/1000)</f>
        <v/>
      </c>
      <c r="AJ122">
        <f>IF($A122="","",H122+'Beállítások'!$E$12/1000)</f>
        <v/>
      </c>
      <c r="AK122">
        <f>IF($A122="","",I122+'Beállítások'!$E$13/1000)</f>
        <v/>
      </c>
      <c r="AL122">
        <f>IF($A122="","",J122+'Beállítások'!$E$14/1000)</f>
        <v/>
      </c>
      <c r="AM122">
        <f>IF($A122="","",K122+'Beállítások'!$E$15/1000)</f>
        <v/>
      </c>
      <c r="AN122">
        <f>IF($A122="","",L122+'Beállítások'!$E$16/1000)</f>
        <v/>
      </c>
      <c r="AO122">
        <f>IF($A122="","",'Beállítások'!$E$6*(5-B122))</f>
        <v/>
      </c>
      <c r="AP122">
        <f>IF($A122="","",'Beállítások'!$E$7*(5-C122))</f>
        <v/>
      </c>
      <c r="AQ122">
        <f>IF($A122="","",'Beállítások'!$E$8*(5-D122))</f>
        <v/>
      </c>
      <c r="AR122">
        <f>IF($A122="","",'Beállítások'!$E$9*(5-E122))</f>
        <v/>
      </c>
      <c r="AS122">
        <f>IF($A122="","",'Beállítások'!$E$10*(5-F122))</f>
        <v/>
      </c>
      <c r="AT122">
        <f>IF($A122="","",'Beállítások'!$E$11*(5-G122))</f>
        <v/>
      </c>
      <c r="AU122">
        <f>IF($A122="","",'Beállítások'!$E$12*(5-H122))</f>
        <v/>
      </c>
      <c r="AV122">
        <f>IF($A122="","",'Beállítások'!$E$13*(5-I122))</f>
        <v/>
      </c>
      <c r="AW122">
        <f>IF($A122="","",'Beállítások'!$E$14*(5-J122))</f>
        <v/>
      </c>
      <c r="AX122">
        <f>IF($A122="","",'Beállítások'!$E$15*(5-K122))</f>
        <v/>
      </c>
      <c r="AY122">
        <f>IF($A122="","",'Beállítások'!$E$16*(5-L122))</f>
        <v/>
      </c>
      <c r="AZ122">
        <f>IF($A122="","",M122-ROW()/100000)</f>
        <v/>
      </c>
    </row>
    <row r="123">
      <c r="A123">
        <f>IF('Ügyfelek'!A123="","",'Ügyfelek'!A123)</f>
        <v/>
      </c>
      <c r="B123">
        <f>IF($A123="","",IF('Ügyfelek'!B123="",'Beállítások'!$B$45,IFERROR(VLOOKUP(TRIM('Ügyfelek'!B123),'Beállítások'!$A$22:$B$41,2,FALSE),'Beállítások'!$B$45)))</f>
        <v/>
      </c>
      <c r="C123">
        <f>IF($A123="","",IF('Ügyfelek'!C123="",'Beállítások'!$B$45,VLOOKUP(MAX('Ügyfelek'!C123,'Beállítások'!$H$7),'Beállítások'!$H$7:$I$11,2,TRUE)))</f>
        <v/>
      </c>
      <c r="D123">
        <f>IF($A123="","",IF('Ügyfelek'!D123="",'Beállítások'!$B$45,VLOOKUP(MAX('Ügyfelek'!D123,'Beállítások'!$K$7),'Beállítások'!$K$7:$L$11,2,TRUE)))</f>
        <v/>
      </c>
      <c r="E123">
        <f>IF($A123="","",IF('Ügyfelek'!L123="",'Beállítások'!$B$45,MIN(5,MAX(1,ROUND('Ügyfelek'!L123,0)))))</f>
        <v/>
      </c>
      <c r="F123">
        <f>IF($A123="","",IF('Ügyfelek'!I123="",'Beállítások'!$B$45,VLOOKUP(MAX('Ügyfelek'!I123,'Beállítások'!$N$7),'Beállítások'!$N$7:$O$11,2,TRUE)))</f>
        <v/>
      </c>
      <c r="G123">
        <f>IF($A123="","",IF('Ügyfelek'!N123="",'Beállítások'!$B$45,MIN(5,MAX(1,ROUND('Ügyfelek'!N123,0)))))</f>
        <v/>
      </c>
      <c r="H123">
        <f>IF($A123="","",IF('Ügyfelek'!J123="",'Beállítások'!$B$45,VLOOKUP(MAX('Ügyfelek'!J123,'Beállítások'!$Q$7),'Beállítások'!$Q$7:$R$11,2,TRUE)))</f>
        <v/>
      </c>
      <c r="I123">
        <f>IF($A123="","",IF('Ügyfelek'!K123="",'Beállítások'!$B$45,VLOOKUP(MAX('Ügyfelek'!K123,'Beállítások'!$T$7),'Beállítások'!$T$7:$U$11,2,TRUE)))</f>
        <v/>
      </c>
      <c r="J123">
        <f>IF($A123="","",IF('Ügyfelek'!M123="",'Beállítások'!$B$45,MIN(5,MAX(1,ROUND('Ügyfelek'!M123,0)))))</f>
        <v/>
      </c>
      <c r="K123">
        <f>IF($A123="","",IF('Ügyfelek'!P123="",'Beállítások'!$B$45,MIN(5,MAX(1,ROUND('Ügyfelek'!P123,0)))))</f>
        <v/>
      </c>
      <c r="L123">
        <f>IF($A123="","",IF('Ügyfelek'!O123="",'Beállítások'!$B$45,MIN(5,MAX(1,ROUND('Ügyfelek'!O123,0)))))</f>
        <v/>
      </c>
      <c r="M123" s="13">
        <f>IF($A123="","",ROUND('Beállítások'!$E$6*(B123-1)/4+'Beállítások'!$E$7*(C123-1)/4+'Beállítások'!$E$8*(D123-1)/4+'Beállítások'!$E$9*(E123-1)/4+'Beállítások'!$E$10*(F123-1)/4+'Beállítások'!$E$11*(G123-1)/4+'Beállítások'!$E$12*(H123-1)/4+'Beállítások'!$E$13*(I123-1)/4+'Beállítások'!$E$14*(J123-1)/4+'Beállítások'!$E$15*(K123-1)/4+'Beállítások'!$E$16*(L123-1)/4,1))</f>
        <v/>
      </c>
      <c r="N123" s="14">
        <f>IF($A123="","",RANK(M123,$M$2:$M$201))</f>
        <v/>
      </c>
      <c r="O123">
        <f>IF($A123="","",VLOOKUP(M123,'Beállítások'!$A$57:$E$60,2,TRUE))</f>
        <v/>
      </c>
      <c r="P123">
        <f>IF($A123="","",VLOOKUP(M123,'Beállítások'!$A$57:$E$60,3,TRUE))</f>
        <v/>
      </c>
      <c r="Q123">
        <f>IF($A123="","",INDEX('Beállítások'!$B$6:$B$16,MATCH(MAX(AD123:AN123),AD123:AN123,0)))</f>
        <v/>
      </c>
      <c r="R123">
        <f>IF($A123="","",IF(MAX(AO123:AY123)=0,"—",INDEX('Beállítások'!$B$6:$B$16,MATCH(MAX(AO123:AY123),AO123:AY123,0))))</f>
        <v/>
      </c>
      <c r="S123" s="5">
        <f>IF($A123="","",'Beállítások'!$B$47*(TRIM('Ügyfelek'!E123)="igen")+'Beállítások'!$B$48*(TRIM('Ügyfelek'!F123)="igen")+'Beállítások'!$B$49*N('Ügyfelek'!G123)+'Beállítások'!$B$46*N('Ügyfelek'!H123))</f>
        <v/>
      </c>
      <c r="T123" s="15">
        <f>IF($A123="","",VLOOKUP(M123,'Beállítások'!$A$57:$E$60,4,TRUE))</f>
        <v/>
      </c>
      <c r="U123" s="5">
        <f>IF($A123="","",N('Ügyfelek'!D123)*'Beállítások'!$B$51)</f>
        <v/>
      </c>
      <c r="V123" s="5">
        <f>IF($A123="","",CEILING(ROUND(MAX('Beállítások'!$B$50,S123*T123,U123),2),'Beállítások'!$B$52))</f>
        <v/>
      </c>
      <c r="W123">
        <f>IF($A123="","",IF(MAX('Beállítások'!$B$50,S123*T123,U123)=S123*T123,"Munkaigény × szintszorzó",IF(MAX('Beállítások'!$B$50,S123*T123,U123)=U123,"Hirdetési keret arányában","Minimumdíj")))</f>
        <v/>
      </c>
      <c r="X123" s="5">
        <f>IF(OR($A123="",'Ügyfelek'!Q123=""),"",'Ügyfelek'!Q123)</f>
        <v/>
      </c>
      <c r="Y123" s="5">
        <f>IF(X123="","",V123-X123)</f>
        <v/>
      </c>
      <c r="Z123" s="16">
        <f>IF(OR(X123="",X123=0),"",Y123/X123)</f>
        <v/>
      </c>
      <c r="AA123" s="5">
        <f>IF(OR($A123="",'Ügyfelek'!R123=""),"",'Ügyfelek'!R123*VLOOKUP(M123,'Beállítások'!$A$57:$E$60,5,TRUE))</f>
        <v/>
      </c>
      <c r="AB123" s="14">
        <f>IF($A123="","",('Ügyfelek'!B123="")+('Ügyfelek'!C123="")+('Ügyfelek'!D123="")+('Ügyfelek'!L123="")+('Ügyfelek'!I123="")+('Ügyfelek'!N123="")+('Ügyfelek'!J123="")+('Ügyfelek'!K123="")+('Ügyfelek'!M123="")+('Ügyfelek'!P123="")+('Ügyfelek'!O123=""))</f>
        <v/>
      </c>
      <c r="AD123">
        <f>IF($A123="","",B123+'Beállítások'!$E$6/1000)</f>
        <v/>
      </c>
      <c r="AE123">
        <f>IF($A123="","",C123+'Beállítások'!$E$7/1000)</f>
        <v/>
      </c>
      <c r="AF123">
        <f>IF($A123="","",D123+'Beállítások'!$E$8/1000)</f>
        <v/>
      </c>
      <c r="AG123">
        <f>IF($A123="","",E123+'Beállítások'!$E$9/1000)</f>
        <v/>
      </c>
      <c r="AH123">
        <f>IF($A123="","",F123+'Beállítások'!$E$10/1000)</f>
        <v/>
      </c>
      <c r="AI123">
        <f>IF($A123="","",G123+'Beállítások'!$E$11/1000)</f>
        <v/>
      </c>
      <c r="AJ123">
        <f>IF($A123="","",H123+'Beállítások'!$E$12/1000)</f>
        <v/>
      </c>
      <c r="AK123">
        <f>IF($A123="","",I123+'Beállítások'!$E$13/1000)</f>
        <v/>
      </c>
      <c r="AL123">
        <f>IF($A123="","",J123+'Beállítások'!$E$14/1000)</f>
        <v/>
      </c>
      <c r="AM123">
        <f>IF($A123="","",K123+'Beállítások'!$E$15/1000)</f>
        <v/>
      </c>
      <c r="AN123">
        <f>IF($A123="","",L123+'Beállítások'!$E$16/1000)</f>
        <v/>
      </c>
      <c r="AO123">
        <f>IF($A123="","",'Beállítások'!$E$6*(5-B123))</f>
        <v/>
      </c>
      <c r="AP123">
        <f>IF($A123="","",'Beállítások'!$E$7*(5-C123))</f>
        <v/>
      </c>
      <c r="AQ123">
        <f>IF($A123="","",'Beállítások'!$E$8*(5-D123))</f>
        <v/>
      </c>
      <c r="AR123">
        <f>IF($A123="","",'Beállítások'!$E$9*(5-E123))</f>
        <v/>
      </c>
      <c r="AS123">
        <f>IF($A123="","",'Beállítások'!$E$10*(5-F123))</f>
        <v/>
      </c>
      <c r="AT123">
        <f>IF($A123="","",'Beállítások'!$E$11*(5-G123))</f>
        <v/>
      </c>
      <c r="AU123">
        <f>IF($A123="","",'Beállítások'!$E$12*(5-H123))</f>
        <v/>
      </c>
      <c r="AV123">
        <f>IF($A123="","",'Beállítások'!$E$13*(5-I123))</f>
        <v/>
      </c>
      <c r="AW123">
        <f>IF($A123="","",'Beállítások'!$E$14*(5-J123))</f>
        <v/>
      </c>
      <c r="AX123">
        <f>IF($A123="","",'Beállítások'!$E$15*(5-K123))</f>
        <v/>
      </c>
      <c r="AY123">
        <f>IF($A123="","",'Beállítások'!$E$16*(5-L123))</f>
        <v/>
      </c>
      <c r="AZ123">
        <f>IF($A123="","",M123-ROW()/100000)</f>
        <v/>
      </c>
    </row>
    <row r="124">
      <c r="A124">
        <f>IF('Ügyfelek'!A124="","",'Ügyfelek'!A124)</f>
        <v/>
      </c>
      <c r="B124">
        <f>IF($A124="","",IF('Ügyfelek'!B124="",'Beállítások'!$B$45,IFERROR(VLOOKUP(TRIM('Ügyfelek'!B124),'Beállítások'!$A$22:$B$41,2,FALSE),'Beállítások'!$B$45)))</f>
        <v/>
      </c>
      <c r="C124">
        <f>IF($A124="","",IF('Ügyfelek'!C124="",'Beállítások'!$B$45,VLOOKUP(MAX('Ügyfelek'!C124,'Beállítások'!$H$7),'Beállítások'!$H$7:$I$11,2,TRUE)))</f>
        <v/>
      </c>
      <c r="D124">
        <f>IF($A124="","",IF('Ügyfelek'!D124="",'Beállítások'!$B$45,VLOOKUP(MAX('Ügyfelek'!D124,'Beállítások'!$K$7),'Beállítások'!$K$7:$L$11,2,TRUE)))</f>
        <v/>
      </c>
      <c r="E124">
        <f>IF($A124="","",IF('Ügyfelek'!L124="",'Beállítások'!$B$45,MIN(5,MAX(1,ROUND('Ügyfelek'!L124,0)))))</f>
        <v/>
      </c>
      <c r="F124">
        <f>IF($A124="","",IF('Ügyfelek'!I124="",'Beállítások'!$B$45,VLOOKUP(MAX('Ügyfelek'!I124,'Beállítások'!$N$7),'Beállítások'!$N$7:$O$11,2,TRUE)))</f>
        <v/>
      </c>
      <c r="G124">
        <f>IF($A124="","",IF('Ügyfelek'!N124="",'Beállítások'!$B$45,MIN(5,MAX(1,ROUND('Ügyfelek'!N124,0)))))</f>
        <v/>
      </c>
      <c r="H124">
        <f>IF($A124="","",IF('Ügyfelek'!J124="",'Beállítások'!$B$45,VLOOKUP(MAX('Ügyfelek'!J124,'Beállítások'!$Q$7),'Beállítások'!$Q$7:$R$11,2,TRUE)))</f>
        <v/>
      </c>
      <c r="I124">
        <f>IF($A124="","",IF('Ügyfelek'!K124="",'Beállítások'!$B$45,VLOOKUP(MAX('Ügyfelek'!K124,'Beállítások'!$T$7),'Beállítások'!$T$7:$U$11,2,TRUE)))</f>
        <v/>
      </c>
      <c r="J124">
        <f>IF($A124="","",IF('Ügyfelek'!M124="",'Beállítások'!$B$45,MIN(5,MAX(1,ROUND('Ügyfelek'!M124,0)))))</f>
        <v/>
      </c>
      <c r="K124">
        <f>IF($A124="","",IF('Ügyfelek'!P124="",'Beállítások'!$B$45,MIN(5,MAX(1,ROUND('Ügyfelek'!P124,0)))))</f>
        <v/>
      </c>
      <c r="L124">
        <f>IF($A124="","",IF('Ügyfelek'!O124="",'Beállítások'!$B$45,MIN(5,MAX(1,ROUND('Ügyfelek'!O124,0)))))</f>
        <v/>
      </c>
      <c r="M124" s="13">
        <f>IF($A124="","",ROUND('Beállítások'!$E$6*(B124-1)/4+'Beállítások'!$E$7*(C124-1)/4+'Beállítások'!$E$8*(D124-1)/4+'Beállítások'!$E$9*(E124-1)/4+'Beállítások'!$E$10*(F124-1)/4+'Beállítások'!$E$11*(G124-1)/4+'Beállítások'!$E$12*(H124-1)/4+'Beállítások'!$E$13*(I124-1)/4+'Beállítások'!$E$14*(J124-1)/4+'Beállítások'!$E$15*(K124-1)/4+'Beállítások'!$E$16*(L124-1)/4,1))</f>
        <v/>
      </c>
      <c r="N124" s="14">
        <f>IF($A124="","",RANK(M124,$M$2:$M$201))</f>
        <v/>
      </c>
      <c r="O124">
        <f>IF($A124="","",VLOOKUP(M124,'Beállítások'!$A$57:$E$60,2,TRUE))</f>
        <v/>
      </c>
      <c r="P124">
        <f>IF($A124="","",VLOOKUP(M124,'Beállítások'!$A$57:$E$60,3,TRUE))</f>
        <v/>
      </c>
      <c r="Q124">
        <f>IF($A124="","",INDEX('Beállítások'!$B$6:$B$16,MATCH(MAX(AD124:AN124),AD124:AN124,0)))</f>
        <v/>
      </c>
      <c r="R124">
        <f>IF($A124="","",IF(MAX(AO124:AY124)=0,"—",INDEX('Beállítások'!$B$6:$B$16,MATCH(MAX(AO124:AY124),AO124:AY124,0))))</f>
        <v/>
      </c>
      <c r="S124" s="5">
        <f>IF($A124="","",'Beállítások'!$B$47*(TRIM('Ügyfelek'!E124)="igen")+'Beállítások'!$B$48*(TRIM('Ügyfelek'!F124)="igen")+'Beállítások'!$B$49*N('Ügyfelek'!G124)+'Beállítások'!$B$46*N('Ügyfelek'!H124))</f>
        <v/>
      </c>
      <c r="T124" s="15">
        <f>IF($A124="","",VLOOKUP(M124,'Beállítások'!$A$57:$E$60,4,TRUE))</f>
        <v/>
      </c>
      <c r="U124" s="5">
        <f>IF($A124="","",N('Ügyfelek'!D124)*'Beállítások'!$B$51)</f>
        <v/>
      </c>
      <c r="V124" s="5">
        <f>IF($A124="","",CEILING(ROUND(MAX('Beállítások'!$B$50,S124*T124,U124),2),'Beállítások'!$B$52))</f>
        <v/>
      </c>
      <c r="W124">
        <f>IF($A124="","",IF(MAX('Beállítások'!$B$50,S124*T124,U124)=S124*T124,"Munkaigény × szintszorzó",IF(MAX('Beállítások'!$B$50,S124*T124,U124)=U124,"Hirdetési keret arányában","Minimumdíj")))</f>
        <v/>
      </c>
      <c r="X124" s="5">
        <f>IF(OR($A124="",'Ügyfelek'!Q124=""),"",'Ügyfelek'!Q124)</f>
        <v/>
      </c>
      <c r="Y124" s="5">
        <f>IF(X124="","",V124-X124)</f>
        <v/>
      </c>
      <c r="Z124" s="16">
        <f>IF(OR(X124="",X124=0),"",Y124/X124)</f>
        <v/>
      </c>
      <c r="AA124" s="5">
        <f>IF(OR($A124="",'Ügyfelek'!R124=""),"",'Ügyfelek'!R124*VLOOKUP(M124,'Beállítások'!$A$57:$E$60,5,TRUE))</f>
        <v/>
      </c>
      <c r="AB124" s="14">
        <f>IF($A124="","",('Ügyfelek'!B124="")+('Ügyfelek'!C124="")+('Ügyfelek'!D124="")+('Ügyfelek'!L124="")+('Ügyfelek'!I124="")+('Ügyfelek'!N124="")+('Ügyfelek'!J124="")+('Ügyfelek'!K124="")+('Ügyfelek'!M124="")+('Ügyfelek'!P124="")+('Ügyfelek'!O124=""))</f>
        <v/>
      </c>
      <c r="AD124">
        <f>IF($A124="","",B124+'Beállítások'!$E$6/1000)</f>
        <v/>
      </c>
      <c r="AE124">
        <f>IF($A124="","",C124+'Beállítások'!$E$7/1000)</f>
        <v/>
      </c>
      <c r="AF124">
        <f>IF($A124="","",D124+'Beállítások'!$E$8/1000)</f>
        <v/>
      </c>
      <c r="AG124">
        <f>IF($A124="","",E124+'Beállítások'!$E$9/1000)</f>
        <v/>
      </c>
      <c r="AH124">
        <f>IF($A124="","",F124+'Beállítások'!$E$10/1000)</f>
        <v/>
      </c>
      <c r="AI124">
        <f>IF($A124="","",G124+'Beállítások'!$E$11/1000)</f>
        <v/>
      </c>
      <c r="AJ124">
        <f>IF($A124="","",H124+'Beállítások'!$E$12/1000)</f>
        <v/>
      </c>
      <c r="AK124">
        <f>IF($A124="","",I124+'Beállítások'!$E$13/1000)</f>
        <v/>
      </c>
      <c r="AL124">
        <f>IF($A124="","",J124+'Beállítások'!$E$14/1000)</f>
        <v/>
      </c>
      <c r="AM124">
        <f>IF($A124="","",K124+'Beállítások'!$E$15/1000)</f>
        <v/>
      </c>
      <c r="AN124">
        <f>IF($A124="","",L124+'Beállítások'!$E$16/1000)</f>
        <v/>
      </c>
      <c r="AO124">
        <f>IF($A124="","",'Beállítások'!$E$6*(5-B124))</f>
        <v/>
      </c>
      <c r="AP124">
        <f>IF($A124="","",'Beállítások'!$E$7*(5-C124))</f>
        <v/>
      </c>
      <c r="AQ124">
        <f>IF($A124="","",'Beállítások'!$E$8*(5-D124))</f>
        <v/>
      </c>
      <c r="AR124">
        <f>IF($A124="","",'Beállítások'!$E$9*(5-E124))</f>
        <v/>
      </c>
      <c r="AS124">
        <f>IF($A124="","",'Beállítások'!$E$10*(5-F124))</f>
        <v/>
      </c>
      <c r="AT124">
        <f>IF($A124="","",'Beállítások'!$E$11*(5-G124))</f>
        <v/>
      </c>
      <c r="AU124">
        <f>IF($A124="","",'Beállítások'!$E$12*(5-H124))</f>
        <v/>
      </c>
      <c r="AV124">
        <f>IF($A124="","",'Beállítások'!$E$13*(5-I124))</f>
        <v/>
      </c>
      <c r="AW124">
        <f>IF($A124="","",'Beállítások'!$E$14*(5-J124))</f>
        <v/>
      </c>
      <c r="AX124">
        <f>IF($A124="","",'Beállítások'!$E$15*(5-K124))</f>
        <v/>
      </c>
      <c r="AY124">
        <f>IF($A124="","",'Beállítások'!$E$16*(5-L124))</f>
        <v/>
      </c>
      <c r="AZ124">
        <f>IF($A124="","",M124-ROW()/100000)</f>
        <v/>
      </c>
    </row>
    <row r="125">
      <c r="A125">
        <f>IF('Ügyfelek'!A125="","",'Ügyfelek'!A125)</f>
        <v/>
      </c>
      <c r="B125">
        <f>IF($A125="","",IF('Ügyfelek'!B125="",'Beállítások'!$B$45,IFERROR(VLOOKUP(TRIM('Ügyfelek'!B125),'Beállítások'!$A$22:$B$41,2,FALSE),'Beállítások'!$B$45)))</f>
        <v/>
      </c>
      <c r="C125">
        <f>IF($A125="","",IF('Ügyfelek'!C125="",'Beállítások'!$B$45,VLOOKUP(MAX('Ügyfelek'!C125,'Beállítások'!$H$7),'Beállítások'!$H$7:$I$11,2,TRUE)))</f>
        <v/>
      </c>
      <c r="D125">
        <f>IF($A125="","",IF('Ügyfelek'!D125="",'Beállítások'!$B$45,VLOOKUP(MAX('Ügyfelek'!D125,'Beállítások'!$K$7),'Beállítások'!$K$7:$L$11,2,TRUE)))</f>
        <v/>
      </c>
      <c r="E125">
        <f>IF($A125="","",IF('Ügyfelek'!L125="",'Beállítások'!$B$45,MIN(5,MAX(1,ROUND('Ügyfelek'!L125,0)))))</f>
        <v/>
      </c>
      <c r="F125">
        <f>IF($A125="","",IF('Ügyfelek'!I125="",'Beállítások'!$B$45,VLOOKUP(MAX('Ügyfelek'!I125,'Beállítások'!$N$7),'Beállítások'!$N$7:$O$11,2,TRUE)))</f>
        <v/>
      </c>
      <c r="G125">
        <f>IF($A125="","",IF('Ügyfelek'!N125="",'Beállítások'!$B$45,MIN(5,MAX(1,ROUND('Ügyfelek'!N125,0)))))</f>
        <v/>
      </c>
      <c r="H125">
        <f>IF($A125="","",IF('Ügyfelek'!J125="",'Beállítások'!$B$45,VLOOKUP(MAX('Ügyfelek'!J125,'Beállítások'!$Q$7),'Beállítások'!$Q$7:$R$11,2,TRUE)))</f>
        <v/>
      </c>
      <c r="I125">
        <f>IF($A125="","",IF('Ügyfelek'!K125="",'Beállítások'!$B$45,VLOOKUP(MAX('Ügyfelek'!K125,'Beállítások'!$T$7),'Beállítások'!$T$7:$U$11,2,TRUE)))</f>
        <v/>
      </c>
      <c r="J125">
        <f>IF($A125="","",IF('Ügyfelek'!M125="",'Beállítások'!$B$45,MIN(5,MAX(1,ROUND('Ügyfelek'!M125,0)))))</f>
        <v/>
      </c>
      <c r="K125">
        <f>IF($A125="","",IF('Ügyfelek'!P125="",'Beállítások'!$B$45,MIN(5,MAX(1,ROUND('Ügyfelek'!P125,0)))))</f>
        <v/>
      </c>
      <c r="L125">
        <f>IF($A125="","",IF('Ügyfelek'!O125="",'Beállítások'!$B$45,MIN(5,MAX(1,ROUND('Ügyfelek'!O125,0)))))</f>
        <v/>
      </c>
      <c r="M125" s="13">
        <f>IF($A125="","",ROUND('Beállítások'!$E$6*(B125-1)/4+'Beállítások'!$E$7*(C125-1)/4+'Beállítások'!$E$8*(D125-1)/4+'Beállítások'!$E$9*(E125-1)/4+'Beállítások'!$E$10*(F125-1)/4+'Beállítások'!$E$11*(G125-1)/4+'Beállítások'!$E$12*(H125-1)/4+'Beállítások'!$E$13*(I125-1)/4+'Beállítások'!$E$14*(J125-1)/4+'Beállítások'!$E$15*(K125-1)/4+'Beállítások'!$E$16*(L125-1)/4,1))</f>
        <v/>
      </c>
      <c r="N125" s="14">
        <f>IF($A125="","",RANK(M125,$M$2:$M$201))</f>
        <v/>
      </c>
      <c r="O125">
        <f>IF($A125="","",VLOOKUP(M125,'Beállítások'!$A$57:$E$60,2,TRUE))</f>
        <v/>
      </c>
      <c r="P125">
        <f>IF($A125="","",VLOOKUP(M125,'Beállítások'!$A$57:$E$60,3,TRUE))</f>
        <v/>
      </c>
      <c r="Q125">
        <f>IF($A125="","",INDEX('Beállítások'!$B$6:$B$16,MATCH(MAX(AD125:AN125),AD125:AN125,0)))</f>
        <v/>
      </c>
      <c r="R125">
        <f>IF($A125="","",IF(MAX(AO125:AY125)=0,"—",INDEX('Beállítások'!$B$6:$B$16,MATCH(MAX(AO125:AY125),AO125:AY125,0))))</f>
        <v/>
      </c>
      <c r="S125" s="5">
        <f>IF($A125="","",'Beállítások'!$B$47*(TRIM('Ügyfelek'!E125)="igen")+'Beállítások'!$B$48*(TRIM('Ügyfelek'!F125)="igen")+'Beállítások'!$B$49*N('Ügyfelek'!G125)+'Beállítások'!$B$46*N('Ügyfelek'!H125))</f>
        <v/>
      </c>
      <c r="T125" s="15">
        <f>IF($A125="","",VLOOKUP(M125,'Beállítások'!$A$57:$E$60,4,TRUE))</f>
        <v/>
      </c>
      <c r="U125" s="5">
        <f>IF($A125="","",N('Ügyfelek'!D125)*'Beállítások'!$B$51)</f>
        <v/>
      </c>
      <c r="V125" s="5">
        <f>IF($A125="","",CEILING(ROUND(MAX('Beállítások'!$B$50,S125*T125,U125),2),'Beállítások'!$B$52))</f>
        <v/>
      </c>
      <c r="W125">
        <f>IF($A125="","",IF(MAX('Beállítások'!$B$50,S125*T125,U125)=S125*T125,"Munkaigény × szintszorzó",IF(MAX('Beállítások'!$B$50,S125*T125,U125)=U125,"Hirdetési keret arányában","Minimumdíj")))</f>
        <v/>
      </c>
      <c r="X125" s="5">
        <f>IF(OR($A125="",'Ügyfelek'!Q125=""),"",'Ügyfelek'!Q125)</f>
        <v/>
      </c>
      <c r="Y125" s="5">
        <f>IF(X125="","",V125-X125)</f>
        <v/>
      </c>
      <c r="Z125" s="16">
        <f>IF(OR(X125="",X125=0),"",Y125/X125)</f>
        <v/>
      </c>
      <c r="AA125" s="5">
        <f>IF(OR($A125="",'Ügyfelek'!R125=""),"",'Ügyfelek'!R125*VLOOKUP(M125,'Beállítások'!$A$57:$E$60,5,TRUE))</f>
        <v/>
      </c>
      <c r="AB125" s="14">
        <f>IF($A125="","",('Ügyfelek'!B125="")+('Ügyfelek'!C125="")+('Ügyfelek'!D125="")+('Ügyfelek'!L125="")+('Ügyfelek'!I125="")+('Ügyfelek'!N125="")+('Ügyfelek'!J125="")+('Ügyfelek'!K125="")+('Ügyfelek'!M125="")+('Ügyfelek'!P125="")+('Ügyfelek'!O125=""))</f>
        <v/>
      </c>
      <c r="AD125">
        <f>IF($A125="","",B125+'Beállítások'!$E$6/1000)</f>
        <v/>
      </c>
      <c r="AE125">
        <f>IF($A125="","",C125+'Beállítások'!$E$7/1000)</f>
        <v/>
      </c>
      <c r="AF125">
        <f>IF($A125="","",D125+'Beállítások'!$E$8/1000)</f>
        <v/>
      </c>
      <c r="AG125">
        <f>IF($A125="","",E125+'Beállítások'!$E$9/1000)</f>
        <v/>
      </c>
      <c r="AH125">
        <f>IF($A125="","",F125+'Beállítások'!$E$10/1000)</f>
        <v/>
      </c>
      <c r="AI125">
        <f>IF($A125="","",G125+'Beállítások'!$E$11/1000)</f>
        <v/>
      </c>
      <c r="AJ125">
        <f>IF($A125="","",H125+'Beállítások'!$E$12/1000)</f>
        <v/>
      </c>
      <c r="AK125">
        <f>IF($A125="","",I125+'Beállítások'!$E$13/1000)</f>
        <v/>
      </c>
      <c r="AL125">
        <f>IF($A125="","",J125+'Beállítások'!$E$14/1000)</f>
        <v/>
      </c>
      <c r="AM125">
        <f>IF($A125="","",K125+'Beállítások'!$E$15/1000)</f>
        <v/>
      </c>
      <c r="AN125">
        <f>IF($A125="","",L125+'Beállítások'!$E$16/1000)</f>
        <v/>
      </c>
      <c r="AO125">
        <f>IF($A125="","",'Beállítások'!$E$6*(5-B125))</f>
        <v/>
      </c>
      <c r="AP125">
        <f>IF($A125="","",'Beállítások'!$E$7*(5-C125))</f>
        <v/>
      </c>
      <c r="AQ125">
        <f>IF($A125="","",'Beállítások'!$E$8*(5-D125))</f>
        <v/>
      </c>
      <c r="AR125">
        <f>IF($A125="","",'Beállítások'!$E$9*(5-E125))</f>
        <v/>
      </c>
      <c r="AS125">
        <f>IF($A125="","",'Beállítások'!$E$10*(5-F125))</f>
        <v/>
      </c>
      <c r="AT125">
        <f>IF($A125="","",'Beállítások'!$E$11*(5-G125))</f>
        <v/>
      </c>
      <c r="AU125">
        <f>IF($A125="","",'Beállítások'!$E$12*(5-H125))</f>
        <v/>
      </c>
      <c r="AV125">
        <f>IF($A125="","",'Beállítások'!$E$13*(5-I125))</f>
        <v/>
      </c>
      <c r="AW125">
        <f>IF($A125="","",'Beállítások'!$E$14*(5-J125))</f>
        <v/>
      </c>
      <c r="AX125">
        <f>IF($A125="","",'Beállítások'!$E$15*(5-K125))</f>
        <v/>
      </c>
      <c r="AY125">
        <f>IF($A125="","",'Beállítások'!$E$16*(5-L125))</f>
        <v/>
      </c>
      <c r="AZ125">
        <f>IF($A125="","",M125-ROW()/100000)</f>
        <v/>
      </c>
    </row>
    <row r="126">
      <c r="A126">
        <f>IF('Ügyfelek'!A126="","",'Ügyfelek'!A126)</f>
        <v/>
      </c>
      <c r="B126">
        <f>IF($A126="","",IF('Ügyfelek'!B126="",'Beállítások'!$B$45,IFERROR(VLOOKUP(TRIM('Ügyfelek'!B126),'Beállítások'!$A$22:$B$41,2,FALSE),'Beállítások'!$B$45)))</f>
        <v/>
      </c>
      <c r="C126">
        <f>IF($A126="","",IF('Ügyfelek'!C126="",'Beállítások'!$B$45,VLOOKUP(MAX('Ügyfelek'!C126,'Beállítások'!$H$7),'Beállítások'!$H$7:$I$11,2,TRUE)))</f>
        <v/>
      </c>
      <c r="D126">
        <f>IF($A126="","",IF('Ügyfelek'!D126="",'Beállítások'!$B$45,VLOOKUP(MAX('Ügyfelek'!D126,'Beállítások'!$K$7),'Beállítások'!$K$7:$L$11,2,TRUE)))</f>
        <v/>
      </c>
      <c r="E126">
        <f>IF($A126="","",IF('Ügyfelek'!L126="",'Beállítások'!$B$45,MIN(5,MAX(1,ROUND('Ügyfelek'!L126,0)))))</f>
        <v/>
      </c>
      <c r="F126">
        <f>IF($A126="","",IF('Ügyfelek'!I126="",'Beállítások'!$B$45,VLOOKUP(MAX('Ügyfelek'!I126,'Beállítások'!$N$7),'Beállítások'!$N$7:$O$11,2,TRUE)))</f>
        <v/>
      </c>
      <c r="G126">
        <f>IF($A126="","",IF('Ügyfelek'!N126="",'Beállítások'!$B$45,MIN(5,MAX(1,ROUND('Ügyfelek'!N126,0)))))</f>
        <v/>
      </c>
      <c r="H126">
        <f>IF($A126="","",IF('Ügyfelek'!J126="",'Beállítások'!$B$45,VLOOKUP(MAX('Ügyfelek'!J126,'Beállítások'!$Q$7),'Beállítások'!$Q$7:$R$11,2,TRUE)))</f>
        <v/>
      </c>
      <c r="I126">
        <f>IF($A126="","",IF('Ügyfelek'!K126="",'Beállítások'!$B$45,VLOOKUP(MAX('Ügyfelek'!K126,'Beállítások'!$T$7),'Beállítások'!$T$7:$U$11,2,TRUE)))</f>
        <v/>
      </c>
      <c r="J126">
        <f>IF($A126="","",IF('Ügyfelek'!M126="",'Beállítások'!$B$45,MIN(5,MAX(1,ROUND('Ügyfelek'!M126,0)))))</f>
        <v/>
      </c>
      <c r="K126">
        <f>IF($A126="","",IF('Ügyfelek'!P126="",'Beállítások'!$B$45,MIN(5,MAX(1,ROUND('Ügyfelek'!P126,0)))))</f>
        <v/>
      </c>
      <c r="L126">
        <f>IF($A126="","",IF('Ügyfelek'!O126="",'Beállítások'!$B$45,MIN(5,MAX(1,ROUND('Ügyfelek'!O126,0)))))</f>
        <v/>
      </c>
      <c r="M126" s="13">
        <f>IF($A126="","",ROUND('Beállítások'!$E$6*(B126-1)/4+'Beállítások'!$E$7*(C126-1)/4+'Beállítások'!$E$8*(D126-1)/4+'Beállítások'!$E$9*(E126-1)/4+'Beállítások'!$E$10*(F126-1)/4+'Beállítások'!$E$11*(G126-1)/4+'Beállítások'!$E$12*(H126-1)/4+'Beállítások'!$E$13*(I126-1)/4+'Beállítások'!$E$14*(J126-1)/4+'Beállítások'!$E$15*(K126-1)/4+'Beállítások'!$E$16*(L126-1)/4,1))</f>
        <v/>
      </c>
      <c r="N126" s="14">
        <f>IF($A126="","",RANK(M126,$M$2:$M$201))</f>
        <v/>
      </c>
      <c r="O126">
        <f>IF($A126="","",VLOOKUP(M126,'Beállítások'!$A$57:$E$60,2,TRUE))</f>
        <v/>
      </c>
      <c r="P126">
        <f>IF($A126="","",VLOOKUP(M126,'Beállítások'!$A$57:$E$60,3,TRUE))</f>
        <v/>
      </c>
      <c r="Q126">
        <f>IF($A126="","",INDEX('Beállítások'!$B$6:$B$16,MATCH(MAX(AD126:AN126),AD126:AN126,0)))</f>
        <v/>
      </c>
      <c r="R126">
        <f>IF($A126="","",IF(MAX(AO126:AY126)=0,"—",INDEX('Beállítások'!$B$6:$B$16,MATCH(MAX(AO126:AY126),AO126:AY126,0))))</f>
        <v/>
      </c>
      <c r="S126" s="5">
        <f>IF($A126="","",'Beállítások'!$B$47*(TRIM('Ügyfelek'!E126)="igen")+'Beállítások'!$B$48*(TRIM('Ügyfelek'!F126)="igen")+'Beállítások'!$B$49*N('Ügyfelek'!G126)+'Beállítások'!$B$46*N('Ügyfelek'!H126))</f>
        <v/>
      </c>
      <c r="T126" s="15">
        <f>IF($A126="","",VLOOKUP(M126,'Beállítások'!$A$57:$E$60,4,TRUE))</f>
        <v/>
      </c>
      <c r="U126" s="5">
        <f>IF($A126="","",N('Ügyfelek'!D126)*'Beállítások'!$B$51)</f>
        <v/>
      </c>
      <c r="V126" s="5">
        <f>IF($A126="","",CEILING(ROUND(MAX('Beállítások'!$B$50,S126*T126,U126),2),'Beállítások'!$B$52))</f>
        <v/>
      </c>
      <c r="W126">
        <f>IF($A126="","",IF(MAX('Beállítások'!$B$50,S126*T126,U126)=S126*T126,"Munkaigény × szintszorzó",IF(MAX('Beállítások'!$B$50,S126*T126,U126)=U126,"Hirdetési keret arányában","Minimumdíj")))</f>
        <v/>
      </c>
      <c r="X126" s="5">
        <f>IF(OR($A126="",'Ügyfelek'!Q126=""),"",'Ügyfelek'!Q126)</f>
        <v/>
      </c>
      <c r="Y126" s="5">
        <f>IF(X126="","",V126-X126)</f>
        <v/>
      </c>
      <c r="Z126" s="16">
        <f>IF(OR(X126="",X126=0),"",Y126/X126)</f>
        <v/>
      </c>
      <c r="AA126" s="5">
        <f>IF(OR($A126="",'Ügyfelek'!R126=""),"",'Ügyfelek'!R126*VLOOKUP(M126,'Beállítások'!$A$57:$E$60,5,TRUE))</f>
        <v/>
      </c>
      <c r="AB126" s="14">
        <f>IF($A126="","",('Ügyfelek'!B126="")+('Ügyfelek'!C126="")+('Ügyfelek'!D126="")+('Ügyfelek'!L126="")+('Ügyfelek'!I126="")+('Ügyfelek'!N126="")+('Ügyfelek'!J126="")+('Ügyfelek'!K126="")+('Ügyfelek'!M126="")+('Ügyfelek'!P126="")+('Ügyfelek'!O126=""))</f>
        <v/>
      </c>
      <c r="AD126">
        <f>IF($A126="","",B126+'Beállítások'!$E$6/1000)</f>
        <v/>
      </c>
      <c r="AE126">
        <f>IF($A126="","",C126+'Beállítások'!$E$7/1000)</f>
        <v/>
      </c>
      <c r="AF126">
        <f>IF($A126="","",D126+'Beállítások'!$E$8/1000)</f>
        <v/>
      </c>
      <c r="AG126">
        <f>IF($A126="","",E126+'Beállítások'!$E$9/1000)</f>
        <v/>
      </c>
      <c r="AH126">
        <f>IF($A126="","",F126+'Beállítások'!$E$10/1000)</f>
        <v/>
      </c>
      <c r="AI126">
        <f>IF($A126="","",G126+'Beállítások'!$E$11/1000)</f>
        <v/>
      </c>
      <c r="AJ126">
        <f>IF($A126="","",H126+'Beállítások'!$E$12/1000)</f>
        <v/>
      </c>
      <c r="AK126">
        <f>IF($A126="","",I126+'Beállítások'!$E$13/1000)</f>
        <v/>
      </c>
      <c r="AL126">
        <f>IF($A126="","",J126+'Beállítások'!$E$14/1000)</f>
        <v/>
      </c>
      <c r="AM126">
        <f>IF($A126="","",K126+'Beállítások'!$E$15/1000)</f>
        <v/>
      </c>
      <c r="AN126">
        <f>IF($A126="","",L126+'Beállítások'!$E$16/1000)</f>
        <v/>
      </c>
      <c r="AO126">
        <f>IF($A126="","",'Beállítások'!$E$6*(5-B126))</f>
        <v/>
      </c>
      <c r="AP126">
        <f>IF($A126="","",'Beállítások'!$E$7*(5-C126))</f>
        <v/>
      </c>
      <c r="AQ126">
        <f>IF($A126="","",'Beállítások'!$E$8*(5-D126))</f>
        <v/>
      </c>
      <c r="AR126">
        <f>IF($A126="","",'Beállítások'!$E$9*(5-E126))</f>
        <v/>
      </c>
      <c r="AS126">
        <f>IF($A126="","",'Beállítások'!$E$10*(5-F126))</f>
        <v/>
      </c>
      <c r="AT126">
        <f>IF($A126="","",'Beállítások'!$E$11*(5-G126))</f>
        <v/>
      </c>
      <c r="AU126">
        <f>IF($A126="","",'Beállítások'!$E$12*(5-H126))</f>
        <v/>
      </c>
      <c r="AV126">
        <f>IF($A126="","",'Beállítások'!$E$13*(5-I126))</f>
        <v/>
      </c>
      <c r="AW126">
        <f>IF($A126="","",'Beállítások'!$E$14*(5-J126))</f>
        <v/>
      </c>
      <c r="AX126">
        <f>IF($A126="","",'Beállítások'!$E$15*(5-K126))</f>
        <v/>
      </c>
      <c r="AY126">
        <f>IF($A126="","",'Beállítások'!$E$16*(5-L126))</f>
        <v/>
      </c>
      <c r="AZ126">
        <f>IF($A126="","",M126-ROW()/100000)</f>
        <v/>
      </c>
    </row>
    <row r="127">
      <c r="A127">
        <f>IF('Ügyfelek'!A127="","",'Ügyfelek'!A127)</f>
        <v/>
      </c>
      <c r="B127">
        <f>IF($A127="","",IF('Ügyfelek'!B127="",'Beállítások'!$B$45,IFERROR(VLOOKUP(TRIM('Ügyfelek'!B127),'Beállítások'!$A$22:$B$41,2,FALSE),'Beállítások'!$B$45)))</f>
        <v/>
      </c>
      <c r="C127">
        <f>IF($A127="","",IF('Ügyfelek'!C127="",'Beállítások'!$B$45,VLOOKUP(MAX('Ügyfelek'!C127,'Beállítások'!$H$7),'Beállítások'!$H$7:$I$11,2,TRUE)))</f>
        <v/>
      </c>
      <c r="D127">
        <f>IF($A127="","",IF('Ügyfelek'!D127="",'Beállítások'!$B$45,VLOOKUP(MAX('Ügyfelek'!D127,'Beállítások'!$K$7),'Beállítások'!$K$7:$L$11,2,TRUE)))</f>
        <v/>
      </c>
      <c r="E127">
        <f>IF($A127="","",IF('Ügyfelek'!L127="",'Beállítások'!$B$45,MIN(5,MAX(1,ROUND('Ügyfelek'!L127,0)))))</f>
        <v/>
      </c>
      <c r="F127">
        <f>IF($A127="","",IF('Ügyfelek'!I127="",'Beállítások'!$B$45,VLOOKUP(MAX('Ügyfelek'!I127,'Beállítások'!$N$7),'Beállítások'!$N$7:$O$11,2,TRUE)))</f>
        <v/>
      </c>
      <c r="G127">
        <f>IF($A127="","",IF('Ügyfelek'!N127="",'Beállítások'!$B$45,MIN(5,MAX(1,ROUND('Ügyfelek'!N127,0)))))</f>
        <v/>
      </c>
      <c r="H127">
        <f>IF($A127="","",IF('Ügyfelek'!J127="",'Beállítások'!$B$45,VLOOKUP(MAX('Ügyfelek'!J127,'Beállítások'!$Q$7),'Beállítások'!$Q$7:$R$11,2,TRUE)))</f>
        <v/>
      </c>
      <c r="I127">
        <f>IF($A127="","",IF('Ügyfelek'!K127="",'Beállítások'!$B$45,VLOOKUP(MAX('Ügyfelek'!K127,'Beállítások'!$T$7),'Beállítások'!$T$7:$U$11,2,TRUE)))</f>
        <v/>
      </c>
      <c r="J127">
        <f>IF($A127="","",IF('Ügyfelek'!M127="",'Beállítások'!$B$45,MIN(5,MAX(1,ROUND('Ügyfelek'!M127,0)))))</f>
        <v/>
      </c>
      <c r="K127">
        <f>IF($A127="","",IF('Ügyfelek'!P127="",'Beállítások'!$B$45,MIN(5,MAX(1,ROUND('Ügyfelek'!P127,0)))))</f>
        <v/>
      </c>
      <c r="L127">
        <f>IF($A127="","",IF('Ügyfelek'!O127="",'Beállítások'!$B$45,MIN(5,MAX(1,ROUND('Ügyfelek'!O127,0)))))</f>
        <v/>
      </c>
      <c r="M127" s="13">
        <f>IF($A127="","",ROUND('Beállítások'!$E$6*(B127-1)/4+'Beállítások'!$E$7*(C127-1)/4+'Beállítások'!$E$8*(D127-1)/4+'Beállítások'!$E$9*(E127-1)/4+'Beállítások'!$E$10*(F127-1)/4+'Beállítások'!$E$11*(G127-1)/4+'Beállítások'!$E$12*(H127-1)/4+'Beállítások'!$E$13*(I127-1)/4+'Beállítások'!$E$14*(J127-1)/4+'Beállítások'!$E$15*(K127-1)/4+'Beállítások'!$E$16*(L127-1)/4,1))</f>
        <v/>
      </c>
      <c r="N127" s="14">
        <f>IF($A127="","",RANK(M127,$M$2:$M$201))</f>
        <v/>
      </c>
      <c r="O127">
        <f>IF($A127="","",VLOOKUP(M127,'Beállítások'!$A$57:$E$60,2,TRUE))</f>
        <v/>
      </c>
      <c r="P127">
        <f>IF($A127="","",VLOOKUP(M127,'Beállítások'!$A$57:$E$60,3,TRUE))</f>
        <v/>
      </c>
      <c r="Q127">
        <f>IF($A127="","",INDEX('Beállítások'!$B$6:$B$16,MATCH(MAX(AD127:AN127),AD127:AN127,0)))</f>
        <v/>
      </c>
      <c r="R127">
        <f>IF($A127="","",IF(MAX(AO127:AY127)=0,"—",INDEX('Beállítások'!$B$6:$B$16,MATCH(MAX(AO127:AY127),AO127:AY127,0))))</f>
        <v/>
      </c>
      <c r="S127" s="5">
        <f>IF($A127="","",'Beállítások'!$B$47*(TRIM('Ügyfelek'!E127)="igen")+'Beállítások'!$B$48*(TRIM('Ügyfelek'!F127)="igen")+'Beállítások'!$B$49*N('Ügyfelek'!G127)+'Beállítások'!$B$46*N('Ügyfelek'!H127))</f>
        <v/>
      </c>
      <c r="T127" s="15">
        <f>IF($A127="","",VLOOKUP(M127,'Beállítások'!$A$57:$E$60,4,TRUE))</f>
        <v/>
      </c>
      <c r="U127" s="5">
        <f>IF($A127="","",N('Ügyfelek'!D127)*'Beállítások'!$B$51)</f>
        <v/>
      </c>
      <c r="V127" s="5">
        <f>IF($A127="","",CEILING(ROUND(MAX('Beállítások'!$B$50,S127*T127,U127),2),'Beállítások'!$B$52))</f>
        <v/>
      </c>
      <c r="W127">
        <f>IF($A127="","",IF(MAX('Beállítások'!$B$50,S127*T127,U127)=S127*T127,"Munkaigény × szintszorzó",IF(MAX('Beállítások'!$B$50,S127*T127,U127)=U127,"Hirdetési keret arányában","Minimumdíj")))</f>
        <v/>
      </c>
      <c r="X127" s="5">
        <f>IF(OR($A127="",'Ügyfelek'!Q127=""),"",'Ügyfelek'!Q127)</f>
        <v/>
      </c>
      <c r="Y127" s="5">
        <f>IF(X127="","",V127-X127)</f>
        <v/>
      </c>
      <c r="Z127" s="16">
        <f>IF(OR(X127="",X127=0),"",Y127/X127)</f>
        <v/>
      </c>
      <c r="AA127" s="5">
        <f>IF(OR($A127="",'Ügyfelek'!R127=""),"",'Ügyfelek'!R127*VLOOKUP(M127,'Beállítások'!$A$57:$E$60,5,TRUE))</f>
        <v/>
      </c>
      <c r="AB127" s="14">
        <f>IF($A127="","",('Ügyfelek'!B127="")+('Ügyfelek'!C127="")+('Ügyfelek'!D127="")+('Ügyfelek'!L127="")+('Ügyfelek'!I127="")+('Ügyfelek'!N127="")+('Ügyfelek'!J127="")+('Ügyfelek'!K127="")+('Ügyfelek'!M127="")+('Ügyfelek'!P127="")+('Ügyfelek'!O127=""))</f>
        <v/>
      </c>
      <c r="AD127">
        <f>IF($A127="","",B127+'Beállítások'!$E$6/1000)</f>
        <v/>
      </c>
      <c r="AE127">
        <f>IF($A127="","",C127+'Beállítások'!$E$7/1000)</f>
        <v/>
      </c>
      <c r="AF127">
        <f>IF($A127="","",D127+'Beállítások'!$E$8/1000)</f>
        <v/>
      </c>
      <c r="AG127">
        <f>IF($A127="","",E127+'Beállítások'!$E$9/1000)</f>
        <v/>
      </c>
      <c r="AH127">
        <f>IF($A127="","",F127+'Beállítások'!$E$10/1000)</f>
        <v/>
      </c>
      <c r="AI127">
        <f>IF($A127="","",G127+'Beállítások'!$E$11/1000)</f>
        <v/>
      </c>
      <c r="AJ127">
        <f>IF($A127="","",H127+'Beállítások'!$E$12/1000)</f>
        <v/>
      </c>
      <c r="AK127">
        <f>IF($A127="","",I127+'Beállítások'!$E$13/1000)</f>
        <v/>
      </c>
      <c r="AL127">
        <f>IF($A127="","",J127+'Beállítások'!$E$14/1000)</f>
        <v/>
      </c>
      <c r="AM127">
        <f>IF($A127="","",K127+'Beállítások'!$E$15/1000)</f>
        <v/>
      </c>
      <c r="AN127">
        <f>IF($A127="","",L127+'Beállítások'!$E$16/1000)</f>
        <v/>
      </c>
      <c r="AO127">
        <f>IF($A127="","",'Beállítások'!$E$6*(5-B127))</f>
        <v/>
      </c>
      <c r="AP127">
        <f>IF($A127="","",'Beállítások'!$E$7*(5-C127))</f>
        <v/>
      </c>
      <c r="AQ127">
        <f>IF($A127="","",'Beállítások'!$E$8*(5-D127))</f>
        <v/>
      </c>
      <c r="AR127">
        <f>IF($A127="","",'Beállítások'!$E$9*(5-E127))</f>
        <v/>
      </c>
      <c r="AS127">
        <f>IF($A127="","",'Beállítások'!$E$10*(5-F127))</f>
        <v/>
      </c>
      <c r="AT127">
        <f>IF($A127="","",'Beállítások'!$E$11*(5-G127))</f>
        <v/>
      </c>
      <c r="AU127">
        <f>IF($A127="","",'Beállítások'!$E$12*(5-H127))</f>
        <v/>
      </c>
      <c r="AV127">
        <f>IF($A127="","",'Beállítások'!$E$13*(5-I127))</f>
        <v/>
      </c>
      <c r="AW127">
        <f>IF($A127="","",'Beállítások'!$E$14*(5-J127))</f>
        <v/>
      </c>
      <c r="AX127">
        <f>IF($A127="","",'Beállítások'!$E$15*(5-K127))</f>
        <v/>
      </c>
      <c r="AY127">
        <f>IF($A127="","",'Beállítások'!$E$16*(5-L127))</f>
        <v/>
      </c>
      <c r="AZ127">
        <f>IF($A127="","",M127-ROW()/100000)</f>
        <v/>
      </c>
    </row>
    <row r="128">
      <c r="A128">
        <f>IF('Ügyfelek'!A128="","",'Ügyfelek'!A128)</f>
        <v/>
      </c>
      <c r="B128">
        <f>IF($A128="","",IF('Ügyfelek'!B128="",'Beállítások'!$B$45,IFERROR(VLOOKUP(TRIM('Ügyfelek'!B128),'Beállítások'!$A$22:$B$41,2,FALSE),'Beállítások'!$B$45)))</f>
        <v/>
      </c>
      <c r="C128">
        <f>IF($A128="","",IF('Ügyfelek'!C128="",'Beállítások'!$B$45,VLOOKUP(MAX('Ügyfelek'!C128,'Beállítások'!$H$7),'Beállítások'!$H$7:$I$11,2,TRUE)))</f>
        <v/>
      </c>
      <c r="D128">
        <f>IF($A128="","",IF('Ügyfelek'!D128="",'Beállítások'!$B$45,VLOOKUP(MAX('Ügyfelek'!D128,'Beállítások'!$K$7),'Beállítások'!$K$7:$L$11,2,TRUE)))</f>
        <v/>
      </c>
      <c r="E128">
        <f>IF($A128="","",IF('Ügyfelek'!L128="",'Beállítások'!$B$45,MIN(5,MAX(1,ROUND('Ügyfelek'!L128,0)))))</f>
        <v/>
      </c>
      <c r="F128">
        <f>IF($A128="","",IF('Ügyfelek'!I128="",'Beállítások'!$B$45,VLOOKUP(MAX('Ügyfelek'!I128,'Beállítások'!$N$7),'Beállítások'!$N$7:$O$11,2,TRUE)))</f>
        <v/>
      </c>
      <c r="G128">
        <f>IF($A128="","",IF('Ügyfelek'!N128="",'Beállítások'!$B$45,MIN(5,MAX(1,ROUND('Ügyfelek'!N128,0)))))</f>
        <v/>
      </c>
      <c r="H128">
        <f>IF($A128="","",IF('Ügyfelek'!J128="",'Beállítások'!$B$45,VLOOKUP(MAX('Ügyfelek'!J128,'Beállítások'!$Q$7),'Beállítások'!$Q$7:$R$11,2,TRUE)))</f>
        <v/>
      </c>
      <c r="I128">
        <f>IF($A128="","",IF('Ügyfelek'!K128="",'Beállítások'!$B$45,VLOOKUP(MAX('Ügyfelek'!K128,'Beállítások'!$T$7),'Beállítások'!$T$7:$U$11,2,TRUE)))</f>
        <v/>
      </c>
      <c r="J128">
        <f>IF($A128="","",IF('Ügyfelek'!M128="",'Beállítások'!$B$45,MIN(5,MAX(1,ROUND('Ügyfelek'!M128,0)))))</f>
        <v/>
      </c>
      <c r="K128">
        <f>IF($A128="","",IF('Ügyfelek'!P128="",'Beállítások'!$B$45,MIN(5,MAX(1,ROUND('Ügyfelek'!P128,0)))))</f>
        <v/>
      </c>
      <c r="L128">
        <f>IF($A128="","",IF('Ügyfelek'!O128="",'Beállítások'!$B$45,MIN(5,MAX(1,ROUND('Ügyfelek'!O128,0)))))</f>
        <v/>
      </c>
      <c r="M128" s="13">
        <f>IF($A128="","",ROUND('Beállítások'!$E$6*(B128-1)/4+'Beállítások'!$E$7*(C128-1)/4+'Beállítások'!$E$8*(D128-1)/4+'Beállítások'!$E$9*(E128-1)/4+'Beállítások'!$E$10*(F128-1)/4+'Beállítások'!$E$11*(G128-1)/4+'Beállítások'!$E$12*(H128-1)/4+'Beállítások'!$E$13*(I128-1)/4+'Beállítások'!$E$14*(J128-1)/4+'Beállítások'!$E$15*(K128-1)/4+'Beállítások'!$E$16*(L128-1)/4,1))</f>
        <v/>
      </c>
      <c r="N128" s="14">
        <f>IF($A128="","",RANK(M128,$M$2:$M$201))</f>
        <v/>
      </c>
      <c r="O128">
        <f>IF($A128="","",VLOOKUP(M128,'Beállítások'!$A$57:$E$60,2,TRUE))</f>
        <v/>
      </c>
      <c r="P128">
        <f>IF($A128="","",VLOOKUP(M128,'Beállítások'!$A$57:$E$60,3,TRUE))</f>
        <v/>
      </c>
      <c r="Q128">
        <f>IF($A128="","",INDEX('Beállítások'!$B$6:$B$16,MATCH(MAX(AD128:AN128),AD128:AN128,0)))</f>
        <v/>
      </c>
      <c r="R128">
        <f>IF($A128="","",IF(MAX(AO128:AY128)=0,"—",INDEX('Beállítások'!$B$6:$B$16,MATCH(MAX(AO128:AY128),AO128:AY128,0))))</f>
        <v/>
      </c>
      <c r="S128" s="5">
        <f>IF($A128="","",'Beállítások'!$B$47*(TRIM('Ügyfelek'!E128)="igen")+'Beállítások'!$B$48*(TRIM('Ügyfelek'!F128)="igen")+'Beállítások'!$B$49*N('Ügyfelek'!G128)+'Beállítások'!$B$46*N('Ügyfelek'!H128))</f>
        <v/>
      </c>
      <c r="T128" s="15">
        <f>IF($A128="","",VLOOKUP(M128,'Beállítások'!$A$57:$E$60,4,TRUE))</f>
        <v/>
      </c>
      <c r="U128" s="5">
        <f>IF($A128="","",N('Ügyfelek'!D128)*'Beállítások'!$B$51)</f>
        <v/>
      </c>
      <c r="V128" s="5">
        <f>IF($A128="","",CEILING(ROUND(MAX('Beállítások'!$B$50,S128*T128,U128),2),'Beállítások'!$B$52))</f>
        <v/>
      </c>
      <c r="W128">
        <f>IF($A128="","",IF(MAX('Beállítások'!$B$50,S128*T128,U128)=S128*T128,"Munkaigény × szintszorzó",IF(MAX('Beállítások'!$B$50,S128*T128,U128)=U128,"Hirdetési keret arányában","Minimumdíj")))</f>
        <v/>
      </c>
      <c r="X128" s="5">
        <f>IF(OR($A128="",'Ügyfelek'!Q128=""),"",'Ügyfelek'!Q128)</f>
        <v/>
      </c>
      <c r="Y128" s="5">
        <f>IF(X128="","",V128-X128)</f>
        <v/>
      </c>
      <c r="Z128" s="16">
        <f>IF(OR(X128="",X128=0),"",Y128/X128)</f>
        <v/>
      </c>
      <c r="AA128" s="5">
        <f>IF(OR($A128="",'Ügyfelek'!R128=""),"",'Ügyfelek'!R128*VLOOKUP(M128,'Beállítások'!$A$57:$E$60,5,TRUE))</f>
        <v/>
      </c>
      <c r="AB128" s="14">
        <f>IF($A128="","",('Ügyfelek'!B128="")+('Ügyfelek'!C128="")+('Ügyfelek'!D128="")+('Ügyfelek'!L128="")+('Ügyfelek'!I128="")+('Ügyfelek'!N128="")+('Ügyfelek'!J128="")+('Ügyfelek'!K128="")+('Ügyfelek'!M128="")+('Ügyfelek'!P128="")+('Ügyfelek'!O128=""))</f>
        <v/>
      </c>
      <c r="AD128">
        <f>IF($A128="","",B128+'Beállítások'!$E$6/1000)</f>
        <v/>
      </c>
      <c r="AE128">
        <f>IF($A128="","",C128+'Beállítások'!$E$7/1000)</f>
        <v/>
      </c>
      <c r="AF128">
        <f>IF($A128="","",D128+'Beállítások'!$E$8/1000)</f>
        <v/>
      </c>
      <c r="AG128">
        <f>IF($A128="","",E128+'Beállítások'!$E$9/1000)</f>
        <v/>
      </c>
      <c r="AH128">
        <f>IF($A128="","",F128+'Beállítások'!$E$10/1000)</f>
        <v/>
      </c>
      <c r="AI128">
        <f>IF($A128="","",G128+'Beállítások'!$E$11/1000)</f>
        <v/>
      </c>
      <c r="AJ128">
        <f>IF($A128="","",H128+'Beállítások'!$E$12/1000)</f>
        <v/>
      </c>
      <c r="AK128">
        <f>IF($A128="","",I128+'Beállítások'!$E$13/1000)</f>
        <v/>
      </c>
      <c r="AL128">
        <f>IF($A128="","",J128+'Beállítások'!$E$14/1000)</f>
        <v/>
      </c>
      <c r="AM128">
        <f>IF($A128="","",K128+'Beállítások'!$E$15/1000)</f>
        <v/>
      </c>
      <c r="AN128">
        <f>IF($A128="","",L128+'Beállítások'!$E$16/1000)</f>
        <v/>
      </c>
      <c r="AO128">
        <f>IF($A128="","",'Beállítások'!$E$6*(5-B128))</f>
        <v/>
      </c>
      <c r="AP128">
        <f>IF($A128="","",'Beállítások'!$E$7*(5-C128))</f>
        <v/>
      </c>
      <c r="AQ128">
        <f>IF($A128="","",'Beállítások'!$E$8*(5-D128))</f>
        <v/>
      </c>
      <c r="AR128">
        <f>IF($A128="","",'Beállítások'!$E$9*(5-E128))</f>
        <v/>
      </c>
      <c r="AS128">
        <f>IF($A128="","",'Beállítások'!$E$10*(5-F128))</f>
        <v/>
      </c>
      <c r="AT128">
        <f>IF($A128="","",'Beállítások'!$E$11*(5-G128))</f>
        <v/>
      </c>
      <c r="AU128">
        <f>IF($A128="","",'Beállítások'!$E$12*(5-H128))</f>
        <v/>
      </c>
      <c r="AV128">
        <f>IF($A128="","",'Beállítások'!$E$13*(5-I128))</f>
        <v/>
      </c>
      <c r="AW128">
        <f>IF($A128="","",'Beállítások'!$E$14*(5-J128))</f>
        <v/>
      </c>
      <c r="AX128">
        <f>IF($A128="","",'Beállítások'!$E$15*(5-K128))</f>
        <v/>
      </c>
      <c r="AY128">
        <f>IF($A128="","",'Beállítások'!$E$16*(5-L128))</f>
        <v/>
      </c>
      <c r="AZ128">
        <f>IF($A128="","",M128-ROW()/100000)</f>
        <v/>
      </c>
    </row>
    <row r="129">
      <c r="A129">
        <f>IF('Ügyfelek'!A129="","",'Ügyfelek'!A129)</f>
        <v/>
      </c>
      <c r="B129">
        <f>IF($A129="","",IF('Ügyfelek'!B129="",'Beállítások'!$B$45,IFERROR(VLOOKUP(TRIM('Ügyfelek'!B129),'Beállítások'!$A$22:$B$41,2,FALSE),'Beállítások'!$B$45)))</f>
        <v/>
      </c>
      <c r="C129">
        <f>IF($A129="","",IF('Ügyfelek'!C129="",'Beállítások'!$B$45,VLOOKUP(MAX('Ügyfelek'!C129,'Beállítások'!$H$7),'Beállítások'!$H$7:$I$11,2,TRUE)))</f>
        <v/>
      </c>
      <c r="D129">
        <f>IF($A129="","",IF('Ügyfelek'!D129="",'Beállítások'!$B$45,VLOOKUP(MAX('Ügyfelek'!D129,'Beállítások'!$K$7),'Beállítások'!$K$7:$L$11,2,TRUE)))</f>
        <v/>
      </c>
      <c r="E129">
        <f>IF($A129="","",IF('Ügyfelek'!L129="",'Beállítások'!$B$45,MIN(5,MAX(1,ROUND('Ügyfelek'!L129,0)))))</f>
        <v/>
      </c>
      <c r="F129">
        <f>IF($A129="","",IF('Ügyfelek'!I129="",'Beállítások'!$B$45,VLOOKUP(MAX('Ügyfelek'!I129,'Beállítások'!$N$7),'Beállítások'!$N$7:$O$11,2,TRUE)))</f>
        <v/>
      </c>
      <c r="G129">
        <f>IF($A129="","",IF('Ügyfelek'!N129="",'Beállítások'!$B$45,MIN(5,MAX(1,ROUND('Ügyfelek'!N129,0)))))</f>
        <v/>
      </c>
      <c r="H129">
        <f>IF($A129="","",IF('Ügyfelek'!J129="",'Beállítások'!$B$45,VLOOKUP(MAX('Ügyfelek'!J129,'Beállítások'!$Q$7),'Beállítások'!$Q$7:$R$11,2,TRUE)))</f>
        <v/>
      </c>
      <c r="I129">
        <f>IF($A129="","",IF('Ügyfelek'!K129="",'Beállítások'!$B$45,VLOOKUP(MAX('Ügyfelek'!K129,'Beállítások'!$T$7),'Beállítások'!$T$7:$U$11,2,TRUE)))</f>
        <v/>
      </c>
      <c r="J129">
        <f>IF($A129="","",IF('Ügyfelek'!M129="",'Beállítások'!$B$45,MIN(5,MAX(1,ROUND('Ügyfelek'!M129,0)))))</f>
        <v/>
      </c>
      <c r="K129">
        <f>IF($A129="","",IF('Ügyfelek'!P129="",'Beállítások'!$B$45,MIN(5,MAX(1,ROUND('Ügyfelek'!P129,0)))))</f>
        <v/>
      </c>
      <c r="L129">
        <f>IF($A129="","",IF('Ügyfelek'!O129="",'Beállítások'!$B$45,MIN(5,MAX(1,ROUND('Ügyfelek'!O129,0)))))</f>
        <v/>
      </c>
      <c r="M129" s="13">
        <f>IF($A129="","",ROUND('Beállítások'!$E$6*(B129-1)/4+'Beállítások'!$E$7*(C129-1)/4+'Beállítások'!$E$8*(D129-1)/4+'Beállítások'!$E$9*(E129-1)/4+'Beállítások'!$E$10*(F129-1)/4+'Beállítások'!$E$11*(G129-1)/4+'Beállítások'!$E$12*(H129-1)/4+'Beállítások'!$E$13*(I129-1)/4+'Beállítások'!$E$14*(J129-1)/4+'Beállítások'!$E$15*(K129-1)/4+'Beállítások'!$E$16*(L129-1)/4,1))</f>
        <v/>
      </c>
      <c r="N129" s="14">
        <f>IF($A129="","",RANK(M129,$M$2:$M$201))</f>
        <v/>
      </c>
      <c r="O129">
        <f>IF($A129="","",VLOOKUP(M129,'Beállítások'!$A$57:$E$60,2,TRUE))</f>
        <v/>
      </c>
      <c r="P129">
        <f>IF($A129="","",VLOOKUP(M129,'Beállítások'!$A$57:$E$60,3,TRUE))</f>
        <v/>
      </c>
      <c r="Q129">
        <f>IF($A129="","",INDEX('Beállítások'!$B$6:$B$16,MATCH(MAX(AD129:AN129),AD129:AN129,0)))</f>
        <v/>
      </c>
      <c r="R129">
        <f>IF($A129="","",IF(MAX(AO129:AY129)=0,"—",INDEX('Beállítások'!$B$6:$B$16,MATCH(MAX(AO129:AY129),AO129:AY129,0))))</f>
        <v/>
      </c>
      <c r="S129" s="5">
        <f>IF($A129="","",'Beállítások'!$B$47*(TRIM('Ügyfelek'!E129)="igen")+'Beállítások'!$B$48*(TRIM('Ügyfelek'!F129)="igen")+'Beállítások'!$B$49*N('Ügyfelek'!G129)+'Beállítások'!$B$46*N('Ügyfelek'!H129))</f>
        <v/>
      </c>
      <c r="T129" s="15">
        <f>IF($A129="","",VLOOKUP(M129,'Beállítások'!$A$57:$E$60,4,TRUE))</f>
        <v/>
      </c>
      <c r="U129" s="5">
        <f>IF($A129="","",N('Ügyfelek'!D129)*'Beállítások'!$B$51)</f>
        <v/>
      </c>
      <c r="V129" s="5">
        <f>IF($A129="","",CEILING(ROUND(MAX('Beállítások'!$B$50,S129*T129,U129),2),'Beállítások'!$B$52))</f>
        <v/>
      </c>
      <c r="W129">
        <f>IF($A129="","",IF(MAX('Beállítások'!$B$50,S129*T129,U129)=S129*T129,"Munkaigény × szintszorzó",IF(MAX('Beállítások'!$B$50,S129*T129,U129)=U129,"Hirdetési keret arányában","Minimumdíj")))</f>
        <v/>
      </c>
      <c r="X129" s="5">
        <f>IF(OR($A129="",'Ügyfelek'!Q129=""),"",'Ügyfelek'!Q129)</f>
        <v/>
      </c>
      <c r="Y129" s="5">
        <f>IF(X129="","",V129-X129)</f>
        <v/>
      </c>
      <c r="Z129" s="16">
        <f>IF(OR(X129="",X129=0),"",Y129/X129)</f>
        <v/>
      </c>
      <c r="AA129" s="5">
        <f>IF(OR($A129="",'Ügyfelek'!R129=""),"",'Ügyfelek'!R129*VLOOKUP(M129,'Beállítások'!$A$57:$E$60,5,TRUE))</f>
        <v/>
      </c>
      <c r="AB129" s="14">
        <f>IF($A129="","",('Ügyfelek'!B129="")+('Ügyfelek'!C129="")+('Ügyfelek'!D129="")+('Ügyfelek'!L129="")+('Ügyfelek'!I129="")+('Ügyfelek'!N129="")+('Ügyfelek'!J129="")+('Ügyfelek'!K129="")+('Ügyfelek'!M129="")+('Ügyfelek'!P129="")+('Ügyfelek'!O129=""))</f>
        <v/>
      </c>
      <c r="AD129">
        <f>IF($A129="","",B129+'Beállítások'!$E$6/1000)</f>
        <v/>
      </c>
      <c r="AE129">
        <f>IF($A129="","",C129+'Beállítások'!$E$7/1000)</f>
        <v/>
      </c>
      <c r="AF129">
        <f>IF($A129="","",D129+'Beállítások'!$E$8/1000)</f>
        <v/>
      </c>
      <c r="AG129">
        <f>IF($A129="","",E129+'Beállítások'!$E$9/1000)</f>
        <v/>
      </c>
      <c r="AH129">
        <f>IF($A129="","",F129+'Beállítások'!$E$10/1000)</f>
        <v/>
      </c>
      <c r="AI129">
        <f>IF($A129="","",G129+'Beállítások'!$E$11/1000)</f>
        <v/>
      </c>
      <c r="AJ129">
        <f>IF($A129="","",H129+'Beállítások'!$E$12/1000)</f>
        <v/>
      </c>
      <c r="AK129">
        <f>IF($A129="","",I129+'Beállítások'!$E$13/1000)</f>
        <v/>
      </c>
      <c r="AL129">
        <f>IF($A129="","",J129+'Beállítások'!$E$14/1000)</f>
        <v/>
      </c>
      <c r="AM129">
        <f>IF($A129="","",K129+'Beállítások'!$E$15/1000)</f>
        <v/>
      </c>
      <c r="AN129">
        <f>IF($A129="","",L129+'Beállítások'!$E$16/1000)</f>
        <v/>
      </c>
      <c r="AO129">
        <f>IF($A129="","",'Beállítások'!$E$6*(5-B129))</f>
        <v/>
      </c>
      <c r="AP129">
        <f>IF($A129="","",'Beállítások'!$E$7*(5-C129))</f>
        <v/>
      </c>
      <c r="AQ129">
        <f>IF($A129="","",'Beállítások'!$E$8*(5-D129))</f>
        <v/>
      </c>
      <c r="AR129">
        <f>IF($A129="","",'Beállítások'!$E$9*(5-E129))</f>
        <v/>
      </c>
      <c r="AS129">
        <f>IF($A129="","",'Beállítások'!$E$10*(5-F129))</f>
        <v/>
      </c>
      <c r="AT129">
        <f>IF($A129="","",'Beállítások'!$E$11*(5-G129))</f>
        <v/>
      </c>
      <c r="AU129">
        <f>IF($A129="","",'Beállítások'!$E$12*(5-H129))</f>
        <v/>
      </c>
      <c r="AV129">
        <f>IF($A129="","",'Beállítások'!$E$13*(5-I129))</f>
        <v/>
      </c>
      <c r="AW129">
        <f>IF($A129="","",'Beállítások'!$E$14*(5-J129))</f>
        <v/>
      </c>
      <c r="AX129">
        <f>IF($A129="","",'Beállítások'!$E$15*(5-K129))</f>
        <v/>
      </c>
      <c r="AY129">
        <f>IF($A129="","",'Beállítások'!$E$16*(5-L129))</f>
        <v/>
      </c>
      <c r="AZ129">
        <f>IF($A129="","",M129-ROW()/100000)</f>
        <v/>
      </c>
    </row>
    <row r="130">
      <c r="A130">
        <f>IF('Ügyfelek'!A130="","",'Ügyfelek'!A130)</f>
        <v/>
      </c>
      <c r="B130">
        <f>IF($A130="","",IF('Ügyfelek'!B130="",'Beállítások'!$B$45,IFERROR(VLOOKUP(TRIM('Ügyfelek'!B130),'Beállítások'!$A$22:$B$41,2,FALSE),'Beállítások'!$B$45)))</f>
        <v/>
      </c>
      <c r="C130">
        <f>IF($A130="","",IF('Ügyfelek'!C130="",'Beállítások'!$B$45,VLOOKUP(MAX('Ügyfelek'!C130,'Beállítások'!$H$7),'Beállítások'!$H$7:$I$11,2,TRUE)))</f>
        <v/>
      </c>
      <c r="D130">
        <f>IF($A130="","",IF('Ügyfelek'!D130="",'Beállítások'!$B$45,VLOOKUP(MAX('Ügyfelek'!D130,'Beállítások'!$K$7),'Beállítások'!$K$7:$L$11,2,TRUE)))</f>
        <v/>
      </c>
      <c r="E130">
        <f>IF($A130="","",IF('Ügyfelek'!L130="",'Beállítások'!$B$45,MIN(5,MAX(1,ROUND('Ügyfelek'!L130,0)))))</f>
        <v/>
      </c>
      <c r="F130">
        <f>IF($A130="","",IF('Ügyfelek'!I130="",'Beállítások'!$B$45,VLOOKUP(MAX('Ügyfelek'!I130,'Beállítások'!$N$7),'Beállítások'!$N$7:$O$11,2,TRUE)))</f>
        <v/>
      </c>
      <c r="G130">
        <f>IF($A130="","",IF('Ügyfelek'!N130="",'Beállítások'!$B$45,MIN(5,MAX(1,ROUND('Ügyfelek'!N130,0)))))</f>
        <v/>
      </c>
      <c r="H130">
        <f>IF($A130="","",IF('Ügyfelek'!J130="",'Beállítások'!$B$45,VLOOKUP(MAX('Ügyfelek'!J130,'Beállítások'!$Q$7),'Beállítások'!$Q$7:$R$11,2,TRUE)))</f>
        <v/>
      </c>
      <c r="I130">
        <f>IF($A130="","",IF('Ügyfelek'!K130="",'Beállítások'!$B$45,VLOOKUP(MAX('Ügyfelek'!K130,'Beállítások'!$T$7),'Beállítások'!$T$7:$U$11,2,TRUE)))</f>
        <v/>
      </c>
      <c r="J130">
        <f>IF($A130="","",IF('Ügyfelek'!M130="",'Beállítások'!$B$45,MIN(5,MAX(1,ROUND('Ügyfelek'!M130,0)))))</f>
        <v/>
      </c>
      <c r="K130">
        <f>IF($A130="","",IF('Ügyfelek'!P130="",'Beállítások'!$B$45,MIN(5,MAX(1,ROUND('Ügyfelek'!P130,0)))))</f>
        <v/>
      </c>
      <c r="L130">
        <f>IF($A130="","",IF('Ügyfelek'!O130="",'Beállítások'!$B$45,MIN(5,MAX(1,ROUND('Ügyfelek'!O130,0)))))</f>
        <v/>
      </c>
      <c r="M130" s="13">
        <f>IF($A130="","",ROUND('Beállítások'!$E$6*(B130-1)/4+'Beállítások'!$E$7*(C130-1)/4+'Beállítások'!$E$8*(D130-1)/4+'Beállítások'!$E$9*(E130-1)/4+'Beállítások'!$E$10*(F130-1)/4+'Beállítások'!$E$11*(G130-1)/4+'Beállítások'!$E$12*(H130-1)/4+'Beállítások'!$E$13*(I130-1)/4+'Beállítások'!$E$14*(J130-1)/4+'Beállítások'!$E$15*(K130-1)/4+'Beállítások'!$E$16*(L130-1)/4,1))</f>
        <v/>
      </c>
      <c r="N130" s="14">
        <f>IF($A130="","",RANK(M130,$M$2:$M$201))</f>
        <v/>
      </c>
      <c r="O130">
        <f>IF($A130="","",VLOOKUP(M130,'Beállítások'!$A$57:$E$60,2,TRUE))</f>
        <v/>
      </c>
      <c r="P130">
        <f>IF($A130="","",VLOOKUP(M130,'Beállítások'!$A$57:$E$60,3,TRUE))</f>
        <v/>
      </c>
      <c r="Q130">
        <f>IF($A130="","",INDEX('Beállítások'!$B$6:$B$16,MATCH(MAX(AD130:AN130),AD130:AN130,0)))</f>
        <v/>
      </c>
      <c r="R130">
        <f>IF($A130="","",IF(MAX(AO130:AY130)=0,"—",INDEX('Beállítások'!$B$6:$B$16,MATCH(MAX(AO130:AY130),AO130:AY130,0))))</f>
        <v/>
      </c>
      <c r="S130" s="5">
        <f>IF($A130="","",'Beállítások'!$B$47*(TRIM('Ügyfelek'!E130)="igen")+'Beállítások'!$B$48*(TRIM('Ügyfelek'!F130)="igen")+'Beállítások'!$B$49*N('Ügyfelek'!G130)+'Beállítások'!$B$46*N('Ügyfelek'!H130))</f>
        <v/>
      </c>
      <c r="T130" s="15">
        <f>IF($A130="","",VLOOKUP(M130,'Beállítások'!$A$57:$E$60,4,TRUE))</f>
        <v/>
      </c>
      <c r="U130" s="5">
        <f>IF($A130="","",N('Ügyfelek'!D130)*'Beállítások'!$B$51)</f>
        <v/>
      </c>
      <c r="V130" s="5">
        <f>IF($A130="","",CEILING(ROUND(MAX('Beállítások'!$B$50,S130*T130,U130),2),'Beállítások'!$B$52))</f>
        <v/>
      </c>
      <c r="W130">
        <f>IF($A130="","",IF(MAX('Beállítások'!$B$50,S130*T130,U130)=S130*T130,"Munkaigény × szintszorzó",IF(MAX('Beállítások'!$B$50,S130*T130,U130)=U130,"Hirdetési keret arányában","Minimumdíj")))</f>
        <v/>
      </c>
      <c r="X130" s="5">
        <f>IF(OR($A130="",'Ügyfelek'!Q130=""),"",'Ügyfelek'!Q130)</f>
        <v/>
      </c>
      <c r="Y130" s="5">
        <f>IF(X130="","",V130-X130)</f>
        <v/>
      </c>
      <c r="Z130" s="16">
        <f>IF(OR(X130="",X130=0),"",Y130/X130)</f>
        <v/>
      </c>
      <c r="AA130" s="5">
        <f>IF(OR($A130="",'Ügyfelek'!R130=""),"",'Ügyfelek'!R130*VLOOKUP(M130,'Beállítások'!$A$57:$E$60,5,TRUE))</f>
        <v/>
      </c>
      <c r="AB130" s="14">
        <f>IF($A130="","",('Ügyfelek'!B130="")+('Ügyfelek'!C130="")+('Ügyfelek'!D130="")+('Ügyfelek'!L130="")+('Ügyfelek'!I130="")+('Ügyfelek'!N130="")+('Ügyfelek'!J130="")+('Ügyfelek'!K130="")+('Ügyfelek'!M130="")+('Ügyfelek'!P130="")+('Ügyfelek'!O130=""))</f>
        <v/>
      </c>
      <c r="AD130">
        <f>IF($A130="","",B130+'Beállítások'!$E$6/1000)</f>
        <v/>
      </c>
      <c r="AE130">
        <f>IF($A130="","",C130+'Beállítások'!$E$7/1000)</f>
        <v/>
      </c>
      <c r="AF130">
        <f>IF($A130="","",D130+'Beállítások'!$E$8/1000)</f>
        <v/>
      </c>
      <c r="AG130">
        <f>IF($A130="","",E130+'Beállítások'!$E$9/1000)</f>
        <v/>
      </c>
      <c r="AH130">
        <f>IF($A130="","",F130+'Beállítások'!$E$10/1000)</f>
        <v/>
      </c>
      <c r="AI130">
        <f>IF($A130="","",G130+'Beállítások'!$E$11/1000)</f>
        <v/>
      </c>
      <c r="AJ130">
        <f>IF($A130="","",H130+'Beállítások'!$E$12/1000)</f>
        <v/>
      </c>
      <c r="AK130">
        <f>IF($A130="","",I130+'Beállítások'!$E$13/1000)</f>
        <v/>
      </c>
      <c r="AL130">
        <f>IF($A130="","",J130+'Beállítások'!$E$14/1000)</f>
        <v/>
      </c>
      <c r="AM130">
        <f>IF($A130="","",K130+'Beállítások'!$E$15/1000)</f>
        <v/>
      </c>
      <c r="AN130">
        <f>IF($A130="","",L130+'Beállítások'!$E$16/1000)</f>
        <v/>
      </c>
      <c r="AO130">
        <f>IF($A130="","",'Beállítások'!$E$6*(5-B130))</f>
        <v/>
      </c>
      <c r="AP130">
        <f>IF($A130="","",'Beállítások'!$E$7*(5-C130))</f>
        <v/>
      </c>
      <c r="AQ130">
        <f>IF($A130="","",'Beállítások'!$E$8*(5-D130))</f>
        <v/>
      </c>
      <c r="AR130">
        <f>IF($A130="","",'Beállítások'!$E$9*(5-E130))</f>
        <v/>
      </c>
      <c r="AS130">
        <f>IF($A130="","",'Beállítások'!$E$10*(5-F130))</f>
        <v/>
      </c>
      <c r="AT130">
        <f>IF($A130="","",'Beállítások'!$E$11*(5-G130))</f>
        <v/>
      </c>
      <c r="AU130">
        <f>IF($A130="","",'Beállítások'!$E$12*(5-H130))</f>
        <v/>
      </c>
      <c r="AV130">
        <f>IF($A130="","",'Beállítások'!$E$13*(5-I130))</f>
        <v/>
      </c>
      <c r="AW130">
        <f>IF($A130="","",'Beállítások'!$E$14*(5-J130))</f>
        <v/>
      </c>
      <c r="AX130">
        <f>IF($A130="","",'Beállítások'!$E$15*(5-K130))</f>
        <v/>
      </c>
      <c r="AY130">
        <f>IF($A130="","",'Beállítások'!$E$16*(5-L130))</f>
        <v/>
      </c>
      <c r="AZ130">
        <f>IF($A130="","",M130-ROW()/100000)</f>
        <v/>
      </c>
    </row>
    <row r="131">
      <c r="A131">
        <f>IF('Ügyfelek'!A131="","",'Ügyfelek'!A131)</f>
        <v/>
      </c>
      <c r="B131">
        <f>IF($A131="","",IF('Ügyfelek'!B131="",'Beállítások'!$B$45,IFERROR(VLOOKUP(TRIM('Ügyfelek'!B131),'Beállítások'!$A$22:$B$41,2,FALSE),'Beállítások'!$B$45)))</f>
        <v/>
      </c>
      <c r="C131">
        <f>IF($A131="","",IF('Ügyfelek'!C131="",'Beállítások'!$B$45,VLOOKUP(MAX('Ügyfelek'!C131,'Beállítások'!$H$7),'Beállítások'!$H$7:$I$11,2,TRUE)))</f>
        <v/>
      </c>
      <c r="D131">
        <f>IF($A131="","",IF('Ügyfelek'!D131="",'Beállítások'!$B$45,VLOOKUP(MAX('Ügyfelek'!D131,'Beállítások'!$K$7),'Beállítások'!$K$7:$L$11,2,TRUE)))</f>
        <v/>
      </c>
      <c r="E131">
        <f>IF($A131="","",IF('Ügyfelek'!L131="",'Beállítások'!$B$45,MIN(5,MAX(1,ROUND('Ügyfelek'!L131,0)))))</f>
        <v/>
      </c>
      <c r="F131">
        <f>IF($A131="","",IF('Ügyfelek'!I131="",'Beállítások'!$B$45,VLOOKUP(MAX('Ügyfelek'!I131,'Beállítások'!$N$7),'Beállítások'!$N$7:$O$11,2,TRUE)))</f>
        <v/>
      </c>
      <c r="G131">
        <f>IF($A131="","",IF('Ügyfelek'!N131="",'Beállítások'!$B$45,MIN(5,MAX(1,ROUND('Ügyfelek'!N131,0)))))</f>
        <v/>
      </c>
      <c r="H131">
        <f>IF($A131="","",IF('Ügyfelek'!J131="",'Beállítások'!$B$45,VLOOKUP(MAX('Ügyfelek'!J131,'Beállítások'!$Q$7),'Beállítások'!$Q$7:$R$11,2,TRUE)))</f>
        <v/>
      </c>
      <c r="I131">
        <f>IF($A131="","",IF('Ügyfelek'!K131="",'Beállítások'!$B$45,VLOOKUP(MAX('Ügyfelek'!K131,'Beállítások'!$T$7),'Beállítások'!$T$7:$U$11,2,TRUE)))</f>
        <v/>
      </c>
      <c r="J131">
        <f>IF($A131="","",IF('Ügyfelek'!M131="",'Beállítások'!$B$45,MIN(5,MAX(1,ROUND('Ügyfelek'!M131,0)))))</f>
        <v/>
      </c>
      <c r="K131">
        <f>IF($A131="","",IF('Ügyfelek'!P131="",'Beállítások'!$B$45,MIN(5,MAX(1,ROUND('Ügyfelek'!P131,0)))))</f>
        <v/>
      </c>
      <c r="L131">
        <f>IF($A131="","",IF('Ügyfelek'!O131="",'Beállítások'!$B$45,MIN(5,MAX(1,ROUND('Ügyfelek'!O131,0)))))</f>
        <v/>
      </c>
      <c r="M131" s="13">
        <f>IF($A131="","",ROUND('Beállítások'!$E$6*(B131-1)/4+'Beállítások'!$E$7*(C131-1)/4+'Beállítások'!$E$8*(D131-1)/4+'Beállítások'!$E$9*(E131-1)/4+'Beállítások'!$E$10*(F131-1)/4+'Beállítások'!$E$11*(G131-1)/4+'Beállítások'!$E$12*(H131-1)/4+'Beállítások'!$E$13*(I131-1)/4+'Beállítások'!$E$14*(J131-1)/4+'Beállítások'!$E$15*(K131-1)/4+'Beállítások'!$E$16*(L131-1)/4,1))</f>
        <v/>
      </c>
      <c r="N131" s="14">
        <f>IF($A131="","",RANK(M131,$M$2:$M$201))</f>
        <v/>
      </c>
      <c r="O131">
        <f>IF($A131="","",VLOOKUP(M131,'Beállítások'!$A$57:$E$60,2,TRUE))</f>
        <v/>
      </c>
      <c r="P131">
        <f>IF($A131="","",VLOOKUP(M131,'Beállítások'!$A$57:$E$60,3,TRUE))</f>
        <v/>
      </c>
      <c r="Q131">
        <f>IF($A131="","",INDEX('Beállítások'!$B$6:$B$16,MATCH(MAX(AD131:AN131),AD131:AN131,0)))</f>
        <v/>
      </c>
      <c r="R131">
        <f>IF($A131="","",IF(MAX(AO131:AY131)=0,"—",INDEX('Beállítások'!$B$6:$B$16,MATCH(MAX(AO131:AY131),AO131:AY131,0))))</f>
        <v/>
      </c>
      <c r="S131" s="5">
        <f>IF($A131="","",'Beállítások'!$B$47*(TRIM('Ügyfelek'!E131)="igen")+'Beállítások'!$B$48*(TRIM('Ügyfelek'!F131)="igen")+'Beállítások'!$B$49*N('Ügyfelek'!G131)+'Beállítások'!$B$46*N('Ügyfelek'!H131))</f>
        <v/>
      </c>
      <c r="T131" s="15">
        <f>IF($A131="","",VLOOKUP(M131,'Beállítások'!$A$57:$E$60,4,TRUE))</f>
        <v/>
      </c>
      <c r="U131" s="5">
        <f>IF($A131="","",N('Ügyfelek'!D131)*'Beállítások'!$B$51)</f>
        <v/>
      </c>
      <c r="V131" s="5">
        <f>IF($A131="","",CEILING(ROUND(MAX('Beállítások'!$B$50,S131*T131,U131),2),'Beállítások'!$B$52))</f>
        <v/>
      </c>
      <c r="W131">
        <f>IF($A131="","",IF(MAX('Beállítások'!$B$50,S131*T131,U131)=S131*T131,"Munkaigény × szintszorzó",IF(MAX('Beállítások'!$B$50,S131*T131,U131)=U131,"Hirdetési keret arányában","Minimumdíj")))</f>
        <v/>
      </c>
      <c r="X131" s="5">
        <f>IF(OR($A131="",'Ügyfelek'!Q131=""),"",'Ügyfelek'!Q131)</f>
        <v/>
      </c>
      <c r="Y131" s="5">
        <f>IF(X131="","",V131-X131)</f>
        <v/>
      </c>
      <c r="Z131" s="16">
        <f>IF(OR(X131="",X131=0),"",Y131/X131)</f>
        <v/>
      </c>
      <c r="AA131" s="5">
        <f>IF(OR($A131="",'Ügyfelek'!R131=""),"",'Ügyfelek'!R131*VLOOKUP(M131,'Beállítások'!$A$57:$E$60,5,TRUE))</f>
        <v/>
      </c>
      <c r="AB131" s="14">
        <f>IF($A131="","",('Ügyfelek'!B131="")+('Ügyfelek'!C131="")+('Ügyfelek'!D131="")+('Ügyfelek'!L131="")+('Ügyfelek'!I131="")+('Ügyfelek'!N131="")+('Ügyfelek'!J131="")+('Ügyfelek'!K131="")+('Ügyfelek'!M131="")+('Ügyfelek'!P131="")+('Ügyfelek'!O131=""))</f>
        <v/>
      </c>
      <c r="AD131">
        <f>IF($A131="","",B131+'Beállítások'!$E$6/1000)</f>
        <v/>
      </c>
      <c r="AE131">
        <f>IF($A131="","",C131+'Beállítások'!$E$7/1000)</f>
        <v/>
      </c>
      <c r="AF131">
        <f>IF($A131="","",D131+'Beállítások'!$E$8/1000)</f>
        <v/>
      </c>
      <c r="AG131">
        <f>IF($A131="","",E131+'Beállítások'!$E$9/1000)</f>
        <v/>
      </c>
      <c r="AH131">
        <f>IF($A131="","",F131+'Beállítások'!$E$10/1000)</f>
        <v/>
      </c>
      <c r="AI131">
        <f>IF($A131="","",G131+'Beállítások'!$E$11/1000)</f>
        <v/>
      </c>
      <c r="AJ131">
        <f>IF($A131="","",H131+'Beállítások'!$E$12/1000)</f>
        <v/>
      </c>
      <c r="AK131">
        <f>IF($A131="","",I131+'Beállítások'!$E$13/1000)</f>
        <v/>
      </c>
      <c r="AL131">
        <f>IF($A131="","",J131+'Beállítások'!$E$14/1000)</f>
        <v/>
      </c>
      <c r="AM131">
        <f>IF($A131="","",K131+'Beállítások'!$E$15/1000)</f>
        <v/>
      </c>
      <c r="AN131">
        <f>IF($A131="","",L131+'Beállítások'!$E$16/1000)</f>
        <v/>
      </c>
      <c r="AO131">
        <f>IF($A131="","",'Beállítások'!$E$6*(5-B131))</f>
        <v/>
      </c>
      <c r="AP131">
        <f>IF($A131="","",'Beállítások'!$E$7*(5-C131))</f>
        <v/>
      </c>
      <c r="AQ131">
        <f>IF($A131="","",'Beállítások'!$E$8*(5-D131))</f>
        <v/>
      </c>
      <c r="AR131">
        <f>IF($A131="","",'Beállítások'!$E$9*(5-E131))</f>
        <v/>
      </c>
      <c r="AS131">
        <f>IF($A131="","",'Beállítások'!$E$10*(5-F131))</f>
        <v/>
      </c>
      <c r="AT131">
        <f>IF($A131="","",'Beállítások'!$E$11*(5-G131))</f>
        <v/>
      </c>
      <c r="AU131">
        <f>IF($A131="","",'Beállítások'!$E$12*(5-H131))</f>
        <v/>
      </c>
      <c r="AV131">
        <f>IF($A131="","",'Beállítások'!$E$13*(5-I131))</f>
        <v/>
      </c>
      <c r="AW131">
        <f>IF($A131="","",'Beállítások'!$E$14*(5-J131))</f>
        <v/>
      </c>
      <c r="AX131">
        <f>IF($A131="","",'Beállítások'!$E$15*(5-K131))</f>
        <v/>
      </c>
      <c r="AY131">
        <f>IF($A131="","",'Beállítások'!$E$16*(5-L131))</f>
        <v/>
      </c>
      <c r="AZ131">
        <f>IF($A131="","",M131-ROW()/100000)</f>
        <v/>
      </c>
    </row>
    <row r="132">
      <c r="A132">
        <f>IF('Ügyfelek'!A132="","",'Ügyfelek'!A132)</f>
        <v/>
      </c>
      <c r="B132">
        <f>IF($A132="","",IF('Ügyfelek'!B132="",'Beállítások'!$B$45,IFERROR(VLOOKUP(TRIM('Ügyfelek'!B132),'Beállítások'!$A$22:$B$41,2,FALSE),'Beállítások'!$B$45)))</f>
        <v/>
      </c>
      <c r="C132">
        <f>IF($A132="","",IF('Ügyfelek'!C132="",'Beállítások'!$B$45,VLOOKUP(MAX('Ügyfelek'!C132,'Beállítások'!$H$7),'Beállítások'!$H$7:$I$11,2,TRUE)))</f>
        <v/>
      </c>
      <c r="D132">
        <f>IF($A132="","",IF('Ügyfelek'!D132="",'Beállítások'!$B$45,VLOOKUP(MAX('Ügyfelek'!D132,'Beállítások'!$K$7),'Beállítások'!$K$7:$L$11,2,TRUE)))</f>
        <v/>
      </c>
      <c r="E132">
        <f>IF($A132="","",IF('Ügyfelek'!L132="",'Beállítások'!$B$45,MIN(5,MAX(1,ROUND('Ügyfelek'!L132,0)))))</f>
        <v/>
      </c>
      <c r="F132">
        <f>IF($A132="","",IF('Ügyfelek'!I132="",'Beállítások'!$B$45,VLOOKUP(MAX('Ügyfelek'!I132,'Beállítások'!$N$7),'Beállítások'!$N$7:$O$11,2,TRUE)))</f>
        <v/>
      </c>
      <c r="G132">
        <f>IF($A132="","",IF('Ügyfelek'!N132="",'Beállítások'!$B$45,MIN(5,MAX(1,ROUND('Ügyfelek'!N132,0)))))</f>
        <v/>
      </c>
      <c r="H132">
        <f>IF($A132="","",IF('Ügyfelek'!J132="",'Beállítások'!$B$45,VLOOKUP(MAX('Ügyfelek'!J132,'Beállítások'!$Q$7),'Beállítások'!$Q$7:$R$11,2,TRUE)))</f>
        <v/>
      </c>
      <c r="I132">
        <f>IF($A132="","",IF('Ügyfelek'!K132="",'Beállítások'!$B$45,VLOOKUP(MAX('Ügyfelek'!K132,'Beállítások'!$T$7),'Beállítások'!$T$7:$U$11,2,TRUE)))</f>
        <v/>
      </c>
      <c r="J132">
        <f>IF($A132="","",IF('Ügyfelek'!M132="",'Beállítások'!$B$45,MIN(5,MAX(1,ROUND('Ügyfelek'!M132,0)))))</f>
        <v/>
      </c>
      <c r="K132">
        <f>IF($A132="","",IF('Ügyfelek'!P132="",'Beállítások'!$B$45,MIN(5,MAX(1,ROUND('Ügyfelek'!P132,0)))))</f>
        <v/>
      </c>
      <c r="L132">
        <f>IF($A132="","",IF('Ügyfelek'!O132="",'Beállítások'!$B$45,MIN(5,MAX(1,ROUND('Ügyfelek'!O132,0)))))</f>
        <v/>
      </c>
      <c r="M132" s="13">
        <f>IF($A132="","",ROUND('Beállítások'!$E$6*(B132-1)/4+'Beállítások'!$E$7*(C132-1)/4+'Beállítások'!$E$8*(D132-1)/4+'Beállítások'!$E$9*(E132-1)/4+'Beállítások'!$E$10*(F132-1)/4+'Beállítások'!$E$11*(G132-1)/4+'Beállítások'!$E$12*(H132-1)/4+'Beállítások'!$E$13*(I132-1)/4+'Beállítások'!$E$14*(J132-1)/4+'Beállítások'!$E$15*(K132-1)/4+'Beállítások'!$E$16*(L132-1)/4,1))</f>
        <v/>
      </c>
      <c r="N132" s="14">
        <f>IF($A132="","",RANK(M132,$M$2:$M$201))</f>
        <v/>
      </c>
      <c r="O132">
        <f>IF($A132="","",VLOOKUP(M132,'Beállítások'!$A$57:$E$60,2,TRUE))</f>
        <v/>
      </c>
      <c r="P132">
        <f>IF($A132="","",VLOOKUP(M132,'Beállítások'!$A$57:$E$60,3,TRUE))</f>
        <v/>
      </c>
      <c r="Q132">
        <f>IF($A132="","",INDEX('Beállítások'!$B$6:$B$16,MATCH(MAX(AD132:AN132),AD132:AN132,0)))</f>
        <v/>
      </c>
      <c r="R132">
        <f>IF($A132="","",IF(MAX(AO132:AY132)=0,"—",INDEX('Beállítások'!$B$6:$B$16,MATCH(MAX(AO132:AY132),AO132:AY132,0))))</f>
        <v/>
      </c>
      <c r="S132" s="5">
        <f>IF($A132="","",'Beállítások'!$B$47*(TRIM('Ügyfelek'!E132)="igen")+'Beállítások'!$B$48*(TRIM('Ügyfelek'!F132)="igen")+'Beállítások'!$B$49*N('Ügyfelek'!G132)+'Beállítások'!$B$46*N('Ügyfelek'!H132))</f>
        <v/>
      </c>
      <c r="T132" s="15">
        <f>IF($A132="","",VLOOKUP(M132,'Beállítások'!$A$57:$E$60,4,TRUE))</f>
        <v/>
      </c>
      <c r="U132" s="5">
        <f>IF($A132="","",N('Ügyfelek'!D132)*'Beállítások'!$B$51)</f>
        <v/>
      </c>
      <c r="V132" s="5">
        <f>IF($A132="","",CEILING(ROUND(MAX('Beállítások'!$B$50,S132*T132,U132),2),'Beállítások'!$B$52))</f>
        <v/>
      </c>
      <c r="W132">
        <f>IF($A132="","",IF(MAX('Beállítások'!$B$50,S132*T132,U132)=S132*T132,"Munkaigény × szintszorzó",IF(MAX('Beállítások'!$B$50,S132*T132,U132)=U132,"Hirdetési keret arányában","Minimumdíj")))</f>
        <v/>
      </c>
      <c r="X132" s="5">
        <f>IF(OR($A132="",'Ügyfelek'!Q132=""),"",'Ügyfelek'!Q132)</f>
        <v/>
      </c>
      <c r="Y132" s="5">
        <f>IF(X132="","",V132-X132)</f>
        <v/>
      </c>
      <c r="Z132" s="16">
        <f>IF(OR(X132="",X132=0),"",Y132/X132)</f>
        <v/>
      </c>
      <c r="AA132" s="5">
        <f>IF(OR($A132="",'Ügyfelek'!R132=""),"",'Ügyfelek'!R132*VLOOKUP(M132,'Beállítások'!$A$57:$E$60,5,TRUE))</f>
        <v/>
      </c>
      <c r="AB132" s="14">
        <f>IF($A132="","",('Ügyfelek'!B132="")+('Ügyfelek'!C132="")+('Ügyfelek'!D132="")+('Ügyfelek'!L132="")+('Ügyfelek'!I132="")+('Ügyfelek'!N132="")+('Ügyfelek'!J132="")+('Ügyfelek'!K132="")+('Ügyfelek'!M132="")+('Ügyfelek'!P132="")+('Ügyfelek'!O132=""))</f>
        <v/>
      </c>
      <c r="AD132">
        <f>IF($A132="","",B132+'Beállítások'!$E$6/1000)</f>
        <v/>
      </c>
      <c r="AE132">
        <f>IF($A132="","",C132+'Beállítások'!$E$7/1000)</f>
        <v/>
      </c>
      <c r="AF132">
        <f>IF($A132="","",D132+'Beállítások'!$E$8/1000)</f>
        <v/>
      </c>
      <c r="AG132">
        <f>IF($A132="","",E132+'Beállítások'!$E$9/1000)</f>
        <v/>
      </c>
      <c r="AH132">
        <f>IF($A132="","",F132+'Beállítások'!$E$10/1000)</f>
        <v/>
      </c>
      <c r="AI132">
        <f>IF($A132="","",G132+'Beállítások'!$E$11/1000)</f>
        <v/>
      </c>
      <c r="AJ132">
        <f>IF($A132="","",H132+'Beállítások'!$E$12/1000)</f>
        <v/>
      </c>
      <c r="AK132">
        <f>IF($A132="","",I132+'Beállítások'!$E$13/1000)</f>
        <v/>
      </c>
      <c r="AL132">
        <f>IF($A132="","",J132+'Beállítások'!$E$14/1000)</f>
        <v/>
      </c>
      <c r="AM132">
        <f>IF($A132="","",K132+'Beállítások'!$E$15/1000)</f>
        <v/>
      </c>
      <c r="AN132">
        <f>IF($A132="","",L132+'Beállítások'!$E$16/1000)</f>
        <v/>
      </c>
      <c r="AO132">
        <f>IF($A132="","",'Beállítások'!$E$6*(5-B132))</f>
        <v/>
      </c>
      <c r="AP132">
        <f>IF($A132="","",'Beállítások'!$E$7*(5-C132))</f>
        <v/>
      </c>
      <c r="AQ132">
        <f>IF($A132="","",'Beállítások'!$E$8*(5-D132))</f>
        <v/>
      </c>
      <c r="AR132">
        <f>IF($A132="","",'Beállítások'!$E$9*(5-E132))</f>
        <v/>
      </c>
      <c r="AS132">
        <f>IF($A132="","",'Beállítások'!$E$10*(5-F132))</f>
        <v/>
      </c>
      <c r="AT132">
        <f>IF($A132="","",'Beállítások'!$E$11*(5-G132))</f>
        <v/>
      </c>
      <c r="AU132">
        <f>IF($A132="","",'Beállítások'!$E$12*(5-H132))</f>
        <v/>
      </c>
      <c r="AV132">
        <f>IF($A132="","",'Beállítások'!$E$13*(5-I132))</f>
        <v/>
      </c>
      <c r="AW132">
        <f>IF($A132="","",'Beállítások'!$E$14*(5-J132))</f>
        <v/>
      </c>
      <c r="AX132">
        <f>IF($A132="","",'Beállítások'!$E$15*(5-K132))</f>
        <v/>
      </c>
      <c r="AY132">
        <f>IF($A132="","",'Beállítások'!$E$16*(5-L132))</f>
        <v/>
      </c>
      <c r="AZ132">
        <f>IF($A132="","",M132-ROW()/100000)</f>
        <v/>
      </c>
    </row>
    <row r="133">
      <c r="A133">
        <f>IF('Ügyfelek'!A133="","",'Ügyfelek'!A133)</f>
        <v/>
      </c>
      <c r="B133">
        <f>IF($A133="","",IF('Ügyfelek'!B133="",'Beállítások'!$B$45,IFERROR(VLOOKUP(TRIM('Ügyfelek'!B133),'Beállítások'!$A$22:$B$41,2,FALSE),'Beállítások'!$B$45)))</f>
        <v/>
      </c>
      <c r="C133">
        <f>IF($A133="","",IF('Ügyfelek'!C133="",'Beállítások'!$B$45,VLOOKUP(MAX('Ügyfelek'!C133,'Beállítások'!$H$7),'Beállítások'!$H$7:$I$11,2,TRUE)))</f>
        <v/>
      </c>
      <c r="D133">
        <f>IF($A133="","",IF('Ügyfelek'!D133="",'Beállítások'!$B$45,VLOOKUP(MAX('Ügyfelek'!D133,'Beállítások'!$K$7),'Beállítások'!$K$7:$L$11,2,TRUE)))</f>
        <v/>
      </c>
      <c r="E133">
        <f>IF($A133="","",IF('Ügyfelek'!L133="",'Beállítások'!$B$45,MIN(5,MAX(1,ROUND('Ügyfelek'!L133,0)))))</f>
        <v/>
      </c>
      <c r="F133">
        <f>IF($A133="","",IF('Ügyfelek'!I133="",'Beállítások'!$B$45,VLOOKUP(MAX('Ügyfelek'!I133,'Beállítások'!$N$7),'Beállítások'!$N$7:$O$11,2,TRUE)))</f>
        <v/>
      </c>
      <c r="G133">
        <f>IF($A133="","",IF('Ügyfelek'!N133="",'Beállítások'!$B$45,MIN(5,MAX(1,ROUND('Ügyfelek'!N133,0)))))</f>
        <v/>
      </c>
      <c r="H133">
        <f>IF($A133="","",IF('Ügyfelek'!J133="",'Beállítások'!$B$45,VLOOKUP(MAX('Ügyfelek'!J133,'Beállítások'!$Q$7),'Beállítások'!$Q$7:$R$11,2,TRUE)))</f>
        <v/>
      </c>
      <c r="I133">
        <f>IF($A133="","",IF('Ügyfelek'!K133="",'Beállítások'!$B$45,VLOOKUP(MAX('Ügyfelek'!K133,'Beállítások'!$T$7),'Beállítások'!$T$7:$U$11,2,TRUE)))</f>
        <v/>
      </c>
      <c r="J133">
        <f>IF($A133="","",IF('Ügyfelek'!M133="",'Beállítások'!$B$45,MIN(5,MAX(1,ROUND('Ügyfelek'!M133,0)))))</f>
        <v/>
      </c>
      <c r="K133">
        <f>IF($A133="","",IF('Ügyfelek'!P133="",'Beállítások'!$B$45,MIN(5,MAX(1,ROUND('Ügyfelek'!P133,0)))))</f>
        <v/>
      </c>
      <c r="L133">
        <f>IF($A133="","",IF('Ügyfelek'!O133="",'Beállítások'!$B$45,MIN(5,MAX(1,ROUND('Ügyfelek'!O133,0)))))</f>
        <v/>
      </c>
      <c r="M133" s="13">
        <f>IF($A133="","",ROUND('Beállítások'!$E$6*(B133-1)/4+'Beállítások'!$E$7*(C133-1)/4+'Beállítások'!$E$8*(D133-1)/4+'Beállítások'!$E$9*(E133-1)/4+'Beállítások'!$E$10*(F133-1)/4+'Beállítások'!$E$11*(G133-1)/4+'Beállítások'!$E$12*(H133-1)/4+'Beállítások'!$E$13*(I133-1)/4+'Beállítások'!$E$14*(J133-1)/4+'Beállítások'!$E$15*(K133-1)/4+'Beállítások'!$E$16*(L133-1)/4,1))</f>
        <v/>
      </c>
      <c r="N133" s="14">
        <f>IF($A133="","",RANK(M133,$M$2:$M$201))</f>
        <v/>
      </c>
      <c r="O133">
        <f>IF($A133="","",VLOOKUP(M133,'Beállítások'!$A$57:$E$60,2,TRUE))</f>
        <v/>
      </c>
      <c r="P133">
        <f>IF($A133="","",VLOOKUP(M133,'Beállítások'!$A$57:$E$60,3,TRUE))</f>
        <v/>
      </c>
      <c r="Q133">
        <f>IF($A133="","",INDEX('Beállítások'!$B$6:$B$16,MATCH(MAX(AD133:AN133),AD133:AN133,0)))</f>
        <v/>
      </c>
      <c r="R133">
        <f>IF($A133="","",IF(MAX(AO133:AY133)=0,"—",INDEX('Beállítások'!$B$6:$B$16,MATCH(MAX(AO133:AY133),AO133:AY133,0))))</f>
        <v/>
      </c>
      <c r="S133" s="5">
        <f>IF($A133="","",'Beállítások'!$B$47*(TRIM('Ügyfelek'!E133)="igen")+'Beállítások'!$B$48*(TRIM('Ügyfelek'!F133)="igen")+'Beállítások'!$B$49*N('Ügyfelek'!G133)+'Beállítások'!$B$46*N('Ügyfelek'!H133))</f>
        <v/>
      </c>
      <c r="T133" s="15">
        <f>IF($A133="","",VLOOKUP(M133,'Beállítások'!$A$57:$E$60,4,TRUE))</f>
        <v/>
      </c>
      <c r="U133" s="5">
        <f>IF($A133="","",N('Ügyfelek'!D133)*'Beállítások'!$B$51)</f>
        <v/>
      </c>
      <c r="V133" s="5">
        <f>IF($A133="","",CEILING(ROUND(MAX('Beállítások'!$B$50,S133*T133,U133),2),'Beállítások'!$B$52))</f>
        <v/>
      </c>
      <c r="W133">
        <f>IF($A133="","",IF(MAX('Beállítások'!$B$50,S133*T133,U133)=S133*T133,"Munkaigény × szintszorzó",IF(MAX('Beállítások'!$B$50,S133*T133,U133)=U133,"Hirdetési keret arányában","Minimumdíj")))</f>
        <v/>
      </c>
      <c r="X133" s="5">
        <f>IF(OR($A133="",'Ügyfelek'!Q133=""),"",'Ügyfelek'!Q133)</f>
        <v/>
      </c>
      <c r="Y133" s="5">
        <f>IF(X133="","",V133-X133)</f>
        <v/>
      </c>
      <c r="Z133" s="16">
        <f>IF(OR(X133="",X133=0),"",Y133/X133)</f>
        <v/>
      </c>
      <c r="AA133" s="5">
        <f>IF(OR($A133="",'Ügyfelek'!R133=""),"",'Ügyfelek'!R133*VLOOKUP(M133,'Beállítások'!$A$57:$E$60,5,TRUE))</f>
        <v/>
      </c>
      <c r="AB133" s="14">
        <f>IF($A133="","",('Ügyfelek'!B133="")+('Ügyfelek'!C133="")+('Ügyfelek'!D133="")+('Ügyfelek'!L133="")+('Ügyfelek'!I133="")+('Ügyfelek'!N133="")+('Ügyfelek'!J133="")+('Ügyfelek'!K133="")+('Ügyfelek'!M133="")+('Ügyfelek'!P133="")+('Ügyfelek'!O133=""))</f>
        <v/>
      </c>
      <c r="AD133">
        <f>IF($A133="","",B133+'Beállítások'!$E$6/1000)</f>
        <v/>
      </c>
      <c r="AE133">
        <f>IF($A133="","",C133+'Beállítások'!$E$7/1000)</f>
        <v/>
      </c>
      <c r="AF133">
        <f>IF($A133="","",D133+'Beállítások'!$E$8/1000)</f>
        <v/>
      </c>
      <c r="AG133">
        <f>IF($A133="","",E133+'Beállítások'!$E$9/1000)</f>
        <v/>
      </c>
      <c r="AH133">
        <f>IF($A133="","",F133+'Beállítások'!$E$10/1000)</f>
        <v/>
      </c>
      <c r="AI133">
        <f>IF($A133="","",G133+'Beállítások'!$E$11/1000)</f>
        <v/>
      </c>
      <c r="AJ133">
        <f>IF($A133="","",H133+'Beállítások'!$E$12/1000)</f>
        <v/>
      </c>
      <c r="AK133">
        <f>IF($A133="","",I133+'Beállítások'!$E$13/1000)</f>
        <v/>
      </c>
      <c r="AL133">
        <f>IF($A133="","",J133+'Beállítások'!$E$14/1000)</f>
        <v/>
      </c>
      <c r="AM133">
        <f>IF($A133="","",K133+'Beállítások'!$E$15/1000)</f>
        <v/>
      </c>
      <c r="AN133">
        <f>IF($A133="","",L133+'Beállítások'!$E$16/1000)</f>
        <v/>
      </c>
      <c r="AO133">
        <f>IF($A133="","",'Beállítások'!$E$6*(5-B133))</f>
        <v/>
      </c>
      <c r="AP133">
        <f>IF($A133="","",'Beállítások'!$E$7*(5-C133))</f>
        <v/>
      </c>
      <c r="AQ133">
        <f>IF($A133="","",'Beállítások'!$E$8*(5-D133))</f>
        <v/>
      </c>
      <c r="AR133">
        <f>IF($A133="","",'Beállítások'!$E$9*(5-E133))</f>
        <v/>
      </c>
      <c r="AS133">
        <f>IF($A133="","",'Beállítások'!$E$10*(5-F133))</f>
        <v/>
      </c>
      <c r="AT133">
        <f>IF($A133="","",'Beállítások'!$E$11*(5-G133))</f>
        <v/>
      </c>
      <c r="AU133">
        <f>IF($A133="","",'Beállítások'!$E$12*(5-H133))</f>
        <v/>
      </c>
      <c r="AV133">
        <f>IF($A133="","",'Beállítások'!$E$13*(5-I133))</f>
        <v/>
      </c>
      <c r="AW133">
        <f>IF($A133="","",'Beállítások'!$E$14*(5-J133))</f>
        <v/>
      </c>
      <c r="AX133">
        <f>IF($A133="","",'Beállítások'!$E$15*(5-K133))</f>
        <v/>
      </c>
      <c r="AY133">
        <f>IF($A133="","",'Beállítások'!$E$16*(5-L133))</f>
        <v/>
      </c>
      <c r="AZ133">
        <f>IF($A133="","",M133-ROW()/100000)</f>
        <v/>
      </c>
    </row>
    <row r="134">
      <c r="A134">
        <f>IF('Ügyfelek'!A134="","",'Ügyfelek'!A134)</f>
        <v/>
      </c>
      <c r="B134">
        <f>IF($A134="","",IF('Ügyfelek'!B134="",'Beállítások'!$B$45,IFERROR(VLOOKUP(TRIM('Ügyfelek'!B134),'Beállítások'!$A$22:$B$41,2,FALSE),'Beállítások'!$B$45)))</f>
        <v/>
      </c>
      <c r="C134">
        <f>IF($A134="","",IF('Ügyfelek'!C134="",'Beállítások'!$B$45,VLOOKUP(MAX('Ügyfelek'!C134,'Beállítások'!$H$7),'Beállítások'!$H$7:$I$11,2,TRUE)))</f>
        <v/>
      </c>
      <c r="D134">
        <f>IF($A134="","",IF('Ügyfelek'!D134="",'Beállítások'!$B$45,VLOOKUP(MAX('Ügyfelek'!D134,'Beállítások'!$K$7),'Beállítások'!$K$7:$L$11,2,TRUE)))</f>
        <v/>
      </c>
      <c r="E134">
        <f>IF($A134="","",IF('Ügyfelek'!L134="",'Beállítások'!$B$45,MIN(5,MAX(1,ROUND('Ügyfelek'!L134,0)))))</f>
        <v/>
      </c>
      <c r="F134">
        <f>IF($A134="","",IF('Ügyfelek'!I134="",'Beállítások'!$B$45,VLOOKUP(MAX('Ügyfelek'!I134,'Beállítások'!$N$7),'Beállítások'!$N$7:$O$11,2,TRUE)))</f>
        <v/>
      </c>
      <c r="G134">
        <f>IF($A134="","",IF('Ügyfelek'!N134="",'Beállítások'!$B$45,MIN(5,MAX(1,ROUND('Ügyfelek'!N134,0)))))</f>
        <v/>
      </c>
      <c r="H134">
        <f>IF($A134="","",IF('Ügyfelek'!J134="",'Beállítások'!$B$45,VLOOKUP(MAX('Ügyfelek'!J134,'Beállítások'!$Q$7),'Beállítások'!$Q$7:$R$11,2,TRUE)))</f>
        <v/>
      </c>
      <c r="I134">
        <f>IF($A134="","",IF('Ügyfelek'!K134="",'Beállítások'!$B$45,VLOOKUP(MAX('Ügyfelek'!K134,'Beállítások'!$T$7),'Beállítások'!$T$7:$U$11,2,TRUE)))</f>
        <v/>
      </c>
      <c r="J134">
        <f>IF($A134="","",IF('Ügyfelek'!M134="",'Beállítások'!$B$45,MIN(5,MAX(1,ROUND('Ügyfelek'!M134,0)))))</f>
        <v/>
      </c>
      <c r="K134">
        <f>IF($A134="","",IF('Ügyfelek'!P134="",'Beállítások'!$B$45,MIN(5,MAX(1,ROUND('Ügyfelek'!P134,0)))))</f>
        <v/>
      </c>
      <c r="L134">
        <f>IF($A134="","",IF('Ügyfelek'!O134="",'Beállítások'!$B$45,MIN(5,MAX(1,ROUND('Ügyfelek'!O134,0)))))</f>
        <v/>
      </c>
      <c r="M134" s="13">
        <f>IF($A134="","",ROUND('Beállítások'!$E$6*(B134-1)/4+'Beállítások'!$E$7*(C134-1)/4+'Beállítások'!$E$8*(D134-1)/4+'Beállítások'!$E$9*(E134-1)/4+'Beállítások'!$E$10*(F134-1)/4+'Beállítások'!$E$11*(G134-1)/4+'Beállítások'!$E$12*(H134-1)/4+'Beállítások'!$E$13*(I134-1)/4+'Beállítások'!$E$14*(J134-1)/4+'Beállítások'!$E$15*(K134-1)/4+'Beállítások'!$E$16*(L134-1)/4,1))</f>
        <v/>
      </c>
      <c r="N134" s="14">
        <f>IF($A134="","",RANK(M134,$M$2:$M$201))</f>
        <v/>
      </c>
      <c r="O134">
        <f>IF($A134="","",VLOOKUP(M134,'Beállítások'!$A$57:$E$60,2,TRUE))</f>
        <v/>
      </c>
      <c r="P134">
        <f>IF($A134="","",VLOOKUP(M134,'Beállítások'!$A$57:$E$60,3,TRUE))</f>
        <v/>
      </c>
      <c r="Q134">
        <f>IF($A134="","",INDEX('Beállítások'!$B$6:$B$16,MATCH(MAX(AD134:AN134),AD134:AN134,0)))</f>
        <v/>
      </c>
      <c r="R134">
        <f>IF($A134="","",IF(MAX(AO134:AY134)=0,"—",INDEX('Beállítások'!$B$6:$B$16,MATCH(MAX(AO134:AY134),AO134:AY134,0))))</f>
        <v/>
      </c>
      <c r="S134" s="5">
        <f>IF($A134="","",'Beállítások'!$B$47*(TRIM('Ügyfelek'!E134)="igen")+'Beállítások'!$B$48*(TRIM('Ügyfelek'!F134)="igen")+'Beállítások'!$B$49*N('Ügyfelek'!G134)+'Beállítások'!$B$46*N('Ügyfelek'!H134))</f>
        <v/>
      </c>
      <c r="T134" s="15">
        <f>IF($A134="","",VLOOKUP(M134,'Beállítások'!$A$57:$E$60,4,TRUE))</f>
        <v/>
      </c>
      <c r="U134" s="5">
        <f>IF($A134="","",N('Ügyfelek'!D134)*'Beállítások'!$B$51)</f>
        <v/>
      </c>
      <c r="V134" s="5">
        <f>IF($A134="","",CEILING(ROUND(MAX('Beállítások'!$B$50,S134*T134,U134),2),'Beállítások'!$B$52))</f>
        <v/>
      </c>
      <c r="W134">
        <f>IF($A134="","",IF(MAX('Beállítások'!$B$50,S134*T134,U134)=S134*T134,"Munkaigény × szintszorzó",IF(MAX('Beállítások'!$B$50,S134*T134,U134)=U134,"Hirdetési keret arányában","Minimumdíj")))</f>
        <v/>
      </c>
      <c r="X134" s="5">
        <f>IF(OR($A134="",'Ügyfelek'!Q134=""),"",'Ügyfelek'!Q134)</f>
        <v/>
      </c>
      <c r="Y134" s="5">
        <f>IF(X134="","",V134-X134)</f>
        <v/>
      </c>
      <c r="Z134" s="16">
        <f>IF(OR(X134="",X134=0),"",Y134/X134)</f>
        <v/>
      </c>
      <c r="AA134" s="5">
        <f>IF(OR($A134="",'Ügyfelek'!R134=""),"",'Ügyfelek'!R134*VLOOKUP(M134,'Beállítások'!$A$57:$E$60,5,TRUE))</f>
        <v/>
      </c>
      <c r="AB134" s="14">
        <f>IF($A134="","",('Ügyfelek'!B134="")+('Ügyfelek'!C134="")+('Ügyfelek'!D134="")+('Ügyfelek'!L134="")+('Ügyfelek'!I134="")+('Ügyfelek'!N134="")+('Ügyfelek'!J134="")+('Ügyfelek'!K134="")+('Ügyfelek'!M134="")+('Ügyfelek'!P134="")+('Ügyfelek'!O134=""))</f>
        <v/>
      </c>
      <c r="AD134">
        <f>IF($A134="","",B134+'Beállítások'!$E$6/1000)</f>
        <v/>
      </c>
      <c r="AE134">
        <f>IF($A134="","",C134+'Beállítások'!$E$7/1000)</f>
        <v/>
      </c>
      <c r="AF134">
        <f>IF($A134="","",D134+'Beállítások'!$E$8/1000)</f>
        <v/>
      </c>
      <c r="AG134">
        <f>IF($A134="","",E134+'Beállítások'!$E$9/1000)</f>
        <v/>
      </c>
      <c r="AH134">
        <f>IF($A134="","",F134+'Beállítások'!$E$10/1000)</f>
        <v/>
      </c>
      <c r="AI134">
        <f>IF($A134="","",G134+'Beállítások'!$E$11/1000)</f>
        <v/>
      </c>
      <c r="AJ134">
        <f>IF($A134="","",H134+'Beállítások'!$E$12/1000)</f>
        <v/>
      </c>
      <c r="AK134">
        <f>IF($A134="","",I134+'Beállítások'!$E$13/1000)</f>
        <v/>
      </c>
      <c r="AL134">
        <f>IF($A134="","",J134+'Beállítások'!$E$14/1000)</f>
        <v/>
      </c>
      <c r="AM134">
        <f>IF($A134="","",K134+'Beállítások'!$E$15/1000)</f>
        <v/>
      </c>
      <c r="AN134">
        <f>IF($A134="","",L134+'Beállítások'!$E$16/1000)</f>
        <v/>
      </c>
      <c r="AO134">
        <f>IF($A134="","",'Beállítások'!$E$6*(5-B134))</f>
        <v/>
      </c>
      <c r="AP134">
        <f>IF($A134="","",'Beállítások'!$E$7*(5-C134))</f>
        <v/>
      </c>
      <c r="AQ134">
        <f>IF($A134="","",'Beállítások'!$E$8*(5-D134))</f>
        <v/>
      </c>
      <c r="AR134">
        <f>IF($A134="","",'Beállítások'!$E$9*(5-E134))</f>
        <v/>
      </c>
      <c r="AS134">
        <f>IF($A134="","",'Beállítások'!$E$10*(5-F134))</f>
        <v/>
      </c>
      <c r="AT134">
        <f>IF($A134="","",'Beállítások'!$E$11*(5-G134))</f>
        <v/>
      </c>
      <c r="AU134">
        <f>IF($A134="","",'Beállítások'!$E$12*(5-H134))</f>
        <v/>
      </c>
      <c r="AV134">
        <f>IF($A134="","",'Beállítások'!$E$13*(5-I134))</f>
        <v/>
      </c>
      <c r="AW134">
        <f>IF($A134="","",'Beállítások'!$E$14*(5-J134))</f>
        <v/>
      </c>
      <c r="AX134">
        <f>IF($A134="","",'Beállítások'!$E$15*(5-K134))</f>
        <v/>
      </c>
      <c r="AY134">
        <f>IF($A134="","",'Beállítások'!$E$16*(5-L134))</f>
        <v/>
      </c>
      <c r="AZ134">
        <f>IF($A134="","",M134-ROW()/100000)</f>
        <v/>
      </c>
    </row>
    <row r="135">
      <c r="A135">
        <f>IF('Ügyfelek'!A135="","",'Ügyfelek'!A135)</f>
        <v/>
      </c>
      <c r="B135">
        <f>IF($A135="","",IF('Ügyfelek'!B135="",'Beállítások'!$B$45,IFERROR(VLOOKUP(TRIM('Ügyfelek'!B135),'Beállítások'!$A$22:$B$41,2,FALSE),'Beállítások'!$B$45)))</f>
        <v/>
      </c>
      <c r="C135">
        <f>IF($A135="","",IF('Ügyfelek'!C135="",'Beállítások'!$B$45,VLOOKUP(MAX('Ügyfelek'!C135,'Beállítások'!$H$7),'Beállítások'!$H$7:$I$11,2,TRUE)))</f>
        <v/>
      </c>
      <c r="D135">
        <f>IF($A135="","",IF('Ügyfelek'!D135="",'Beállítások'!$B$45,VLOOKUP(MAX('Ügyfelek'!D135,'Beállítások'!$K$7),'Beállítások'!$K$7:$L$11,2,TRUE)))</f>
        <v/>
      </c>
      <c r="E135">
        <f>IF($A135="","",IF('Ügyfelek'!L135="",'Beállítások'!$B$45,MIN(5,MAX(1,ROUND('Ügyfelek'!L135,0)))))</f>
        <v/>
      </c>
      <c r="F135">
        <f>IF($A135="","",IF('Ügyfelek'!I135="",'Beállítások'!$B$45,VLOOKUP(MAX('Ügyfelek'!I135,'Beállítások'!$N$7),'Beállítások'!$N$7:$O$11,2,TRUE)))</f>
        <v/>
      </c>
      <c r="G135">
        <f>IF($A135="","",IF('Ügyfelek'!N135="",'Beállítások'!$B$45,MIN(5,MAX(1,ROUND('Ügyfelek'!N135,0)))))</f>
        <v/>
      </c>
      <c r="H135">
        <f>IF($A135="","",IF('Ügyfelek'!J135="",'Beállítások'!$B$45,VLOOKUP(MAX('Ügyfelek'!J135,'Beállítások'!$Q$7),'Beállítások'!$Q$7:$R$11,2,TRUE)))</f>
        <v/>
      </c>
      <c r="I135">
        <f>IF($A135="","",IF('Ügyfelek'!K135="",'Beállítások'!$B$45,VLOOKUP(MAX('Ügyfelek'!K135,'Beállítások'!$T$7),'Beállítások'!$T$7:$U$11,2,TRUE)))</f>
        <v/>
      </c>
      <c r="J135">
        <f>IF($A135="","",IF('Ügyfelek'!M135="",'Beállítások'!$B$45,MIN(5,MAX(1,ROUND('Ügyfelek'!M135,0)))))</f>
        <v/>
      </c>
      <c r="K135">
        <f>IF($A135="","",IF('Ügyfelek'!P135="",'Beállítások'!$B$45,MIN(5,MAX(1,ROUND('Ügyfelek'!P135,0)))))</f>
        <v/>
      </c>
      <c r="L135">
        <f>IF($A135="","",IF('Ügyfelek'!O135="",'Beállítások'!$B$45,MIN(5,MAX(1,ROUND('Ügyfelek'!O135,0)))))</f>
        <v/>
      </c>
      <c r="M135" s="13">
        <f>IF($A135="","",ROUND('Beállítások'!$E$6*(B135-1)/4+'Beállítások'!$E$7*(C135-1)/4+'Beállítások'!$E$8*(D135-1)/4+'Beállítások'!$E$9*(E135-1)/4+'Beállítások'!$E$10*(F135-1)/4+'Beállítások'!$E$11*(G135-1)/4+'Beállítások'!$E$12*(H135-1)/4+'Beállítások'!$E$13*(I135-1)/4+'Beállítások'!$E$14*(J135-1)/4+'Beállítások'!$E$15*(K135-1)/4+'Beállítások'!$E$16*(L135-1)/4,1))</f>
        <v/>
      </c>
      <c r="N135" s="14">
        <f>IF($A135="","",RANK(M135,$M$2:$M$201))</f>
        <v/>
      </c>
      <c r="O135">
        <f>IF($A135="","",VLOOKUP(M135,'Beállítások'!$A$57:$E$60,2,TRUE))</f>
        <v/>
      </c>
      <c r="P135">
        <f>IF($A135="","",VLOOKUP(M135,'Beállítások'!$A$57:$E$60,3,TRUE))</f>
        <v/>
      </c>
      <c r="Q135">
        <f>IF($A135="","",INDEX('Beállítások'!$B$6:$B$16,MATCH(MAX(AD135:AN135),AD135:AN135,0)))</f>
        <v/>
      </c>
      <c r="R135">
        <f>IF($A135="","",IF(MAX(AO135:AY135)=0,"—",INDEX('Beállítások'!$B$6:$B$16,MATCH(MAX(AO135:AY135),AO135:AY135,0))))</f>
        <v/>
      </c>
      <c r="S135" s="5">
        <f>IF($A135="","",'Beállítások'!$B$47*(TRIM('Ügyfelek'!E135)="igen")+'Beállítások'!$B$48*(TRIM('Ügyfelek'!F135)="igen")+'Beállítások'!$B$49*N('Ügyfelek'!G135)+'Beállítások'!$B$46*N('Ügyfelek'!H135))</f>
        <v/>
      </c>
      <c r="T135" s="15">
        <f>IF($A135="","",VLOOKUP(M135,'Beállítások'!$A$57:$E$60,4,TRUE))</f>
        <v/>
      </c>
      <c r="U135" s="5">
        <f>IF($A135="","",N('Ügyfelek'!D135)*'Beállítások'!$B$51)</f>
        <v/>
      </c>
      <c r="V135" s="5">
        <f>IF($A135="","",CEILING(ROUND(MAX('Beállítások'!$B$50,S135*T135,U135),2),'Beállítások'!$B$52))</f>
        <v/>
      </c>
      <c r="W135">
        <f>IF($A135="","",IF(MAX('Beállítások'!$B$50,S135*T135,U135)=S135*T135,"Munkaigény × szintszorzó",IF(MAX('Beállítások'!$B$50,S135*T135,U135)=U135,"Hirdetési keret arányában","Minimumdíj")))</f>
        <v/>
      </c>
      <c r="X135" s="5">
        <f>IF(OR($A135="",'Ügyfelek'!Q135=""),"",'Ügyfelek'!Q135)</f>
        <v/>
      </c>
      <c r="Y135" s="5">
        <f>IF(X135="","",V135-X135)</f>
        <v/>
      </c>
      <c r="Z135" s="16">
        <f>IF(OR(X135="",X135=0),"",Y135/X135)</f>
        <v/>
      </c>
      <c r="AA135" s="5">
        <f>IF(OR($A135="",'Ügyfelek'!R135=""),"",'Ügyfelek'!R135*VLOOKUP(M135,'Beállítások'!$A$57:$E$60,5,TRUE))</f>
        <v/>
      </c>
      <c r="AB135" s="14">
        <f>IF($A135="","",('Ügyfelek'!B135="")+('Ügyfelek'!C135="")+('Ügyfelek'!D135="")+('Ügyfelek'!L135="")+('Ügyfelek'!I135="")+('Ügyfelek'!N135="")+('Ügyfelek'!J135="")+('Ügyfelek'!K135="")+('Ügyfelek'!M135="")+('Ügyfelek'!P135="")+('Ügyfelek'!O135=""))</f>
        <v/>
      </c>
      <c r="AD135">
        <f>IF($A135="","",B135+'Beállítások'!$E$6/1000)</f>
        <v/>
      </c>
      <c r="AE135">
        <f>IF($A135="","",C135+'Beállítások'!$E$7/1000)</f>
        <v/>
      </c>
      <c r="AF135">
        <f>IF($A135="","",D135+'Beállítások'!$E$8/1000)</f>
        <v/>
      </c>
      <c r="AG135">
        <f>IF($A135="","",E135+'Beállítások'!$E$9/1000)</f>
        <v/>
      </c>
      <c r="AH135">
        <f>IF($A135="","",F135+'Beállítások'!$E$10/1000)</f>
        <v/>
      </c>
      <c r="AI135">
        <f>IF($A135="","",G135+'Beállítások'!$E$11/1000)</f>
        <v/>
      </c>
      <c r="AJ135">
        <f>IF($A135="","",H135+'Beállítások'!$E$12/1000)</f>
        <v/>
      </c>
      <c r="AK135">
        <f>IF($A135="","",I135+'Beállítások'!$E$13/1000)</f>
        <v/>
      </c>
      <c r="AL135">
        <f>IF($A135="","",J135+'Beállítások'!$E$14/1000)</f>
        <v/>
      </c>
      <c r="AM135">
        <f>IF($A135="","",K135+'Beállítások'!$E$15/1000)</f>
        <v/>
      </c>
      <c r="AN135">
        <f>IF($A135="","",L135+'Beállítások'!$E$16/1000)</f>
        <v/>
      </c>
      <c r="AO135">
        <f>IF($A135="","",'Beállítások'!$E$6*(5-B135))</f>
        <v/>
      </c>
      <c r="AP135">
        <f>IF($A135="","",'Beállítások'!$E$7*(5-C135))</f>
        <v/>
      </c>
      <c r="AQ135">
        <f>IF($A135="","",'Beállítások'!$E$8*(5-D135))</f>
        <v/>
      </c>
      <c r="AR135">
        <f>IF($A135="","",'Beállítások'!$E$9*(5-E135))</f>
        <v/>
      </c>
      <c r="AS135">
        <f>IF($A135="","",'Beállítások'!$E$10*(5-F135))</f>
        <v/>
      </c>
      <c r="AT135">
        <f>IF($A135="","",'Beállítások'!$E$11*(5-G135))</f>
        <v/>
      </c>
      <c r="AU135">
        <f>IF($A135="","",'Beállítások'!$E$12*(5-H135))</f>
        <v/>
      </c>
      <c r="AV135">
        <f>IF($A135="","",'Beállítások'!$E$13*(5-I135))</f>
        <v/>
      </c>
      <c r="AW135">
        <f>IF($A135="","",'Beállítások'!$E$14*(5-J135))</f>
        <v/>
      </c>
      <c r="AX135">
        <f>IF($A135="","",'Beállítások'!$E$15*(5-K135))</f>
        <v/>
      </c>
      <c r="AY135">
        <f>IF($A135="","",'Beállítások'!$E$16*(5-L135))</f>
        <v/>
      </c>
      <c r="AZ135">
        <f>IF($A135="","",M135-ROW()/100000)</f>
        <v/>
      </c>
    </row>
    <row r="136">
      <c r="A136">
        <f>IF('Ügyfelek'!A136="","",'Ügyfelek'!A136)</f>
        <v/>
      </c>
      <c r="B136">
        <f>IF($A136="","",IF('Ügyfelek'!B136="",'Beállítások'!$B$45,IFERROR(VLOOKUP(TRIM('Ügyfelek'!B136),'Beállítások'!$A$22:$B$41,2,FALSE),'Beállítások'!$B$45)))</f>
        <v/>
      </c>
      <c r="C136">
        <f>IF($A136="","",IF('Ügyfelek'!C136="",'Beállítások'!$B$45,VLOOKUP(MAX('Ügyfelek'!C136,'Beállítások'!$H$7),'Beállítások'!$H$7:$I$11,2,TRUE)))</f>
        <v/>
      </c>
      <c r="D136">
        <f>IF($A136="","",IF('Ügyfelek'!D136="",'Beállítások'!$B$45,VLOOKUP(MAX('Ügyfelek'!D136,'Beállítások'!$K$7),'Beállítások'!$K$7:$L$11,2,TRUE)))</f>
        <v/>
      </c>
      <c r="E136">
        <f>IF($A136="","",IF('Ügyfelek'!L136="",'Beállítások'!$B$45,MIN(5,MAX(1,ROUND('Ügyfelek'!L136,0)))))</f>
        <v/>
      </c>
      <c r="F136">
        <f>IF($A136="","",IF('Ügyfelek'!I136="",'Beállítások'!$B$45,VLOOKUP(MAX('Ügyfelek'!I136,'Beállítások'!$N$7),'Beállítások'!$N$7:$O$11,2,TRUE)))</f>
        <v/>
      </c>
      <c r="G136">
        <f>IF($A136="","",IF('Ügyfelek'!N136="",'Beállítások'!$B$45,MIN(5,MAX(1,ROUND('Ügyfelek'!N136,0)))))</f>
        <v/>
      </c>
      <c r="H136">
        <f>IF($A136="","",IF('Ügyfelek'!J136="",'Beállítások'!$B$45,VLOOKUP(MAX('Ügyfelek'!J136,'Beállítások'!$Q$7),'Beállítások'!$Q$7:$R$11,2,TRUE)))</f>
        <v/>
      </c>
      <c r="I136">
        <f>IF($A136="","",IF('Ügyfelek'!K136="",'Beállítások'!$B$45,VLOOKUP(MAX('Ügyfelek'!K136,'Beállítások'!$T$7),'Beállítások'!$T$7:$U$11,2,TRUE)))</f>
        <v/>
      </c>
      <c r="J136">
        <f>IF($A136="","",IF('Ügyfelek'!M136="",'Beállítások'!$B$45,MIN(5,MAX(1,ROUND('Ügyfelek'!M136,0)))))</f>
        <v/>
      </c>
      <c r="K136">
        <f>IF($A136="","",IF('Ügyfelek'!P136="",'Beállítások'!$B$45,MIN(5,MAX(1,ROUND('Ügyfelek'!P136,0)))))</f>
        <v/>
      </c>
      <c r="L136">
        <f>IF($A136="","",IF('Ügyfelek'!O136="",'Beállítások'!$B$45,MIN(5,MAX(1,ROUND('Ügyfelek'!O136,0)))))</f>
        <v/>
      </c>
      <c r="M136" s="13">
        <f>IF($A136="","",ROUND('Beállítások'!$E$6*(B136-1)/4+'Beállítások'!$E$7*(C136-1)/4+'Beállítások'!$E$8*(D136-1)/4+'Beállítások'!$E$9*(E136-1)/4+'Beállítások'!$E$10*(F136-1)/4+'Beállítások'!$E$11*(G136-1)/4+'Beállítások'!$E$12*(H136-1)/4+'Beállítások'!$E$13*(I136-1)/4+'Beállítások'!$E$14*(J136-1)/4+'Beállítások'!$E$15*(K136-1)/4+'Beállítások'!$E$16*(L136-1)/4,1))</f>
        <v/>
      </c>
      <c r="N136" s="14">
        <f>IF($A136="","",RANK(M136,$M$2:$M$201))</f>
        <v/>
      </c>
      <c r="O136">
        <f>IF($A136="","",VLOOKUP(M136,'Beállítások'!$A$57:$E$60,2,TRUE))</f>
        <v/>
      </c>
      <c r="P136">
        <f>IF($A136="","",VLOOKUP(M136,'Beállítások'!$A$57:$E$60,3,TRUE))</f>
        <v/>
      </c>
      <c r="Q136">
        <f>IF($A136="","",INDEX('Beállítások'!$B$6:$B$16,MATCH(MAX(AD136:AN136),AD136:AN136,0)))</f>
        <v/>
      </c>
      <c r="R136">
        <f>IF($A136="","",IF(MAX(AO136:AY136)=0,"—",INDEX('Beállítások'!$B$6:$B$16,MATCH(MAX(AO136:AY136),AO136:AY136,0))))</f>
        <v/>
      </c>
      <c r="S136" s="5">
        <f>IF($A136="","",'Beállítások'!$B$47*(TRIM('Ügyfelek'!E136)="igen")+'Beállítások'!$B$48*(TRIM('Ügyfelek'!F136)="igen")+'Beállítások'!$B$49*N('Ügyfelek'!G136)+'Beállítások'!$B$46*N('Ügyfelek'!H136))</f>
        <v/>
      </c>
      <c r="T136" s="15">
        <f>IF($A136="","",VLOOKUP(M136,'Beállítások'!$A$57:$E$60,4,TRUE))</f>
        <v/>
      </c>
      <c r="U136" s="5">
        <f>IF($A136="","",N('Ügyfelek'!D136)*'Beállítások'!$B$51)</f>
        <v/>
      </c>
      <c r="V136" s="5">
        <f>IF($A136="","",CEILING(ROUND(MAX('Beállítások'!$B$50,S136*T136,U136),2),'Beállítások'!$B$52))</f>
        <v/>
      </c>
      <c r="W136">
        <f>IF($A136="","",IF(MAX('Beállítások'!$B$50,S136*T136,U136)=S136*T136,"Munkaigény × szintszorzó",IF(MAX('Beállítások'!$B$50,S136*T136,U136)=U136,"Hirdetési keret arányában","Minimumdíj")))</f>
        <v/>
      </c>
      <c r="X136" s="5">
        <f>IF(OR($A136="",'Ügyfelek'!Q136=""),"",'Ügyfelek'!Q136)</f>
        <v/>
      </c>
      <c r="Y136" s="5">
        <f>IF(X136="","",V136-X136)</f>
        <v/>
      </c>
      <c r="Z136" s="16">
        <f>IF(OR(X136="",X136=0),"",Y136/X136)</f>
        <v/>
      </c>
      <c r="AA136" s="5">
        <f>IF(OR($A136="",'Ügyfelek'!R136=""),"",'Ügyfelek'!R136*VLOOKUP(M136,'Beállítások'!$A$57:$E$60,5,TRUE))</f>
        <v/>
      </c>
      <c r="AB136" s="14">
        <f>IF($A136="","",('Ügyfelek'!B136="")+('Ügyfelek'!C136="")+('Ügyfelek'!D136="")+('Ügyfelek'!L136="")+('Ügyfelek'!I136="")+('Ügyfelek'!N136="")+('Ügyfelek'!J136="")+('Ügyfelek'!K136="")+('Ügyfelek'!M136="")+('Ügyfelek'!P136="")+('Ügyfelek'!O136=""))</f>
        <v/>
      </c>
      <c r="AD136">
        <f>IF($A136="","",B136+'Beállítások'!$E$6/1000)</f>
        <v/>
      </c>
      <c r="AE136">
        <f>IF($A136="","",C136+'Beállítások'!$E$7/1000)</f>
        <v/>
      </c>
      <c r="AF136">
        <f>IF($A136="","",D136+'Beállítások'!$E$8/1000)</f>
        <v/>
      </c>
      <c r="AG136">
        <f>IF($A136="","",E136+'Beállítások'!$E$9/1000)</f>
        <v/>
      </c>
      <c r="AH136">
        <f>IF($A136="","",F136+'Beállítások'!$E$10/1000)</f>
        <v/>
      </c>
      <c r="AI136">
        <f>IF($A136="","",G136+'Beállítások'!$E$11/1000)</f>
        <v/>
      </c>
      <c r="AJ136">
        <f>IF($A136="","",H136+'Beállítások'!$E$12/1000)</f>
        <v/>
      </c>
      <c r="AK136">
        <f>IF($A136="","",I136+'Beállítások'!$E$13/1000)</f>
        <v/>
      </c>
      <c r="AL136">
        <f>IF($A136="","",J136+'Beállítások'!$E$14/1000)</f>
        <v/>
      </c>
      <c r="AM136">
        <f>IF($A136="","",K136+'Beállítások'!$E$15/1000)</f>
        <v/>
      </c>
      <c r="AN136">
        <f>IF($A136="","",L136+'Beállítások'!$E$16/1000)</f>
        <v/>
      </c>
      <c r="AO136">
        <f>IF($A136="","",'Beállítások'!$E$6*(5-B136))</f>
        <v/>
      </c>
      <c r="AP136">
        <f>IF($A136="","",'Beállítások'!$E$7*(5-C136))</f>
        <v/>
      </c>
      <c r="AQ136">
        <f>IF($A136="","",'Beállítások'!$E$8*(5-D136))</f>
        <v/>
      </c>
      <c r="AR136">
        <f>IF($A136="","",'Beállítások'!$E$9*(5-E136))</f>
        <v/>
      </c>
      <c r="AS136">
        <f>IF($A136="","",'Beállítások'!$E$10*(5-F136))</f>
        <v/>
      </c>
      <c r="AT136">
        <f>IF($A136="","",'Beállítások'!$E$11*(5-G136))</f>
        <v/>
      </c>
      <c r="AU136">
        <f>IF($A136="","",'Beállítások'!$E$12*(5-H136))</f>
        <v/>
      </c>
      <c r="AV136">
        <f>IF($A136="","",'Beállítások'!$E$13*(5-I136))</f>
        <v/>
      </c>
      <c r="AW136">
        <f>IF($A136="","",'Beállítások'!$E$14*(5-J136))</f>
        <v/>
      </c>
      <c r="AX136">
        <f>IF($A136="","",'Beállítások'!$E$15*(5-K136))</f>
        <v/>
      </c>
      <c r="AY136">
        <f>IF($A136="","",'Beállítások'!$E$16*(5-L136))</f>
        <v/>
      </c>
      <c r="AZ136">
        <f>IF($A136="","",M136-ROW()/100000)</f>
        <v/>
      </c>
    </row>
    <row r="137">
      <c r="A137">
        <f>IF('Ügyfelek'!A137="","",'Ügyfelek'!A137)</f>
        <v/>
      </c>
      <c r="B137">
        <f>IF($A137="","",IF('Ügyfelek'!B137="",'Beállítások'!$B$45,IFERROR(VLOOKUP(TRIM('Ügyfelek'!B137),'Beállítások'!$A$22:$B$41,2,FALSE),'Beállítások'!$B$45)))</f>
        <v/>
      </c>
      <c r="C137">
        <f>IF($A137="","",IF('Ügyfelek'!C137="",'Beállítások'!$B$45,VLOOKUP(MAX('Ügyfelek'!C137,'Beállítások'!$H$7),'Beállítások'!$H$7:$I$11,2,TRUE)))</f>
        <v/>
      </c>
      <c r="D137">
        <f>IF($A137="","",IF('Ügyfelek'!D137="",'Beállítások'!$B$45,VLOOKUP(MAX('Ügyfelek'!D137,'Beállítások'!$K$7),'Beállítások'!$K$7:$L$11,2,TRUE)))</f>
        <v/>
      </c>
      <c r="E137">
        <f>IF($A137="","",IF('Ügyfelek'!L137="",'Beállítások'!$B$45,MIN(5,MAX(1,ROUND('Ügyfelek'!L137,0)))))</f>
        <v/>
      </c>
      <c r="F137">
        <f>IF($A137="","",IF('Ügyfelek'!I137="",'Beállítások'!$B$45,VLOOKUP(MAX('Ügyfelek'!I137,'Beállítások'!$N$7),'Beállítások'!$N$7:$O$11,2,TRUE)))</f>
        <v/>
      </c>
      <c r="G137">
        <f>IF($A137="","",IF('Ügyfelek'!N137="",'Beállítások'!$B$45,MIN(5,MAX(1,ROUND('Ügyfelek'!N137,0)))))</f>
        <v/>
      </c>
      <c r="H137">
        <f>IF($A137="","",IF('Ügyfelek'!J137="",'Beállítások'!$B$45,VLOOKUP(MAX('Ügyfelek'!J137,'Beállítások'!$Q$7),'Beállítások'!$Q$7:$R$11,2,TRUE)))</f>
        <v/>
      </c>
      <c r="I137">
        <f>IF($A137="","",IF('Ügyfelek'!K137="",'Beállítások'!$B$45,VLOOKUP(MAX('Ügyfelek'!K137,'Beállítások'!$T$7),'Beállítások'!$T$7:$U$11,2,TRUE)))</f>
        <v/>
      </c>
      <c r="J137">
        <f>IF($A137="","",IF('Ügyfelek'!M137="",'Beállítások'!$B$45,MIN(5,MAX(1,ROUND('Ügyfelek'!M137,0)))))</f>
        <v/>
      </c>
      <c r="K137">
        <f>IF($A137="","",IF('Ügyfelek'!P137="",'Beállítások'!$B$45,MIN(5,MAX(1,ROUND('Ügyfelek'!P137,0)))))</f>
        <v/>
      </c>
      <c r="L137">
        <f>IF($A137="","",IF('Ügyfelek'!O137="",'Beállítások'!$B$45,MIN(5,MAX(1,ROUND('Ügyfelek'!O137,0)))))</f>
        <v/>
      </c>
      <c r="M137" s="13">
        <f>IF($A137="","",ROUND('Beállítások'!$E$6*(B137-1)/4+'Beállítások'!$E$7*(C137-1)/4+'Beállítások'!$E$8*(D137-1)/4+'Beállítások'!$E$9*(E137-1)/4+'Beállítások'!$E$10*(F137-1)/4+'Beállítások'!$E$11*(G137-1)/4+'Beállítások'!$E$12*(H137-1)/4+'Beállítások'!$E$13*(I137-1)/4+'Beállítások'!$E$14*(J137-1)/4+'Beállítások'!$E$15*(K137-1)/4+'Beállítások'!$E$16*(L137-1)/4,1))</f>
        <v/>
      </c>
      <c r="N137" s="14">
        <f>IF($A137="","",RANK(M137,$M$2:$M$201))</f>
        <v/>
      </c>
      <c r="O137">
        <f>IF($A137="","",VLOOKUP(M137,'Beállítások'!$A$57:$E$60,2,TRUE))</f>
        <v/>
      </c>
      <c r="P137">
        <f>IF($A137="","",VLOOKUP(M137,'Beállítások'!$A$57:$E$60,3,TRUE))</f>
        <v/>
      </c>
      <c r="Q137">
        <f>IF($A137="","",INDEX('Beállítások'!$B$6:$B$16,MATCH(MAX(AD137:AN137),AD137:AN137,0)))</f>
        <v/>
      </c>
      <c r="R137">
        <f>IF($A137="","",IF(MAX(AO137:AY137)=0,"—",INDEX('Beállítások'!$B$6:$B$16,MATCH(MAX(AO137:AY137),AO137:AY137,0))))</f>
        <v/>
      </c>
      <c r="S137" s="5">
        <f>IF($A137="","",'Beállítások'!$B$47*(TRIM('Ügyfelek'!E137)="igen")+'Beállítások'!$B$48*(TRIM('Ügyfelek'!F137)="igen")+'Beállítások'!$B$49*N('Ügyfelek'!G137)+'Beállítások'!$B$46*N('Ügyfelek'!H137))</f>
        <v/>
      </c>
      <c r="T137" s="15">
        <f>IF($A137="","",VLOOKUP(M137,'Beállítások'!$A$57:$E$60,4,TRUE))</f>
        <v/>
      </c>
      <c r="U137" s="5">
        <f>IF($A137="","",N('Ügyfelek'!D137)*'Beállítások'!$B$51)</f>
        <v/>
      </c>
      <c r="V137" s="5">
        <f>IF($A137="","",CEILING(ROUND(MAX('Beállítások'!$B$50,S137*T137,U137),2),'Beállítások'!$B$52))</f>
        <v/>
      </c>
      <c r="W137">
        <f>IF($A137="","",IF(MAX('Beállítások'!$B$50,S137*T137,U137)=S137*T137,"Munkaigény × szintszorzó",IF(MAX('Beállítások'!$B$50,S137*T137,U137)=U137,"Hirdetési keret arányában","Minimumdíj")))</f>
        <v/>
      </c>
      <c r="X137" s="5">
        <f>IF(OR($A137="",'Ügyfelek'!Q137=""),"",'Ügyfelek'!Q137)</f>
        <v/>
      </c>
      <c r="Y137" s="5">
        <f>IF(X137="","",V137-X137)</f>
        <v/>
      </c>
      <c r="Z137" s="16">
        <f>IF(OR(X137="",X137=0),"",Y137/X137)</f>
        <v/>
      </c>
      <c r="AA137" s="5">
        <f>IF(OR($A137="",'Ügyfelek'!R137=""),"",'Ügyfelek'!R137*VLOOKUP(M137,'Beállítások'!$A$57:$E$60,5,TRUE))</f>
        <v/>
      </c>
      <c r="AB137" s="14">
        <f>IF($A137="","",('Ügyfelek'!B137="")+('Ügyfelek'!C137="")+('Ügyfelek'!D137="")+('Ügyfelek'!L137="")+('Ügyfelek'!I137="")+('Ügyfelek'!N137="")+('Ügyfelek'!J137="")+('Ügyfelek'!K137="")+('Ügyfelek'!M137="")+('Ügyfelek'!P137="")+('Ügyfelek'!O137=""))</f>
        <v/>
      </c>
      <c r="AD137">
        <f>IF($A137="","",B137+'Beállítások'!$E$6/1000)</f>
        <v/>
      </c>
      <c r="AE137">
        <f>IF($A137="","",C137+'Beállítások'!$E$7/1000)</f>
        <v/>
      </c>
      <c r="AF137">
        <f>IF($A137="","",D137+'Beállítások'!$E$8/1000)</f>
        <v/>
      </c>
      <c r="AG137">
        <f>IF($A137="","",E137+'Beállítások'!$E$9/1000)</f>
        <v/>
      </c>
      <c r="AH137">
        <f>IF($A137="","",F137+'Beállítások'!$E$10/1000)</f>
        <v/>
      </c>
      <c r="AI137">
        <f>IF($A137="","",G137+'Beállítások'!$E$11/1000)</f>
        <v/>
      </c>
      <c r="AJ137">
        <f>IF($A137="","",H137+'Beállítások'!$E$12/1000)</f>
        <v/>
      </c>
      <c r="AK137">
        <f>IF($A137="","",I137+'Beállítások'!$E$13/1000)</f>
        <v/>
      </c>
      <c r="AL137">
        <f>IF($A137="","",J137+'Beállítások'!$E$14/1000)</f>
        <v/>
      </c>
      <c r="AM137">
        <f>IF($A137="","",K137+'Beállítások'!$E$15/1000)</f>
        <v/>
      </c>
      <c r="AN137">
        <f>IF($A137="","",L137+'Beállítások'!$E$16/1000)</f>
        <v/>
      </c>
      <c r="AO137">
        <f>IF($A137="","",'Beállítások'!$E$6*(5-B137))</f>
        <v/>
      </c>
      <c r="AP137">
        <f>IF($A137="","",'Beállítások'!$E$7*(5-C137))</f>
        <v/>
      </c>
      <c r="AQ137">
        <f>IF($A137="","",'Beállítások'!$E$8*(5-D137))</f>
        <v/>
      </c>
      <c r="AR137">
        <f>IF($A137="","",'Beállítások'!$E$9*(5-E137))</f>
        <v/>
      </c>
      <c r="AS137">
        <f>IF($A137="","",'Beállítások'!$E$10*(5-F137))</f>
        <v/>
      </c>
      <c r="AT137">
        <f>IF($A137="","",'Beállítások'!$E$11*(5-G137))</f>
        <v/>
      </c>
      <c r="AU137">
        <f>IF($A137="","",'Beállítások'!$E$12*(5-H137))</f>
        <v/>
      </c>
      <c r="AV137">
        <f>IF($A137="","",'Beállítások'!$E$13*(5-I137))</f>
        <v/>
      </c>
      <c r="AW137">
        <f>IF($A137="","",'Beállítások'!$E$14*(5-J137))</f>
        <v/>
      </c>
      <c r="AX137">
        <f>IF($A137="","",'Beállítások'!$E$15*(5-K137))</f>
        <v/>
      </c>
      <c r="AY137">
        <f>IF($A137="","",'Beállítások'!$E$16*(5-L137))</f>
        <v/>
      </c>
      <c r="AZ137">
        <f>IF($A137="","",M137-ROW()/100000)</f>
        <v/>
      </c>
    </row>
    <row r="138">
      <c r="A138">
        <f>IF('Ügyfelek'!A138="","",'Ügyfelek'!A138)</f>
        <v/>
      </c>
      <c r="B138">
        <f>IF($A138="","",IF('Ügyfelek'!B138="",'Beállítások'!$B$45,IFERROR(VLOOKUP(TRIM('Ügyfelek'!B138),'Beállítások'!$A$22:$B$41,2,FALSE),'Beállítások'!$B$45)))</f>
        <v/>
      </c>
      <c r="C138">
        <f>IF($A138="","",IF('Ügyfelek'!C138="",'Beállítások'!$B$45,VLOOKUP(MAX('Ügyfelek'!C138,'Beállítások'!$H$7),'Beállítások'!$H$7:$I$11,2,TRUE)))</f>
        <v/>
      </c>
      <c r="D138">
        <f>IF($A138="","",IF('Ügyfelek'!D138="",'Beállítások'!$B$45,VLOOKUP(MAX('Ügyfelek'!D138,'Beállítások'!$K$7),'Beállítások'!$K$7:$L$11,2,TRUE)))</f>
        <v/>
      </c>
      <c r="E138">
        <f>IF($A138="","",IF('Ügyfelek'!L138="",'Beállítások'!$B$45,MIN(5,MAX(1,ROUND('Ügyfelek'!L138,0)))))</f>
        <v/>
      </c>
      <c r="F138">
        <f>IF($A138="","",IF('Ügyfelek'!I138="",'Beállítások'!$B$45,VLOOKUP(MAX('Ügyfelek'!I138,'Beállítások'!$N$7),'Beállítások'!$N$7:$O$11,2,TRUE)))</f>
        <v/>
      </c>
      <c r="G138">
        <f>IF($A138="","",IF('Ügyfelek'!N138="",'Beállítások'!$B$45,MIN(5,MAX(1,ROUND('Ügyfelek'!N138,0)))))</f>
        <v/>
      </c>
      <c r="H138">
        <f>IF($A138="","",IF('Ügyfelek'!J138="",'Beállítások'!$B$45,VLOOKUP(MAX('Ügyfelek'!J138,'Beállítások'!$Q$7),'Beállítások'!$Q$7:$R$11,2,TRUE)))</f>
        <v/>
      </c>
      <c r="I138">
        <f>IF($A138="","",IF('Ügyfelek'!K138="",'Beállítások'!$B$45,VLOOKUP(MAX('Ügyfelek'!K138,'Beállítások'!$T$7),'Beállítások'!$T$7:$U$11,2,TRUE)))</f>
        <v/>
      </c>
      <c r="J138">
        <f>IF($A138="","",IF('Ügyfelek'!M138="",'Beállítások'!$B$45,MIN(5,MAX(1,ROUND('Ügyfelek'!M138,0)))))</f>
        <v/>
      </c>
      <c r="K138">
        <f>IF($A138="","",IF('Ügyfelek'!P138="",'Beállítások'!$B$45,MIN(5,MAX(1,ROUND('Ügyfelek'!P138,0)))))</f>
        <v/>
      </c>
      <c r="L138">
        <f>IF($A138="","",IF('Ügyfelek'!O138="",'Beállítások'!$B$45,MIN(5,MAX(1,ROUND('Ügyfelek'!O138,0)))))</f>
        <v/>
      </c>
      <c r="M138" s="13">
        <f>IF($A138="","",ROUND('Beállítások'!$E$6*(B138-1)/4+'Beállítások'!$E$7*(C138-1)/4+'Beállítások'!$E$8*(D138-1)/4+'Beállítások'!$E$9*(E138-1)/4+'Beállítások'!$E$10*(F138-1)/4+'Beállítások'!$E$11*(G138-1)/4+'Beállítások'!$E$12*(H138-1)/4+'Beállítások'!$E$13*(I138-1)/4+'Beállítások'!$E$14*(J138-1)/4+'Beállítások'!$E$15*(K138-1)/4+'Beállítások'!$E$16*(L138-1)/4,1))</f>
        <v/>
      </c>
      <c r="N138" s="14">
        <f>IF($A138="","",RANK(M138,$M$2:$M$201))</f>
        <v/>
      </c>
      <c r="O138">
        <f>IF($A138="","",VLOOKUP(M138,'Beállítások'!$A$57:$E$60,2,TRUE))</f>
        <v/>
      </c>
      <c r="P138">
        <f>IF($A138="","",VLOOKUP(M138,'Beállítások'!$A$57:$E$60,3,TRUE))</f>
        <v/>
      </c>
      <c r="Q138">
        <f>IF($A138="","",INDEX('Beállítások'!$B$6:$B$16,MATCH(MAX(AD138:AN138),AD138:AN138,0)))</f>
        <v/>
      </c>
      <c r="R138">
        <f>IF($A138="","",IF(MAX(AO138:AY138)=0,"—",INDEX('Beállítások'!$B$6:$B$16,MATCH(MAX(AO138:AY138),AO138:AY138,0))))</f>
        <v/>
      </c>
      <c r="S138" s="5">
        <f>IF($A138="","",'Beállítások'!$B$47*(TRIM('Ügyfelek'!E138)="igen")+'Beállítások'!$B$48*(TRIM('Ügyfelek'!F138)="igen")+'Beállítások'!$B$49*N('Ügyfelek'!G138)+'Beállítások'!$B$46*N('Ügyfelek'!H138))</f>
        <v/>
      </c>
      <c r="T138" s="15">
        <f>IF($A138="","",VLOOKUP(M138,'Beállítások'!$A$57:$E$60,4,TRUE))</f>
        <v/>
      </c>
      <c r="U138" s="5">
        <f>IF($A138="","",N('Ügyfelek'!D138)*'Beállítások'!$B$51)</f>
        <v/>
      </c>
      <c r="V138" s="5">
        <f>IF($A138="","",CEILING(ROUND(MAX('Beállítások'!$B$50,S138*T138,U138),2),'Beállítások'!$B$52))</f>
        <v/>
      </c>
      <c r="W138">
        <f>IF($A138="","",IF(MAX('Beállítások'!$B$50,S138*T138,U138)=S138*T138,"Munkaigény × szintszorzó",IF(MAX('Beállítások'!$B$50,S138*T138,U138)=U138,"Hirdetési keret arányában","Minimumdíj")))</f>
        <v/>
      </c>
      <c r="X138" s="5">
        <f>IF(OR($A138="",'Ügyfelek'!Q138=""),"",'Ügyfelek'!Q138)</f>
        <v/>
      </c>
      <c r="Y138" s="5">
        <f>IF(X138="","",V138-X138)</f>
        <v/>
      </c>
      <c r="Z138" s="16">
        <f>IF(OR(X138="",X138=0),"",Y138/X138)</f>
        <v/>
      </c>
      <c r="AA138" s="5">
        <f>IF(OR($A138="",'Ügyfelek'!R138=""),"",'Ügyfelek'!R138*VLOOKUP(M138,'Beállítások'!$A$57:$E$60,5,TRUE))</f>
        <v/>
      </c>
      <c r="AB138" s="14">
        <f>IF($A138="","",('Ügyfelek'!B138="")+('Ügyfelek'!C138="")+('Ügyfelek'!D138="")+('Ügyfelek'!L138="")+('Ügyfelek'!I138="")+('Ügyfelek'!N138="")+('Ügyfelek'!J138="")+('Ügyfelek'!K138="")+('Ügyfelek'!M138="")+('Ügyfelek'!P138="")+('Ügyfelek'!O138=""))</f>
        <v/>
      </c>
      <c r="AD138">
        <f>IF($A138="","",B138+'Beállítások'!$E$6/1000)</f>
        <v/>
      </c>
      <c r="AE138">
        <f>IF($A138="","",C138+'Beállítások'!$E$7/1000)</f>
        <v/>
      </c>
      <c r="AF138">
        <f>IF($A138="","",D138+'Beállítások'!$E$8/1000)</f>
        <v/>
      </c>
      <c r="AG138">
        <f>IF($A138="","",E138+'Beállítások'!$E$9/1000)</f>
        <v/>
      </c>
      <c r="AH138">
        <f>IF($A138="","",F138+'Beállítások'!$E$10/1000)</f>
        <v/>
      </c>
      <c r="AI138">
        <f>IF($A138="","",G138+'Beállítások'!$E$11/1000)</f>
        <v/>
      </c>
      <c r="AJ138">
        <f>IF($A138="","",H138+'Beállítások'!$E$12/1000)</f>
        <v/>
      </c>
      <c r="AK138">
        <f>IF($A138="","",I138+'Beállítások'!$E$13/1000)</f>
        <v/>
      </c>
      <c r="AL138">
        <f>IF($A138="","",J138+'Beállítások'!$E$14/1000)</f>
        <v/>
      </c>
      <c r="AM138">
        <f>IF($A138="","",K138+'Beállítások'!$E$15/1000)</f>
        <v/>
      </c>
      <c r="AN138">
        <f>IF($A138="","",L138+'Beállítások'!$E$16/1000)</f>
        <v/>
      </c>
      <c r="AO138">
        <f>IF($A138="","",'Beállítások'!$E$6*(5-B138))</f>
        <v/>
      </c>
      <c r="AP138">
        <f>IF($A138="","",'Beállítások'!$E$7*(5-C138))</f>
        <v/>
      </c>
      <c r="AQ138">
        <f>IF($A138="","",'Beállítások'!$E$8*(5-D138))</f>
        <v/>
      </c>
      <c r="AR138">
        <f>IF($A138="","",'Beállítások'!$E$9*(5-E138))</f>
        <v/>
      </c>
      <c r="AS138">
        <f>IF($A138="","",'Beállítások'!$E$10*(5-F138))</f>
        <v/>
      </c>
      <c r="AT138">
        <f>IF($A138="","",'Beállítások'!$E$11*(5-G138))</f>
        <v/>
      </c>
      <c r="AU138">
        <f>IF($A138="","",'Beállítások'!$E$12*(5-H138))</f>
        <v/>
      </c>
      <c r="AV138">
        <f>IF($A138="","",'Beállítások'!$E$13*(5-I138))</f>
        <v/>
      </c>
      <c r="AW138">
        <f>IF($A138="","",'Beállítások'!$E$14*(5-J138))</f>
        <v/>
      </c>
      <c r="AX138">
        <f>IF($A138="","",'Beállítások'!$E$15*(5-K138))</f>
        <v/>
      </c>
      <c r="AY138">
        <f>IF($A138="","",'Beállítások'!$E$16*(5-L138))</f>
        <v/>
      </c>
      <c r="AZ138">
        <f>IF($A138="","",M138-ROW()/100000)</f>
        <v/>
      </c>
    </row>
    <row r="139">
      <c r="A139">
        <f>IF('Ügyfelek'!A139="","",'Ügyfelek'!A139)</f>
        <v/>
      </c>
      <c r="B139">
        <f>IF($A139="","",IF('Ügyfelek'!B139="",'Beállítások'!$B$45,IFERROR(VLOOKUP(TRIM('Ügyfelek'!B139),'Beállítások'!$A$22:$B$41,2,FALSE),'Beállítások'!$B$45)))</f>
        <v/>
      </c>
      <c r="C139">
        <f>IF($A139="","",IF('Ügyfelek'!C139="",'Beállítások'!$B$45,VLOOKUP(MAX('Ügyfelek'!C139,'Beállítások'!$H$7),'Beállítások'!$H$7:$I$11,2,TRUE)))</f>
        <v/>
      </c>
      <c r="D139">
        <f>IF($A139="","",IF('Ügyfelek'!D139="",'Beállítások'!$B$45,VLOOKUP(MAX('Ügyfelek'!D139,'Beállítások'!$K$7),'Beállítások'!$K$7:$L$11,2,TRUE)))</f>
        <v/>
      </c>
      <c r="E139">
        <f>IF($A139="","",IF('Ügyfelek'!L139="",'Beállítások'!$B$45,MIN(5,MAX(1,ROUND('Ügyfelek'!L139,0)))))</f>
        <v/>
      </c>
      <c r="F139">
        <f>IF($A139="","",IF('Ügyfelek'!I139="",'Beállítások'!$B$45,VLOOKUP(MAX('Ügyfelek'!I139,'Beállítások'!$N$7),'Beállítások'!$N$7:$O$11,2,TRUE)))</f>
        <v/>
      </c>
      <c r="G139">
        <f>IF($A139="","",IF('Ügyfelek'!N139="",'Beállítások'!$B$45,MIN(5,MAX(1,ROUND('Ügyfelek'!N139,0)))))</f>
        <v/>
      </c>
      <c r="H139">
        <f>IF($A139="","",IF('Ügyfelek'!J139="",'Beállítások'!$B$45,VLOOKUP(MAX('Ügyfelek'!J139,'Beállítások'!$Q$7),'Beállítások'!$Q$7:$R$11,2,TRUE)))</f>
        <v/>
      </c>
      <c r="I139">
        <f>IF($A139="","",IF('Ügyfelek'!K139="",'Beállítások'!$B$45,VLOOKUP(MAX('Ügyfelek'!K139,'Beállítások'!$T$7),'Beállítások'!$T$7:$U$11,2,TRUE)))</f>
        <v/>
      </c>
      <c r="J139">
        <f>IF($A139="","",IF('Ügyfelek'!M139="",'Beállítások'!$B$45,MIN(5,MAX(1,ROUND('Ügyfelek'!M139,0)))))</f>
        <v/>
      </c>
      <c r="K139">
        <f>IF($A139="","",IF('Ügyfelek'!P139="",'Beállítások'!$B$45,MIN(5,MAX(1,ROUND('Ügyfelek'!P139,0)))))</f>
        <v/>
      </c>
      <c r="L139">
        <f>IF($A139="","",IF('Ügyfelek'!O139="",'Beállítások'!$B$45,MIN(5,MAX(1,ROUND('Ügyfelek'!O139,0)))))</f>
        <v/>
      </c>
      <c r="M139" s="13">
        <f>IF($A139="","",ROUND('Beállítások'!$E$6*(B139-1)/4+'Beállítások'!$E$7*(C139-1)/4+'Beállítások'!$E$8*(D139-1)/4+'Beállítások'!$E$9*(E139-1)/4+'Beállítások'!$E$10*(F139-1)/4+'Beállítások'!$E$11*(G139-1)/4+'Beállítások'!$E$12*(H139-1)/4+'Beállítások'!$E$13*(I139-1)/4+'Beállítások'!$E$14*(J139-1)/4+'Beállítások'!$E$15*(K139-1)/4+'Beállítások'!$E$16*(L139-1)/4,1))</f>
        <v/>
      </c>
      <c r="N139" s="14">
        <f>IF($A139="","",RANK(M139,$M$2:$M$201))</f>
        <v/>
      </c>
      <c r="O139">
        <f>IF($A139="","",VLOOKUP(M139,'Beállítások'!$A$57:$E$60,2,TRUE))</f>
        <v/>
      </c>
      <c r="P139">
        <f>IF($A139="","",VLOOKUP(M139,'Beállítások'!$A$57:$E$60,3,TRUE))</f>
        <v/>
      </c>
      <c r="Q139">
        <f>IF($A139="","",INDEX('Beállítások'!$B$6:$B$16,MATCH(MAX(AD139:AN139),AD139:AN139,0)))</f>
        <v/>
      </c>
      <c r="R139">
        <f>IF($A139="","",IF(MAX(AO139:AY139)=0,"—",INDEX('Beállítások'!$B$6:$B$16,MATCH(MAX(AO139:AY139),AO139:AY139,0))))</f>
        <v/>
      </c>
      <c r="S139" s="5">
        <f>IF($A139="","",'Beállítások'!$B$47*(TRIM('Ügyfelek'!E139)="igen")+'Beállítások'!$B$48*(TRIM('Ügyfelek'!F139)="igen")+'Beállítások'!$B$49*N('Ügyfelek'!G139)+'Beállítások'!$B$46*N('Ügyfelek'!H139))</f>
        <v/>
      </c>
      <c r="T139" s="15">
        <f>IF($A139="","",VLOOKUP(M139,'Beállítások'!$A$57:$E$60,4,TRUE))</f>
        <v/>
      </c>
      <c r="U139" s="5">
        <f>IF($A139="","",N('Ügyfelek'!D139)*'Beállítások'!$B$51)</f>
        <v/>
      </c>
      <c r="V139" s="5">
        <f>IF($A139="","",CEILING(ROUND(MAX('Beállítások'!$B$50,S139*T139,U139),2),'Beállítások'!$B$52))</f>
        <v/>
      </c>
      <c r="W139">
        <f>IF($A139="","",IF(MAX('Beállítások'!$B$50,S139*T139,U139)=S139*T139,"Munkaigény × szintszorzó",IF(MAX('Beállítások'!$B$50,S139*T139,U139)=U139,"Hirdetési keret arányában","Minimumdíj")))</f>
        <v/>
      </c>
      <c r="X139" s="5">
        <f>IF(OR($A139="",'Ügyfelek'!Q139=""),"",'Ügyfelek'!Q139)</f>
        <v/>
      </c>
      <c r="Y139" s="5">
        <f>IF(X139="","",V139-X139)</f>
        <v/>
      </c>
      <c r="Z139" s="16">
        <f>IF(OR(X139="",X139=0),"",Y139/X139)</f>
        <v/>
      </c>
      <c r="AA139" s="5">
        <f>IF(OR($A139="",'Ügyfelek'!R139=""),"",'Ügyfelek'!R139*VLOOKUP(M139,'Beállítások'!$A$57:$E$60,5,TRUE))</f>
        <v/>
      </c>
      <c r="AB139" s="14">
        <f>IF($A139="","",('Ügyfelek'!B139="")+('Ügyfelek'!C139="")+('Ügyfelek'!D139="")+('Ügyfelek'!L139="")+('Ügyfelek'!I139="")+('Ügyfelek'!N139="")+('Ügyfelek'!J139="")+('Ügyfelek'!K139="")+('Ügyfelek'!M139="")+('Ügyfelek'!P139="")+('Ügyfelek'!O139=""))</f>
        <v/>
      </c>
      <c r="AD139">
        <f>IF($A139="","",B139+'Beállítások'!$E$6/1000)</f>
        <v/>
      </c>
      <c r="AE139">
        <f>IF($A139="","",C139+'Beállítások'!$E$7/1000)</f>
        <v/>
      </c>
      <c r="AF139">
        <f>IF($A139="","",D139+'Beállítások'!$E$8/1000)</f>
        <v/>
      </c>
      <c r="AG139">
        <f>IF($A139="","",E139+'Beállítások'!$E$9/1000)</f>
        <v/>
      </c>
      <c r="AH139">
        <f>IF($A139="","",F139+'Beállítások'!$E$10/1000)</f>
        <v/>
      </c>
      <c r="AI139">
        <f>IF($A139="","",G139+'Beállítások'!$E$11/1000)</f>
        <v/>
      </c>
      <c r="AJ139">
        <f>IF($A139="","",H139+'Beállítások'!$E$12/1000)</f>
        <v/>
      </c>
      <c r="AK139">
        <f>IF($A139="","",I139+'Beállítások'!$E$13/1000)</f>
        <v/>
      </c>
      <c r="AL139">
        <f>IF($A139="","",J139+'Beállítások'!$E$14/1000)</f>
        <v/>
      </c>
      <c r="AM139">
        <f>IF($A139="","",K139+'Beállítások'!$E$15/1000)</f>
        <v/>
      </c>
      <c r="AN139">
        <f>IF($A139="","",L139+'Beállítások'!$E$16/1000)</f>
        <v/>
      </c>
      <c r="AO139">
        <f>IF($A139="","",'Beállítások'!$E$6*(5-B139))</f>
        <v/>
      </c>
      <c r="AP139">
        <f>IF($A139="","",'Beállítások'!$E$7*(5-C139))</f>
        <v/>
      </c>
      <c r="AQ139">
        <f>IF($A139="","",'Beállítások'!$E$8*(5-D139))</f>
        <v/>
      </c>
      <c r="AR139">
        <f>IF($A139="","",'Beállítások'!$E$9*(5-E139))</f>
        <v/>
      </c>
      <c r="AS139">
        <f>IF($A139="","",'Beállítások'!$E$10*(5-F139))</f>
        <v/>
      </c>
      <c r="AT139">
        <f>IF($A139="","",'Beállítások'!$E$11*(5-G139))</f>
        <v/>
      </c>
      <c r="AU139">
        <f>IF($A139="","",'Beállítások'!$E$12*(5-H139))</f>
        <v/>
      </c>
      <c r="AV139">
        <f>IF($A139="","",'Beállítások'!$E$13*(5-I139))</f>
        <v/>
      </c>
      <c r="AW139">
        <f>IF($A139="","",'Beállítások'!$E$14*(5-J139))</f>
        <v/>
      </c>
      <c r="AX139">
        <f>IF($A139="","",'Beállítások'!$E$15*(5-K139))</f>
        <v/>
      </c>
      <c r="AY139">
        <f>IF($A139="","",'Beállítások'!$E$16*(5-L139))</f>
        <v/>
      </c>
      <c r="AZ139">
        <f>IF($A139="","",M139-ROW()/100000)</f>
        <v/>
      </c>
    </row>
    <row r="140">
      <c r="A140">
        <f>IF('Ügyfelek'!A140="","",'Ügyfelek'!A140)</f>
        <v/>
      </c>
      <c r="B140">
        <f>IF($A140="","",IF('Ügyfelek'!B140="",'Beállítások'!$B$45,IFERROR(VLOOKUP(TRIM('Ügyfelek'!B140),'Beállítások'!$A$22:$B$41,2,FALSE),'Beállítások'!$B$45)))</f>
        <v/>
      </c>
      <c r="C140">
        <f>IF($A140="","",IF('Ügyfelek'!C140="",'Beállítások'!$B$45,VLOOKUP(MAX('Ügyfelek'!C140,'Beállítások'!$H$7),'Beállítások'!$H$7:$I$11,2,TRUE)))</f>
        <v/>
      </c>
      <c r="D140">
        <f>IF($A140="","",IF('Ügyfelek'!D140="",'Beállítások'!$B$45,VLOOKUP(MAX('Ügyfelek'!D140,'Beállítások'!$K$7),'Beállítások'!$K$7:$L$11,2,TRUE)))</f>
        <v/>
      </c>
      <c r="E140">
        <f>IF($A140="","",IF('Ügyfelek'!L140="",'Beállítások'!$B$45,MIN(5,MAX(1,ROUND('Ügyfelek'!L140,0)))))</f>
        <v/>
      </c>
      <c r="F140">
        <f>IF($A140="","",IF('Ügyfelek'!I140="",'Beállítások'!$B$45,VLOOKUP(MAX('Ügyfelek'!I140,'Beállítások'!$N$7),'Beállítások'!$N$7:$O$11,2,TRUE)))</f>
        <v/>
      </c>
      <c r="G140">
        <f>IF($A140="","",IF('Ügyfelek'!N140="",'Beállítások'!$B$45,MIN(5,MAX(1,ROUND('Ügyfelek'!N140,0)))))</f>
        <v/>
      </c>
      <c r="H140">
        <f>IF($A140="","",IF('Ügyfelek'!J140="",'Beállítások'!$B$45,VLOOKUP(MAX('Ügyfelek'!J140,'Beállítások'!$Q$7),'Beállítások'!$Q$7:$R$11,2,TRUE)))</f>
        <v/>
      </c>
      <c r="I140">
        <f>IF($A140="","",IF('Ügyfelek'!K140="",'Beállítások'!$B$45,VLOOKUP(MAX('Ügyfelek'!K140,'Beállítások'!$T$7),'Beállítások'!$T$7:$U$11,2,TRUE)))</f>
        <v/>
      </c>
      <c r="J140">
        <f>IF($A140="","",IF('Ügyfelek'!M140="",'Beállítások'!$B$45,MIN(5,MAX(1,ROUND('Ügyfelek'!M140,0)))))</f>
        <v/>
      </c>
      <c r="K140">
        <f>IF($A140="","",IF('Ügyfelek'!P140="",'Beállítások'!$B$45,MIN(5,MAX(1,ROUND('Ügyfelek'!P140,0)))))</f>
        <v/>
      </c>
      <c r="L140">
        <f>IF($A140="","",IF('Ügyfelek'!O140="",'Beállítások'!$B$45,MIN(5,MAX(1,ROUND('Ügyfelek'!O140,0)))))</f>
        <v/>
      </c>
      <c r="M140" s="13">
        <f>IF($A140="","",ROUND('Beállítások'!$E$6*(B140-1)/4+'Beállítások'!$E$7*(C140-1)/4+'Beállítások'!$E$8*(D140-1)/4+'Beállítások'!$E$9*(E140-1)/4+'Beállítások'!$E$10*(F140-1)/4+'Beállítások'!$E$11*(G140-1)/4+'Beállítások'!$E$12*(H140-1)/4+'Beállítások'!$E$13*(I140-1)/4+'Beállítások'!$E$14*(J140-1)/4+'Beállítások'!$E$15*(K140-1)/4+'Beállítások'!$E$16*(L140-1)/4,1))</f>
        <v/>
      </c>
      <c r="N140" s="14">
        <f>IF($A140="","",RANK(M140,$M$2:$M$201))</f>
        <v/>
      </c>
      <c r="O140">
        <f>IF($A140="","",VLOOKUP(M140,'Beállítások'!$A$57:$E$60,2,TRUE))</f>
        <v/>
      </c>
      <c r="P140">
        <f>IF($A140="","",VLOOKUP(M140,'Beállítások'!$A$57:$E$60,3,TRUE))</f>
        <v/>
      </c>
      <c r="Q140">
        <f>IF($A140="","",INDEX('Beállítások'!$B$6:$B$16,MATCH(MAX(AD140:AN140),AD140:AN140,0)))</f>
        <v/>
      </c>
      <c r="R140">
        <f>IF($A140="","",IF(MAX(AO140:AY140)=0,"—",INDEX('Beállítások'!$B$6:$B$16,MATCH(MAX(AO140:AY140),AO140:AY140,0))))</f>
        <v/>
      </c>
      <c r="S140" s="5">
        <f>IF($A140="","",'Beállítások'!$B$47*(TRIM('Ügyfelek'!E140)="igen")+'Beállítások'!$B$48*(TRIM('Ügyfelek'!F140)="igen")+'Beállítások'!$B$49*N('Ügyfelek'!G140)+'Beállítások'!$B$46*N('Ügyfelek'!H140))</f>
        <v/>
      </c>
      <c r="T140" s="15">
        <f>IF($A140="","",VLOOKUP(M140,'Beállítások'!$A$57:$E$60,4,TRUE))</f>
        <v/>
      </c>
      <c r="U140" s="5">
        <f>IF($A140="","",N('Ügyfelek'!D140)*'Beállítások'!$B$51)</f>
        <v/>
      </c>
      <c r="V140" s="5">
        <f>IF($A140="","",CEILING(ROUND(MAX('Beállítások'!$B$50,S140*T140,U140),2),'Beállítások'!$B$52))</f>
        <v/>
      </c>
      <c r="W140">
        <f>IF($A140="","",IF(MAX('Beállítások'!$B$50,S140*T140,U140)=S140*T140,"Munkaigény × szintszorzó",IF(MAX('Beállítások'!$B$50,S140*T140,U140)=U140,"Hirdetési keret arányában","Minimumdíj")))</f>
        <v/>
      </c>
      <c r="X140" s="5">
        <f>IF(OR($A140="",'Ügyfelek'!Q140=""),"",'Ügyfelek'!Q140)</f>
        <v/>
      </c>
      <c r="Y140" s="5">
        <f>IF(X140="","",V140-X140)</f>
        <v/>
      </c>
      <c r="Z140" s="16">
        <f>IF(OR(X140="",X140=0),"",Y140/X140)</f>
        <v/>
      </c>
      <c r="AA140" s="5">
        <f>IF(OR($A140="",'Ügyfelek'!R140=""),"",'Ügyfelek'!R140*VLOOKUP(M140,'Beállítások'!$A$57:$E$60,5,TRUE))</f>
        <v/>
      </c>
      <c r="AB140" s="14">
        <f>IF($A140="","",('Ügyfelek'!B140="")+('Ügyfelek'!C140="")+('Ügyfelek'!D140="")+('Ügyfelek'!L140="")+('Ügyfelek'!I140="")+('Ügyfelek'!N140="")+('Ügyfelek'!J140="")+('Ügyfelek'!K140="")+('Ügyfelek'!M140="")+('Ügyfelek'!P140="")+('Ügyfelek'!O140=""))</f>
        <v/>
      </c>
      <c r="AD140">
        <f>IF($A140="","",B140+'Beállítások'!$E$6/1000)</f>
        <v/>
      </c>
      <c r="AE140">
        <f>IF($A140="","",C140+'Beállítások'!$E$7/1000)</f>
        <v/>
      </c>
      <c r="AF140">
        <f>IF($A140="","",D140+'Beállítások'!$E$8/1000)</f>
        <v/>
      </c>
      <c r="AG140">
        <f>IF($A140="","",E140+'Beállítások'!$E$9/1000)</f>
        <v/>
      </c>
      <c r="AH140">
        <f>IF($A140="","",F140+'Beállítások'!$E$10/1000)</f>
        <v/>
      </c>
      <c r="AI140">
        <f>IF($A140="","",G140+'Beállítások'!$E$11/1000)</f>
        <v/>
      </c>
      <c r="AJ140">
        <f>IF($A140="","",H140+'Beállítások'!$E$12/1000)</f>
        <v/>
      </c>
      <c r="AK140">
        <f>IF($A140="","",I140+'Beállítások'!$E$13/1000)</f>
        <v/>
      </c>
      <c r="AL140">
        <f>IF($A140="","",J140+'Beállítások'!$E$14/1000)</f>
        <v/>
      </c>
      <c r="AM140">
        <f>IF($A140="","",K140+'Beállítások'!$E$15/1000)</f>
        <v/>
      </c>
      <c r="AN140">
        <f>IF($A140="","",L140+'Beállítások'!$E$16/1000)</f>
        <v/>
      </c>
      <c r="AO140">
        <f>IF($A140="","",'Beállítások'!$E$6*(5-B140))</f>
        <v/>
      </c>
      <c r="AP140">
        <f>IF($A140="","",'Beállítások'!$E$7*(5-C140))</f>
        <v/>
      </c>
      <c r="AQ140">
        <f>IF($A140="","",'Beállítások'!$E$8*(5-D140))</f>
        <v/>
      </c>
      <c r="AR140">
        <f>IF($A140="","",'Beállítások'!$E$9*(5-E140))</f>
        <v/>
      </c>
      <c r="AS140">
        <f>IF($A140="","",'Beállítások'!$E$10*(5-F140))</f>
        <v/>
      </c>
      <c r="AT140">
        <f>IF($A140="","",'Beállítások'!$E$11*(5-G140))</f>
        <v/>
      </c>
      <c r="AU140">
        <f>IF($A140="","",'Beállítások'!$E$12*(5-H140))</f>
        <v/>
      </c>
      <c r="AV140">
        <f>IF($A140="","",'Beállítások'!$E$13*(5-I140))</f>
        <v/>
      </c>
      <c r="AW140">
        <f>IF($A140="","",'Beállítások'!$E$14*(5-J140))</f>
        <v/>
      </c>
      <c r="AX140">
        <f>IF($A140="","",'Beállítások'!$E$15*(5-K140))</f>
        <v/>
      </c>
      <c r="AY140">
        <f>IF($A140="","",'Beállítások'!$E$16*(5-L140))</f>
        <v/>
      </c>
      <c r="AZ140">
        <f>IF($A140="","",M140-ROW()/100000)</f>
        <v/>
      </c>
    </row>
    <row r="141">
      <c r="A141">
        <f>IF('Ügyfelek'!A141="","",'Ügyfelek'!A141)</f>
        <v/>
      </c>
      <c r="B141">
        <f>IF($A141="","",IF('Ügyfelek'!B141="",'Beállítások'!$B$45,IFERROR(VLOOKUP(TRIM('Ügyfelek'!B141),'Beállítások'!$A$22:$B$41,2,FALSE),'Beállítások'!$B$45)))</f>
        <v/>
      </c>
      <c r="C141">
        <f>IF($A141="","",IF('Ügyfelek'!C141="",'Beállítások'!$B$45,VLOOKUP(MAX('Ügyfelek'!C141,'Beállítások'!$H$7),'Beállítások'!$H$7:$I$11,2,TRUE)))</f>
        <v/>
      </c>
      <c r="D141">
        <f>IF($A141="","",IF('Ügyfelek'!D141="",'Beállítások'!$B$45,VLOOKUP(MAX('Ügyfelek'!D141,'Beállítások'!$K$7),'Beállítások'!$K$7:$L$11,2,TRUE)))</f>
        <v/>
      </c>
      <c r="E141">
        <f>IF($A141="","",IF('Ügyfelek'!L141="",'Beállítások'!$B$45,MIN(5,MAX(1,ROUND('Ügyfelek'!L141,0)))))</f>
        <v/>
      </c>
      <c r="F141">
        <f>IF($A141="","",IF('Ügyfelek'!I141="",'Beállítások'!$B$45,VLOOKUP(MAX('Ügyfelek'!I141,'Beállítások'!$N$7),'Beállítások'!$N$7:$O$11,2,TRUE)))</f>
        <v/>
      </c>
      <c r="G141">
        <f>IF($A141="","",IF('Ügyfelek'!N141="",'Beállítások'!$B$45,MIN(5,MAX(1,ROUND('Ügyfelek'!N141,0)))))</f>
        <v/>
      </c>
      <c r="H141">
        <f>IF($A141="","",IF('Ügyfelek'!J141="",'Beállítások'!$B$45,VLOOKUP(MAX('Ügyfelek'!J141,'Beállítások'!$Q$7),'Beállítások'!$Q$7:$R$11,2,TRUE)))</f>
        <v/>
      </c>
      <c r="I141">
        <f>IF($A141="","",IF('Ügyfelek'!K141="",'Beállítások'!$B$45,VLOOKUP(MAX('Ügyfelek'!K141,'Beállítások'!$T$7),'Beállítások'!$T$7:$U$11,2,TRUE)))</f>
        <v/>
      </c>
      <c r="J141">
        <f>IF($A141="","",IF('Ügyfelek'!M141="",'Beállítások'!$B$45,MIN(5,MAX(1,ROUND('Ügyfelek'!M141,0)))))</f>
        <v/>
      </c>
      <c r="K141">
        <f>IF($A141="","",IF('Ügyfelek'!P141="",'Beállítások'!$B$45,MIN(5,MAX(1,ROUND('Ügyfelek'!P141,0)))))</f>
        <v/>
      </c>
      <c r="L141">
        <f>IF($A141="","",IF('Ügyfelek'!O141="",'Beállítások'!$B$45,MIN(5,MAX(1,ROUND('Ügyfelek'!O141,0)))))</f>
        <v/>
      </c>
      <c r="M141" s="13">
        <f>IF($A141="","",ROUND('Beállítások'!$E$6*(B141-1)/4+'Beállítások'!$E$7*(C141-1)/4+'Beállítások'!$E$8*(D141-1)/4+'Beállítások'!$E$9*(E141-1)/4+'Beállítások'!$E$10*(F141-1)/4+'Beállítások'!$E$11*(G141-1)/4+'Beállítások'!$E$12*(H141-1)/4+'Beállítások'!$E$13*(I141-1)/4+'Beállítások'!$E$14*(J141-1)/4+'Beállítások'!$E$15*(K141-1)/4+'Beállítások'!$E$16*(L141-1)/4,1))</f>
        <v/>
      </c>
      <c r="N141" s="14">
        <f>IF($A141="","",RANK(M141,$M$2:$M$201))</f>
        <v/>
      </c>
      <c r="O141">
        <f>IF($A141="","",VLOOKUP(M141,'Beállítások'!$A$57:$E$60,2,TRUE))</f>
        <v/>
      </c>
      <c r="P141">
        <f>IF($A141="","",VLOOKUP(M141,'Beállítások'!$A$57:$E$60,3,TRUE))</f>
        <v/>
      </c>
      <c r="Q141">
        <f>IF($A141="","",INDEX('Beállítások'!$B$6:$B$16,MATCH(MAX(AD141:AN141),AD141:AN141,0)))</f>
        <v/>
      </c>
      <c r="R141">
        <f>IF($A141="","",IF(MAX(AO141:AY141)=0,"—",INDEX('Beállítások'!$B$6:$B$16,MATCH(MAX(AO141:AY141),AO141:AY141,0))))</f>
        <v/>
      </c>
      <c r="S141" s="5">
        <f>IF($A141="","",'Beállítások'!$B$47*(TRIM('Ügyfelek'!E141)="igen")+'Beállítások'!$B$48*(TRIM('Ügyfelek'!F141)="igen")+'Beállítások'!$B$49*N('Ügyfelek'!G141)+'Beállítások'!$B$46*N('Ügyfelek'!H141))</f>
        <v/>
      </c>
      <c r="T141" s="15">
        <f>IF($A141="","",VLOOKUP(M141,'Beállítások'!$A$57:$E$60,4,TRUE))</f>
        <v/>
      </c>
      <c r="U141" s="5">
        <f>IF($A141="","",N('Ügyfelek'!D141)*'Beállítások'!$B$51)</f>
        <v/>
      </c>
      <c r="V141" s="5">
        <f>IF($A141="","",CEILING(ROUND(MAX('Beállítások'!$B$50,S141*T141,U141),2),'Beállítások'!$B$52))</f>
        <v/>
      </c>
      <c r="W141">
        <f>IF($A141="","",IF(MAX('Beállítások'!$B$50,S141*T141,U141)=S141*T141,"Munkaigény × szintszorzó",IF(MAX('Beállítások'!$B$50,S141*T141,U141)=U141,"Hirdetési keret arányában","Minimumdíj")))</f>
        <v/>
      </c>
      <c r="X141" s="5">
        <f>IF(OR($A141="",'Ügyfelek'!Q141=""),"",'Ügyfelek'!Q141)</f>
        <v/>
      </c>
      <c r="Y141" s="5">
        <f>IF(X141="","",V141-X141)</f>
        <v/>
      </c>
      <c r="Z141" s="16">
        <f>IF(OR(X141="",X141=0),"",Y141/X141)</f>
        <v/>
      </c>
      <c r="AA141" s="5">
        <f>IF(OR($A141="",'Ügyfelek'!R141=""),"",'Ügyfelek'!R141*VLOOKUP(M141,'Beállítások'!$A$57:$E$60,5,TRUE))</f>
        <v/>
      </c>
      <c r="AB141" s="14">
        <f>IF($A141="","",('Ügyfelek'!B141="")+('Ügyfelek'!C141="")+('Ügyfelek'!D141="")+('Ügyfelek'!L141="")+('Ügyfelek'!I141="")+('Ügyfelek'!N141="")+('Ügyfelek'!J141="")+('Ügyfelek'!K141="")+('Ügyfelek'!M141="")+('Ügyfelek'!P141="")+('Ügyfelek'!O141=""))</f>
        <v/>
      </c>
      <c r="AD141">
        <f>IF($A141="","",B141+'Beállítások'!$E$6/1000)</f>
        <v/>
      </c>
      <c r="AE141">
        <f>IF($A141="","",C141+'Beállítások'!$E$7/1000)</f>
        <v/>
      </c>
      <c r="AF141">
        <f>IF($A141="","",D141+'Beállítások'!$E$8/1000)</f>
        <v/>
      </c>
      <c r="AG141">
        <f>IF($A141="","",E141+'Beállítások'!$E$9/1000)</f>
        <v/>
      </c>
      <c r="AH141">
        <f>IF($A141="","",F141+'Beállítások'!$E$10/1000)</f>
        <v/>
      </c>
      <c r="AI141">
        <f>IF($A141="","",G141+'Beállítások'!$E$11/1000)</f>
        <v/>
      </c>
      <c r="AJ141">
        <f>IF($A141="","",H141+'Beállítások'!$E$12/1000)</f>
        <v/>
      </c>
      <c r="AK141">
        <f>IF($A141="","",I141+'Beállítások'!$E$13/1000)</f>
        <v/>
      </c>
      <c r="AL141">
        <f>IF($A141="","",J141+'Beállítások'!$E$14/1000)</f>
        <v/>
      </c>
      <c r="AM141">
        <f>IF($A141="","",K141+'Beállítások'!$E$15/1000)</f>
        <v/>
      </c>
      <c r="AN141">
        <f>IF($A141="","",L141+'Beállítások'!$E$16/1000)</f>
        <v/>
      </c>
      <c r="AO141">
        <f>IF($A141="","",'Beállítások'!$E$6*(5-B141))</f>
        <v/>
      </c>
      <c r="AP141">
        <f>IF($A141="","",'Beállítások'!$E$7*(5-C141))</f>
        <v/>
      </c>
      <c r="AQ141">
        <f>IF($A141="","",'Beállítások'!$E$8*(5-D141))</f>
        <v/>
      </c>
      <c r="AR141">
        <f>IF($A141="","",'Beállítások'!$E$9*(5-E141))</f>
        <v/>
      </c>
      <c r="AS141">
        <f>IF($A141="","",'Beállítások'!$E$10*(5-F141))</f>
        <v/>
      </c>
      <c r="AT141">
        <f>IF($A141="","",'Beállítások'!$E$11*(5-G141))</f>
        <v/>
      </c>
      <c r="AU141">
        <f>IF($A141="","",'Beállítások'!$E$12*(5-H141))</f>
        <v/>
      </c>
      <c r="AV141">
        <f>IF($A141="","",'Beállítások'!$E$13*(5-I141))</f>
        <v/>
      </c>
      <c r="AW141">
        <f>IF($A141="","",'Beállítások'!$E$14*(5-J141))</f>
        <v/>
      </c>
      <c r="AX141">
        <f>IF($A141="","",'Beállítások'!$E$15*(5-K141))</f>
        <v/>
      </c>
      <c r="AY141">
        <f>IF($A141="","",'Beállítások'!$E$16*(5-L141))</f>
        <v/>
      </c>
      <c r="AZ141">
        <f>IF($A141="","",M141-ROW()/100000)</f>
        <v/>
      </c>
    </row>
    <row r="142">
      <c r="A142">
        <f>IF('Ügyfelek'!A142="","",'Ügyfelek'!A142)</f>
        <v/>
      </c>
      <c r="B142">
        <f>IF($A142="","",IF('Ügyfelek'!B142="",'Beállítások'!$B$45,IFERROR(VLOOKUP(TRIM('Ügyfelek'!B142),'Beállítások'!$A$22:$B$41,2,FALSE),'Beállítások'!$B$45)))</f>
        <v/>
      </c>
      <c r="C142">
        <f>IF($A142="","",IF('Ügyfelek'!C142="",'Beállítások'!$B$45,VLOOKUP(MAX('Ügyfelek'!C142,'Beállítások'!$H$7),'Beállítások'!$H$7:$I$11,2,TRUE)))</f>
        <v/>
      </c>
      <c r="D142">
        <f>IF($A142="","",IF('Ügyfelek'!D142="",'Beállítások'!$B$45,VLOOKUP(MAX('Ügyfelek'!D142,'Beállítások'!$K$7),'Beállítások'!$K$7:$L$11,2,TRUE)))</f>
        <v/>
      </c>
      <c r="E142">
        <f>IF($A142="","",IF('Ügyfelek'!L142="",'Beállítások'!$B$45,MIN(5,MAX(1,ROUND('Ügyfelek'!L142,0)))))</f>
        <v/>
      </c>
      <c r="F142">
        <f>IF($A142="","",IF('Ügyfelek'!I142="",'Beállítások'!$B$45,VLOOKUP(MAX('Ügyfelek'!I142,'Beállítások'!$N$7),'Beállítások'!$N$7:$O$11,2,TRUE)))</f>
        <v/>
      </c>
      <c r="G142">
        <f>IF($A142="","",IF('Ügyfelek'!N142="",'Beállítások'!$B$45,MIN(5,MAX(1,ROUND('Ügyfelek'!N142,0)))))</f>
        <v/>
      </c>
      <c r="H142">
        <f>IF($A142="","",IF('Ügyfelek'!J142="",'Beállítások'!$B$45,VLOOKUP(MAX('Ügyfelek'!J142,'Beállítások'!$Q$7),'Beállítások'!$Q$7:$R$11,2,TRUE)))</f>
        <v/>
      </c>
      <c r="I142">
        <f>IF($A142="","",IF('Ügyfelek'!K142="",'Beállítások'!$B$45,VLOOKUP(MAX('Ügyfelek'!K142,'Beállítások'!$T$7),'Beállítások'!$T$7:$U$11,2,TRUE)))</f>
        <v/>
      </c>
      <c r="J142">
        <f>IF($A142="","",IF('Ügyfelek'!M142="",'Beállítások'!$B$45,MIN(5,MAX(1,ROUND('Ügyfelek'!M142,0)))))</f>
        <v/>
      </c>
      <c r="K142">
        <f>IF($A142="","",IF('Ügyfelek'!P142="",'Beállítások'!$B$45,MIN(5,MAX(1,ROUND('Ügyfelek'!P142,0)))))</f>
        <v/>
      </c>
      <c r="L142">
        <f>IF($A142="","",IF('Ügyfelek'!O142="",'Beállítások'!$B$45,MIN(5,MAX(1,ROUND('Ügyfelek'!O142,0)))))</f>
        <v/>
      </c>
      <c r="M142" s="13">
        <f>IF($A142="","",ROUND('Beállítások'!$E$6*(B142-1)/4+'Beállítások'!$E$7*(C142-1)/4+'Beállítások'!$E$8*(D142-1)/4+'Beállítások'!$E$9*(E142-1)/4+'Beállítások'!$E$10*(F142-1)/4+'Beállítások'!$E$11*(G142-1)/4+'Beállítások'!$E$12*(H142-1)/4+'Beállítások'!$E$13*(I142-1)/4+'Beállítások'!$E$14*(J142-1)/4+'Beállítások'!$E$15*(K142-1)/4+'Beállítások'!$E$16*(L142-1)/4,1))</f>
        <v/>
      </c>
      <c r="N142" s="14">
        <f>IF($A142="","",RANK(M142,$M$2:$M$201))</f>
        <v/>
      </c>
      <c r="O142">
        <f>IF($A142="","",VLOOKUP(M142,'Beállítások'!$A$57:$E$60,2,TRUE))</f>
        <v/>
      </c>
      <c r="P142">
        <f>IF($A142="","",VLOOKUP(M142,'Beállítások'!$A$57:$E$60,3,TRUE))</f>
        <v/>
      </c>
      <c r="Q142">
        <f>IF($A142="","",INDEX('Beállítások'!$B$6:$B$16,MATCH(MAX(AD142:AN142),AD142:AN142,0)))</f>
        <v/>
      </c>
      <c r="R142">
        <f>IF($A142="","",IF(MAX(AO142:AY142)=0,"—",INDEX('Beállítások'!$B$6:$B$16,MATCH(MAX(AO142:AY142),AO142:AY142,0))))</f>
        <v/>
      </c>
      <c r="S142" s="5">
        <f>IF($A142="","",'Beállítások'!$B$47*(TRIM('Ügyfelek'!E142)="igen")+'Beállítások'!$B$48*(TRIM('Ügyfelek'!F142)="igen")+'Beállítások'!$B$49*N('Ügyfelek'!G142)+'Beállítások'!$B$46*N('Ügyfelek'!H142))</f>
        <v/>
      </c>
      <c r="T142" s="15">
        <f>IF($A142="","",VLOOKUP(M142,'Beállítások'!$A$57:$E$60,4,TRUE))</f>
        <v/>
      </c>
      <c r="U142" s="5">
        <f>IF($A142="","",N('Ügyfelek'!D142)*'Beállítások'!$B$51)</f>
        <v/>
      </c>
      <c r="V142" s="5">
        <f>IF($A142="","",CEILING(ROUND(MAX('Beállítások'!$B$50,S142*T142,U142),2),'Beállítások'!$B$52))</f>
        <v/>
      </c>
      <c r="W142">
        <f>IF($A142="","",IF(MAX('Beállítások'!$B$50,S142*T142,U142)=S142*T142,"Munkaigény × szintszorzó",IF(MAX('Beállítások'!$B$50,S142*T142,U142)=U142,"Hirdetési keret arányában","Minimumdíj")))</f>
        <v/>
      </c>
      <c r="X142" s="5">
        <f>IF(OR($A142="",'Ügyfelek'!Q142=""),"",'Ügyfelek'!Q142)</f>
        <v/>
      </c>
      <c r="Y142" s="5">
        <f>IF(X142="","",V142-X142)</f>
        <v/>
      </c>
      <c r="Z142" s="16">
        <f>IF(OR(X142="",X142=0),"",Y142/X142)</f>
        <v/>
      </c>
      <c r="AA142" s="5">
        <f>IF(OR($A142="",'Ügyfelek'!R142=""),"",'Ügyfelek'!R142*VLOOKUP(M142,'Beállítások'!$A$57:$E$60,5,TRUE))</f>
        <v/>
      </c>
      <c r="AB142" s="14">
        <f>IF($A142="","",('Ügyfelek'!B142="")+('Ügyfelek'!C142="")+('Ügyfelek'!D142="")+('Ügyfelek'!L142="")+('Ügyfelek'!I142="")+('Ügyfelek'!N142="")+('Ügyfelek'!J142="")+('Ügyfelek'!K142="")+('Ügyfelek'!M142="")+('Ügyfelek'!P142="")+('Ügyfelek'!O142=""))</f>
        <v/>
      </c>
      <c r="AD142">
        <f>IF($A142="","",B142+'Beállítások'!$E$6/1000)</f>
        <v/>
      </c>
      <c r="AE142">
        <f>IF($A142="","",C142+'Beállítások'!$E$7/1000)</f>
        <v/>
      </c>
      <c r="AF142">
        <f>IF($A142="","",D142+'Beállítások'!$E$8/1000)</f>
        <v/>
      </c>
      <c r="AG142">
        <f>IF($A142="","",E142+'Beállítások'!$E$9/1000)</f>
        <v/>
      </c>
      <c r="AH142">
        <f>IF($A142="","",F142+'Beállítások'!$E$10/1000)</f>
        <v/>
      </c>
      <c r="AI142">
        <f>IF($A142="","",G142+'Beállítások'!$E$11/1000)</f>
        <v/>
      </c>
      <c r="AJ142">
        <f>IF($A142="","",H142+'Beállítások'!$E$12/1000)</f>
        <v/>
      </c>
      <c r="AK142">
        <f>IF($A142="","",I142+'Beállítások'!$E$13/1000)</f>
        <v/>
      </c>
      <c r="AL142">
        <f>IF($A142="","",J142+'Beállítások'!$E$14/1000)</f>
        <v/>
      </c>
      <c r="AM142">
        <f>IF($A142="","",K142+'Beállítások'!$E$15/1000)</f>
        <v/>
      </c>
      <c r="AN142">
        <f>IF($A142="","",L142+'Beállítások'!$E$16/1000)</f>
        <v/>
      </c>
      <c r="AO142">
        <f>IF($A142="","",'Beállítások'!$E$6*(5-B142))</f>
        <v/>
      </c>
      <c r="AP142">
        <f>IF($A142="","",'Beállítások'!$E$7*(5-C142))</f>
        <v/>
      </c>
      <c r="AQ142">
        <f>IF($A142="","",'Beállítások'!$E$8*(5-D142))</f>
        <v/>
      </c>
      <c r="AR142">
        <f>IF($A142="","",'Beállítások'!$E$9*(5-E142))</f>
        <v/>
      </c>
      <c r="AS142">
        <f>IF($A142="","",'Beállítások'!$E$10*(5-F142))</f>
        <v/>
      </c>
      <c r="AT142">
        <f>IF($A142="","",'Beállítások'!$E$11*(5-G142))</f>
        <v/>
      </c>
      <c r="AU142">
        <f>IF($A142="","",'Beállítások'!$E$12*(5-H142))</f>
        <v/>
      </c>
      <c r="AV142">
        <f>IF($A142="","",'Beállítások'!$E$13*(5-I142))</f>
        <v/>
      </c>
      <c r="AW142">
        <f>IF($A142="","",'Beállítások'!$E$14*(5-J142))</f>
        <v/>
      </c>
      <c r="AX142">
        <f>IF($A142="","",'Beállítások'!$E$15*(5-K142))</f>
        <v/>
      </c>
      <c r="AY142">
        <f>IF($A142="","",'Beállítások'!$E$16*(5-L142))</f>
        <v/>
      </c>
      <c r="AZ142">
        <f>IF($A142="","",M142-ROW()/100000)</f>
        <v/>
      </c>
    </row>
    <row r="143">
      <c r="A143">
        <f>IF('Ügyfelek'!A143="","",'Ügyfelek'!A143)</f>
        <v/>
      </c>
      <c r="B143">
        <f>IF($A143="","",IF('Ügyfelek'!B143="",'Beállítások'!$B$45,IFERROR(VLOOKUP(TRIM('Ügyfelek'!B143),'Beállítások'!$A$22:$B$41,2,FALSE),'Beállítások'!$B$45)))</f>
        <v/>
      </c>
      <c r="C143">
        <f>IF($A143="","",IF('Ügyfelek'!C143="",'Beállítások'!$B$45,VLOOKUP(MAX('Ügyfelek'!C143,'Beállítások'!$H$7),'Beállítások'!$H$7:$I$11,2,TRUE)))</f>
        <v/>
      </c>
      <c r="D143">
        <f>IF($A143="","",IF('Ügyfelek'!D143="",'Beállítások'!$B$45,VLOOKUP(MAX('Ügyfelek'!D143,'Beállítások'!$K$7),'Beállítások'!$K$7:$L$11,2,TRUE)))</f>
        <v/>
      </c>
      <c r="E143">
        <f>IF($A143="","",IF('Ügyfelek'!L143="",'Beállítások'!$B$45,MIN(5,MAX(1,ROUND('Ügyfelek'!L143,0)))))</f>
        <v/>
      </c>
      <c r="F143">
        <f>IF($A143="","",IF('Ügyfelek'!I143="",'Beállítások'!$B$45,VLOOKUP(MAX('Ügyfelek'!I143,'Beállítások'!$N$7),'Beállítások'!$N$7:$O$11,2,TRUE)))</f>
        <v/>
      </c>
      <c r="G143">
        <f>IF($A143="","",IF('Ügyfelek'!N143="",'Beállítások'!$B$45,MIN(5,MAX(1,ROUND('Ügyfelek'!N143,0)))))</f>
        <v/>
      </c>
      <c r="H143">
        <f>IF($A143="","",IF('Ügyfelek'!J143="",'Beállítások'!$B$45,VLOOKUP(MAX('Ügyfelek'!J143,'Beállítások'!$Q$7),'Beállítások'!$Q$7:$R$11,2,TRUE)))</f>
        <v/>
      </c>
      <c r="I143">
        <f>IF($A143="","",IF('Ügyfelek'!K143="",'Beállítások'!$B$45,VLOOKUP(MAX('Ügyfelek'!K143,'Beállítások'!$T$7),'Beállítások'!$T$7:$U$11,2,TRUE)))</f>
        <v/>
      </c>
      <c r="J143">
        <f>IF($A143="","",IF('Ügyfelek'!M143="",'Beállítások'!$B$45,MIN(5,MAX(1,ROUND('Ügyfelek'!M143,0)))))</f>
        <v/>
      </c>
      <c r="K143">
        <f>IF($A143="","",IF('Ügyfelek'!P143="",'Beállítások'!$B$45,MIN(5,MAX(1,ROUND('Ügyfelek'!P143,0)))))</f>
        <v/>
      </c>
      <c r="L143">
        <f>IF($A143="","",IF('Ügyfelek'!O143="",'Beállítások'!$B$45,MIN(5,MAX(1,ROUND('Ügyfelek'!O143,0)))))</f>
        <v/>
      </c>
      <c r="M143" s="13">
        <f>IF($A143="","",ROUND('Beállítások'!$E$6*(B143-1)/4+'Beállítások'!$E$7*(C143-1)/4+'Beállítások'!$E$8*(D143-1)/4+'Beállítások'!$E$9*(E143-1)/4+'Beállítások'!$E$10*(F143-1)/4+'Beállítások'!$E$11*(G143-1)/4+'Beállítások'!$E$12*(H143-1)/4+'Beállítások'!$E$13*(I143-1)/4+'Beállítások'!$E$14*(J143-1)/4+'Beállítások'!$E$15*(K143-1)/4+'Beállítások'!$E$16*(L143-1)/4,1))</f>
        <v/>
      </c>
      <c r="N143" s="14">
        <f>IF($A143="","",RANK(M143,$M$2:$M$201))</f>
        <v/>
      </c>
      <c r="O143">
        <f>IF($A143="","",VLOOKUP(M143,'Beállítások'!$A$57:$E$60,2,TRUE))</f>
        <v/>
      </c>
      <c r="P143">
        <f>IF($A143="","",VLOOKUP(M143,'Beállítások'!$A$57:$E$60,3,TRUE))</f>
        <v/>
      </c>
      <c r="Q143">
        <f>IF($A143="","",INDEX('Beállítások'!$B$6:$B$16,MATCH(MAX(AD143:AN143),AD143:AN143,0)))</f>
        <v/>
      </c>
      <c r="R143">
        <f>IF($A143="","",IF(MAX(AO143:AY143)=0,"—",INDEX('Beállítások'!$B$6:$B$16,MATCH(MAX(AO143:AY143),AO143:AY143,0))))</f>
        <v/>
      </c>
      <c r="S143" s="5">
        <f>IF($A143="","",'Beállítások'!$B$47*(TRIM('Ügyfelek'!E143)="igen")+'Beállítások'!$B$48*(TRIM('Ügyfelek'!F143)="igen")+'Beállítások'!$B$49*N('Ügyfelek'!G143)+'Beállítások'!$B$46*N('Ügyfelek'!H143))</f>
        <v/>
      </c>
      <c r="T143" s="15">
        <f>IF($A143="","",VLOOKUP(M143,'Beállítások'!$A$57:$E$60,4,TRUE))</f>
        <v/>
      </c>
      <c r="U143" s="5">
        <f>IF($A143="","",N('Ügyfelek'!D143)*'Beállítások'!$B$51)</f>
        <v/>
      </c>
      <c r="V143" s="5">
        <f>IF($A143="","",CEILING(ROUND(MAX('Beállítások'!$B$50,S143*T143,U143),2),'Beállítások'!$B$52))</f>
        <v/>
      </c>
      <c r="W143">
        <f>IF($A143="","",IF(MAX('Beállítások'!$B$50,S143*T143,U143)=S143*T143,"Munkaigény × szintszorzó",IF(MAX('Beállítások'!$B$50,S143*T143,U143)=U143,"Hirdetési keret arányában","Minimumdíj")))</f>
        <v/>
      </c>
      <c r="X143" s="5">
        <f>IF(OR($A143="",'Ügyfelek'!Q143=""),"",'Ügyfelek'!Q143)</f>
        <v/>
      </c>
      <c r="Y143" s="5">
        <f>IF(X143="","",V143-X143)</f>
        <v/>
      </c>
      <c r="Z143" s="16">
        <f>IF(OR(X143="",X143=0),"",Y143/X143)</f>
        <v/>
      </c>
      <c r="AA143" s="5">
        <f>IF(OR($A143="",'Ügyfelek'!R143=""),"",'Ügyfelek'!R143*VLOOKUP(M143,'Beállítások'!$A$57:$E$60,5,TRUE))</f>
        <v/>
      </c>
      <c r="AB143" s="14">
        <f>IF($A143="","",('Ügyfelek'!B143="")+('Ügyfelek'!C143="")+('Ügyfelek'!D143="")+('Ügyfelek'!L143="")+('Ügyfelek'!I143="")+('Ügyfelek'!N143="")+('Ügyfelek'!J143="")+('Ügyfelek'!K143="")+('Ügyfelek'!M143="")+('Ügyfelek'!P143="")+('Ügyfelek'!O143=""))</f>
        <v/>
      </c>
      <c r="AD143">
        <f>IF($A143="","",B143+'Beállítások'!$E$6/1000)</f>
        <v/>
      </c>
      <c r="AE143">
        <f>IF($A143="","",C143+'Beállítások'!$E$7/1000)</f>
        <v/>
      </c>
      <c r="AF143">
        <f>IF($A143="","",D143+'Beállítások'!$E$8/1000)</f>
        <v/>
      </c>
      <c r="AG143">
        <f>IF($A143="","",E143+'Beállítások'!$E$9/1000)</f>
        <v/>
      </c>
      <c r="AH143">
        <f>IF($A143="","",F143+'Beállítások'!$E$10/1000)</f>
        <v/>
      </c>
      <c r="AI143">
        <f>IF($A143="","",G143+'Beállítások'!$E$11/1000)</f>
        <v/>
      </c>
      <c r="AJ143">
        <f>IF($A143="","",H143+'Beállítások'!$E$12/1000)</f>
        <v/>
      </c>
      <c r="AK143">
        <f>IF($A143="","",I143+'Beállítások'!$E$13/1000)</f>
        <v/>
      </c>
      <c r="AL143">
        <f>IF($A143="","",J143+'Beállítások'!$E$14/1000)</f>
        <v/>
      </c>
      <c r="AM143">
        <f>IF($A143="","",K143+'Beállítások'!$E$15/1000)</f>
        <v/>
      </c>
      <c r="AN143">
        <f>IF($A143="","",L143+'Beállítások'!$E$16/1000)</f>
        <v/>
      </c>
      <c r="AO143">
        <f>IF($A143="","",'Beállítások'!$E$6*(5-B143))</f>
        <v/>
      </c>
      <c r="AP143">
        <f>IF($A143="","",'Beállítások'!$E$7*(5-C143))</f>
        <v/>
      </c>
      <c r="AQ143">
        <f>IF($A143="","",'Beállítások'!$E$8*(5-D143))</f>
        <v/>
      </c>
      <c r="AR143">
        <f>IF($A143="","",'Beállítások'!$E$9*(5-E143))</f>
        <v/>
      </c>
      <c r="AS143">
        <f>IF($A143="","",'Beállítások'!$E$10*(5-F143))</f>
        <v/>
      </c>
      <c r="AT143">
        <f>IF($A143="","",'Beállítások'!$E$11*(5-G143))</f>
        <v/>
      </c>
      <c r="AU143">
        <f>IF($A143="","",'Beállítások'!$E$12*(5-H143))</f>
        <v/>
      </c>
      <c r="AV143">
        <f>IF($A143="","",'Beállítások'!$E$13*(5-I143))</f>
        <v/>
      </c>
      <c r="AW143">
        <f>IF($A143="","",'Beállítások'!$E$14*(5-J143))</f>
        <v/>
      </c>
      <c r="AX143">
        <f>IF($A143="","",'Beállítások'!$E$15*(5-K143))</f>
        <v/>
      </c>
      <c r="AY143">
        <f>IF($A143="","",'Beállítások'!$E$16*(5-L143))</f>
        <v/>
      </c>
      <c r="AZ143">
        <f>IF($A143="","",M143-ROW()/100000)</f>
        <v/>
      </c>
    </row>
    <row r="144">
      <c r="A144">
        <f>IF('Ügyfelek'!A144="","",'Ügyfelek'!A144)</f>
        <v/>
      </c>
      <c r="B144">
        <f>IF($A144="","",IF('Ügyfelek'!B144="",'Beállítások'!$B$45,IFERROR(VLOOKUP(TRIM('Ügyfelek'!B144),'Beállítások'!$A$22:$B$41,2,FALSE),'Beállítások'!$B$45)))</f>
        <v/>
      </c>
      <c r="C144">
        <f>IF($A144="","",IF('Ügyfelek'!C144="",'Beállítások'!$B$45,VLOOKUP(MAX('Ügyfelek'!C144,'Beállítások'!$H$7),'Beállítások'!$H$7:$I$11,2,TRUE)))</f>
        <v/>
      </c>
      <c r="D144">
        <f>IF($A144="","",IF('Ügyfelek'!D144="",'Beállítások'!$B$45,VLOOKUP(MAX('Ügyfelek'!D144,'Beállítások'!$K$7),'Beállítások'!$K$7:$L$11,2,TRUE)))</f>
        <v/>
      </c>
      <c r="E144">
        <f>IF($A144="","",IF('Ügyfelek'!L144="",'Beállítások'!$B$45,MIN(5,MAX(1,ROUND('Ügyfelek'!L144,0)))))</f>
        <v/>
      </c>
      <c r="F144">
        <f>IF($A144="","",IF('Ügyfelek'!I144="",'Beállítások'!$B$45,VLOOKUP(MAX('Ügyfelek'!I144,'Beállítások'!$N$7),'Beállítások'!$N$7:$O$11,2,TRUE)))</f>
        <v/>
      </c>
      <c r="G144">
        <f>IF($A144="","",IF('Ügyfelek'!N144="",'Beállítások'!$B$45,MIN(5,MAX(1,ROUND('Ügyfelek'!N144,0)))))</f>
        <v/>
      </c>
      <c r="H144">
        <f>IF($A144="","",IF('Ügyfelek'!J144="",'Beállítások'!$B$45,VLOOKUP(MAX('Ügyfelek'!J144,'Beállítások'!$Q$7),'Beállítások'!$Q$7:$R$11,2,TRUE)))</f>
        <v/>
      </c>
      <c r="I144">
        <f>IF($A144="","",IF('Ügyfelek'!K144="",'Beállítások'!$B$45,VLOOKUP(MAX('Ügyfelek'!K144,'Beállítások'!$T$7),'Beállítások'!$T$7:$U$11,2,TRUE)))</f>
        <v/>
      </c>
      <c r="J144">
        <f>IF($A144="","",IF('Ügyfelek'!M144="",'Beállítások'!$B$45,MIN(5,MAX(1,ROUND('Ügyfelek'!M144,0)))))</f>
        <v/>
      </c>
      <c r="K144">
        <f>IF($A144="","",IF('Ügyfelek'!P144="",'Beállítások'!$B$45,MIN(5,MAX(1,ROUND('Ügyfelek'!P144,0)))))</f>
        <v/>
      </c>
      <c r="L144">
        <f>IF($A144="","",IF('Ügyfelek'!O144="",'Beállítások'!$B$45,MIN(5,MAX(1,ROUND('Ügyfelek'!O144,0)))))</f>
        <v/>
      </c>
      <c r="M144" s="13">
        <f>IF($A144="","",ROUND('Beállítások'!$E$6*(B144-1)/4+'Beállítások'!$E$7*(C144-1)/4+'Beállítások'!$E$8*(D144-1)/4+'Beállítások'!$E$9*(E144-1)/4+'Beállítások'!$E$10*(F144-1)/4+'Beállítások'!$E$11*(G144-1)/4+'Beállítások'!$E$12*(H144-1)/4+'Beállítások'!$E$13*(I144-1)/4+'Beállítások'!$E$14*(J144-1)/4+'Beállítások'!$E$15*(K144-1)/4+'Beállítások'!$E$16*(L144-1)/4,1))</f>
        <v/>
      </c>
      <c r="N144" s="14">
        <f>IF($A144="","",RANK(M144,$M$2:$M$201))</f>
        <v/>
      </c>
      <c r="O144">
        <f>IF($A144="","",VLOOKUP(M144,'Beállítások'!$A$57:$E$60,2,TRUE))</f>
        <v/>
      </c>
      <c r="P144">
        <f>IF($A144="","",VLOOKUP(M144,'Beállítások'!$A$57:$E$60,3,TRUE))</f>
        <v/>
      </c>
      <c r="Q144">
        <f>IF($A144="","",INDEX('Beállítások'!$B$6:$B$16,MATCH(MAX(AD144:AN144),AD144:AN144,0)))</f>
        <v/>
      </c>
      <c r="R144">
        <f>IF($A144="","",IF(MAX(AO144:AY144)=0,"—",INDEX('Beállítások'!$B$6:$B$16,MATCH(MAX(AO144:AY144),AO144:AY144,0))))</f>
        <v/>
      </c>
      <c r="S144" s="5">
        <f>IF($A144="","",'Beállítások'!$B$47*(TRIM('Ügyfelek'!E144)="igen")+'Beállítások'!$B$48*(TRIM('Ügyfelek'!F144)="igen")+'Beállítások'!$B$49*N('Ügyfelek'!G144)+'Beállítások'!$B$46*N('Ügyfelek'!H144))</f>
        <v/>
      </c>
      <c r="T144" s="15">
        <f>IF($A144="","",VLOOKUP(M144,'Beállítások'!$A$57:$E$60,4,TRUE))</f>
        <v/>
      </c>
      <c r="U144" s="5">
        <f>IF($A144="","",N('Ügyfelek'!D144)*'Beállítások'!$B$51)</f>
        <v/>
      </c>
      <c r="V144" s="5">
        <f>IF($A144="","",CEILING(ROUND(MAX('Beállítások'!$B$50,S144*T144,U144),2),'Beállítások'!$B$52))</f>
        <v/>
      </c>
      <c r="W144">
        <f>IF($A144="","",IF(MAX('Beállítások'!$B$50,S144*T144,U144)=S144*T144,"Munkaigény × szintszorzó",IF(MAX('Beállítások'!$B$50,S144*T144,U144)=U144,"Hirdetési keret arányában","Minimumdíj")))</f>
        <v/>
      </c>
      <c r="X144" s="5">
        <f>IF(OR($A144="",'Ügyfelek'!Q144=""),"",'Ügyfelek'!Q144)</f>
        <v/>
      </c>
      <c r="Y144" s="5">
        <f>IF(X144="","",V144-X144)</f>
        <v/>
      </c>
      <c r="Z144" s="16">
        <f>IF(OR(X144="",X144=0),"",Y144/X144)</f>
        <v/>
      </c>
      <c r="AA144" s="5">
        <f>IF(OR($A144="",'Ügyfelek'!R144=""),"",'Ügyfelek'!R144*VLOOKUP(M144,'Beállítások'!$A$57:$E$60,5,TRUE))</f>
        <v/>
      </c>
      <c r="AB144" s="14">
        <f>IF($A144="","",('Ügyfelek'!B144="")+('Ügyfelek'!C144="")+('Ügyfelek'!D144="")+('Ügyfelek'!L144="")+('Ügyfelek'!I144="")+('Ügyfelek'!N144="")+('Ügyfelek'!J144="")+('Ügyfelek'!K144="")+('Ügyfelek'!M144="")+('Ügyfelek'!P144="")+('Ügyfelek'!O144=""))</f>
        <v/>
      </c>
      <c r="AD144">
        <f>IF($A144="","",B144+'Beállítások'!$E$6/1000)</f>
        <v/>
      </c>
      <c r="AE144">
        <f>IF($A144="","",C144+'Beállítások'!$E$7/1000)</f>
        <v/>
      </c>
      <c r="AF144">
        <f>IF($A144="","",D144+'Beállítások'!$E$8/1000)</f>
        <v/>
      </c>
      <c r="AG144">
        <f>IF($A144="","",E144+'Beállítások'!$E$9/1000)</f>
        <v/>
      </c>
      <c r="AH144">
        <f>IF($A144="","",F144+'Beállítások'!$E$10/1000)</f>
        <v/>
      </c>
      <c r="AI144">
        <f>IF($A144="","",G144+'Beállítások'!$E$11/1000)</f>
        <v/>
      </c>
      <c r="AJ144">
        <f>IF($A144="","",H144+'Beállítások'!$E$12/1000)</f>
        <v/>
      </c>
      <c r="AK144">
        <f>IF($A144="","",I144+'Beállítások'!$E$13/1000)</f>
        <v/>
      </c>
      <c r="AL144">
        <f>IF($A144="","",J144+'Beállítások'!$E$14/1000)</f>
        <v/>
      </c>
      <c r="AM144">
        <f>IF($A144="","",K144+'Beállítások'!$E$15/1000)</f>
        <v/>
      </c>
      <c r="AN144">
        <f>IF($A144="","",L144+'Beállítások'!$E$16/1000)</f>
        <v/>
      </c>
      <c r="AO144">
        <f>IF($A144="","",'Beállítások'!$E$6*(5-B144))</f>
        <v/>
      </c>
      <c r="AP144">
        <f>IF($A144="","",'Beállítások'!$E$7*(5-C144))</f>
        <v/>
      </c>
      <c r="AQ144">
        <f>IF($A144="","",'Beállítások'!$E$8*(5-D144))</f>
        <v/>
      </c>
      <c r="AR144">
        <f>IF($A144="","",'Beállítások'!$E$9*(5-E144))</f>
        <v/>
      </c>
      <c r="AS144">
        <f>IF($A144="","",'Beállítások'!$E$10*(5-F144))</f>
        <v/>
      </c>
      <c r="AT144">
        <f>IF($A144="","",'Beállítások'!$E$11*(5-G144))</f>
        <v/>
      </c>
      <c r="AU144">
        <f>IF($A144="","",'Beállítások'!$E$12*(5-H144))</f>
        <v/>
      </c>
      <c r="AV144">
        <f>IF($A144="","",'Beállítások'!$E$13*(5-I144))</f>
        <v/>
      </c>
      <c r="AW144">
        <f>IF($A144="","",'Beállítások'!$E$14*(5-J144))</f>
        <v/>
      </c>
      <c r="AX144">
        <f>IF($A144="","",'Beállítások'!$E$15*(5-K144))</f>
        <v/>
      </c>
      <c r="AY144">
        <f>IF($A144="","",'Beállítások'!$E$16*(5-L144))</f>
        <v/>
      </c>
      <c r="AZ144">
        <f>IF($A144="","",M144-ROW()/100000)</f>
        <v/>
      </c>
    </row>
    <row r="145">
      <c r="A145">
        <f>IF('Ügyfelek'!A145="","",'Ügyfelek'!A145)</f>
        <v/>
      </c>
      <c r="B145">
        <f>IF($A145="","",IF('Ügyfelek'!B145="",'Beállítások'!$B$45,IFERROR(VLOOKUP(TRIM('Ügyfelek'!B145),'Beállítások'!$A$22:$B$41,2,FALSE),'Beállítások'!$B$45)))</f>
        <v/>
      </c>
      <c r="C145">
        <f>IF($A145="","",IF('Ügyfelek'!C145="",'Beállítások'!$B$45,VLOOKUP(MAX('Ügyfelek'!C145,'Beállítások'!$H$7),'Beállítások'!$H$7:$I$11,2,TRUE)))</f>
        <v/>
      </c>
      <c r="D145">
        <f>IF($A145="","",IF('Ügyfelek'!D145="",'Beállítások'!$B$45,VLOOKUP(MAX('Ügyfelek'!D145,'Beállítások'!$K$7),'Beállítások'!$K$7:$L$11,2,TRUE)))</f>
        <v/>
      </c>
      <c r="E145">
        <f>IF($A145="","",IF('Ügyfelek'!L145="",'Beállítások'!$B$45,MIN(5,MAX(1,ROUND('Ügyfelek'!L145,0)))))</f>
        <v/>
      </c>
      <c r="F145">
        <f>IF($A145="","",IF('Ügyfelek'!I145="",'Beállítások'!$B$45,VLOOKUP(MAX('Ügyfelek'!I145,'Beállítások'!$N$7),'Beállítások'!$N$7:$O$11,2,TRUE)))</f>
        <v/>
      </c>
      <c r="G145">
        <f>IF($A145="","",IF('Ügyfelek'!N145="",'Beállítások'!$B$45,MIN(5,MAX(1,ROUND('Ügyfelek'!N145,0)))))</f>
        <v/>
      </c>
      <c r="H145">
        <f>IF($A145="","",IF('Ügyfelek'!J145="",'Beállítások'!$B$45,VLOOKUP(MAX('Ügyfelek'!J145,'Beállítások'!$Q$7),'Beállítások'!$Q$7:$R$11,2,TRUE)))</f>
        <v/>
      </c>
      <c r="I145">
        <f>IF($A145="","",IF('Ügyfelek'!K145="",'Beállítások'!$B$45,VLOOKUP(MAX('Ügyfelek'!K145,'Beállítások'!$T$7),'Beállítások'!$T$7:$U$11,2,TRUE)))</f>
        <v/>
      </c>
      <c r="J145">
        <f>IF($A145="","",IF('Ügyfelek'!M145="",'Beállítások'!$B$45,MIN(5,MAX(1,ROUND('Ügyfelek'!M145,0)))))</f>
        <v/>
      </c>
      <c r="K145">
        <f>IF($A145="","",IF('Ügyfelek'!P145="",'Beállítások'!$B$45,MIN(5,MAX(1,ROUND('Ügyfelek'!P145,0)))))</f>
        <v/>
      </c>
      <c r="L145">
        <f>IF($A145="","",IF('Ügyfelek'!O145="",'Beállítások'!$B$45,MIN(5,MAX(1,ROUND('Ügyfelek'!O145,0)))))</f>
        <v/>
      </c>
      <c r="M145" s="13">
        <f>IF($A145="","",ROUND('Beállítások'!$E$6*(B145-1)/4+'Beállítások'!$E$7*(C145-1)/4+'Beállítások'!$E$8*(D145-1)/4+'Beállítások'!$E$9*(E145-1)/4+'Beállítások'!$E$10*(F145-1)/4+'Beállítások'!$E$11*(G145-1)/4+'Beállítások'!$E$12*(H145-1)/4+'Beállítások'!$E$13*(I145-1)/4+'Beállítások'!$E$14*(J145-1)/4+'Beállítások'!$E$15*(K145-1)/4+'Beállítások'!$E$16*(L145-1)/4,1))</f>
        <v/>
      </c>
      <c r="N145" s="14">
        <f>IF($A145="","",RANK(M145,$M$2:$M$201))</f>
        <v/>
      </c>
      <c r="O145">
        <f>IF($A145="","",VLOOKUP(M145,'Beállítások'!$A$57:$E$60,2,TRUE))</f>
        <v/>
      </c>
      <c r="P145">
        <f>IF($A145="","",VLOOKUP(M145,'Beállítások'!$A$57:$E$60,3,TRUE))</f>
        <v/>
      </c>
      <c r="Q145">
        <f>IF($A145="","",INDEX('Beállítások'!$B$6:$B$16,MATCH(MAX(AD145:AN145),AD145:AN145,0)))</f>
        <v/>
      </c>
      <c r="R145">
        <f>IF($A145="","",IF(MAX(AO145:AY145)=0,"—",INDEX('Beállítások'!$B$6:$B$16,MATCH(MAX(AO145:AY145),AO145:AY145,0))))</f>
        <v/>
      </c>
      <c r="S145" s="5">
        <f>IF($A145="","",'Beállítások'!$B$47*(TRIM('Ügyfelek'!E145)="igen")+'Beállítások'!$B$48*(TRIM('Ügyfelek'!F145)="igen")+'Beállítások'!$B$49*N('Ügyfelek'!G145)+'Beállítások'!$B$46*N('Ügyfelek'!H145))</f>
        <v/>
      </c>
      <c r="T145" s="15">
        <f>IF($A145="","",VLOOKUP(M145,'Beállítások'!$A$57:$E$60,4,TRUE))</f>
        <v/>
      </c>
      <c r="U145" s="5">
        <f>IF($A145="","",N('Ügyfelek'!D145)*'Beállítások'!$B$51)</f>
        <v/>
      </c>
      <c r="V145" s="5">
        <f>IF($A145="","",CEILING(ROUND(MAX('Beállítások'!$B$50,S145*T145,U145),2),'Beállítások'!$B$52))</f>
        <v/>
      </c>
      <c r="W145">
        <f>IF($A145="","",IF(MAX('Beállítások'!$B$50,S145*T145,U145)=S145*T145,"Munkaigény × szintszorzó",IF(MAX('Beállítások'!$B$50,S145*T145,U145)=U145,"Hirdetési keret arányában","Minimumdíj")))</f>
        <v/>
      </c>
      <c r="X145" s="5">
        <f>IF(OR($A145="",'Ügyfelek'!Q145=""),"",'Ügyfelek'!Q145)</f>
        <v/>
      </c>
      <c r="Y145" s="5">
        <f>IF(X145="","",V145-X145)</f>
        <v/>
      </c>
      <c r="Z145" s="16">
        <f>IF(OR(X145="",X145=0),"",Y145/X145)</f>
        <v/>
      </c>
      <c r="AA145" s="5">
        <f>IF(OR($A145="",'Ügyfelek'!R145=""),"",'Ügyfelek'!R145*VLOOKUP(M145,'Beállítások'!$A$57:$E$60,5,TRUE))</f>
        <v/>
      </c>
      <c r="AB145" s="14">
        <f>IF($A145="","",('Ügyfelek'!B145="")+('Ügyfelek'!C145="")+('Ügyfelek'!D145="")+('Ügyfelek'!L145="")+('Ügyfelek'!I145="")+('Ügyfelek'!N145="")+('Ügyfelek'!J145="")+('Ügyfelek'!K145="")+('Ügyfelek'!M145="")+('Ügyfelek'!P145="")+('Ügyfelek'!O145=""))</f>
        <v/>
      </c>
      <c r="AD145">
        <f>IF($A145="","",B145+'Beállítások'!$E$6/1000)</f>
        <v/>
      </c>
      <c r="AE145">
        <f>IF($A145="","",C145+'Beállítások'!$E$7/1000)</f>
        <v/>
      </c>
      <c r="AF145">
        <f>IF($A145="","",D145+'Beállítások'!$E$8/1000)</f>
        <v/>
      </c>
      <c r="AG145">
        <f>IF($A145="","",E145+'Beállítások'!$E$9/1000)</f>
        <v/>
      </c>
      <c r="AH145">
        <f>IF($A145="","",F145+'Beállítások'!$E$10/1000)</f>
        <v/>
      </c>
      <c r="AI145">
        <f>IF($A145="","",G145+'Beállítások'!$E$11/1000)</f>
        <v/>
      </c>
      <c r="AJ145">
        <f>IF($A145="","",H145+'Beállítások'!$E$12/1000)</f>
        <v/>
      </c>
      <c r="AK145">
        <f>IF($A145="","",I145+'Beállítások'!$E$13/1000)</f>
        <v/>
      </c>
      <c r="AL145">
        <f>IF($A145="","",J145+'Beállítások'!$E$14/1000)</f>
        <v/>
      </c>
      <c r="AM145">
        <f>IF($A145="","",K145+'Beállítások'!$E$15/1000)</f>
        <v/>
      </c>
      <c r="AN145">
        <f>IF($A145="","",L145+'Beállítások'!$E$16/1000)</f>
        <v/>
      </c>
      <c r="AO145">
        <f>IF($A145="","",'Beállítások'!$E$6*(5-B145))</f>
        <v/>
      </c>
      <c r="AP145">
        <f>IF($A145="","",'Beállítások'!$E$7*(5-C145))</f>
        <v/>
      </c>
      <c r="AQ145">
        <f>IF($A145="","",'Beállítások'!$E$8*(5-D145))</f>
        <v/>
      </c>
      <c r="AR145">
        <f>IF($A145="","",'Beállítások'!$E$9*(5-E145))</f>
        <v/>
      </c>
      <c r="AS145">
        <f>IF($A145="","",'Beállítások'!$E$10*(5-F145))</f>
        <v/>
      </c>
      <c r="AT145">
        <f>IF($A145="","",'Beállítások'!$E$11*(5-G145))</f>
        <v/>
      </c>
      <c r="AU145">
        <f>IF($A145="","",'Beállítások'!$E$12*(5-H145))</f>
        <v/>
      </c>
      <c r="AV145">
        <f>IF($A145="","",'Beállítások'!$E$13*(5-I145))</f>
        <v/>
      </c>
      <c r="AW145">
        <f>IF($A145="","",'Beállítások'!$E$14*(5-J145))</f>
        <v/>
      </c>
      <c r="AX145">
        <f>IF($A145="","",'Beállítások'!$E$15*(5-K145))</f>
        <v/>
      </c>
      <c r="AY145">
        <f>IF($A145="","",'Beállítások'!$E$16*(5-L145))</f>
        <v/>
      </c>
      <c r="AZ145">
        <f>IF($A145="","",M145-ROW()/100000)</f>
        <v/>
      </c>
    </row>
    <row r="146">
      <c r="A146">
        <f>IF('Ügyfelek'!A146="","",'Ügyfelek'!A146)</f>
        <v/>
      </c>
      <c r="B146">
        <f>IF($A146="","",IF('Ügyfelek'!B146="",'Beállítások'!$B$45,IFERROR(VLOOKUP(TRIM('Ügyfelek'!B146),'Beállítások'!$A$22:$B$41,2,FALSE),'Beállítások'!$B$45)))</f>
        <v/>
      </c>
      <c r="C146">
        <f>IF($A146="","",IF('Ügyfelek'!C146="",'Beállítások'!$B$45,VLOOKUP(MAX('Ügyfelek'!C146,'Beállítások'!$H$7),'Beállítások'!$H$7:$I$11,2,TRUE)))</f>
        <v/>
      </c>
      <c r="D146">
        <f>IF($A146="","",IF('Ügyfelek'!D146="",'Beállítások'!$B$45,VLOOKUP(MAX('Ügyfelek'!D146,'Beállítások'!$K$7),'Beállítások'!$K$7:$L$11,2,TRUE)))</f>
        <v/>
      </c>
      <c r="E146">
        <f>IF($A146="","",IF('Ügyfelek'!L146="",'Beállítások'!$B$45,MIN(5,MAX(1,ROUND('Ügyfelek'!L146,0)))))</f>
        <v/>
      </c>
      <c r="F146">
        <f>IF($A146="","",IF('Ügyfelek'!I146="",'Beállítások'!$B$45,VLOOKUP(MAX('Ügyfelek'!I146,'Beállítások'!$N$7),'Beállítások'!$N$7:$O$11,2,TRUE)))</f>
        <v/>
      </c>
      <c r="G146">
        <f>IF($A146="","",IF('Ügyfelek'!N146="",'Beállítások'!$B$45,MIN(5,MAX(1,ROUND('Ügyfelek'!N146,0)))))</f>
        <v/>
      </c>
      <c r="H146">
        <f>IF($A146="","",IF('Ügyfelek'!J146="",'Beállítások'!$B$45,VLOOKUP(MAX('Ügyfelek'!J146,'Beállítások'!$Q$7),'Beállítások'!$Q$7:$R$11,2,TRUE)))</f>
        <v/>
      </c>
      <c r="I146">
        <f>IF($A146="","",IF('Ügyfelek'!K146="",'Beállítások'!$B$45,VLOOKUP(MAX('Ügyfelek'!K146,'Beállítások'!$T$7),'Beállítások'!$T$7:$U$11,2,TRUE)))</f>
        <v/>
      </c>
      <c r="J146">
        <f>IF($A146="","",IF('Ügyfelek'!M146="",'Beállítások'!$B$45,MIN(5,MAX(1,ROUND('Ügyfelek'!M146,0)))))</f>
        <v/>
      </c>
      <c r="K146">
        <f>IF($A146="","",IF('Ügyfelek'!P146="",'Beállítások'!$B$45,MIN(5,MAX(1,ROUND('Ügyfelek'!P146,0)))))</f>
        <v/>
      </c>
      <c r="L146">
        <f>IF($A146="","",IF('Ügyfelek'!O146="",'Beállítások'!$B$45,MIN(5,MAX(1,ROUND('Ügyfelek'!O146,0)))))</f>
        <v/>
      </c>
      <c r="M146" s="13">
        <f>IF($A146="","",ROUND('Beállítások'!$E$6*(B146-1)/4+'Beállítások'!$E$7*(C146-1)/4+'Beállítások'!$E$8*(D146-1)/4+'Beállítások'!$E$9*(E146-1)/4+'Beállítások'!$E$10*(F146-1)/4+'Beállítások'!$E$11*(G146-1)/4+'Beállítások'!$E$12*(H146-1)/4+'Beállítások'!$E$13*(I146-1)/4+'Beállítások'!$E$14*(J146-1)/4+'Beállítások'!$E$15*(K146-1)/4+'Beállítások'!$E$16*(L146-1)/4,1))</f>
        <v/>
      </c>
      <c r="N146" s="14">
        <f>IF($A146="","",RANK(M146,$M$2:$M$201))</f>
        <v/>
      </c>
      <c r="O146">
        <f>IF($A146="","",VLOOKUP(M146,'Beállítások'!$A$57:$E$60,2,TRUE))</f>
        <v/>
      </c>
      <c r="P146">
        <f>IF($A146="","",VLOOKUP(M146,'Beállítások'!$A$57:$E$60,3,TRUE))</f>
        <v/>
      </c>
      <c r="Q146">
        <f>IF($A146="","",INDEX('Beállítások'!$B$6:$B$16,MATCH(MAX(AD146:AN146),AD146:AN146,0)))</f>
        <v/>
      </c>
      <c r="R146">
        <f>IF($A146="","",IF(MAX(AO146:AY146)=0,"—",INDEX('Beállítások'!$B$6:$B$16,MATCH(MAX(AO146:AY146),AO146:AY146,0))))</f>
        <v/>
      </c>
      <c r="S146" s="5">
        <f>IF($A146="","",'Beállítások'!$B$47*(TRIM('Ügyfelek'!E146)="igen")+'Beállítások'!$B$48*(TRIM('Ügyfelek'!F146)="igen")+'Beállítások'!$B$49*N('Ügyfelek'!G146)+'Beállítások'!$B$46*N('Ügyfelek'!H146))</f>
        <v/>
      </c>
      <c r="T146" s="15">
        <f>IF($A146="","",VLOOKUP(M146,'Beállítások'!$A$57:$E$60,4,TRUE))</f>
        <v/>
      </c>
      <c r="U146" s="5">
        <f>IF($A146="","",N('Ügyfelek'!D146)*'Beállítások'!$B$51)</f>
        <v/>
      </c>
      <c r="V146" s="5">
        <f>IF($A146="","",CEILING(ROUND(MAX('Beállítások'!$B$50,S146*T146,U146),2),'Beállítások'!$B$52))</f>
        <v/>
      </c>
      <c r="W146">
        <f>IF($A146="","",IF(MAX('Beállítások'!$B$50,S146*T146,U146)=S146*T146,"Munkaigény × szintszorzó",IF(MAX('Beállítások'!$B$50,S146*T146,U146)=U146,"Hirdetési keret arányában","Minimumdíj")))</f>
        <v/>
      </c>
      <c r="X146" s="5">
        <f>IF(OR($A146="",'Ügyfelek'!Q146=""),"",'Ügyfelek'!Q146)</f>
        <v/>
      </c>
      <c r="Y146" s="5">
        <f>IF(X146="","",V146-X146)</f>
        <v/>
      </c>
      <c r="Z146" s="16">
        <f>IF(OR(X146="",X146=0),"",Y146/X146)</f>
        <v/>
      </c>
      <c r="AA146" s="5">
        <f>IF(OR($A146="",'Ügyfelek'!R146=""),"",'Ügyfelek'!R146*VLOOKUP(M146,'Beállítások'!$A$57:$E$60,5,TRUE))</f>
        <v/>
      </c>
      <c r="AB146" s="14">
        <f>IF($A146="","",('Ügyfelek'!B146="")+('Ügyfelek'!C146="")+('Ügyfelek'!D146="")+('Ügyfelek'!L146="")+('Ügyfelek'!I146="")+('Ügyfelek'!N146="")+('Ügyfelek'!J146="")+('Ügyfelek'!K146="")+('Ügyfelek'!M146="")+('Ügyfelek'!P146="")+('Ügyfelek'!O146=""))</f>
        <v/>
      </c>
      <c r="AD146">
        <f>IF($A146="","",B146+'Beállítások'!$E$6/1000)</f>
        <v/>
      </c>
      <c r="AE146">
        <f>IF($A146="","",C146+'Beállítások'!$E$7/1000)</f>
        <v/>
      </c>
      <c r="AF146">
        <f>IF($A146="","",D146+'Beállítások'!$E$8/1000)</f>
        <v/>
      </c>
      <c r="AG146">
        <f>IF($A146="","",E146+'Beállítások'!$E$9/1000)</f>
        <v/>
      </c>
      <c r="AH146">
        <f>IF($A146="","",F146+'Beállítások'!$E$10/1000)</f>
        <v/>
      </c>
      <c r="AI146">
        <f>IF($A146="","",G146+'Beállítások'!$E$11/1000)</f>
        <v/>
      </c>
      <c r="AJ146">
        <f>IF($A146="","",H146+'Beállítások'!$E$12/1000)</f>
        <v/>
      </c>
      <c r="AK146">
        <f>IF($A146="","",I146+'Beállítások'!$E$13/1000)</f>
        <v/>
      </c>
      <c r="AL146">
        <f>IF($A146="","",J146+'Beállítások'!$E$14/1000)</f>
        <v/>
      </c>
      <c r="AM146">
        <f>IF($A146="","",K146+'Beállítások'!$E$15/1000)</f>
        <v/>
      </c>
      <c r="AN146">
        <f>IF($A146="","",L146+'Beállítások'!$E$16/1000)</f>
        <v/>
      </c>
      <c r="AO146">
        <f>IF($A146="","",'Beállítások'!$E$6*(5-B146))</f>
        <v/>
      </c>
      <c r="AP146">
        <f>IF($A146="","",'Beállítások'!$E$7*(5-C146))</f>
        <v/>
      </c>
      <c r="AQ146">
        <f>IF($A146="","",'Beállítások'!$E$8*(5-D146))</f>
        <v/>
      </c>
      <c r="AR146">
        <f>IF($A146="","",'Beállítások'!$E$9*(5-E146))</f>
        <v/>
      </c>
      <c r="AS146">
        <f>IF($A146="","",'Beállítások'!$E$10*(5-F146))</f>
        <v/>
      </c>
      <c r="AT146">
        <f>IF($A146="","",'Beállítások'!$E$11*(5-G146))</f>
        <v/>
      </c>
      <c r="AU146">
        <f>IF($A146="","",'Beállítások'!$E$12*(5-H146))</f>
        <v/>
      </c>
      <c r="AV146">
        <f>IF($A146="","",'Beállítások'!$E$13*(5-I146))</f>
        <v/>
      </c>
      <c r="AW146">
        <f>IF($A146="","",'Beállítások'!$E$14*(5-J146))</f>
        <v/>
      </c>
      <c r="AX146">
        <f>IF($A146="","",'Beállítások'!$E$15*(5-K146))</f>
        <v/>
      </c>
      <c r="AY146">
        <f>IF($A146="","",'Beállítások'!$E$16*(5-L146))</f>
        <v/>
      </c>
      <c r="AZ146">
        <f>IF($A146="","",M146-ROW()/100000)</f>
        <v/>
      </c>
    </row>
    <row r="147">
      <c r="A147">
        <f>IF('Ügyfelek'!A147="","",'Ügyfelek'!A147)</f>
        <v/>
      </c>
      <c r="B147">
        <f>IF($A147="","",IF('Ügyfelek'!B147="",'Beállítások'!$B$45,IFERROR(VLOOKUP(TRIM('Ügyfelek'!B147),'Beállítások'!$A$22:$B$41,2,FALSE),'Beállítások'!$B$45)))</f>
        <v/>
      </c>
      <c r="C147">
        <f>IF($A147="","",IF('Ügyfelek'!C147="",'Beállítások'!$B$45,VLOOKUP(MAX('Ügyfelek'!C147,'Beállítások'!$H$7),'Beállítások'!$H$7:$I$11,2,TRUE)))</f>
        <v/>
      </c>
      <c r="D147">
        <f>IF($A147="","",IF('Ügyfelek'!D147="",'Beállítások'!$B$45,VLOOKUP(MAX('Ügyfelek'!D147,'Beállítások'!$K$7),'Beállítások'!$K$7:$L$11,2,TRUE)))</f>
        <v/>
      </c>
      <c r="E147">
        <f>IF($A147="","",IF('Ügyfelek'!L147="",'Beállítások'!$B$45,MIN(5,MAX(1,ROUND('Ügyfelek'!L147,0)))))</f>
        <v/>
      </c>
      <c r="F147">
        <f>IF($A147="","",IF('Ügyfelek'!I147="",'Beállítások'!$B$45,VLOOKUP(MAX('Ügyfelek'!I147,'Beállítások'!$N$7),'Beállítások'!$N$7:$O$11,2,TRUE)))</f>
        <v/>
      </c>
      <c r="G147">
        <f>IF($A147="","",IF('Ügyfelek'!N147="",'Beállítások'!$B$45,MIN(5,MAX(1,ROUND('Ügyfelek'!N147,0)))))</f>
        <v/>
      </c>
      <c r="H147">
        <f>IF($A147="","",IF('Ügyfelek'!J147="",'Beállítások'!$B$45,VLOOKUP(MAX('Ügyfelek'!J147,'Beállítások'!$Q$7),'Beállítások'!$Q$7:$R$11,2,TRUE)))</f>
        <v/>
      </c>
      <c r="I147">
        <f>IF($A147="","",IF('Ügyfelek'!K147="",'Beállítások'!$B$45,VLOOKUP(MAX('Ügyfelek'!K147,'Beállítások'!$T$7),'Beállítások'!$T$7:$U$11,2,TRUE)))</f>
        <v/>
      </c>
      <c r="J147">
        <f>IF($A147="","",IF('Ügyfelek'!M147="",'Beállítások'!$B$45,MIN(5,MAX(1,ROUND('Ügyfelek'!M147,0)))))</f>
        <v/>
      </c>
      <c r="K147">
        <f>IF($A147="","",IF('Ügyfelek'!P147="",'Beállítások'!$B$45,MIN(5,MAX(1,ROUND('Ügyfelek'!P147,0)))))</f>
        <v/>
      </c>
      <c r="L147">
        <f>IF($A147="","",IF('Ügyfelek'!O147="",'Beállítások'!$B$45,MIN(5,MAX(1,ROUND('Ügyfelek'!O147,0)))))</f>
        <v/>
      </c>
      <c r="M147" s="13">
        <f>IF($A147="","",ROUND('Beállítások'!$E$6*(B147-1)/4+'Beállítások'!$E$7*(C147-1)/4+'Beállítások'!$E$8*(D147-1)/4+'Beállítások'!$E$9*(E147-1)/4+'Beállítások'!$E$10*(F147-1)/4+'Beállítások'!$E$11*(G147-1)/4+'Beállítások'!$E$12*(H147-1)/4+'Beállítások'!$E$13*(I147-1)/4+'Beállítások'!$E$14*(J147-1)/4+'Beállítások'!$E$15*(K147-1)/4+'Beállítások'!$E$16*(L147-1)/4,1))</f>
        <v/>
      </c>
      <c r="N147" s="14">
        <f>IF($A147="","",RANK(M147,$M$2:$M$201))</f>
        <v/>
      </c>
      <c r="O147">
        <f>IF($A147="","",VLOOKUP(M147,'Beállítások'!$A$57:$E$60,2,TRUE))</f>
        <v/>
      </c>
      <c r="P147">
        <f>IF($A147="","",VLOOKUP(M147,'Beállítások'!$A$57:$E$60,3,TRUE))</f>
        <v/>
      </c>
      <c r="Q147">
        <f>IF($A147="","",INDEX('Beállítások'!$B$6:$B$16,MATCH(MAX(AD147:AN147),AD147:AN147,0)))</f>
        <v/>
      </c>
      <c r="R147">
        <f>IF($A147="","",IF(MAX(AO147:AY147)=0,"—",INDEX('Beállítások'!$B$6:$B$16,MATCH(MAX(AO147:AY147),AO147:AY147,0))))</f>
        <v/>
      </c>
      <c r="S147" s="5">
        <f>IF($A147="","",'Beállítások'!$B$47*(TRIM('Ügyfelek'!E147)="igen")+'Beállítások'!$B$48*(TRIM('Ügyfelek'!F147)="igen")+'Beállítások'!$B$49*N('Ügyfelek'!G147)+'Beállítások'!$B$46*N('Ügyfelek'!H147))</f>
        <v/>
      </c>
      <c r="T147" s="15">
        <f>IF($A147="","",VLOOKUP(M147,'Beállítások'!$A$57:$E$60,4,TRUE))</f>
        <v/>
      </c>
      <c r="U147" s="5">
        <f>IF($A147="","",N('Ügyfelek'!D147)*'Beállítások'!$B$51)</f>
        <v/>
      </c>
      <c r="V147" s="5">
        <f>IF($A147="","",CEILING(ROUND(MAX('Beállítások'!$B$50,S147*T147,U147),2),'Beállítások'!$B$52))</f>
        <v/>
      </c>
      <c r="W147">
        <f>IF($A147="","",IF(MAX('Beállítások'!$B$50,S147*T147,U147)=S147*T147,"Munkaigény × szintszorzó",IF(MAX('Beállítások'!$B$50,S147*T147,U147)=U147,"Hirdetési keret arányában","Minimumdíj")))</f>
        <v/>
      </c>
      <c r="X147" s="5">
        <f>IF(OR($A147="",'Ügyfelek'!Q147=""),"",'Ügyfelek'!Q147)</f>
        <v/>
      </c>
      <c r="Y147" s="5">
        <f>IF(X147="","",V147-X147)</f>
        <v/>
      </c>
      <c r="Z147" s="16">
        <f>IF(OR(X147="",X147=0),"",Y147/X147)</f>
        <v/>
      </c>
      <c r="AA147" s="5">
        <f>IF(OR($A147="",'Ügyfelek'!R147=""),"",'Ügyfelek'!R147*VLOOKUP(M147,'Beállítások'!$A$57:$E$60,5,TRUE))</f>
        <v/>
      </c>
      <c r="AB147" s="14">
        <f>IF($A147="","",('Ügyfelek'!B147="")+('Ügyfelek'!C147="")+('Ügyfelek'!D147="")+('Ügyfelek'!L147="")+('Ügyfelek'!I147="")+('Ügyfelek'!N147="")+('Ügyfelek'!J147="")+('Ügyfelek'!K147="")+('Ügyfelek'!M147="")+('Ügyfelek'!P147="")+('Ügyfelek'!O147=""))</f>
        <v/>
      </c>
      <c r="AD147">
        <f>IF($A147="","",B147+'Beállítások'!$E$6/1000)</f>
        <v/>
      </c>
      <c r="AE147">
        <f>IF($A147="","",C147+'Beállítások'!$E$7/1000)</f>
        <v/>
      </c>
      <c r="AF147">
        <f>IF($A147="","",D147+'Beállítások'!$E$8/1000)</f>
        <v/>
      </c>
      <c r="AG147">
        <f>IF($A147="","",E147+'Beállítások'!$E$9/1000)</f>
        <v/>
      </c>
      <c r="AH147">
        <f>IF($A147="","",F147+'Beállítások'!$E$10/1000)</f>
        <v/>
      </c>
      <c r="AI147">
        <f>IF($A147="","",G147+'Beállítások'!$E$11/1000)</f>
        <v/>
      </c>
      <c r="AJ147">
        <f>IF($A147="","",H147+'Beállítások'!$E$12/1000)</f>
        <v/>
      </c>
      <c r="AK147">
        <f>IF($A147="","",I147+'Beállítások'!$E$13/1000)</f>
        <v/>
      </c>
      <c r="AL147">
        <f>IF($A147="","",J147+'Beállítások'!$E$14/1000)</f>
        <v/>
      </c>
      <c r="AM147">
        <f>IF($A147="","",K147+'Beállítások'!$E$15/1000)</f>
        <v/>
      </c>
      <c r="AN147">
        <f>IF($A147="","",L147+'Beállítások'!$E$16/1000)</f>
        <v/>
      </c>
      <c r="AO147">
        <f>IF($A147="","",'Beállítások'!$E$6*(5-B147))</f>
        <v/>
      </c>
      <c r="AP147">
        <f>IF($A147="","",'Beállítások'!$E$7*(5-C147))</f>
        <v/>
      </c>
      <c r="AQ147">
        <f>IF($A147="","",'Beállítások'!$E$8*(5-D147))</f>
        <v/>
      </c>
      <c r="AR147">
        <f>IF($A147="","",'Beállítások'!$E$9*(5-E147))</f>
        <v/>
      </c>
      <c r="AS147">
        <f>IF($A147="","",'Beállítások'!$E$10*(5-F147))</f>
        <v/>
      </c>
      <c r="AT147">
        <f>IF($A147="","",'Beállítások'!$E$11*(5-G147))</f>
        <v/>
      </c>
      <c r="AU147">
        <f>IF($A147="","",'Beállítások'!$E$12*(5-H147))</f>
        <v/>
      </c>
      <c r="AV147">
        <f>IF($A147="","",'Beállítások'!$E$13*(5-I147))</f>
        <v/>
      </c>
      <c r="AW147">
        <f>IF($A147="","",'Beállítások'!$E$14*(5-J147))</f>
        <v/>
      </c>
      <c r="AX147">
        <f>IF($A147="","",'Beállítások'!$E$15*(5-K147))</f>
        <v/>
      </c>
      <c r="AY147">
        <f>IF($A147="","",'Beállítások'!$E$16*(5-L147))</f>
        <v/>
      </c>
      <c r="AZ147">
        <f>IF($A147="","",M147-ROW()/100000)</f>
        <v/>
      </c>
    </row>
    <row r="148">
      <c r="A148">
        <f>IF('Ügyfelek'!A148="","",'Ügyfelek'!A148)</f>
        <v/>
      </c>
      <c r="B148">
        <f>IF($A148="","",IF('Ügyfelek'!B148="",'Beállítások'!$B$45,IFERROR(VLOOKUP(TRIM('Ügyfelek'!B148),'Beállítások'!$A$22:$B$41,2,FALSE),'Beállítások'!$B$45)))</f>
        <v/>
      </c>
      <c r="C148">
        <f>IF($A148="","",IF('Ügyfelek'!C148="",'Beállítások'!$B$45,VLOOKUP(MAX('Ügyfelek'!C148,'Beállítások'!$H$7),'Beállítások'!$H$7:$I$11,2,TRUE)))</f>
        <v/>
      </c>
      <c r="D148">
        <f>IF($A148="","",IF('Ügyfelek'!D148="",'Beállítások'!$B$45,VLOOKUP(MAX('Ügyfelek'!D148,'Beállítások'!$K$7),'Beállítások'!$K$7:$L$11,2,TRUE)))</f>
        <v/>
      </c>
      <c r="E148">
        <f>IF($A148="","",IF('Ügyfelek'!L148="",'Beállítások'!$B$45,MIN(5,MAX(1,ROUND('Ügyfelek'!L148,0)))))</f>
        <v/>
      </c>
      <c r="F148">
        <f>IF($A148="","",IF('Ügyfelek'!I148="",'Beállítások'!$B$45,VLOOKUP(MAX('Ügyfelek'!I148,'Beállítások'!$N$7),'Beállítások'!$N$7:$O$11,2,TRUE)))</f>
        <v/>
      </c>
      <c r="G148">
        <f>IF($A148="","",IF('Ügyfelek'!N148="",'Beállítások'!$B$45,MIN(5,MAX(1,ROUND('Ügyfelek'!N148,0)))))</f>
        <v/>
      </c>
      <c r="H148">
        <f>IF($A148="","",IF('Ügyfelek'!J148="",'Beállítások'!$B$45,VLOOKUP(MAX('Ügyfelek'!J148,'Beállítások'!$Q$7),'Beállítások'!$Q$7:$R$11,2,TRUE)))</f>
        <v/>
      </c>
      <c r="I148">
        <f>IF($A148="","",IF('Ügyfelek'!K148="",'Beállítások'!$B$45,VLOOKUP(MAX('Ügyfelek'!K148,'Beállítások'!$T$7),'Beállítások'!$T$7:$U$11,2,TRUE)))</f>
        <v/>
      </c>
      <c r="J148">
        <f>IF($A148="","",IF('Ügyfelek'!M148="",'Beállítások'!$B$45,MIN(5,MAX(1,ROUND('Ügyfelek'!M148,0)))))</f>
        <v/>
      </c>
      <c r="K148">
        <f>IF($A148="","",IF('Ügyfelek'!P148="",'Beállítások'!$B$45,MIN(5,MAX(1,ROUND('Ügyfelek'!P148,0)))))</f>
        <v/>
      </c>
      <c r="L148">
        <f>IF($A148="","",IF('Ügyfelek'!O148="",'Beállítások'!$B$45,MIN(5,MAX(1,ROUND('Ügyfelek'!O148,0)))))</f>
        <v/>
      </c>
      <c r="M148" s="13">
        <f>IF($A148="","",ROUND('Beállítások'!$E$6*(B148-1)/4+'Beállítások'!$E$7*(C148-1)/4+'Beállítások'!$E$8*(D148-1)/4+'Beállítások'!$E$9*(E148-1)/4+'Beállítások'!$E$10*(F148-1)/4+'Beállítások'!$E$11*(G148-1)/4+'Beállítások'!$E$12*(H148-1)/4+'Beállítások'!$E$13*(I148-1)/4+'Beállítások'!$E$14*(J148-1)/4+'Beállítások'!$E$15*(K148-1)/4+'Beállítások'!$E$16*(L148-1)/4,1))</f>
        <v/>
      </c>
      <c r="N148" s="14">
        <f>IF($A148="","",RANK(M148,$M$2:$M$201))</f>
        <v/>
      </c>
      <c r="O148">
        <f>IF($A148="","",VLOOKUP(M148,'Beállítások'!$A$57:$E$60,2,TRUE))</f>
        <v/>
      </c>
      <c r="P148">
        <f>IF($A148="","",VLOOKUP(M148,'Beállítások'!$A$57:$E$60,3,TRUE))</f>
        <v/>
      </c>
      <c r="Q148">
        <f>IF($A148="","",INDEX('Beállítások'!$B$6:$B$16,MATCH(MAX(AD148:AN148),AD148:AN148,0)))</f>
        <v/>
      </c>
      <c r="R148">
        <f>IF($A148="","",IF(MAX(AO148:AY148)=0,"—",INDEX('Beállítások'!$B$6:$B$16,MATCH(MAX(AO148:AY148),AO148:AY148,0))))</f>
        <v/>
      </c>
      <c r="S148" s="5">
        <f>IF($A148="","",'Beállítások'!$B$47*(TRIM('Ügyfelek'!E148)="igen")+'Beállítások'!$B$48*(TRIM('Ügyfelek'!F148)="igen")+'Beállítások'!$B$49*N('Ügyfelek'!G148)+'Beállítások'!$B$46*N('Ügyfelek'!H148))</f>
        <v/>
      </c>
      <c r="T148" s="15">
        <f>IF($A148="","",VLOOKUP(M148,'Beállítások'!$A$57:$E$60,4,TRUE))</f>
        <v/>
      </c>
      <c r="U148" s="5">
        <f>IF($A148="","",N('Ügyfelek'!D148)*'Beállítások'!$B$51)</f>
        <v/>
      </c>
      <c r="V148" s="5">
        <f>IF($A148="","",CEILING(ROUND(MAX('Beállítások'!$B$50,S148*T148,U148),2),'Beállítások'!$B$52))</f>
        <v/>
      </c>
      <c r="W148">
        <f>IF($A148="","",IF(MAX('Beállítások'!$B$50,S148*T148,U148)=S148*T148,"Munkaigény × szintszorzó",IF(MAX('Beállítások'!$B$50,S148*T148,U148)=U148,"Hirdetési keret arányában","Minimumdíj")))</f>
        <v/>
      </c>
      <c r="X148" s="5">
        <f>IF(OR($A148="",'Ügyfelek'!Q148=""),"",'Ügyfelek'!Q148)</f>
        <v/>
      </c>
      <c r="Y148" s="5">
        <f>IF(X148="","",V148-X148)</f>
        <v/>
      </c>
      <c r="Z148" s="16">
        <f>IF(OR(X148="",X148=0),"",Y148/X148)</f>
        <v/>
      </c>
      <c r="AA148" s="5">
        <f>IF(OR($A148="",'Ügyfelek'!R148=""),"",'Ügyfelek'!R148*VLOOKUP(M148,'Beállítások'!$A$57:$E$60,5,TRUE))</f>
        <v/>
      </c>
      <c r="AB148" s="14">
        <f>IF($A148="","",('Ügyfelek'!B148="")+('Ügyfelek'!C148="")+('Ügyfelek'!D148="")+('Ügyfelek'!L148="")+('Ügyfelek'!I148="")+('Ügyfelek'!N148="")+('Ügyfelek'!J148="")+('Ügyfelek'!K148="")+('Ügyfelek'!M148="")+('Ügyfelek'!P148="")+('Ügyfelek'!O148=""))</f>
        <v/>
      </c>
      <c r="AD148">
        <f>IF($A148="","",B148+'Beállítások'!$E$6/1000)</f>
        <v/>
      </c>
      <c r="AE148">
        <f>IF($A148="","",C148+'Beállítások'!$E$7/1000)</f>
        <v/>
      </c>
      <c r="AF148">
        <f>IF($A148="","",D148+'Beállítások'!$E$8/1000)</f>
        <v/>
      </c>
      <c r="AG148">
        <f>IF($A148="","",E148+'Beállítások'!$E$9/1000)</f>
        <v/>
      </c>
      <c r="AH148">
        <f>IF($A148="","",F148+'Beállítások'!$E$10/1000)</f>
        <v/>
      </c>
      <c r="AI148">
        <f>IF($A148="","",G148+'Beállítások'!$E$11/1000)</f>
        <v/>
      </c>
      <c r="AJ148">
        <f>IF($A148="","",H148+'Beállítások'!$E$12/1000)</f>
        <v/>
      </c>
      <c r="AK148">
        <f>IF($A148="","",I148+'Beállítások'!$E$13/1000)</f>
        <v/>
      </c>
      <c r="AL148">
        <f>IF($A148="","",J148+'Beállítások'!$E$14/1000)</f>
        <v/>
      </c>
      <c r="AM148">
        <f>IF($A148="","",K148+'Beállítások'!$E$15/1000)</f>
        <v/>
      </c>
      <c r="AN148">
        <f>IF($A148="","",L148+'Beállítások'!$E$16/1000)</f>
        <v/>
      </c>
      <c r="AO148">
        <f>IF($A148="","",'Beállítások'!$E$6*(5-B148))</f>
        <v/>
      </c>
      <c r="AP148">
        <f>IF($A148="","",'Beállítások'!$E$7*(5-C148))</f>
        <v/>
      </c>
      <c r="AQ148">
        <f>IF($A148="","",'Beállítások'!$E$8*(5-D148))</f>
        <v/>
      </c>
      <c r="AR148">
        <f>IF($A148="","",'Beállítások'!$E$9*(5-E148))</f>
        <v/>
      </c>
      <c r="AS148">
        <f>IF($A148="","",'Beállítások'!$E$10*(5-F148))</f>
        <v/>
      </c>
      <c r="AT148">
        <f>IF($A148="","",'Beállítások'!$E$11*(5-G148))</f>
        <v/>
      </c>
      <c r="AU148">
        <f>IF($A148="","",'Beállítások'!$E$12*(5-H148))</f>
        <v/>
      </c>
      <c r="AV148">
        <f>IF($A148="","",'Beállítások'!$E$13*(5-I148))</f>
        <v/>
      </c>
      <c r="AW148">
        <f>IF($A148="","",'Beállítások'!$E$14*(5-J148))</f>
        <v/>
      </c>
      <c r="AX148">
        <f>IF($A148="","",'Beállítások'!$E$15*(5-K148))</f>
        <v/>
      </c>
      <c r="AY148">
        <f>IF($A148="","",'Beállítások'!$E$16*(5-L148))</f>
        <v/>
      </c>
      <c r="AZ148">
        <f>IF($A148="","",M148-ROW()/100000)</f>
        <v/>
      </c>
    </row>
    <row r="149">
      <c r="A149">
        <f>IF('Ügyfelek'!A149="","",'Ügyfelek'!A149)</f>
        <v/>
      </c>
      <c r="B149">
        <f>IF($A149="","",IF('Ügyfelek'!B149="",'Beállítások'!$B$45,IFERROR(VLOOKUP(TRIM('Ügyfelek'!B149),'Beállítások'!$A$22:$B$41,2,FALSE),'Beállítások'!$B$45)))</f>
        <v/>
      </c>
      <c r="C149">
        <f>IF($A149="","",IF('Ügyfelek'!C149="",'Beállítások'!$B$45,VLOOKUP(MAX('Ügyfelek'!C149,'Beállítások'!$H$7),'Beállítások'!$H$7:$I$11,2,TRUE)))</f>
        <v/>
      </c>
      <c r="D149">
        <f>IF($A149="","",IF('Ügyfelek'!D149="",'Beállítások'!$B$45,VLOOKUP(MAX('Ügyfelek'!D149,'Beállítások'!$K$7),'Beállítások'!$K$7:$L$11,2,TRUE)))</f>
        <v/>
      </c>
      <c r="E149">
        <f>IF($A149="","",IF('Ügyfelek'!L149="",'Beállítások'!$B$45,MIN(5,MAX(1,ROUND('Ügyfelek'!L149,0)))))</f>
        <v/>
      </c>
      <c r="F149">
        <f>IF($A149="","",IF('Ügyfelek'!I149="",'Beállítások'!$B$45,VLOOKUP(MAX('Ügyfelek'!I149,'Beállítások'!$N$7),'Beállítások'!$N$7:$O$11,2,TRUE)))</f>
        <v/>
      </c>
      <c r="G149">
        <f>IF($A149="","",IF('Ügyfelek'!N149="",'Beállítások'!$B$45,MIN(5,MAX(1,ROUND('Ügyfelek'!N149,0)))))</f>
        <v/>
      </c>
      <c r="H149">
        <f>IF($A149="","",IF('Ügyfelek'!J149="",'Beállítások'!$B$45,VLOOKUP(MAX('Ügyfelek'!J149,'Beállítások'!$Q$7),'Beállítások'!$Q$7:$R$11,2,TRUE)))</f>
        <v/>
      </c>
      <c r="I149">
        <f>IF($A149="","",IF('Ügyfelek'!K149="",'Beállítások'!$B$45,VLOOKUP(MAX('Ügyfelek'!K149,'Beállítások'!$T$7),'Beállítások'!$T$7:$U$11,2,TRUE)))</f>
        <v/>
      </c>
      <c r="J149">
        <f>IF($A149="","",IF('Ügyfelek'!M149="",'Beállítások'!$B$45,MIN(5,MAX(1,ROUND('Ügyfelek'!M149,0)))))</f>
        <v/>
      </c>
      <c r="K149">
        <f>IF($A149="","",IF('Ügyfelek'!P149="",'Beállítások'!$B$45,MIN(5,MAX(1,ROUND('Ügyfelek'!P149,0)))))</f>
        <v/>
      </c>
      <c r="L149">
        <f>IF($A149="","",IF('Ügyfelek'!O149="",'Beállítások'!$B$45,MIN(5,MAX(1,ROUND('Ügyfelek'!O149,0)))))</f>
        <v/>
      </c>
      <c r="M149" s="13">
        <f>IF($A149="","",ROUND('Beállítások'!$E$6*(B149-1)/4+'Beállítások'!$E$7*(C149-1)/4+'Beállítások'!$E$8*(D149-1)/4+'Beállítások'!$E$9*(E149-1)/4+'Beállítások'!$E$10*(F149-1)/4+'Beállítások'!$E$11*(G149-1)/4+'Beállítások'!$E$12*(H149-1)/4+'Beállítások'!$E$13*(I149-1)/4+'Beállítások'!$E$14*(J149-1)/4+'Beállítások'!$E$15*(K149-1)/4+'Beállítások'!$E$16*(L149-1)/4,1))</f>
        <v/>
      </c>
      <c r="N149" s="14">
        <f>IF($A149="","",RANK(M149,$M$2:$M$201))</f>
        <v/>
      </c>
      <c r="O149">
        <f>IF($A149="","",VLOOKUP(M149,'Beállítások'!$A$57:$E$60,2,TRUE))</f>
        <v/>
      </c>
      <c r="P149">
        <f>IF($A149="","",VLOOKUP(M149,'Beállítások'!$A$57:$E$60,3,TRUE))</f>
        <v/>
      </c>
      <c r="Q149">
        <f>IF($A149="","",INDEX('Beállítások'!$B$6:$B$16,MATCH(MAX(AD149:AN149),AD149:AN149,0)))</f>
        <v/>
      </c>
      <c r="R149">
        <f>IF($A149="","",IF(MAX(AO149:AY149)=0,"—",INDEX('Beállítások'!$B$6:$B$16,MATCH(MAX(AO149:AY149),AO149:AY149,0))))</f>
        <v/>
      </c>
      <c r="S149" s="5">
        <f>IF($A149="","",'Beállítások'!$B$47*(TRIM('Ügyfelek'!E149)="igen")+'Beállítások'!$B$48*(TRIM('Ügyfelek'!F149)="igen")+'Beállítások'!$B$49*N('Ügyfelek'!G149)+'Beállítások'!$B$46*N('Ügyfelek'!H149))</f>
        <v/>
      </c>
      <c r="T149" s="15">
        <f>IF($A149="","",VLOOKUP(M149,'Beállítások'!$A$57:$E$60,4,TRUE))</f>
        <v/>
      </c>
      <c r="U149" s="5">
        <f>IF($A149="","",N('Ügyfelek'!D149)*'Beállítások'!$B$51)</f>
        <v/>
      </c>
      <c r="V149" s="5">
        <f>IF($A149="","",CEILING(ROUND(MAX('Beállítások'!$B$50,S149*T149,U149),2),'Beállítások'!$B$52))</f>
        <v/>
      </c>
      <c r="W149">
        <f>IF($A149="","",IF(MAX('Beállítások'!$B$50,S149*T149,U149)=S149*T149,"Munkaigény × szintszorzó",IF(MAX('Beállítások'!$B$50,S149*T149,U149)=U149,"Hirdetési keret arányában","Minimumdíj")))</f>
        <v/>
      </c>
      <c r="X149" s="5">
        <f>IF(OR($A149="",'Ügyfelek'!Q149=""),"",'Ügyfelek'!Q149)</f>
        <v/>
      </c>
      <c r="Y149" s="5">
        <f>IF(X149="","",V149-X149)</f>
        <v/>
      </c>
      <c r="Z149" s="16">
        <f>IF(OR(X149="",X149=0),"",Y149/X149)</f>
        <v/>
      </c>
      <c r="AA149" s="5">
        <f>IF(OR($A149="",'Ügyfelek'!R149=""),"",'Ügyfelek'!R149*VLOOKUP(M149,'Beállítások'!$A$57:$E$60,5,TRUE))</f>
        <v/>
      </c>
      <c r="AB149" s="14">
        <f>IF($A149="","",('Ügyfelek'!B149="")+('Ügyfelek'!C149="")+('Ügyfelek'!D149="")+('Ügyfelek'!L149="")+('Ügyfelek'!I149="")+('Ügyfelek'!N149="")+('Ügyfelek'!J149="")+('Ügyfelek'!K149="")+('Ügyfelek'!M149="")+('Ügyfelek'!P149="")+('Ügyfelek'!O149=""))</f>
        <v/>
      </c>
      <c r="AD149">
        <f>IF($A149="","",B149+'Beállítások'!$E$6/1000)</f>
        <v/>
      </c>
      <c r="AE149">
        <f>IF($A149="","",C149+'Beállítások'!$E$7/1000)</f>
        <v/>
      </c>
      <c r="AF149">
        <f>IF($A149="","",D149+'Beállítások'!$E$8/1000)</f>
        <v/>
      </c>
      <c r="AG149">
        <f>IF($A149="","",E149+'Beállítások'!$E$9/1000)</f>
        <v/>
      </c>
      <c r="AH149">
        <f>IF($A149="","",F149+'Beállítások'!$E$10/1000)</f>
        <v/>
      </c>
      <c r="AI149">
        <f>IF($A149="","",G149+'Beállítások'!$E$11/1000)</f>
        <v/>
      </c>
      <c r="AJ149">
        <f>IF($A149="","",H149+'Beállítások'!$E$12/1000)</f>
        <v/>
      </c>
      <c r="AK149">
        <f>IF($A149="","",I149+'Beállítások'!$E$13/1000)</f>
        <v/>
      </c>
      <c r="AL149">
        <f>IF($A149="","",J149+'Beállítások'!$E$14/1000)</f>
        <v/>
      </c>
      <c r="AM149">
        <f>IF($A149="","",K149+'Beállítások'!$E$15/1000)</f>
        <v/>
      </c>
      <c r="AN149">
        <f>IF($A149="","",L149+'Beállítások'!$E$16/1000)</f>
        <v/>
      </c>
      <c r="AO149">
        <f>IF($A149="","",'Beállítások'!$E$6*(5-B149))</f>
        <v/>
      </c>
      <c r="AP149">
        <f>IF($A149="","",'Beállítások'!$E$7*(5-C149))</f>
        <v/>
      </c>
      <c r="AQ149">
        <f>IF($A149="","",'Beállítások'!$E$8*(5-D149))</f>
        <v/>
      </c>
      <c r="AR149">
        <f>IF($A149="","",'Beállítások'!$E$9*(5-E149))</f>
        <v/>
      </c>
      <c r="AS149">
        <f>IF($A149="","",'Beállítások'!$E$10*(5-F149))</f>
        <v/>
      </c>
      <c r="AT149">
        <f>IF($A149="","",'Beállítások'!$E$11*(5-G149))</f>
        <v/>
      </c>
      <c r="AU149">
        <f>IF($A149="","",'Beállítások'!$E$12*(5-H149))</f>
        <v/>
      </c>
      <c r="AV149">
        <f>IF($A149="","",'Beállítások'!$E$13*(5-I149))</f>
        <v/>
      </c>
      <c r="AW149">
        <f>IF($A149="","",'Beállítások'!$E$14*(5-J149))</f>
        <v/>
      </c>
      <c r="AX149">
        <f>IF($A149="","",'Beállítások'!$E$15*(5-K149))</f>
        <v/>
      </c>
      <c r="AY149">
        <f>IF($A149="","",'Beállítások'!$E$16*(5-L149))</f>
        <v/>
      </c>
      <c r="AZ149">
        <f>IF($A149="","",M149-ROW()/100000)</f>
        <v/>
      </c>
    </row>
    <row r="150">
      <c r="A150">
        <f>IF('Ügyfelek'!A150="","",'Ügyfelek'!A150)</f>
        <v/>
      </c>
      <c r="B150">
        <f>IF($A150="","",IF('Ügyfelek'!B150="",'Beállítások'!$B$45,IFERROR(VLOOKUP(TRIM('Ügyfelek'!B150),'Beállítások'!$A$22:$B$41,2,FALSE),'Beállítások'!$B$45)))</f>
        <v/>
      </c>
      <c r="C150">
        <f>IF($A150="","",IF('Ügyfelek'!C150="",'Beállítások'!$B$45,VLOOKUP(MAX('Ügyfelek'!C150,'Beállítások'!$H$7),'Beállítások'!$H$7:$I$11,2,TRUE)))</f>
        <v/>
      </c>
      <c r="D150">
        <f>IF($A150="","",IF('Ügyfelek'!D150="",'Beállítások'!$B$45,VLOOKUP(MAX('Ügyfelek'!D150,'Beállítások'!$K$7),'Beállítások'!$K$7:$L$11,2,TRUE)))</f>
        <v/>
      </c>
      <c r="E150">
        <f>IF($A150="","",IF('Ügyfelek'!L150="",'Beállítások'!$B$45,MIN(5,MAX(1,ROUND('Ügyfelek'!L150,0)))))</f>
        <v/>
      </c>
      <c r="F150">
        <f>IF($A150="","",IF('Ügyfelek'!I150="",'Beállítások'!$B$45,VLOOKUP(MAX('Ügyfelek'!I150,'Beállítások'!$N$7),'Beállítások'!$N$7:$O$11,2,TRUE)))</f>
        <v/>
      </c>
      <c r="G150">
        <f>IF($A150="","",IF('Ügyfelek'!N150="",'Beállítások'!$B$45,MIN(5,MAX(1,ROUND('Ügyfelek'!N150,0)))))</f>
        <v/>
      </c>
      <c r="H150">
        <f>IF($A150="","",IF('Ügyfelek'!J150="",'Beállítások'!$B$45,VLOOKUP(MAX('Ügyfelek'!J150,'Beállítások'!$Q$7),'Beállítások'!$Q$7:$R$11,2,TRUE)))</f>
        <v/>
      </c>
      <c r="I150">
        <f>IF($A150="","",IF('Ügyfelek'!K150="",'Beállítások'!$B$45,VLOOKUP(MAX('Ügyfelek'!K150,'Beállítások'!$T$7),'Beállítások'!$T$7:$U$11,2,TRUE)))</f>
        <v/>
      </c>
      <c r="J150">
        <f>IF($A150="","",IF('Ügyfelek'!M150="",'Beállítások'!$B$45,MIN(5,MAX(1,ROUND('Ügyfelek'!M150,0)))))</f>
        <v/>
      </c>
      <c r="K150">
        <f>IF($A150="","",IF('Ügyfelek'!P150="",'Beállítások'!$B$45,MIN(5,MAX(1,ROUND('Ügyfelek'!P150,0)))))</f>
        <v/>
      </c>
      <c r="L150">
        <f>IF($A150="","",IF('Ügyfelek'!O150="",'Beállítások'!$B$45,MIN(5,MAX(1,ROUND('Ügyfelek'!O150,0)))))</f>
        <v/>
      </c>
      <c r="M150" s="13">
        <f>IF($A150="","",ROUND('Beállítások'!$E$6*(B150-1)/4+'Beállítások'!$E$7*(C150-1)/4+'Beállítások'!$E$8*(D150-1)/4+'Beállítások'!$E$9*(E150-1)/4+'Beállítások'!$E$10*(F150-1)/4+'Beállítások'!$E$11*(G150-1)/4+'Beállítások'!$E$12*(H150-1)/4+'Beállítások'!$E$13*(I150-1)/4+'Beállítások'!$E$14*(J150-1)/4+'Beállítások'!$E$15*(K150-1)/4+'Beállítások'!$E$16*(L150-1)/4,1))</f>
        <v/>
      </c>
      <c r="N150" s="14">
        <f>IF($A150="","",RANK(M150,$M$2:$M$201))</f>
        <v/>
      </c>
      <c r="O150">
        <f>IF($A150="","",VLOOKUP(M150,'Beállítások'!$A$57:$E$60,2,TRUE))</f>
        <v/>
      </c>
      <c r="P150">
        <f>IF($A150="","",VLOOKUP(M150,'Beállítások'!$A$57:$E$60,3,TRUE))</f>
        <v/>
      </c>
      <c r="Q150">
        <f>IF($A150="","",INDEX('Beállítások'!$B$6:$B$16,MATCH(MAX(AD150:AN150),AD150:AN150,0)))</f>
        <v/>
      </c>
      <c r="R150">
        <f>IF($A150="","",IF(MAX(AO150:AY150)=0,"—",INDEX('Beállítások'!$B$6:$B$16,MATCH(MAX(AO150:AY150),AO150:AY150,0))))</f>
        <v/>
      </c>
      <c r="S150" s="5">
        <f>IF($A150="","",'Beállítások'!$B$47*(TRIM('Ügyfelek'!E150)="igen")+'Beállítások'!$B$48*(TRIM('Ügyfelek'!F150)="igen")+'Beállítások'!$B$49*N('Ügyfelek'!G150)+'Beállítások'!$B$46*N('Ügyfelek'!H150))</f>
        <v/>
      </c>
      <c r="T150" s="15">
        <f>IF($A150="","",VLOOKUP(M150,'Beállítások'!$A$57:$E$60,4,TRUE))</f>
        <v/>
      </c>
      <c r="U150" s="5">
        <f>IF($A150="","",N('Ügyfelek'!D150)*'Beállítások'!$B$51)</f>
        <v/>
      </c>
      <c r="V150" s="5">
        <f>IF($A150="","",CEILING(ROUND(MAX('Beállítások'!$B$50,S150*T150,U150),2),'Beállítások'!$B$52))</f>
        <v/>
      </c>
      <c r="W150">
        <f>IF($A150="","",IF(MAX('Beállítások'!$B$50,S150*T150,U150)=S150*T150,"Munkaigény × szintszorzó",IF(MAX('Beállítások'!$B$50,S150*T150,U150)=U150,"Hirdetési keret arányában","Minimumdíj")))</f>
        <v/>
      </c>
      <c r="X150" s="5">
        <f>IF(OR($A150="",'Ügyfelek'!Q150=""),"",'Ügyfelek'!Q150)</f>
        <v/>
      </c>
      <c r="Y150" s="5">
        <f>IF(X150="","",V150-X150)</f>
        <v/>
      </c>
      <c r="Z150" s="16">
        <f>IF(OR(X150="",X150=0),"",Y150/X150)</f>
        <v/>
      </c>
      <c r="AA150" s="5">
        <f>IF(OR($A150="",'Ügyfelek'!R150=""),"",'Ügyfelek'!R150*VLOOKUP(M150,'Beállítások'!$A$57:$E$60,5,TRUE))</f>
        <v/>
      </c>
      <c r="AB150" s="14">
        <f>IF($A150="","",('Ügyfelek'!B150="")+('Ügyfelek'!C150="")+('Ügyfelek'!D150="")+('Ügyfelek'!L150="")+('Ügyfelek'!I150="")+('Ügyfelek'!N150="")+('Ügyfelek'!J150="")+('Ügyfelek'!K150="")+('Ügyfelek'!M150="")+('Ügyfelek'!P150="")+('Ügyfelek'!O150=""))</f>
        <v/>
      </c>
      <c r="AD150">
        <f>IF($A150="","",B150+'Beállítások'!$E$6/1000)</f>
        <v/>
      </c>
      <c r="AE150">
        <f>IF($A150="","",C150+'Beállítások'!$E$7/1000)</f>
        <v/>
      </c>
      <c r="AF150">
        <f>IF($A150="","",D150+'Beállítások'!$E$8/1000)</f>
        <v/>
      </c>
      <c r="AG150">
        <f>IF($A150="","",E150+'Beállítások'!$E$9/1000)</f>
        <v/>
      </c>
      <c r="AH150">
        <f>IF($A150="","",F150+'Beállítások'!$E$10/1000)</f>
        <v/>
      </c>
      <c r="AI150">
        <f>IF($A150="","",G150+'Beállítások'!$E$11/1000)</f>
        <v/>
      </c>
      <c r="AJ150">
        <f>IF($A150="","",H150+'Beállítások'!$E$12/1000)</f>
        <v/>
      </c>
      <c r="AK150">
        <f>IF($A150="","",I150+'Beállítások'!$E$13/1000)</f>
        <v/>
      </c>
      <c r="AL150">
        <f>IF($A150="","",J150+'Beállítások'!$E$14/1000)</f>
        <v/>
      </c>
      <c r="AM150">
        <f>IF($A150="","",K150+'Beállítások'!$E$15/1000)</f>
        <v/>
      </c>
      <c r="AN150">
        <f>IF($A150="","",L150+'Beállítások'!$E$16/1000)</f>
        <v/>
      </c>
      <c r="AO150">
        <f>IF($A150="","",'Beállítások'!$E$6*(5-B150))</f>
        <v/>
      </c>
      <c r="AP150">
        <f>IF($A150="","",'Beállítások'!$E$7*(5-C150))</f>
        <v/>
      </c>
      <c r="AQ150">
        <f>IF($A150="","",'Beállítások'!$E$8*(5-D150))</f>
        <v/>
      </c>
      <c r="AR150">
        <f>IF($A150="","",'Beállítások'!$E$9*(5-E150))</f>
        <v/>
      </c>
      <c r="AS150">
        <f>IF($A150="","",'Beállítások'!$E$10*(5-F150))</f>
        <v/>
      </c>
      <c r="AT150">
        <f>IF($A150="","",'Beállítások'!$E$11*(5-G150))</f>
        <v/>
      </c>
      <c r="AU150">
        <f>IF($A150="","",'Beállítások'!$E$12*(5-H150))</f>
        <v/>
      </c>
      <c r="AV150">
        <f>IF($A150="","",'Beállítások'!$E$13*(5-I150))</f>
        <v/>
      </c>
      <c r="AW150">
        <f>IF($A150="","",'Beállítások'!$E$14*(5-J150))</f>
        <v/>
      </c>
      <c r="AX150">
        <f>IF($A150="","",'Beállítások'!$E$15*(5-K150))</f>
        <v/>
      </c>
      <c r="AY150">
        <f>IF($A150="","",'Beállítások'!$E$16*(5-L150))</f>
        <v/>
      </c>
      <c r="AZ150">
        <f>IF($A150="","",M150-ROW()/100000)</f>
        <v/>
      </c>
    </row>
    <row r="151">
      <c r="A151">
        <f>IF('Ügyfelek'!A151="","",'Ügyfelek'!A151)</f>
        <v/>
      </c>
      <c r="B151">
        <f>IF($A151="","",IF('Ügyfelek'!B151="",'Beállítások'!$B$45,IFERROR(VLOOKUP(TRIM('Ügyfelek'!B151),'Beállítások'!$A$22:$B$41,2,FALSE),'Beállítások'!$B$45)))</f>
        <v/>
      </c>
      <c r="C151">
        <f>IF($A151="","",IF('Ügyfelek'!C151="",'Beállítások'!$B$45,VLOOKUP(MAX('Ügyfelek'!C151,'Beállítások'!$H$7),'Beállítások'!$H$7:$I$11,2,TRUE)))</f>
        <v/>
      </c>
      <c r="D151">
        <f>IF($A151="","",IF('Ügyfelek'!D151="",'Beállítások'!$B$45,VLOOKUP(MAX('Ügyfelek'!D151,'Beállítások'!$K$7),'Beállítások'!$K$7:$L$11,2,TRUE)))</f>
        <v/>
      </c>
      <c r="E151">
        <f>IF($A151="","",IF('Ügyfelek'!L151="",'Beállítások'!$B$45,MIN(5,MAX(1,ROUND('Ügyfelek'!L151,0)))))</f>
        <v/>
      </c>
      <c r="F151">
        <f>IF($A151="","",IF('Ügyfelek'!I151="",'Beállítások'!$B$45,VLOOKUP(MAX('Ügyfelek'!I151,'Beállítások'!$N$7),'Beállítások'!$N$7:$O$11,2,TRUE)))</f>
        <v/>
      </c>
      <c r="G151">
        <f>IF($A151="","",IF('Ügyfelek'!N151="",'Beállítások'!$B$45,MIN(5,MAX(1,ROUND('Ügyfelek'!N151,0)))))</f>
        <v/>
      </c>
      <c r="H151">
        <f>IF($A151="","",IF('Ügyfelek'!J151="",'Beállítások'!$B$45,VLOOKUP(MAX('Ügyfelek'!J151,'Beállítások'!$Q$7),'Beállítások'!$Q$7:$R$11,2,TRUE)))</f>
        <v/>
      </c>
      <c r="I151">
        <f>IF($A151="","",IF('Ügyfelek'!K151="",'Beállítások'!$B$45,VLOOKUP(MAX('Ügyfelek'!K151,'Beállítások'!$T$7),'Beállítások'!$T$7:$U$11,2,TRUE)))</f>
        <v/>
      </c>
      <c r="J151">
        <f>IF($A151="","",IF('Ügyfelek'!M151="",'Beállítások'!$B$45,MIN(5,MAX(1,ROUND('Ügyfelek'!M151,0)))))</f>
        <v/>
      </c>
      <c r="K151">
        <f>IF($A151="","",IF('Ügyfelek'!P151="",'Beállítások'!$B$45,MIN(5,MAX(1,ROUND('Ügyfelek'!P151,0)))))</f>
        <v/>
      </c>
      <c r="L151">
        <f>IF($A151="","",IF('Ügyfelek'!O151="",'Beállítások'!$B$45,MIN(5,MAX(1,ROUND('Ügyfelek'!O151,0)))))</f>
        <v/>
      </c>
      <c r="M151" s="13">
        <f>IF($A151="","",ROUND('Beállítások'!$E$6*(B151-1)/4+'Beállítások'!$E$7*(C151-1)/4+'Beállítások'!$E$8*(D151-1)/4+'Beállítások'!$E$9*(E151-1)/4+'Beállítások'!$E$10*(F151-1)/4+'Beállítások'!$E$11*(G151-1)/4+'Beállítások'!$E$12*(H151-1)/4+'Beállítások'!$E$13*(I151-1)/4+'Beállítások'!$E$14*(J151-1)/4+'Beállítások'!$E$15*(K151-1)/4+'Beállítások'!$E$16*(L151-1)/4,1))</f>
        <v/>
      </c>
      <c r="N151" s="14">
        <f>IF($A151="","",RANK(M151,$M$2:$M$201))</f>
        <v/>
      </c>
      <c r="O151">
        <f>IF($A151="","",VLOOKUP(M151,'Beállítások'!$A$57:$E$60,2,TRUE))</f>
        <v/>
      </c>
      <c r="P151">
        <f>IF($A151="","",VLOOKUP(M151,'Beállítások'!$A$57:$E$60,3,TRUE))</f>
        <v/>
      </c>
      <c r="Q151">
        <f>IF($A151="","",INDEX('Beállítások'!$B$6:$B$16,MATCH(MAX(AD151:AN151),AD151:AN151,0)))</f>
        <v/>
      </c>
      <c r="R151">
        <f>IF($A151="","",IF(MAX(AO151:AY151)=0,"—",INDEX('Beállítások'!$B$6:$B$16,MATCH(MAX(AO151:AY151),AO151:AY151,0))))</f>
        <v/>
      </c>
      <c r="S151" s="5">
        <f>IF($A151="","",'Beállítások'!$B$47*(TRIM('Ügyfelek'!E151)="igen")+'Beállítások'!$B$48*(TRIM('Ügyfelek'!F151)="igen")+'Beállítások'!$B$49*N('Ügyfelek'!G151)+'Beállítások'!$B$46*N('Ügyfelek'!H151))</f>
        <v/>
      </c>
      <c r="T151" s="15">
        <f>IF($A151="","",VLOOKUP(M151,'Beállítások'!$A$57:$E$60,4,TRUE))</f>
        <v/>
      </c>
      <c r="U151" s="5">
        <f>IF($A151="","",N('Ügyfelek'!D151)*'Beállítások'!$B$51)</f>
        <v/>
      </c>
      <c r="V151" s="5">
        <f>IF($A151="","",CEILING(ROUND(MAX('Beállítások'!$B$50,S151*T151,U151),2),'Beállítások'!$B$52))</f>
        <v/>
      </c>
      <c r="W151">
        <f>IF($A151="","",IF(MAX('Beállítások'!$B$50,S151*T151,U151)=S151*T151,"Munkaigény × szintszorzó",IF(MAX('Beállítások'!$B$50,S151*T151,U151)=U151,"Hirdetési keret arányában","Minimumdíj")))</f>
        <v/>
      </c>
      <c r="X151" s="5">
        <f>IF(OR($A151="",'Ügyfelek'!Q151=""),"",'Ügyfelek'!Q151)</f>
        <v/>
      </c>
      <c r="Y151" s="5">
        <f>IF(X151="","",V151-X151)</f>
        <v/>
      </c>
      <c r="Z151" s="16">
        <f>IF(OR(X151="",X151=0),"",Y151/X151)</f>
        <v/>
      </c>
      <c r="AA151" s="5">
        <f>IF(OR($A151="",'Ügyfelek'!R151=""),"",'Ügyfelek'!R151*VLOOKUP(M151,'Beállítások'!$A$57:$E$60,5,TRUE))</f>
        <v/>
      </c>
      <c r="AB151" s="14">
        <f>IF($A151="","",('Ügyfelek'!B151="")+('Ügyfelek'!C151="")+('Ügyfelek'!D151="")+('Ügyfelek'!L151="")+('Ügyfelek'!I151="")+('Ügyfelek'!N151="")+('Ügyfelek'!J151="")+('Ügyfelek'!K151="")+('Ügyfelek'!M151="")+('Ügyfelek'!P151="")+('Ügyfelek'!O151=""))</f>
        <v/>
      </c>
      <c r="AD151">
        <f>IF($A151="","",B151+'Beállítások'!$E$6/1000)</f>
        <v/>
      </c>
      <c r="AE151">
        <f>IF($A151="","",C151+'Beállítások'!$E$7/1000)</f>
        <v/>
      </c>
      <c r="AF151">
        <f>IF($A151="","",D151+'Beállítások'!$E$8/1000)</f>
        <v/>
      </c>
      <c r="AG151">
        <f>IF($A151="","",E151+'Beállítások'!$E$9/1000)</f>
        <v/>
      </c>
      <c r="AH151">
        <f>IF($A151="","",F151+'Beállítások'!$E$10/1000)</f>
        <v/>
      </c>
      <c r="AI151">
        <f>IF($A151="","",G151+'Beállítások'!$E$11/1000)</f>
        <v/>
      </c>
      <c r="AJ151">
        <f>IF($A151="","",H151+'Beállítások'!$E$12/1000)</f>
        <v/>
      </c>
      <c r="AK151">
        <f>IF($A151="","",I151+'Beállítások'!$E$13/1000)</f>
        <v/>
      </c>
      <c r="AL151">
        <f>IF($A151="","",J151+'Beállítások'!$E$14/1000)</f>
        <v/>
      </c>
      <c r="AM151">
        <f>IF($A151="","",K151+'Beállítások'!$E$15/1000)</f>
        <v/>
      </c>
      <c r="AN151">
        <f>IF($A151="","",L151+'Beállítások'!$E$16/1000)</f>
        <v/>
      </c>
      <c r="AO151">
        <f>IF($A151="","",'Beállítások'!$E$6*(5-B151))</f>
        <v/>
      </c>
      <c r="AP151">
        <f>IF($A151="","",'Beállítások'!$E$7*(5-C151))</f>
        <v/>
      </c>
      <c r="AQ151">
        <f>IF($A151="","",'Beállítások'!$E$8*(5-D151))</f>
        <v/>
      </c>
      <c r="AR151">
        <f>IF($A151="","",'Beállítások'!$E$9*(5-E151))</f>
        <v/>
      </c>
      <c r="AS151">
        <f>IF($A151="","",'Beállítások'!$E$10*(5-F151))</f>
        <v/>
      </c>
      <c r="AT151">
        <f>IF($A151="","",'Beállítások'!$E$11*(5-G151))</f>
        <v/>
      </c>
      <c r="AU151">
        <f>IF($A151="","",'Beállítások'!$E$12*(5-H151))</f>
        <v/>
      </c>
      <c r="AV151">
        <f>IF($A151="","",'Beállítások'!$E$13*(5-I151))</f>
        <v/>
      </c>
      <c r="AW151">
        <f>IF($A151="","",'Beállítások'!$E$14*(5-J151))</f>
        <v/>
      </c>
      <c r="AX151">
        <f>IF($A151="","",'Beállítások'!$E$15*(5-K151))</f>
        <v/>
      </c>
      <c r="AY151">
        <f>IF($A151="","",'Beállítások'!$E$16*(5-L151))</f>
        <v/>
      </c>
      <c r="AZ151">
        <f>IF($A151="","",M151-ROW()/100000)</f>
        <v/>
      </c>
    </row>
    <row r="152">
      <c r="A152">
        <f>IF('Ügyfelek'!A152="","",'Ügyfelek'!A152)</f>
        <v/>
      </c>
      <c r="B152">
        <f>IF($A152="","",IF('Ügyfelek'!B152="",'Beállítások'!$B$45,IFERROR(VLOOKUP(TRIM('Ügyfelek'!B152),'Beállítások'!$A$22:$B$41,2,FALSE),'Beállítások'!$B$45)))</f>
        <v/>
      </c>
      <c r="C152">
        <f>IF($A152="","",IF('Ügyfelek'!C152="",'Beállítások'!$B$45,VLOOKUP(MAX('Ügyfelek'!C152,'Beállítások'!$H$7),'Beállítások'!$H$7:$I$11,2,TRUE)))</f>
        <v/>
      </c>
      <c r="D152">
        <f>IF($A152="","",IF('Ügyfelek'!D152="",'Beállítások'!$B$45,VLOOKUP(MAX('Ügyfelek'!D152,'Beállítások'!$K$7),'Beállítások'!$K$7:$L$11,2,TRUE)))</f>
        <v/>
      </c>
      <c r="E152">
        <f>IF($A152="","",IF('Ügyfelek'!L152="",'Beállítások'!$B$45,MIN(5,MAX(1,ROUND('Ügyfelek'!L152,0)))))</f>
        <v/>
      </c>
      <c r="F152">
        <f>IF($A152="","",IF('Ügyfelek'!I152="",'Beállítások'!$B$45,VLOOKUP(MAX('Ügyfelek'!I152,'Beállítások'!$N$7),'Beállítások'!$N$7:$O$11,2,TRUE)))</f>
        <v/>
      </c>
      <c r="G152">
        <f>IF($A152="","",IF('Ügyfelek'!N152="",'Beállítások'!$B$45,MIN(5,MAX(1,ROUND('Ügyfelek'!N152,0)))))</f>
        <v/>
      </c>
      <c r="H152">
        <f>IF($A152="","",IF('Ügyfelek'!J152="",'Beállítások'!$B$45,VLOOKUP(MAX('Ügyfelek'!J152,'Beállítások'!$Q$7),'Beállítások'!$Q$7:$R$11,2,TRUE)))</f>
        <v/>
      </c>
      <c r="I152">
        <f>IF($A152="","",IF('Ügyfelek'!K152="",'Beállítások'!$B$45,VLOOKUP(MAX('Ügyfelek'!K152,'Beállítások'!$T$7),'Beállítások'!$T$7:$U$11,2,TRUE)))</f>
        <v/>
      </c>
      <c r="J152">
        <f>IF($A152="","",IF('Ügyfelek'!M152="",'Beállítások'!$B$45,MIN(5,MAX(1,ROUND('Ügyfelek'!M152,0)))))</f>
        <v/>
      </c>
      <c r="K152">
        <f>IF($A152="","",IF('Ügyfelek'!P152="",'Beállítások'!$B$45,MIN(5,MAX(1,ROUND('Ügyfelek'!P152,0)))))</f>
        <v/>
      </c>
      <c r="L152">
        <f>IF($A152="","",IF('Ügyfelek'!O152="",'Beállítások'!$B$45,MIN(5,MAX(1,ROUND('Ügyfelek'!O152,0)))))</f>
        <v/>
      </c>
      <c r="M152" s="13">
        <f>IF($A152="","",ROUND('Beállítások'!$E$6*(B152-1)/4+'Beállítások'!$E$7*(C152-1)/4+'Beállítások'!$E$8*(D152-1)/4+'Beállítások'!$E$9*(E152-1)/4+'Beállítások'!$E$10*(F152-1)/4+'Beállítások'!$E$11*(G152-1)/4+'Beállítások'!$E$12*(H152-1)/4+'Beállítások'!$E$13*(I152-1)/4+'Beállítások'!$E$14*(J152-1)/4+'Beállítások'!$E$15*(K152-1)/4+'Beállítások'!$E$16*(L152-1)/4,1))</f>
        <v/>
      </c>
      <c r="N152" s="14">
        <f>IF($A152="","",RANK(M152,$M$2:$M$201))</f>
        <v/>
      </c>
      <c r="O152">
        <f>IF($A152="","",VLOOKUP(M152,'Beállítások'!$A$57:$E$60,2,TRUE))</f>
        <v/>
      </c>
      <c r="P152">
        <f>IF($A152="","",VLOOKUP(M152,'Beállítások'!$A$57:$E$60,3,TRUE))</f>
        <v/>
      </c>
      <c r="Q152">
        <f>IF($A152="","",INDEX('Beállítások'!$B$6:$B$16,MATCH(MAX(AD152:AN152),AD152:AN152,0)))</f>
        <v/>
      </c>
      <c r="R152">
        <f>IF($A152="","",IF(MAX(AO152:AY152)=0,"—",INDEX('Beállítások'!$B$6:$B$16,MATCH(MAX(AO152:AY152),AO152:AY152,0))))</f>
        <v/>
      </c>
      <c r="S152" s="5">
        <f>IF($A152="","",'Beállítások'!$B$47*(TRIM('Ügyfelek'!E152)="igen")+'Beállítások'!$B$48*(TRIM('Ügyfelek'!F152)="igen")+'Beállítások'!$B$49*N('Ügyfelek'!G152)+'Beállítások'!$B$46*N('Ügyfelek'!H152))</f>
        <v/>
      </c>
      <c r="T152" s="15">
        <f>IF($A152="","",VLOOKUP(M152,'Beállítások'!$A$57:$E$60,4,TRUE))</f>
        <v/>
      </c>
      <c r="U152" s="5">
        <f>IF($A152="","",N('Ügyfelek'!D152)*'Beállítások'!$B$51)</f>
        <v/>
      </c>
      <c r="V152" s="5">
        <f>IF($A152="","",CEILING(ROUND(MAX('Beállítások'!$B$50,S152*T152,U152),2),'Beállítások'!$B$52))</f>
        <v/>
      </c>
      <c r="W152">
        <f>IF($A152="","",IF(MAX('Beállítások'!$B$50,S152*T152,U152)=S152*T152,"Munkaigény × szintszorzó",IF(MAX('Beállítások'!$B$50,S152*T152,U152)=U152,"Hirdetési keret arányában","Minimumdíj")))</f>
        <v/>
      </c>
      <c r="X152" s="5">
        <f>IF(OR($A152="",'Ügyfelek'!Q152=""),"",'Ügyfelek'!Q152)</f>
        <v/>
      </c>
      <c r="Y152" s="5">
        <f>IF(X152="","",V152-X152)</f>
        <v/>
      </c>
      <c r="Z152" s="16">
        <f>IF(OR(X152="",X152=0),"",Y152/X152)</f>
        <v/>
      </c>
      <c r="AA152" s="5">
        <f>IF(OR($A152="",'Ügyfelek'!R152=""),"",'Ügyfelek'!R152*VLOOKUP(M152,'Beállítások'!$A$57:$E$60,5,TRUE))</f>
        <v/>
      </c>
      <c r="AB152" s="14">
        <f>IF($A152="","",('Ügyfelek'!B152="")+('Ügyfelek'!C152="")+('Ügyfelek'!D152="")+('Ügyfelek'!L152="")+('Ügyfelek'!I152="")+('Ügyfelek'!N152="")+('Ügyfelek'!J152="")+('Ügyfelek'!K152="")+('Ügyfelek'!M152="")+('Ügyfelek'!P152="")+('Ügyfelek'!O152=""))</f>
        <v/>
      </c>
      <c r="AD152">
        <f>IF($A152="","",B152+'Beállítások'!$E$6/1000)</f>
        <v/>
      </c>
      <c r="AE152">
        <f>IF($A152="","",C152+'Beállítások'!$E$7/1000)</f>
        <v/>
      </c>
      <c r="AF152">
        <f>IF($A152="","",D152+'Beállítások'!$E$8/1000)</f>
        <v/>
      </c>
      <c r="AG152">
        <f>IF($A152="","",E152+'Beállítások'!$E$9/1000)</f>
        <v/>
      </c>
      <c r="AH152">
        <f>IF($A152="","",F152+'Beállítások'!$E$10/1000)</f>
        <v/>
      </c>
      <c r="AI152">
        <f>IF($A152="","",G152+'Beállítások'!$E$11/1000)</f>
        <v/>
      </c>
      <c r="AJ152">
        <f>IF($A152="","",H152+'Beállítások'!$E$12/1000)</f>
        <v/>
      </c>
      <c r="AK152">
        <f>IF($A152="","",I152+'Beállítások'!$E$13/1000)</f>
        <v/>
      </c>
      <c r="AL152">
        <f>IF($A152="","",J152+'Beállítások'!$E$14/1000)</f>
        <v/>
      </c>
      <c r="AM152">
        <f>IF($A152="","",K152+'Beállítások'!$E$15/1000)</f>
        <v/>
      </c>
      <c r="AN152">
        <f>IF($A152="","",L152+'Beállítások'!$E$16/1000)</f>
        <v/>
      </c>
      <c r="AO152">
        <f>IF($A152="","",'Beállítások'!$E$6*(5-B152))</f>
        <v/>
      </c>
      <c r="AP152">
        <f>IF($A152="","",'Beállítások'!$E$7*(5-C152))</f>
        <v/>
      </c>
      <c r="AQ152">
        <f>IF($A152="","",'Beállítások'!$E$8*(5-D152))</f>
        <v/>
      </c>
      <c r="AR152">
        <f>IF($A152="","",'Beállítások'!$E$9*(5-E152))</f>
        <v/>
      </c>
      <c r="AS152">
        <f>IF($A152="","",'Beállítások'!$E$10*(5-F152))</f>
        <v/>
      </c>
      <c r="AT152">
        <f>IF($A152="","",'Beállítások'!$E$11*(5-G152))</f>
        <v/>
      </c>
      <c r="AU152">
        <f>IF($A152="","",'Beállítások'!$E$12*(5-H152))</f>
        <v/>
      </c>
      <c r="AV152">
        <f>IF($A152="","",'Beállítások'!$E$13*(5-I152))</f>
        <v/>
      </c>
      <c r="AW152">
        <f>IF($A152="","",'Beállítások'!$E$14*(5-J152))</f>
        <v/>
      </c>
      <c r="AX152">
        <f>IF($A152="","",'Beállítások'!$E$15*(5-K152))</f>
        <v/>
      </c>
      <c r="AY152">
        <f>IF($A152="","",'Beállítások'!$E$16*(5-L152))</f>
        <v/>
      </c>
      <c r="AZ152">
        <f>IF($A152="","",M152-ROW()/100000)</f>
        <v/>
      </c>
    </row>
    <row r="153">
      <c r="A153">
        <f>IF('Ügyfelek'!A153="","",'Ügyfelek'!A153)</f>
        <v/>
      </c>
      <c r="B153">
        <f>IF($A153="","",IF('Ügyfelek'!B153="",'Beállítások'!$B$45,IFERROR(VLOOKUP(TRIM('Ügyfelek'!B153),'Beállítások'!$A$22:$B$41,2,FALSE),'Beállítások'!$B$45)))</f>
        <v/>
      </c>
      <c r="C153">
        <f>IF($A153="","",IF('Ügyfelek'!C153="",'Beállítások'!$B$45,VLOOKUP(MAX('Ügyfelek'!C153,'Beállítások'!$H$7),'Beállítások'!$H$7:$I$11,2,TRUE)))</f>
        <v/>
      </c>
      <c r="D153">
        <f>IF($A153="","",IF('Ügyfelek'!D153="",'Beállítások'!$B$45,VLOOKUP(MAX('Ügyfelek'!D153,'Beállítások'!$K$7),'Beállítások'!$K$7:$L$11,2,TRUE)))</f>
        <v/>
      </c>
      <c r="E153">
        <f>IF($A153="","",IF('Ügyfelek'!L153="",'Beállítások'!$B$45,MIN(5,MAX(1,ROUND('Ügyfelek'!L153,0)))))</f>
        <v/>
      </c>
      <c r="F153">
        <f>IF($A153="","",IF('Ügyfelek'!I153="",'Beállítások'!$B$45,VLOOKUP(MAX('Ügyfelek'!I153,'Beállítások'!$N$7),'Beállítások'!$N$7:$O$11,2,TRUE)))</f>
        <v/>
      </c>
      <c r="G153">
        <f>IF($A153="","",IF('Ügyfelek'!N153="",'Beállítások'!$B$45,MIN(5,MAX(1,ROUND('Ügyfelek'!N153,0)))))</f>
        <v/>
      </c>
      <c r="H153">
        <f>IF($A153="","",IF('Ügyfelek'!J153="",'Beállítások'!$B$45,VLOOKUP(MAX('Ügyfelek'!J153,'Beállítások'!$Q$7),'Beállítások'!$Q$7:$R$11,2,TRUE)))</f>
        <v/>
      </c>
      <c r="I153">
        <f>IF($A153="","",IF('Ügyfelek'!K153="",'Beállítások'!$B$45,VLOOKUP(MAX('Ügyfelek'!K153,'Beállítások'!$T$7),'Beállítások'!$T$7:$U$11,2,TRUE)))</f>
        <v/>
      </c>
      <c r="J153">
        <f>IF($A153="","",IF('Ügyfelek'!M153="",'Beállítások'!$B$45,MIN(5,MAX(1,ROUND('Ügyfelek'!M153,0)))))</f>
        <v/>
      </c>
      <c r="K153">
        <f>IF($A153="","",IF('Ügyfelek'!P153="",'Beállítások'!$B$45,MIN(5,MAX(1,ROUND('Ügyfelek'!P153,0)))))</f>
        <v/>
      </c>
      <c r="L153">
        <f>IF($A153="","",IF('Ügyfelek'!O153="",'Beállítások'!$B$45,MIN(5,MAX(1,ROUND('Ügyfelek'!O153,0)))))</f>
        <v/>
      </c>
      <c r="M153" s="13">
        <f>IF($A153="","",ROUND('Beállítások'!$E$6*(B153-1)/4+'Beállítások'!$E$7*(C153-1)/4+'Beállítások'!$E$8*(D153-1)/4+'Beállítások'!$E$9*(E153-1)/4+'Beállítások'!$E$10*(F153-1)/4+'Beállítások'!$E$11*(G153-1)/4+'Beállítások'!$E$12*(H153-1)/4+'Beállítások'!$E$13*(I153-1)/4+'Beállítások'!$E$14*(J153-1)/4+'Beállítások'!$E$15*(K153-1)/4+'Beállítások'!$E$16*(L153-1)/4,1))</f>
        <v/>
      </c>
      <c r="N153" s="14">
        <f>IF($A153="","",RANK(M153,$M$2:$M$201))</f>
        <v/>
      </c>
      <c r="O153">
        <f>IF($A153="","",VLOOKUP(M153,'Beállítások'!$A$57:$E$60,2,TRUE))</f>
        <v/>
      </c>
      <c r="P153">
        <f>IF($A153="","",VLOOKUP(M153,'Beállítások'!$A$57:$E$60,3,TRUE))</f>
        <v/>
      </c>
      <c r="Q153">
        <f>IF($A153="","",INDEX('Beállítások'!$B$6:$B$16,MATCH(MAX(AD153:AN153),AD153:AN153,0)))</f>
        <v/>
      </c>
      <c r="R153">
        <f>IF($A153="","",IF(MAX(AO153:AY153)=0,"—",INDEX('Beállítások'!$B$6:$B$16,MATCH(MAX(AO153:AY153),AO153:AY153,0))))</f>
        <v/>
      </c>
      <c r="S153" s="5">
        <f>IF($A153="","",'Beállítások'!$B$47*(TRIM('Ügyfelek'!E153)="igen")+'Beállítások'!$B$48*(TRIM('Ügyfelek'!F153)="igen")+'Beállítások'!$B$49*N('Ügyfelek'!G153)+'Beállítások'!$B$46*N('Ügyfelek'!H153))</f>
        <v/>
      </c>
      <c r="T153" s="15">
        <f>IF($A153="","",VLOOKUP(M153,'Beállítások'!$A$57:$E$60,4,TRUE))</f>
        <v/>
      </c>
      <c r="U153" s="5">
        <f>IF($A153="","",N('Ügyfelek'!D153)*'Beállítások'!$B$51)</f>
        <v/>
      </c>
      <c r="V153" s="5">
        <f>IF($A153="","",CEILING(ROUND(MAX('Beállítások'!$B$50,S153*T153,U153),2),'Beállítások'!$B$52))</f>
        <v/>
      </c>
      <c r="W153">
        <f>IF($A153="","",IF(MAX('Beállítások'!$B$50,S153*T153,U153)=S153*T153,"Munkaigény × szintszorzó",IF(MAX('Beállítások'!$B$50,S153*T153,U153)=U153,"Hirdetési keret arányában","Minimumdíj")))</f>
        <v/>
      </c>
      <c r="X153" s="5">
        <f>IF(OR($A153="",'Ügyfelek'!Q153=""),"",'Ügyfelek'!Q153)</f>
        <v/>
      </c>
      <c r="Y153" s="5">
        <f>IF(X153="","",V153-X153)</f>
        <v/>
      </c>
      <c r="Z153" s="16">
        <f>IF(OR(X153="",X153=0),"",Y153/X153)</f>
        <v/>
      </c>
      <c r="AA153" s="5">
        <f>IF(OR($A153="",'Ügyfelek'!R153=""),"",'Ügyfelek'!R153*VLOOKUP(M153,'Beállítások'!$A$57:$E$60,5,TRUE))</f>
        <v/>
      </c>
      <c r="AB153" s="14">
        <f>IF($A153="","",('Ügyfelek'!B153="")+('Ügyfelek'!C153="")+('Ügyfelek'!D153="")+('Ügyfelek'!L153="")+('Ügyfelek'!I153="")+('Ügyfelek'!N153="")+('Ügyfelek'!J153="")+('Ügyfelek'!K153="")+('Ügyfelek'!M153="")+('Ügyfelek'!P153="")+('Ügyfelek'!O153=""))</f>
        <v/>
      </c>
      <c r="AD153">
        <f>IF($A153="","",B153+'Beállítások'!$E$6/1000)</f>
        <v/>
      </c>
      <c r="AE153">
        <f>IF($A153="","",C153+'Beállítások'!$E$7/1000)</f>
        <v/>
      </c>
      <c r="AF153">
        <f>IF($A153="","",D153+'Beállítások'!$E$8/1000)</f>
        <v/>
      </c>
      <c r="AG153">
        <f>IF($A153="","",E153+'Beállítások'!$E$9/1000)</f>
        <v/>
      </c>
      <c r="AH153">
        <f>IF($A153="","",F153+'Beállítások'!$E$10/1000)</f>
        <v/>
      </c>
      <c r="AI153">
        <f>IF($A153="","",G153+'Beállítások'!$E$11/1000)</f>
        <v/>
      </c>
      <c r="AJ153">
        <f>IF($A153="","",H153+'Beállítások'!$E$12/1000)</f>
        <v/>
      </c>
      <c r="AK153">
        <f>IF($A153="","",I153+'Beállítások'!$E$13/1000)</f>
        <v/>
      </c>
      <c r="AL153">
        <f>IF($A153="","",J153+'Beállítások'!$E$14/1000)</f>
        <v/>
      </c>
      <c r="AM153">
        <f>IF($A153="","",K153+'Beállítások'!$E$15/1000)</f>
        <v/>
      </c>
      <c r="AN153">
        <f>IF($A153="","",L153+'Beállítások'!$E$16/1000)</f>
        <v/>
      </c>
      <c r="AO153">
        <f>IF($A153="","",'Beállítások'!$E$6*(5-B153))</f>
        <v/>
      </c>
      <c r="AP153">
        <f>IF($A153="","",'Beállítások'!$E$7*(5-C153))</f>
        <v/>
      </c>
      <c r="AQ153">
        <f>IF($A153="","",'Beállítások'!$E$8*(5-D153))</f>
        <v/>
      </c>
      <c r="AR153">
        <f>IF($A153="","",'Beállítások'!$E$9*(5-E153))</f>
        <v/>
      </c>
      <c r="AS153">
        <f>IF($A153="","",'Beállítások'!$E$10*(5-F153))</f>
        <v/>
      </c>
      <c r="AT153">
        <f>IF($A153="","",'Beállítások'!$E$11*(5-G153))</f>
        <v/>
      </c>
      <c r="AU153">
        <f>IF($A153="","",'Beállítások'!$E$12*(5-H153))</f>
        <v/>
      </c>
      <c r="AV153">
        <f>IF($A153="","",'Beállítások'!$E$13*(5-I153))</f>
        <v/>
      </c>
      <c r="AW153">
        <f>IF($A153="","",'Beállítások'!$E$14*(5-J153))</f>
        <v/>
      </c>
      <c r="AX153">
        <f>IF($A153="","",'Beállítások'!$E$15*(5-K153))</f>
        <v/>
      </c>
      <c r="AY153">
        <f>IF($A153="","",'Beállítások'!$E$16*(5-L153))</f>
        <v/>
      </c>
      <c r="AZ153">
        <f>IF($A153="","",M153-ROW()/100000)</f>
        <v/>
      </c>
    </row>
    <row r="154">
      <c r="A154">
        <f>IF('Ügyfelek'!A154="","",'Ügyfelek'!A154)</f>
        <v/>
      </c>
      <c r="B154">
        <f>IF($A154="","",IF('Ügyfelek'!B154="",'Beállítások'!$B$45,IFERROR(VLOOKUP(TRIM('Ügyfelek'!B154),'Beállítások'!$A$22:$B$41,2,FALSE),'Beállítások'!$B$45)))</f>
        <v/>
      </c>
      <c r="C154">
        <f>IF($A154="","",IF('Ügyfelek'!C154="",'Beállítások'!$B$45,VLOOKUP(MAX('Ügyfelek'!C154,'Beállítások'!$H$7),'Beállítások'!$H$7:$I$11,2,TRUE)))</f>
        <v/>
      </c>
      <c r="D154">
        <f>IF($A154="","",IF('Ügyfelek'!D154="",'Beállítások'!$B$45,VLOOKUP(MAX('Ügyfelek'!D154,'Beállítások'!$K$7),'Beállítások'!$K$7:$L$11,2,TRUE)))</f>
        <v/>
      </c>
      <c r="E154">
        <f>IF($A154="","",IF('Ügyfelek'!L154="",'Beállítások'!$B$45,MIN(5,MAX(1,ROUND('Ügyfelek'!L154,0)))))</f>
        <v/>
      </c>
      <c r="F154">
        <f>IF($A154="","",IF('Ügyfelek'!I154="",'Beállítások'!$B$45,VLOOKUP(MAX('Ügyfelek'!I154,'Beállítások'!$N$7),'Beállítások'!$N$7:$O$11,2,TRUE)))</f>
        <v/>
      </c>
      <c r="G154">
        <f>IF($A154="","",IF('Ügyfelek'!N154="",'Beállítások'!$B$45,MIN(5,MAX(1,ROUND('Ügyfelek'!N154,0)))))</f>
        <v/>
      </c>
      <c r="H154">
        <f>IF($A154="","",IF('Ügyfelek'!J154="",'Beállítások'!$B$45,VLOOKUP(MAX('Ügyfelek'!J154,'Beállítások'!$Q$7),'Beállítások'!$Q$7:$R$11,2,TRUE)))</f>
        <v/>
      </c>
      <c r="I154">
        <f>IF($A154="","",IF('Ügyfelek'!K154="",'Beállítások'!$B$45,VLOOKUP(MAX('Ügyfelek'!K154,'Beállítások'!$T$7),'Beállítások'!$T$7:$U$11,2,TRUE)))</f>
        <v/>
      </c>
      <c r="J154">
        <f>IF($A154="","",IF('Ügyfelek'!M154="",'Beállítások'!$B$45,MIN(5,MAX(1,ROUND('Ügyfelek'!M154,0)))))</f>
        <v/>
      </c>
      <c r="K154">
        <f>IF($A154="","",IF('Ügyfelek'!P154="",'Beállítások'!$B$45,MIN(5,MAX(1,ROUND('Ügyfelek'!P154,0)))))</f>
        <v/>
      </c>
      <c r="L154">
        <f>IF($A154="","",IF('Ügyfelek'!O154="",'Beállítások'!$B$45,MIN(5,MAX(1,ROUND('Ügyfelek'!O154,0)))))</f>
        <v/>
      </c>
      <c r="M154" s="13">
        <f>IF($A154="","",ROUND('Beállítások'!$E$6*(B154-1)/4+'Beállítások'!$E$7*(C154-1)/4+'Beállítások'!$E$8*(D154-1)/4+'Beállítások'!$E$9*(E154-1)/4+'Beállítások'!$E$10*(F154-1)/4+'Beállítások'!$E$11*(G154-1)/4+'Beállítások'!$E$12*(H154-1)/4+'Beállítások'!$E$13*(I154-1)/4+'Beállítások'!$E$14*(J154-1)/4+'Beállítások'!$E$15*(K154-1)/4+'Beállítások'!$E$16*(L154-1)/4,1))</f>
        <v/>
      </c>
      <c r="N154" s="14">
        <f>IF($A154="","",RANK(M154,$M$2:$M$201))</f>
        <v/>
      </c>
      <c r="O154">
        <f>IF($A154="","",VLOOKUP(M154,'Beállítások'!$A$57:$E$60,2,TRUE))</f>
        <v/>
      </c>
      <c r="P154">
        <f>IF($A154="","",VLOOKUP(M154,'Beállítások'!$A$57:$E$60,3,TRUE))</f>
        <v/>
      </c>
      <c r="Q154">
        <f>IF($A154="","",INDEX('Beállítások'!$B$6:$B$16,MATCH(MAX(AD154:AN154),AD154:AN154,0)))</f>
        <v/>
      </c>
      <c r="R154">
        <f>IF($A154="","",IF(MAX(AO154:AY154)=0,"—",INDEX('Beállítások'!$B$6:$B$16,MATCH(MAX(AO154:AY154),AO154:AY154,0))))</f>
        <v/>
      </c>
      <c r="S154" s="5">
        <f>IF($A154="","",'Beállítások'!$B$47*(TRIM('Ügyfelek'!E154)="igen")+'Beállítások'!$B$48*(TRIM('Ügyfelek'!F154)="igen")+'Beállítások'!$B$49*N('Ügyfelek'!G154)+'Beállítások'!$B$46*N('Ügyfelek'!H154))</f>
        <v/>
      </c>
      <c r="T154" s="15">
        <f>IF($A154="","",VLOOKUP(M154,'Beállítások'!$A$57:$E$60,4,TRUE))</f>
        <v/>
      </c>
      <c r="U154" s="5">
        <f>IF($A154="","",N('Ügyfelek'!D154)*'Beállítások'!$B$51)</f>
        <v/>
      </c>
      <c r="V154" s="5">
        <f>IF($A154="","",CEILING(ROUND(MAX('Beállítások'!$B$50,S154*T154,U154),2),'Beállítások'!$B$52))</f>
        <v/>
      </c>
      <c r="W154">
        <f>IF($A154="","",IF(MAX('Beállítások'!$B$50,S154*T154,U154)=S154*T154,"Munkaigény × szintszorzó",IF(MAX('Beállítások'!$B$50,S154*T154,U154)=U154,"Hirdetési keret arányában","Minimumdíj")))</f>
        <v/>
      </c>
      <c r="X154" s="5">
        <f>IF(OR($A154="",'Ügyfelek'!Q154=""),"",'Ügyfelek'!Q154)</f>
        <v/>
      </c>
      <c r="Y154" s="5">
        <f>IF(X154="","",V154-X154)</f>
        <v/>
      </c>
      <c r="Z154" s="16">
        <f>IF(OR(X154="",X154=0),"",Y154/X154)</f>
        <v/>
      </c>
      <c r="AA154" s="5">
        <f>IF(OR($A154="",'Ügyfelek'!R154=""),"",'Ügyfelek'!R154*VLOOKUP(M154,'Beállítások'!$A$57:$E$60,5,TRUE))</f>
        <v/>
      </c>
      <c r="AB154" s="14">
        <f>IF($A154="","",('Ügyfelek'!B154="")+('Ügyfelek'!C154="")+('Ügyfelek'!D154="")+('Ügyfelek'!L154="")+('Ügyfelek'!I154="")+('Ügyfelek'!N154="")+('Ügyfelek'!J154="")+('Ügyfelek'!K154="")+('Ügyfelek'!M154="")+('Ügyfelek'!P154="")+('Ügyfelek'!O154=""))</f>
        <v/>
      </c>
      <c r="AD154">
        <f>IF($A154="","",B154+'Beállítások'!$E$6/1000)</f>
        <v/>
      </c>
      <c r="AE154">
        <f>IF($A154="","",C154+'Beállítások'!$E$7/1000)</f>
        <v/>
      </c>
      <c r="AF154">
        <f>IF($A154="","",D154+'Beállítások'!$E$8/1000)</f>
        <v/>
      </c>
      <c r="AG154">
        <f>IF($A154="","",E154+'Beállítások'!$E$9/1000)</f>
        <v/>
      </c>
      <c r="AH154">
        <f>IF($A154="","",F154+'Beállítások'!$E$10/1000)</f>
        <v/>
      </c>
      <c r="AI154">
        <f>IF($A154="","",G154+'Beállítások'!$E$11/1000)</f>
        <v/>
      </c>
      <c r="AJ154">
        <f>IF($A154="","",H154+'Beállítások'!$E$12/1000)</f>
        <v/>
      </c>
      <c r="AK154">
        <f>IF($A154="","",I154+'Beállítások'!$E$13/1000)</f>
        <v/>
      </c>
      <c r="AL154">
        <f>IF($A154="","",J154+'Beállítások'!$E$14/1000)</f>
        <v/>
      </c>
      <c r="AM154">
        <f>IF($A154="","",K154+'Beállítások'!$E$15/1000)</f>
        <v/>
      </c>
      <c r="AN154">
        <f>IF($A154="","",L154+'Beállítások'!$E$16/1000)</f>
        <v/>
      </c>
      <c r="AO154">
        <f>IF($A154="","",'Beállítások'!$E$6*(5-B154))</f>
        <v/>
      </c>
      <c r="AP154">
        <f>IF($A154="","",'Beállítások'!$E$7*(5-C154))</f>
        <v/>
      </c>
      <c r="AQ154">
        <f>IF($A154="","",'Beállítások'!$E$8*(5-D154))</f>
        <v/>
      </c>
      <c r="AR154">
        <f>IF($A154="","",'Beállítások'!$E$9*(5-E154))</f>
        <v/>
      </c>
      <c r="AS154">
        <f>IF($A154="","",'Beállítások'!$E$10*(5-F154))</f>
        <v/>
      </c>
      <c r="AT154">
        <f>IF($A154="","",'Beállítások'!$E$11*(5-G154))</f>
        <v/>
      </c>
      <c r="AU154">
        <f>IF($A154="","",'Beállítások'!$E$12*(5-H154))</f>
        <v/>
      </c>
      <c r="AV154">
        <f>IF($A154="","",'Beállítások'!$E$13*(5-I154))</f>
        <v/>
      </c>
      <c r="AW154">
        <f>IF($A154="","",'Beállítások'!$E$14*(5-J154))</f>
        <v/>
      </c>
      <c r="AX154">
        <f>IF($A154="","",'Beállítások'!$E$15*(5-K154))</f>
        <v/>
      </c>
      <c r="AY154">
        <f>IF($A154="","",'Beállítások'!$E$16*(5-L154))</f>
        <v/>
      </c>
      <c r="AZ154">
        <f>IF($A154="","",M154-ROW()/100000)</f>
        <v/>
      </c>
    </row>
    <row r="155">
      <c r="A155">
        <f>IF('Ügyfelek'!A155="","",'Ügyfelek'!A155)</f>
        <v/>
      </c>
      <c r="B155">
        <f>IF($A155="","",IF('Ügyfelek'!B155="",'Beállítások'!$B$45,IFERROR(VLOOKUP(TRIM('Ügyfelek'!B155),'Beállítások'!$A$22:$B$41,2,FALSE),'Beállítások'!$B$45)))</f>
        <v/>
      </c>
      <c r="C155">
        <f>IF($A155="","",IF('Ügyfelek'!C155="",'Beállítások'!$B$45,VLOOKUP(MAX('Ügyfelek'!C155,'Beállítások'!$H$7),'Beállítások'!$H$7:$I$11,2,TRUE)))</f>
        <v/>
      </c>
      <c r="D155">
        <f>IF($A155="","",IF('Ügyfelek'!D155="",'Beállítások'!$B$45,VLOOKUP(MAX('Ügyfelek'!D155,'Beállítások'!$K$7),'Beállítások'!$K$7:$L$11,2,TRUE)))</f>
        <v/>
      </c>
      <c r="E155">
        <f>IF($A155="","",IF('Ügyfelek'!L155="",'Beállítások'!$B$45,MIN(5,MAX(1,ROUND('Ügyfelek'!L155,0)))))</f>
        <v/>
      </c>
      <c r="F155">
        <f>IF($A155="","",IF('Ügyfelek'!I155="",'Beállítások'!$B$45,VLOOKUP(MAX('Ügyfelek'!I155,'Beállítások'!$N$7),'Beállítások'!$N$7:$O$11,2,TRUE)))</f>
        <v/>
      </c>
      <c r="G155">
        <f>IF($A155="","",IF('Ügyfelek'!N155="",'Beállítások'!$B$45,MIN(5,MAX(1,ROUND('Ügyfelek'!N155,0)))))</f>
        <v/>
      </c>
      <c r="H155">
        <f>IF($A155="","",IF('Ügyfelek'!J155="",'Beállítások'!$B$45,VLOOKUP(MAX('Ügyfelek'!J155,'Beállítások'!$Q$7),'Beállítások'!$Q$7:$R$11,2,TRUE)))</f>
        <v/>
      </c>
      <c r="I155">
        <f>IF($A155="","",IF('Ügyfelek'!K155="",'Beállítások'!$B$45,VLOOKUP(MAX('Ügyfelek'!K155,'Beállítások'!$T$7),'Beállítások'!$T$7:$U$11,2,TRUE)))</f>
        <v/>
      </c>
      <c r="J155">
        <f>IF($A155="","",IF('Ügyfelek'!M155="",'Beállítások'!$B$45,MIN(5,MAX(1,ROUND('Ügyfelek'!M155,0)))))</f>
        <v/>
      </c>
      <c r="K155">
        <f>IF($A155="","",IF('Ügyfelek'!P155="",'Beállítások'!$B$45,MIN(5,MAX(1,ROUND('Ügyfelek'!P155,0)))))</f>
        <v/>
      </c>
      <c r="L155">
        <f>IF($A155="","",IF('Ügyfelek'!O155="",'Beállítások'!$B$45,MIN(5,MAX(1,ROUND('Ügyfelek'!O155,0)))))</f>
        <v/>
      </c>
      <c r="M155" s="13">
        <f>IF($A155="","",ROUND('Beállítások'!$E$6*(B155-1)/4+'Beállítások'!$E$7*(C155-1)/4+'Beállítások'!$E$8*(D155-1)/4+'Beállítások'!$E$9*(E155-1)/4+'Beállítások'!$E$10*(F155-1)/4+'Beállítások'!$E$11*(G155-1)/4+'Beállítások'!$E$12*(H155-1)/4+'Beállítások'!$E$13*(I155-1)/4+'Beállítások'!$E$14*(J155-1)/4+'Beállítások'!$E$15*(K155-1)/4+'Beállítások'!$E$16*(L155-1)/4,1))</f>
        <v/>
      </c>
      <c r="N155" s="14">
        <f>IF($A155="","",RANK(M155,$M$2:$M$201))</f>
        <v/>
      </c>
      <c r="O155">
        <f>IF($A155="","",VLOOKUP(M155,'Beállítások'!$A$57:$E$60,2,TRUE))</f>
        <v/>
      </c>
      <c r="P155">
        <f>IF($A155="","",VLOOKUP(M155,'Beállítások'!$A$57:$E$60,3,TRUE))</f>
        <v/>
      </c>
      <c r="Q155">
        <f>IF($A155="","",INDEX('Beállítások'!$B$6:$B$16,MATCH(MAX(AD155:AN155),AD155:AN155,0)))</f>
        <v/>
      </c>
      <c r="R155">
        <f>IF($A155="","",IF(MAX(AO155:AY155)=0,"—",INDEX('Beállítások'!$B$6:$B$16,MATCH(MAX(AO155:AY155),AO155:AY155,0))))</f>
        <v/>
      </c>
      <c r="S155" s="5">
        <f>IF($A155="","",'Beállítások'!$B$47*(TRIM('Ügyfelek'!E155)="igen")+'Beállítások'!$B$48*(TRIM('Ügyfelek'!F155)="igen")+'Beállítások'!$B$49*N('Ügyfelek'!G155)+'Beállítások'!$B$46*N('Ügyfelek'!H155))</f>
        <v/>
      </c>
      <c r="T155" s="15">
        <f>IF($A155="","",VLOOKUP(M155,'Beállítások'!$A$57:$E$60,4,TRUE))</f>
        <v/>
      </c>
      <c r="U155" s="5">
        <f>IF($A155="","",N('Ügyfelek'!D155)*'Beállítások'!$B$51)</f>
        <v/>
      </c>
      <c r="V155" s="5">
        <f>IF($A155="","",CEILING(ROUND(MAX('Beállítások'!$B$50,S155*T155,U155),2),'Beállítások'!$B$52))</f>
        <v/>
      </c>
      <c r="W155">
        <f>IF($A155="","",IF(MAX('Beállítások'!$B$50,S155*T155,U155)=S155*T155,"Munkaigény × szintszorzó",IF(MAX('Beállítások'!$B$50,S155*T155,U155)=U155,"Hirdetési keret arányában","Minimumdíj")))</f>
        <v/>
      </c>
      <c r="X155" s="5">
        <f>IF(OR($A155="",'Ügyfelek'!Q155=""),"",'Ügyfelek'!Q155)</f>
        <v/>
      </c>
      <c r="Y155" s="5">
        <f>IF(X155="","",V155-X155)</f>
        <v/>
      </c>
      <c r="Z155" s="16">
        <f>IF(OR(X155="",X155=0),"",Y155/X155)</f>
        <v/>
      </c>
      <c r="AA155" s="5">
        <f>IF(OR($A155="",'Ügyfelek'!R155=""),"",'Ügyfelek'!R155*VLOOKUP(M155,'Beállítások'!$A$57:$E$60,5,TRUE))</f>
        <v/>
      </c>
      <c r="AB155" s="14">
        <f>IF($A155="","",('Ügyfelek'!B155="")+('Ügyfelek'!C155="")+('Ügyfelek'!D155="")+('Ügyfelek'!L155="")+('Ügyfelek'!I155="")+('Ügyfelek'!N155="")+('Ügyfelek'!J155="")+('Ügyfelek'!K155="")+('Ügyfelek'!M155="")+('Ügyfelek'!P155="")+('Ügyfelek'!O155=""))</f>
        <v/>
      </c>
      <c r="AD155">
        <f>IF($A155="","",B155+'Beállítások'!$E$6/1000)</f>
        <v/>
      </c>
      <c r="AE155">
        <f>IF($A155="","",C155+'Beállítások'!$E$7/1000)</f>
        <v/>
      </c>
      <c r="AF155">
        <f>IF($A155="","",D155+'Beállítások'!$E$8/1000)</f>
        <v/>
      </c>
      <c r="AG155">
        <f>IF($A155="","",E155+'Beállítások'!$E$9/1000)</f>
        <v/>
      </c>
      <c r="AH155">
        <f>IF($A155="","",F155+'Beállítások'!$E$10/1000)</f>
        <v/>
      </c>
      <c r="AI155">
        <f>IF($A155="","",G155+'Beállítások'!$E$11/1000)</f>
        <v/>
      </c>
      <c r="AJ155">
        <f>IF($A155="","",H155+'Beállítások'!$E$12/1000)</f>
        <v/>
      </c>
      <c r="AK155">
        <f>IF($A155="","",I155+'Beállítások'!$E$13/1000)</f>
        <v/>
      </c>
      <c r="AL155">
        <f>IF($A155="","",J155+'Beállítások'!$E$14/1000)</f>
        <v/>
      </c>
      <c r="AM155">
        <f>IF($A155="","",K155+'Beállítások'!$E$15/1000)</f>
        <v/>
      </c>
      <c r="AN155">
        <f>IF($A155="","",L155+'Beállítások'!$E$16/1000)</f>
        <v/>
      </c>
      <c r="AO155">
        <f>IF($A155="","",'Beállítások'!$E$6*(5-B155))</f>
        <v/>
      </c>
      <c r="AP155">
        <f>IF($A155="","",'Beállítások'!$E$7*(5-C155))</f>
        <v/>
      </c>
      <c r="AQ155">
        <f>IF($A155="","",'Beállítások'!$E$8*(5-D155))</f>
        <v/>
      </c>
      <c r="AR155">
        <f>IF($A155="","",'Beállítások'!$E$9*(5-E155))</f>
        <v/>
      </c>
      <c r="AS155">
        <f>IF($A155="","",'Beállítások'!$E$10*(5-F155))</f>
        <v/>
      </c>
      <c r="AT155">
        <f>IF($A155="","",'Beállítások'!$E$11*(5-G155))</f>
        <v/>
      </c>
      <c r="AU155">
        <f>IF($A155="","",'Beállítások'!$E$12*(5-H155))</f>
        <v/>
      </c>
      <c r="AV155">
        <f>IF($A155="","",'Beállítások'!$E$13*(5-I155))</f>
        <v/>
      </c>
      <c r="AW155">
        <f>IF($A155="","",'Beállítások'!$E$14*(5-J155))</f>
        <v/>
      </c>
      <c r="AX155">
        <f>IF($A155="","",'Beállítások'!$E$15*(5-K155))</f>
        <v/>
      </c>
      <c r="AY155">
        <f>IF($A155="","",'Beállítások'!$E$16*(5-L155))</f>
        <v/>
      </c>
      <c r="AZ155">
        <f>IF($A155="","",M155-ROW()/100000)</f>
        <v/>
      </c>
    </row>
    <row r="156">
      <c r="A156">
        <f>IF('Ügyfelek'!A156="","",'Ügyfelek'!A156)</f>
        <v/>
      </c>
      <c r="B156">
        <f>IF($A156="","",IF('Ügyfelek'!B156="",'Beállítások'!$B$45,IFERROR(VLOOKUP(TRIM('Ügyfelek'!B156),'Beállítások'!$A$22:$B$41,2,FALSE),'Beállítások'!$B$45)))</f>
        <v/>
      </c>
      <c r="C156">
        <f>IF($A156="","",IF('Ügyfelek'!C156="",'Beállítások'!$B$45,VLOOKUP(MAX('Ügyfelek'!C156,'Beállítások'!$H$7),'Beállítások'!$H$7:$I$11,2,TRUE)))</f>
        <v/>
      </c>
      <c r="D156">
        <f>IF($A156="","",IF('Ügyfelek'!D156="",'Beállítások'!$B$45,VLOOKUP(MAX('Ügyfelek'!D156,'Beállítások'!$K$7),'Beállítások'!$K$7:$L$11,2,TRUE)))</f>
        <v/>
      </c>
      <c r="E156">
        <f>IF($A156="","",IF('Ügyfelek'!L156="",'Beállítások'!$B$45,MIN(5,MAX(1,ROUND('Ügyfelek'!L156,0)))))</f>
        <v/>
      </c>
      <c r="F156">
        <f>IF($A156="","",IF('Ügyfelek'!I156="",'Beállítások'!$B$45,VLOOKUP(MAX('Ügyfelek'!I156,'Beállítások'!$N$7),'Beállítások'!$N$7:$O$11,2,TRUE)))</f>
        <v/>
      </c>
      <c r="G156">
        <f>IF($A156="","",IF('Ügyfelek'!N156="",'Beállítások'!$B$45,MIN(5,MAX(1,ROUND('Ügyfelek'!N156,0)))))</f>
        <v/>
      </c>
      <c r="H156">
        <f>IF($A156="","",IF('Ügyfelek'!J156="",'Beállítások'!$B$45,VLOOKUP(MAX('Ügyfelek'!J156,'Beállítások'!$Q$7),'Beállítások'!$Q$7:$R$11,2,TRUE)))</f>
        <v/>
      </c>
      <c r="I156">
        <f>IF($A156="","",IF('Ügyfelek'!K156="",'Beállítások'!$B$45,VLOOKUP(MAX('Ügyfelek'!K156,'Beállítások'!$T$7),'Beállítások'!$T$7:$U$11,2,TRUE)))</f>
        <v/>
      </c>
      <c r="J156">
        <f>IF($A156="","",IF('Ügyfelek'!M156="",'Beállítások'!$B$45,MIN(5,MAX(1,ROUND('Ügyfelek'!M156,0)))))</f>
        <v/>
      </c>
      <c r="K156">
        <f>IF($A156="","",IF('Ügyfelek'!P156="",'Beállítások'!$B$45,MIN(5,MAX(1,ROUND('Ügyfelek'!P156,0)))))</f>
        <v/>
      </c>
      <c r="L156">
        <f>IF($A156="","",IF('Ügyfelek'!O156="",'Beállítások'!$B$45,MIN(5,MAX(1,ROUND('Ügyfelek'!O156,0)))))</f>
        <v/>
      </c>
      <c r="M156" s="13">
        <f>IF($A156="","",ROUND('Beállítások'!$E$6*(B156-1)/4+'Beállítások'!$E$7*(C156-1)/4+'Beállítások'!$E$8*(D156-1)/4+'Beállítások'!$E$9*(E156-1)/4+'Beállítások'!$E$10*(F156-1)/4+'Beállítások'!$E$11*(G156-1)/4+'Beállítások'!$E$12*(H156-1)/4+'Beállítások'!$E$13*(I156-1)/4+'Beállítások'!$E$14*(J156-1)/4+'Beállítások'!$E$15*(K156-1)/4+'Beállítások'!$E$16*(L156-1)/4,1))</f>
        <v/>
      </c>
      <c r="N156" s="14">
        <f>IF($A156="","",RANK(M156,$M$2:$M$201))</f>
        <v/>
      </c>
      <c r="O156">
        <f>IF($A156="","",VLOOKUP(M156,'Beállítások'!$A$57:$E$60,2,TRUE))</f>
        <v/>
      </c>
      <c r="P156">
        <f>IF($A156="","",VLOOKUP(M156,'Beállítások'!$A$57:$E$60,3,TRUE))</f>
        <v/>
      </c>
      <c r="Q156">
        <f>IF($A156="","",INDEX('Beállítások'!$B$6:$B$16,MATCH(MAX(AD156:AN156),AD156:AN156,0)))</f>
        <v/>
      </c>
      <c r="R156">
        <f>IF($A156="","",IF(MAX(AO156:AY156)=0,"—",INDEX('Beállítások'!$B$6:$B$16,MATCH(MAX(AO156:AY156),AO156:AY156,0))))</f>
        <v/>
      </c>
      <c r="S156" s="5">
        <f>IF($A156="","",'Beállítások'!$B$47*(TRIM('Ügyfelek'!E156)="igen")+'Beállítások'!$B$48*(TRIM('Ügyfelek'!F156)="igen")+'Beállítások'!$B$49*N('Ügyfelek'!G156)+'Beállítások'!$B$46*N('Ügyfelek'!H156))</f>
        <v/>
      </c>
      <c r="T156" s="15">
        <f>IF($A156="","",VLOOKUP(M156,'Beállítások'!$A$57:$E$60,4,TRUE))</f>
        <v/>
      </c>
      <c r="U156" s="5">
        <f>IF($A156="","",N('Ügyfelek'!D156)*'Beállítások'!$B$51)</f>
        <v/>
      </c>
      <c r="V156" s="5">
        <f>IF($A156="","",CEILING(ROUND(MAX('Beállítások'!$B$50,S156*T156,U156),2),'Beállítások'!$B$52))</f>
        <v/>
      </c>
      <c r="W156">
        <f>IF($A156="","",IF(MAX('Beállítások'!$B$50,S156*T156,U156)=S156*T156,"Munkaigény × szintszorzó",IF(MAX('Beállítások'!$B$50,S156*T156,U156)=U156,"Hirdetési keret arányában","Minimumdíj")))</f>
        <v/>
      </c>
      <c r="X156" s="5">
        <f>IF(OR($A156="",'Ügyfelek'!Q156=""),"",'Ügyfelek'!Q156)</f>
        <v/>
      </c>
      <c r="Y156" s="5">
        <f>IF(X156="","",V156-X156)</f>
        <v/>
      </c>
      <c r="Z156" s="16">
        <f>IF(OR(X156="",X156=0),"",Y156/X156)</f>
        <v/>
      </c>
      <c r="AA156" s="5">
        <f>IF(OR($A156="",'Ügyfelek'!R156=""),"",'Ügyfelek'!R156*VLOOKUP(M156,'Beállítások'!$A$57:$E$60,5,TRUE))</f>
        <v/>
      </c>
      <c r="AB156" s="14">
        <f>IF($A156="","",('Ügyfelek'!B156="")+('Ügyfelek'!C156="")+('Ügyfelek'!D156="")+('Ügyfelek'!L156="")+('Ügyfelek'!I156="")+('Ügyfelek'!N156="")+('Ügyfelek'!J156="")+('Ügyfelek'!K156="")+('Ügyfelek'!M156="")+('Ügyfelek'!P156="")+('Ügyfelek'!O156=""))</f>
        <v/>
      </c>
      <c r="AD156">
        <f>IF($A156="","",B156+'Beállítások'!$E$6/1000)</f>
        <v/>
      </c>
      <c r="AE156">
        <f>IF($A156="","",C156+'Beállítások'!$E$7/1000)</f>
        <v/>
      </c>
      <c r="AF156">
        <f>IF($A156="","",D156+'Beállítások'!$E$8/1000)</f>
        <v/>
      </c>
      <c r="AG156">
        <f>IF($A156="","",E156+'Beállítások'!$E$9/1000)</f>
        <v/>
      </c>
      <c r="AH156">
        <f>IF($A156="","",F156+'Beállítások'!$E$10/1000)</f>
        <v/>
      </c>
      <c r="AI156">
        <f>IF($A156="","",G156+'Beállítások'!$E$11/1000)</f>
        <v/>
      </c>
      <c r="AJ156">
        <f>IF($A156="","",H156+'Beállítások'!$E$12/1000)</f>
        <v/>
      </c>
      <c r="AK156">
        <f>IF($A156="","",I156+'Beállítások'!$E$13/1000)</f>
        <v/>
      </c>
      <c r="AL156">
        <f>IF($A156="","",J156+'Beállítások'!$E$14/1000)</f>
        <v/>
      </c>
      <c r="AM156">
        <f>IF($A156="","",K156+'Beállítások'!$E$15/1000)</f>
        <v/>
      </c>
      <c r="AN156">
        <f>IF($A156="","",L156+'Beállítások'!$E$16/1000)</f>
        <v/>
      </c>
      <c r="AO156">
        <f>IF($A156="","",'Beállítások'!$E$6*(5-B156))</f>
        <v/>
      </c>
      <c r="AP156">
        <f>IF($A156="","",'Beállítások'!$E$7*(5-C156))</f>
        <v/>
      </c>
      <c r="AQ156">
        <f>IF($A156="","",'Beállítások'!$E$8*(5-D156))</f>
        <v/>
      </c>
      <c r="AR156">
        <f>IF($A156="","",'Beállítások'!$E$9*(5-E156))</f>
        <v/>
      </c>
      <c r="AS156">
        <f>IF($A156="","",'Beállítások'!$E$10*(5-F156))</f>
        <v/>
      </c>
      <c r="AT156">
        <f>IF($A156="","",'Beállítások'!$E$11*(5-G156))</f>
        <v/>
      </c>
      <c r="AU156">
        <f>IF($A156="","",'Beállítások'!$E$12*(5-H156))</f>
        <v/>
      </c>
      <c r="AV156">
        <f>IF($A156="","",'Beállítások'!$E$13*(5-I156))</f>
        <v/>
      </c>
      <c r="AW156">
        <f>IF($A156="","",'Beállítások'!$E$14*(5-J156))</f>
        <v/>
      </c>
      <c r="AX156">
        <f>IF($A156="","",'Beállítások'!$E$15*(5-K156))</f>
        <v/>
      </c>
      <c r="AY156">
        <f>IF($A156="","",'Beállítások'!$E$16*(5-L156))</f>
        <v/>
      </c>
      <c r="AZ156">
        <f>IF($A156="","",M156-ROW()/100000)</f>
        <v/>
      </c>
    </row>
    <row r="157">
      <c r="A157">
        <f>IF('Ügyfelek'!A157="","",'Ügyfelek'!A157)</f>
        <v/>
      </c>
      <c r="B157">
        <f>IF($A157="","",IF('Ügyfelek'!B157="",'Beállítások'!$B$45,IFERROR(VLOOKUP(TRIM('Ügyfelek'!B157),'Beállítások'!$A$22:$B$41,2,FALSE),'Beállítások'!$B$45)))</f>
        <v/>
      </c>
      <c r="C157">
        <f>IF($A157="","",IF('Ügyfelek'!C157="",'Beállítások'!$B$45,VLOOKUP(MAX('Ügyfelek'!C157,'Beállítások'!$H$7),'Beállítások'!$H$7:$I$11,2,TRUE)))</f>
        <v/>
      </c>
      <c r="D157">
        <f>IF($A157="","",IF('Ügyfelek'!D157="",'Beállítások'!$B$45,VLOOKUP(MAX('Ügyfelek'!D157,'Beállítások'!$K$7),'Beállítások'!$K$7:$L$11,2,TRUE)))</f>
        <v/>
      </c>
      <c r="E157">
        <f>IF($A157="","",IF('Ügyfelek'!L157="",'Beállítások'!$B$45,MIN(5,MAX(1,ROUND('Ügyfelek'!L157,0)))))</f>
        <v/>
      </c>
      <c r="F157">
        <f>IF($A157="","",IF('Ügyfelek'!I157="",'Beállítások'!$B$45,VLOOKUP(MAX('Ügyfelek'!I157,'Beállítások'!$N$7),'Beállítások'!$N$7:$O$11,2,TRUE)))</f>
        <v/>
      </c>
      <c r="G157">
        <f>IF($A157="","",IF('Ügyfelek'!N157="",'Beállítások'!$B$45,MIN(5,MAX(1,ROUND('Ügyfelek'!N157,0)))))</f>
        <v/>
      </c>
      <c r="H157">
        <f>IF($A157="","",IF('Ügyfelek'!J157="",'Beállítások'!$B$45,VLOOKUP(MAX('Ügyfelek'!J157,'Beállítások'!$Q$7),'Beállítások'!$Q$7:$R$11,2,TRUE)))</f>
        <v/>
      </c>
      <c r="I157">
        <f>IF($A157="","",IF('Ügyfelek'!K157="",'Beállítások'!$B$45,VLOOKUP(MAX('Ügyfelek'!K157,'Beállítások'!$T$7),'Beállítások'!$T$7:$U$11,2,TRUE)))</f>
        <v/>
      </c>
      <c r="J157">
        <f>IF($A157="","",IF('Ügyfelek'!M157="",'Beállítások'!$B$45,MIN(5,MAX(1,ROUND('Ügyfelek'!M157,0)))))</f>
        <v/>
      </c>
      <c r="K157">
        <f>IF($A157="","",IF('Ügyfelek'!P157="",'Beállítások'!$B$45,MIN(5,MAX(1,ROUND('Ügyfelek'!P157,0)))))</f>
        <v/>
      </c>
      <c r="L157">
        <f>IF($A157="","",IF('Ügyfelek'!O157="",'Beállítások'!$B$45,MIN(5,MAX(1,ROUND('Ügyfelek'!O157,0)))))</f>
        <v/>
      </c>
      <c r="M157" s="13">
        <f>IF($A157="","",ROUND('Beállítások'!$E$6*(B157-1)/4+'Beállítások'!$E$7*(C157-1)/4+'Beállítások'!$E$8*(D157-1)/4+'Beállítások'!$E$9*(E157-1)/4+'Beállítások'!$E$10*(F157-1)/4+'Beállítások'!$E$11*(G157-1)/4+'Beállítások'!$E$12*(H157-1)/4+'Beállítások'!$E$13*(I157-1)/4+'Beállítások'!$E$14*(J157-1)/4+'Beállítások'!$E$15*(K157-1)/4+'Beállítások'!$E$16*(L157-1)/4,1))</f>
        <v/>
      </c>
      <c r="N157" s="14">
        <f>IF($A157="","",RANK(M157,$M$2:$M$201))</f>
        <v/>
      </c>
      <c r="O157">
        <f>IF($A157="","",VLOOKUP(M157,'Beállítások'!$A$57:$E$60,2,TRUE))</f>
        <v/>
      </c>
      <c r="P157">
        <f>IF($A157="","",VLOOKUP(M157,'Beállítások'!$A$57:$E$60,3,TRUE))</f>
        <v/>
      </c>
      <c r="Q157">
        <f>IF($A157="","",INDEX('Beállítások'!$B$6:$B$16,MATCH(MAX(AD157:AN157),AD157:AN157,0)))</f>
        <v/>
      </c>
      <c r="R157">
        <f>IF($A157="","",IF(MAX(AO157:AY157)=0,"—",INDEX('Beállítások'!$B$6:$B$16,MATCH(MAX(AO157:AY157),AO157:AY157,0))))</f>
        <v/>
      </c>
      <c r="S157" s="5">
        <f>IF($A157="","",'Beállítások'!$B$47*(TRIM('Ügyfelek'!E157)="igen")+'Beállítások'!$B$48*(TRIM('Ügyfelek'!F157)="igen")+'Beállítások'!$B$49*N('Ügyfelek'!G157)+'Beállítások'!$B$46*N('Ügyfelek'!H157))</f>
        <v/>
      </c>
      <c r="T157" s="15">
        <f>IF($A157="","",VLOOKUP(M157,'Beállítások'!$A$57:$E$60,4,TRUE))</f>
        <v/>
      </c>
      <c r="U157" s="5">
        <f>IF($A157="","",N('Ügyfelek'!D157)*'Beállítások'!$B$51)</f>
        <v/>
      </c>
      <c r="V157" s="5">
        <f>IF($A157="","",CEILING(ROUND(MAX('Beállítások'!$B$50,S157*T157,U157),2),'Beállítások'!$B$52))</f>
        <v/>
      </c>
      <c r="W157">
        <f>IF($A157="","",IF(MAX('Beállítások'!$B$50,S157*T157,U157)=S157*T157,"Munkaigény × szintszorzó",IF(MAX('Beállítások'!$B$50,S157*T157,U157)=U157,"Hirdetési keret arányában","Minimumdíj")))</f>
        <v/>
      </c>
      <c r="X157" s="5">
        <f>IF(OR($A157="",'Ügyfelek'!Q157=""),"",'Ügyfelek'!Q157)</f>
        <v/>
      </c>
      <c r="Y157" s="5">
        <f>IF(X157="","",V157-X157)</f>
        <v/>
      </c>
      <c r="Z157" s="16">
        <f>IF(OR(X157="",X157=0),"",Y157/X157)</f>
        <v/>
      </c>
      <c r="AA157" s="5">
        <f>IF(OR($A157="",'Ügyfelek'!R157=""),"",'Ügyfelek'!R157*VLOOKUP(M157,'Beállítások'!$A$57:$E$60,5,TRUE))</f>
        <v/>
      </c>
      <c r="AB157" s="14">
        <f>IF($A157="","",('Ügyfelek'!B157="")+('Ügyfelek'!C157="")+('Ügyfelek'!D157="")+('Ügyfelek'!L157="")+('Ügyfelek'!I157="")+('Ügyfelek'!N157="")+('Ügyfelek'!J157="")+('Ügyfelek'!K157="")+('Ügyfelek'!M157="")+('Ügyfelek'!P157="")+('Ügyfelek'!O157=""))</f>
        <v/>
      </c>
      <c r="AD157">
        <f>IF($A157="","",B157+'Beállítások'!$E$6/1000)</f>
        <v/>
      </c>
      <c r="AE157">
        <f>IF($A157="","",C157+'Beállítások'!$E$7/1000)</f>
        <v/>
      </c>
      <c r="AF157">
        <f>IF($A157="","",D157+'Beállítások'!$E$8/1000)</f>
        <v/>
      </c>
      <c r="AG157">
        <f>IF($A157="","",E157+'Beállítások'!$E$9/1000)</f>
        <v/>
      </c>
      <c r="AH157">
        <f>IF($A157="","",F157+'Beállítások'!$E$10/1000)</f>
        <v/>
      </c>
      <c r="AI157">
        <f>IF($A157="","",G157+'Beállítások'!$E$11/1000)</f>
        <v/>
      </c>
      <c r="AJ157">
        <f>IF($A157="","",H157+'Beállítások'!$E$12/1000)</f>
        <v/>
      </c>
      <c r="AK157">
        <f>IF($A157="","",I157+'Beállítások'!$E$13/1000)</f>
        <v/>
      </c>
      <c r="AL157">
        <f>IF($A157="","",J157+'Beállítások'!$E$14/1000)</f>
        <v/>
      </c>
      <c r="AM157">
        <f>IF($A157="","",K157+'Beállítások'!$E$15/1000)</f>
        <v/>
      </c>
      <c r="AN157">
        <f>IF($A157="","",L157+'Beállítások'!$E$16/1000)</f>
        <v/>
      </c>
      <c r="AO157">
        <f>IF($A157="","",'Beállítások'!$E$6*(5-B157))</f>
        <v/>
      </c>
      <c r="AP157">
        <f>IF($A157="","",'Beállítások'!$E$7*(5-C157))</f>
        <v/>
      </c>
      <c r="AQ157">
        <f>IF($A157="","",'Beállítások'!$E$8*(5-D157))</f>
        <v/>
      </c>
      <c r="AR157">
        <f>IF($A157="","",'Beállítások'!$E$9*(5-E157))</f>
        <v/>
      </c>
      <c r="AS157">
        <f>IF($A157="","",'Beállítások'!$E$10*(5-F157))</f>
        <v/>
      </c>
      <c r="AT157">
        <f>IF($A157="","",'Beállítások'!$E$11*(5-G157))</f>
        <v/>
      </c>
      <c r="AU157">
        <f>IF($A157="","",'Beállítások'!$E$12*(5-H157))</f>
        <v/>
      </c>
      <c r="AV157">
        <f>IF($A157="","",'Beállítások'!$E$13*(5-I157))</f>
        <v/>
      </c>
      <c r="AW157">
        <f>IF($A157="","",'Beállítások'!$E$14*(5-J157))</f>
        <v/>
      </c>
      <c r="AX157">
        <f>IF($A157="","",'Beállítások'!$E$15*(5-K157))</f>
        <v/>
      </c>
      <c r="AY157">
        <f>IF($A157="","",'Beállítások'!$E$16*(5-L157))</f>
        <v/>
      </c>
      <c r="AZ157">
        <f>IF($A157="","",M157-ROW()/100000)</f>
        <v/>
      </c>
    </row>
    <row r="158">
      <c r="A158">
        <f>IF('Ügyfelek'!A158="","",'Ügyfelek'!A158)</f>
        <v/>
      </c>
      <c r="B158">
        <f>IF($A158="","",IF('Ügyfelek'!B158="",'Beállítások'!$B$45,IFERROR(VLOOKUP(TRIM('Ügyfelek'!B158),'Beállítások'!$A$22:$B$41,2,FALSE),'Beállítások'!$B$45)))</f>
        <v/>
      </c>
      <c r="C158">
        <f>IF($A158="","",IF('Ügyfelek'!C158="",'Beállítások'!$B$45,VLOOKUP(MAX('Ügyfelek'!C158,'Beállítások'!$H$7),'Beállítások'!$H$7:$I$11,2,TRUE)))</f>
        <v/>
      </c>
      <c r="D158">
        <f>IF($A158="","",IF('Ügyfelek'!D158="",'Beállítások'!$B$45,VLOOKUP(MAX('Ügyfelek'!D158,'Beállítások'!$K$7),'Beállítások'!$K$7:$L$11,2,TRUE)))</f>
        <v/>
      </c>
      <c r="E158">
        <f>IF($A158="","",IF('Ügyfelek'!L158="",'Beállítások'!$B$45,MIN(5,MAX(1,ROUND('Ügyfelek'!L158,0)))))</f>
        <v/>
      </c>
      <c r="F158">
        <f>IF($A158="","",IF('Ügyfelek'!I158="",'Beállítások'!$B$45,VLOOKUP(MAX('Ügyfelek'!I158,'Beállítások'!$N$7),'Beállítások'!$N$7:$O$11,2,TRUE)))</f>
        <v/>
      </c>
      <c r="G158">
        <f>IF($A158="","",IF('Ügyfelek'!N158="",'Beállítások'!$B$45,MIN(5,MAX(1,ROUND('Ügyfelek'!N158,0)))))</f>
        <v/>
      </c>
      <c r="H158">
        <f>IF($A158="","",IF('Ügyfelek'!J158="",'Beállítások'!$B$45,VLOOKUP(MAX('Ügyfelek'!J158,'Beállítások'!$Q$7),'Beállítások'!$Q$7:$R$11,2,TRUE)))</f>
        <v/>
      </c>
      <c r="I158">
        <f>IF($A158="","",IF('Ügyfelek'!K158="",'Beállítások'!$B$45,VLOOKUP(MAX('Ügyfelek'!K158,'Beállítások'!$T$7),'Beállítások'!$T$7:$U$11,2,TRUE)))</f>
        <v/>
      </c>
      <c r="J158">
        <f>IF($A158="","",IF('Ügyfelek'!M158="",'Beállítások'!$B$45,MIN(5,MAX(1,ROUND('Ügyfelek'!M158,0)))))</f>
        <v/>
      </c>
      <c r="K158">
        <f>IF($A158="","",IF('Ügyfelek'!P158="",'Beállítások'!$B$45,MIN(5,MAX(1,ROUND('Ügyfelek'!P158,0)))))</f>
        <v/>
      </c>
      <c r="L158">
        <f>IF($A158="","",IF('Ügyfelek'!O158="",'Beállítások'!$B$45,MIN(5,MAX(1,ROUND('Ügyfelek'!O158,0)))))</f>
        <v/>
      </c>
      <c r="M158" s="13">
        <f>IF($A158="","",ROUND('Beállítások'!$E$6*(B158-1)/4+'Beállítások'!$E$7*(C158-1)/4+'Beállítások'!$E$8*(D158-1)/4+'Beállítások'!$E$9*(E158-1)/4+'Beállítások'!$E$10*(F158-1)/4+'Beállítások'!$E$11*(G158-1)/4+'Beállítások'!$E$12*(H158-1)/4+'Beállítások'!$E$13*(I158-1)/4+'Beállítások'!$E$14*(J158-1)/4+'Beállítások'!$E$15*(K158-1)/4+'Beállítások'!$E$16*(L158-1)/4,1))</f>
        <v/>
      </c>
      <c r="N158" s="14">
        <f>IF($A158="","",RANK(M158,$M$2:$M$201))</f>
        <v/>
      </c>
      <c r="O158">
        <f>IF($A158="","",VLOOKUP(M158,'Beállítások'!$A$57:$E$60,2,TRUE))</f>
        <v/>
      </c>
      <c r="P158">
        <f>IF($A158="","",VLOOKUP(M158,'Beállítások'!$A$57:$E$60,3,TRUE))</f>
        <v/>
      </c>
      <c r="Q158">
        <f>IF($A158="","",INDEX('Beállítások'!$B$6:$B$16,MATCH(MAX(AD158:AN158),AD158:AN158,0)))</f>
        <v/>
      </c>
      <c r="R158">
        <f>IF($A158="","",IF(MAX(AO158:AY158)=0,"—",INDEX('Beállítások'!$B$6:$B$16,MATCH(MAX(AO158:AY158),AO158:AY158,0))))</f>
        <v/>
      </c>
      <c r="S158" s="5">
        <f>IF($A158="","",'Beállítások'!$B$47*(TRIM('Ügyfelek'!E158)="igen")+'Beállítások'!$B$48*(TRIM('Ügyfelek'!F158)="igen")+'Beállítások'!$B$49*N('Ügyfelek'!G158)+'Beállítások'!$B$46*N('Ügyfelek'!H158))</f>
        <v/>
      </c>
      <c r="T158" s="15">
        <f>IF($A158="","",VLOOKUP(M158,'Beállítások'!$A$57:$E$60,4,TRUE))</f>
        <v/>
      </c>
      <c r="U158" s="5">
        <f>IF($A158="","",N('Ügyfelek'!D158)*'Beállítások'!$B$51)</f>
        <v/>
      </c>
      <c r="V158" s="5">
        <f>IF($A158="","",CEILING(ROUND(MAX('Beállítások'!$B$50,S158*T158,U158),2),'Beállítások'!$B$52))</f>
        <v/>
      </c>
      <c r="W158">
        <f>IF($A158="","",IF(MAX('Beállítások'!$B$50,S158*T158,U158)=S158*T158,"Munkaigény × szintszorzó",IF(MAX('Beállítások'!$B$50,S158*T158,U158)=U158,"Hirdetési keret arányában","Minimumdíj")))</f>
        <v/>
      </c>
      <c r="X158" s="5">
        <f>IF(OR($A158="",'Ügyfelek'!Q158=""),"",'Ügyfelek'!Q158)</f>
        <v/>
      </c>
      <c r="Y158" s="5">
        <f>IF(X158="","",V158-X158)</f>
        <v/>
      </c>
      <c r="Z158" s="16">
        <f>IF(OR(X158="",X158=0),"",Y158/X158)</f>
        <v/>
      </c>
      <c r="AA158" s="5">
        <f>IF(OR($A158="",'Ügyfelek'!R158=""),"",'Ügyfelek'!R158*VLOOKUP(M158,'Beállítások'!$A$57:$E$60,5,TRUE))</f>
        <v/>
      </c>
      <c r="AB158" s="14">
        <f>IF($A158="","",('Ügyfelek'!B158="")+('Ügyfelek'!C158="")+('Ügyfelek'!D158="")+('Ügyfelek'!L158="")+('Ügyfelek'!I158="")+('Ügyfelek'!N158="")+('Ügyfelek'!J158="")+('Ügyfelek'!K158="")+('Ügyfelek'!M158="")+('Ügyfelek'!P158="")+('Ügyfelek'!O158=""))</f>
        <v/>
      </c>
      <c r="AD158">
        <f>IF($A158="","",B158+'Beállítások'!$E$6/1000)</f>
        <v/>
      </c>
      <c r="AE158">
        <f>IF($A158="","",C158+'Beállítások'!$E$7/1000)</f>
        <v/>
      </c>
      <c r="AF158">
        <f>IF($A158="","",D158+'Beállítások'!$E$8/1000)</f>
        <v/>
      </c>
      <c r="AG158">
        <f>IF($A158="","",E158+'Beállítások'!$E$9/1000)</f>
        <v/>
      </c>
      <c r="AH158">
        <f>IF($A158="","",F158+'Beállítások'!$E$10/1000)</f>
        <v/>
      </c>
      <c r="AI158">
        <f>IF($A158="","",G158+'Beállítások'!$E$11/1000)</f>
        <v/>
      </c>
      <c r="AJ158">
        <f>IF($A158="","",H158+'Beállítások'!$E$12/1000)</f>
        <v/>
      </c>
      <c r="AK158">
        <f>IF($A158="","",I158+'Beállítások'!$E$13/1000)</f>
        <v/>
      </c>
      <c r="AL158">
        <f>IF($A158="","",J158+'Beállítások'!$E$14/1000)</f>
        <v/>
      </c>
      <c r="AM158">
        <f>IF($A158="","",K158+'Beállítások'!$E$15/1000)</f>
        <v/>
      </c>
      <c r="AN158">
        <f>IF($A158="","",L158+'Beállítások'!$E$16/1000)</f>
        <v/>
      </c>
      <c r="AO158">
        <f>IF($A158="","",'Beállítások'!$E$6*(5-B158))</f>
        <v/>
      </c>
      <c r="AP158">
        <f>IF($A158="","",'Beállítások'!$E$7*(5-C158))</f>
        <v/>
      </c>
      <c r="AQ158">
        <f>IF($A158="","",'Beállítások'!$E$8*(5-D158))</f>
        <v/>
      </c>
      <c r="AR158">
        <f>IF($A158="","",'Beállítások'!$E$9*(5-E158))</f>
        <v/>
      </c>
      <c r="AS158">
        <f>IF($A158="","",'Beállítások'!$E$10*(5-F158))</f>
        <v/>
      </c>
      <c r="AT158">
        <f>IF($A158="","",'Beállítások'!$E$11*(5-G158))</f>
        <v/>
      </c>
      <c r="AU158">
        <f>IF($A158="","",'Beállítások'!$E$12*(5-H158))</f>
        <v/>
      </c>
      <c r="AV158">
        <f>IF($A158="","",'Beállítások'!$E$13*(5-I158))</f>
        <v/>
      </c>
      <c r="AW158">
        <f>IF($A158="","",'Beállítások'!$E$14*(5-J158))</f>
        <v/>
      </c>
      <c r="AX158">
        <f>IF($A158="","",'Beállítások'!$E$15*(5-K158))</f>
        <v/>
      </c>
      <c r="AY158">
        <f>IF($A158="","",'Beállítások'!$E$16*(5-L158))</f>
        <v/>
      </c>
      <c r="AZ158">
        <f>IF($A158="","",M158-ROW()/100000)</f>
        <v/>
      </c>
    </row>
    <row r="159">
      <c r="A159">
        <f>IF('Ügyfelek'!A159="","",'Ügyfelek'!A159)</f>
        <v/>
      </c>
      <c r="B159">
        <f>IF($A159="","",IF('Ügyfelek'!B159="",'Beállítások'!$B$45,IFERROR(VLOOKUP(TRIM('Ügyfelek'!B159),'Beállítások'!$A$22:$B$41,2,FALSE),'Beállítások'!$B$45)))</f>
        <v/>
      </c>
      <c r="C159">
        <f>IF($A159="","",IF('Ügyfelek'!C159="",'Beállítások'!$B$45,VLOOKUP(MAX('Ügyfelek'!C159,'Beállítások'!$H$7),'Beállítások'!$H$7:$I$11,2,TRUE)))</f>
        <v/>
      </c>
      <c r="D159">
        <f>IF($A159="","",IF('Ügyfelek'!D159="",'Beállítások'!$B$45,VLOOKUP(MAX('Ügyfelek'!D159,'Beállítások'!$K$7),'Beállítások'!$K$7:$L$11,2,TRUE)))</f>
        <v/>
      </c>
      <c r="E159">
        <f>IF($A159="","",IF('Ügyfelek'!L159="",'Beállítások'!$B$45,MIN(5,MAX(1,ROUND('Ügyfelek'!L159,0)))))</f>
        <v/>
      </c>
      <c r="F159">
        <f>IF($A159="","",IF('Ügyfelek'!I159="",'Beállítások'!$B$45,VLOOKUP(MAX('Ügyfelek'!I159,'Beállítások'!$N$7),'Beállítások'!$N$7:$O$11,2,TRUE)))</f>
        <v/>
      </c>
      <c r="G159">
        <f>IF($A159="","",IF('Ügyfelek'!N159="",'Beállítások'!$B$45,MIN(5,MAX(1,ROUND('Ügyfelek'!N159,0)))))</f>
        <v/>
      </c>
      <c r="H159">
        <f>IF($A159="","",IF('Ügyfelek'!J159="",'Beállítások'!$B$45,VLOOKUP(MAX('Ügyfelek'!J159,'Beállítások'!$Q$7),'Beállítások'!$Q$7:$R$11,2,TRUE)))</f>
        <v/>
      </c>
      <c r="I159">
        <f>IF($A159="","",IF('Ügyfelek'!K159="",'Beállítások'!$B$45,VLOOKUP(MAX('Ügyfelek'!K159,'Beállítások'!$T$7),'Beállítások'!$T$7:$U$11,2,TRUE)))</f>
        <v/>
      </c>
      <c r="J159">
        <f>IF($A159="","",IF('Ügyfelek'!M159="",'Beállítások'!$B$45,MIN(5,MAX(1,ROUND('Ügyfelek'!M159,0)))))</f>
        <v/>
      </c>
      <c r="K159">
        <f>IF($A159="","",IF('Ügyfelek'!P159="",'Beállítások'!$B$45,MIN(5,MAX(1,ROUND('Ügyfelek'!P159,0)))))</f>
        <v/>
      </c>
      <c r="L159">
        <f>IF($A159="","",IF('Ügyfelek'!O159="",'Beállítások'!$B$45,MIN(5,MAX(1,ROUND('Ügyfelek'!O159,0)))))</f>
        <v/>
      </c>
      <c r="M159" s="13">
        <f>IF($A159="","",ROUND('Beállítások'!$E$6*(B159-1)/4+'Beállítások'!$E$7*(C159-1)/4+'Beállítások'!$E$8*(D159-1)/4+'Beállítások'!$E$9*(E159-1)/4+'Beállítások'!$E$10*(F159-1)/4+'Beállítások'!$E$11*(G159-1)/4+'Beállítások'!$E$12*(H159-1)/4+'Beállítások'!$E$13*(I159-1)/4+'Beállítások'!$E$14*(J159-1)/4+'Beállítások'!$E$15*(K159-1)/4+'Beállítások'!$E$16*(L159-1)/4,1))</f>
        <v/>
      </c>
      <c r="N159" s="14">
        <f>IF($A159="","",RANK(M159,$M$2:$M$201))</f>
        <v/>
      </c>
      <c r="O159">
        <f>IF($A159="","",VLOOKUP(M159,'Beállítások'!$A$57:$E$60,2,TRUE))</f>
        <v/>
      </c>
      <c r="P159">
        <f>IF($A159="","",VLOOKUP(M159,'Beállítások'!$A$57:$E$60,3,TRUE))</f>
        <v/>
      </c>
      <c r="Q159">
        <f>IF($A159="","",INDEX('Beállítások'!$B$6:$B$16,MATCH(MAX(AD159:AN159),AD159:AN159,0)))</f>
        <v/>
      </c>
      <c r="R159">
        <f>IF($A159="","",IF(MAX(AO159:AY159)=0,"—",INDEX('Beállítások'!$B$6:$B$16,MATCH(MAX(AO159:AY159),AO159:AY159,0))))</f>
        <v/>
      </c>
      <c r="S159" s="5">
        <f>IF($A159="","",'Beállítások'!$B$47*(TRIM('Ügyfelek'!E159)="igen")+'Beállítások'!$B$48*(TRIM('Ügyfelek'!F159)="igen")+'Beállítások'!$B$49*N('Ügyfelek'!G159)+'Beállítások'!$B$46*N('Ügyfelek'!H159))</f>
        <v/>
      </c>
      <c r="T159" s="15">
        <f>IF($A159="","",VLOOKUP(M159,'Beállítások'!$A$57:$E$60,4,TRUE))</f>
        <v/>
      </c>
      <c r="U159" s="5">
        <f>IF($A159="","",N('Ügyfelek'!D159)*'Beállítások'!$B$51)</f>
        <v/>
      </c>
      <c r="V159" s="5">
        <f>IF($A159="","",CEILING(ROUND(MAX('Beállítások'!$B$50,S159*T159,U159),2),'Beállítások'!$B$52))</f>
        <v/>
      </c>
      <c r="W159">
        <f>IF($A159="","",IF(MAX('Beállítások'!$B$50,S159*T159,U159)=S159*T159,"Munkaigény × szintszorzó",IF(MAX('Beállítások'!$B$50,S159*T159,U159)=U159,"Hirdetési keret arányában","Minimumdíj")))</f>
        <v/>
      </c>
      <c r="X159" s="5">
        <f>IF(OR($A159="",'Ügyfelek'!Q159=""),"",'Ügyfelek'!Q159)</f>
        <v/>
      </c>
      <c r="Y159" s="5">
        <f>IF(X159="","",V159-X159)</f>
        <v/>
      </c>
      <c r="Z159" s="16">
        <f>IF(OR(X159="",X159=0),"",Y159/X159)</f>
        <v/>
      </c>
      <c r="AA159" s="5">
        <f>IF(OR($A159="",'Ügyfelek'!R159=""),"",'Ügyfelek'!R159*VLOOKUP(M159,'Beállítások'!$A$57:$E$60,5,TRUE))</f>
        <v/>
      </c>
      <c r="AB159" s="14">
        <f>IF($A159="","",('Ügyfelek'!B159="")+('Ügyfelek'!C159="")+('Ügyfelek'!D159="")+('Ügyfelek'!L159="")+('Ügyfelek'!I159="")+('Ügyfelek'!N159="")+('Ügyfelek'!J159="")+('Ügyfelek'!K159="")+('Ügyfelek'!M159="")+('Ügyfelek'!P159="")+('Ügyfelek'!O159=""))</f>
        <v/>
      </c>
      <c r="AD159">
        <f>IF($A159="","",B159+'Beállítások'!$E$6/1000)</f>
        <v/>
      </c>
      <c r="AE159">
        <f>IF($A159="","",C159+'Beállítások'!$E$7/1000)</f>
        <v/>
      </c>
      <c r="AF159">
        <f>IF($A159="","",D159+'Beállítások'!$E$8/1000)</f>
        <v/>
      </c>
      <c r="AG159">
        <f>IF($A159="","",E159+'Beállítások'!$E$9/1000)</f>
        <v/>
      </c>
      <c r="AH159">
        <f>IF($A159="","",F159+'Beállítások'!$E$10/1000)</f>
        <v/>
      </c>
      <c r="AI159">
        <f>IF($A159="","",G159+'Beállítások'!$E$11/1000)</f>
        <v/>
      </c>
      <c r="AJ159">
        <f>IF($A159="","",H159+'Beállítások'!$E$12/1000)</f>
        <v/>
      </c>
      <c r="AK159">
        <f>IF($A159="","",I159+'Beállítások'!$E$13/1000)</f>
        <v/>
      </c>
      <c r="AL159">
        <f>IF($A159="","",J159+'Beállítások'!$E$14/1000)</f>
        <v/>
      </c>
      <c r="AM159">
        <f>IF($A159="","",K159+'Beállítások'!$E$15/1000)</f>
        <v/>
      </c>
      <c r="AN159">
        <f>IF($A159="","",L159+'Beállítások'!$E$16/1000)</f>
        <v/>
      </c>
      <c r="AO159">
        <f>IF($A159="","",'Beállítások'!$E$6*(5-B159))</f>
        <v/>
      </c>
      <c r="AP159">
        <f>IF($A159="","",'Beállítások'!$E$7*(5-C159))</f>
        <v/>
      </c>
      <c r="AQ159">
        <f>IF($A159="","",'Beállítások'!$E$8*(5-D159))</f>
        <v/>
      </c>
      <c r="AR159">
        <f>IF($A159="","",'Beállítások'!$E$9*(5-E159))</f>
        <v/>
      </c>
      <c r="AS159">
        <f>IF($A159="","",'Beállítások'!$E$10*(5-F159))</f>
        <v/>
      </c>
      <c r="AT159">
        <f>IF($A159="","",'Beállítások'!$E$11*(5-G159))</f>
        <v/>
      </c>
      <c r="AU159">
        <f>IF($A159="","",'Beállítások'!$E$12*(5-H159))</f>
        <v/>
      </c>
      <c r="AV159">
        <f>IF($A159="","",'Beállítások'!$E$13*(5-I159))</f>
        <v/>
      </c>
      <c r="AW159">
        <f>IF($A159="","",'Beállítások'!$E$14*(5-J159))</f>
        <v/>
      </c>
      <c r="AX159">
        <f>IF($A159="","",'Beállítások'!$E$15*(5-K159))</f>
        <v/>
      </c>
      <c r="AY159">
        <f>IF($A159="","",'Beállítások'!$E$16*(5-L159))</f>
        <v/>
      </c>
      <c r="AZ159">
        <f>IF($A159="","",M159-ROW()/100000)</f>
        <v/>
      </c>
    </row>
    <row r="160">
      <c r="A160">
        <f>IF('Ügyfelek'!A160="","",'Ügyfelek'!A160)</f>
        <v/>
      </c>
      <c r="B160">
        <f>IF($A160="","",IF('Ügyfelek'!B160="",'Beállítások'!$B$45,IFERROR(VLOOKUP(TRIM('Ügyfelek'!B160),'Beállítások'!$A$22:$B$41,2,FALSE),'Beállítások'!$B$45)))</f>
        <v/>
      </c>
      <c r="C160">
        <f>IF($A160="","",IF('Ügyfelek'!C160="",'Beállítások'!$B$45,VLOOKUP(MAX('Ügyfelek'!C160,'Beállítások'!$H$7),'Beállítások'!$H$7:$I$11,2,TRUE)))</f>
        <v/>
      </c>
      <c r="D160">
        <f>IF($A160="","",IF('Ügyfelek'!D160="",'Beállítások'!$B$45,VLOOKUP(MAX('Ügyfelek'!D160,'Beállítások'!$K$7),'Beállítások'!$K$7:$L$11,2,TRUE)))</f>
        <v/>
      </c>
      <c r="E160">
        <f>IF($A160="","",IF('Ügyfelek'!L160="",'Beállítások'!$B$45,MIN(5,MAX(1,ROUND('Ügyfelek'!L160,0)))))</f>
        <v/>
      </c>
      <c r="F160">
        <f>IF($A160="","",IF('Ügyfelek'!I160="",'Beállítások'!$B$45,VLOOKUP(MAX('Ügyfelek'!I160,'Beállítások'!$N$7),'Beállítások'!$N$7:$O$11,2,TRUE)))</f>
        <v/>
      </c>
      <c r="G160">
        <f>IF($A160="","",IF('Ügyfelek'!N160="",'Beállítások'!$B$45,MIN(5,MAX(1,ROUND('Ügyfelek'!N160,0)))))</f>
        <v/>
      </c>
      <c r="H160">
        <f>IF($A160="","",IF('Ügyfelek'!J160="",'Beállítások'!$B$45,VLOOKUP(MAX('Ügyfelek'!J160,'Beállítások'!$Q$7),'Beállítások'!$Q$7:$R$11,2,TRUE)))</f>
        <v/>
      </c>
      <c r="I160">
        <f>IF($A160="","",IF('Ügyfelek'!K160="",'Beállítások'!$B$45,VLOOKUP(MAX('Ügyfelek'!K160,'Beállítások'!$T$7),'Beállítások'!$T$7:$U$11,2,TRUE)))</f>
        <v/>
      </c>
      <c r="J160">
        <f>IF($A160="","",IF('Ügyfelek'!M160="",'Beállítások'!$B$45,MIN(5,MAX(1,ROUND('Ügyfelek'!M160,0)))))</f>
        <v/>
      </c>
      <c r="K160">
        <f>IF($A160="","",IF('Ügyfelek'!P160="",'Beállítások'!$B$45,MIN(5,MAX(1,ROUND('Ügyfelek'!P160,0)))))</f>
        <v/>
      </c>
      <c r="L160">
        <f>IF($A160="","",IF('Ügyfelek'!O160="",'Beállítások'!$B$45,MIN(5,MAX(1,ROUND('Ügyfelek'!O160,0)))))</f>
        <v/>
      </c>
      <c r="M160" s="13">
        <f>IF($A160="","",ROUND('Beállítások'!$E$6*(B160-1)/4+'Beállítások'!$E$7*(C160-1)/4+'Beállítások'!$E$8*(D160-1)/4+'Beállítások'!$E$9*(E160-1)/4+'Beállítások'!$E$10*(F160-1)/4+'Beállítások'!$E$11*(G160-1)/4+'Beállítások'!$E$12*(H160-1)/4+'Beállítások'!$E$13*(I160-1)/4+'Beállítások'!$E$14*(J160-1)/4+'Beállítások'!$E$15*(K160-1)/4+'Beállítások'!$E$16*(L160-1)/4,1))</f>
        <v/>
      </c>
      <c r="N160" s="14">
        <f>IF($A160="","",RANK(M160,$M$2:$M$201))</f>
        <v/>
      </c>
      <c r="O160">
        <f>IF($A160="","",VLOOKUP(M160,'Beállítások'!$A$57:$E$60,2,TRUE))</f>
        <v/>
      </c>
      <c r="P160">
        <f>IF($A160="","",VLOOKUP(M160,'Beállítások'!$A$57:$E$60,3,TRUE))</f>
        <v/>
      </c>
      <c r="Q160">
        <f>IF($A160="","",INDEX('Beállítások'!$B$6:$B$16,MATCH(MAX(AD160:AN160),AD160:AN160,0)))</f>
        <v/>
      </c>
      <c r="R160">
        <f>IF($A160="","",IF(MAX(AO160:AY160)=0,"—",INDEX('Beállítások'!$B$6:$B$16,MATCH(MAX(AO160:AY160),AO160:AY160,0))))</f>
        <v/>
      </c>
      <c r="S160" s="5">
        <f>IF($A160="","",'Beállítások'!$B$47*(TRIM('Ügyfelek'!E160)="igen")+'Beállítások'!$B$48*(TRIM('Ügyfelek'!F160)="igen")+'Beállítások'!$B$49*N('Ügyfelek'!G160)+'Beállítások'!$B$46*N('Ügyfelek'!H160))</f>
        <v/>
      </c>
      <c r="T160" s="15">
        <f>IF($A160="","",VLOOKUP(M160,'Beállítások'!$A$57:$E$60,4,TRUE))</f>
        <v/>
      </c>
      <c r="U160" s="5">
        <f>IF($A160="","",N('Ügyfelek'!D160)*'Beállítások'!$B$51)</f>
        <v/>
      </c>
      <c r="V160" s="5">
        <f>IF($A160="","",CEILING(ROUND(MAX('Beállítások'!$B$50,S160*T160,U160),2),'Beállítások'!$B$52))</f>
        <v/>
      </c>
      <c r="W160">
        <f>IF($A160="","",IF(MAX('Beállítások'!$B$50,S160*T160,U160)=S160*T160,"Munkaigény × szintszorzó",IF(MAX('Beállítások'!$B$50,S160*T160,U160)=U160,"Hirdetési keret arányában","Minimumdíj")))</f>
        <v/>
      </c>
      <c r="X160" s="5">
        <f>IF(OR($A160="",'Ügyfelek'!Q160=""),"",'Ügyfelek'!Q160)</f>
        <v/>
      </c>
      <c r="Y160" s="5">
        <f>IF(X160="","",V160-X160)</f>
        <v/>
      </c>
      <c r="Z160" s="16">
        <f>IF(OR(X160="",X160=0),"",Y160/X160)</f>
        <v/>
      </c>
      <c r="AA160" s="5">
        <f>IF(OR($A160="",'Ügyfelek'!R160=""),"",'Ügyfelek'!R160*VLOOKUP(M160,'Beállítások'!$A$57:$E$60,5,TRUE))</f>
        <v/>
      </c>
      <c r="AB160" s="14">
        <f>IF($A160="","",('Ügyfelek'!B160="")+('Ügyfelek'!C160="")+('Ügyfelek'!D160="")+('Ügyfelek'!L160="")+('Ügyfelek'!I160="")+('Ügyfelek'!N160="")+('Ügyfelek'!J160="")+('Ügyfelek'!K160="")+('Ügyfelek'!M160="")+('Ügyfelek'!P160="")+('Ügyfelek'!O160=""))</f>
        <v/>
      </c>
      <c r="AD160">
        <f>IF($A160="","",B160+'Beállítások'!$E$6/1000)</f>
        <v/>
      </c>
      <c r="AE160">
        <f>IF($A160="","",C160+'Beállítások'!$E$7/1000)</f>
        <v/>
      </c>
      <c r="AF160">
        <f>IF($A160="","",D160+'Beállítások'!$E$8/1000)</f>
        <v/>
      </c>
      <c r="AG160">
        <f>IF($A160="","",E160+'Beállítások'!$E$9/1000)</f>
        <v/>
      </c>
      <c r="AH160">
        <f>IF($A160="","",F160+'Beállítások'!$E$10/1000)</f>
        <v/>
      </c>
      <c r="AI160">
        <f>IF($A160="","",G160+'Beállítások'!$E$11/1000)</f>
        <v/>
      </c>
      <c r="AJ160">
        <f>IF($A160="","",H160+'Beállítások'!$E$12/1000)</f>
        <v/>
      </c>
      <c r="AK160">
        <f>IF($A160="","",I160+'Beállítások'!$E$13/1000)</f>
        <v/>
      </c>
      <c r="AL160">
        <f>IF($A160="","",J160+'Beállítások'!$E$14/1000)</f>
        <v/>
      </c>
      <c r="AM160">
        <f>IF($A160="","",K160+'Beállítások'!$E$15/1000)</f>
        <v/>
      </c>
      <c r="AN160">
        <f>IF($A160="","",L160+'Beállítások'!$E$16/1000)</f>
        <v/>
      </c>
      <c r="AO160">
        <f>IF($A160="","",'Beállítások'!$E$6*(5-B160))</f>
        <v/>
      </c>
      <c r="AP160">
        <f>IF($A160="","",'Beállítások'!$E$7*(5-C160))</f>
        <v/>
      </c>
      <c r="AQ160">
        <f>IF($A160="","",'Beállítások'!$E$8*(5-D160))</f>
        <v/>
      </c>
      <c r="AR160">
        <f>IF($A160="","",'Beállítások'!$E$9*(5-E160))</f>
        <v/>
      </c>
      <c r="AS160">
        <f>IF($A160="","",'Beállítások'!$E$10*(5-F160))</f>
        <v/>
      </c>
      <c r="AT160">
        <f>IF($A160="","",'Beállítások'!$E$11*(5-G160))</f>
        <v/>
      </c>
      <c r="AU160">
        <f>IF($A160="","",'Beállítások'!$E$12*(5-H160))</f>
        <v/>
      </c>
      <c r="AV160">
        <f>IF($A160="","",'Beállítások'!$E$13*(5-I160))</f>
        <v/>
      </c>
      <c r="AW160">
        <f>IF($A160="","",'Beállítások'!$E$14*(5-J160))</f>
        <v/>
      </c>
      <c r="AX160">
        <f>IF($A160="","",'Beállítások'!$E$15*(5-K160))</f>
        <v/>
      </c>
      <c r="AY160">
        <f>IF($A160="","",'Beállítások'!$E$16*(5-L160))</f>
        <v/>
      </c>
      <c r="AZ160">
        <f>IF($A160="","",M160-ROW()/100000)</f>
        <v/>
      </c>
    </row>
    <row r="161">
      <c r="A161">
        <f>IF('Ügyfelek'!A161="","",'Ügyfelek'!A161)</f>
        <v/>
      </c>
      <c r="B161">
        <f>IF($A161="","",IF('Ügyfelek'!B161="",'Beállítások'!$B$45,IFERROR(VLOOKUP(TRIM('Ügyfelek'!B161),'Beállítások'!$A$22:$B$41,2,FALSE),'Beállítások'!$B$45)))</f>
        <v/>
      </c>
      <c r="C161">
        <f>IF($A161="","",IF('Ügyfelek'!C161="",'Beállítások'!$B$45,VLOOKUP(MAX('Ügyfelek'!C161,'Beállítások'!$H$7),'Beállítások'!$H$7:$I$11,2,TRUE)))</f>
        <v/>
      </c>
      <c r="D161">
        <f>IF($A161="","",IF('Ügyfelek'!D161="",'Beállítások'!$B$45,VLOOKUP(MAX('Ügyfelek'!D161,'Beállítások'!$K$7),'Beállítások'!$K$7:$L$11,2,TRUE)))</f>
        <v/>
      </c>
      <c r="E161">
        <f>IF($A161="","",IF('Ügyfelek'!L161="",'Beállítások'!$B$45,MIN(5,MAX(1,ROUND('Ügyfelek'!L161,0)))))</f>
        <v/>
      </c>
      <c r="F161">
        <f>IF($A161="","",IF('Ügyfelek'!I161="",'Beállítások'!$B$45,VLOOKUP(MAX('Ügyfelek'!I161,'Beállítások'!$N$7),'Beállítások'!$N$7:$O$11,2,TRUE)))</f>
        <v/>
      </c>
      <c r="G161">
        <f>IF($A161="","",IF('Ügyfelek'!N161="",'Beállítások'!$B$45,MIN(5,MAX(1,ROUND('Ügyfelek'!N161,0)))))</f>
        <v/>
      </c>
      <c r="H161">
        <f>IF($A161="","",IF('Ügyfelek'!J161="",'Beállítások'!$B$45,VLOOKUP(MAX('Ügyfelek'!J161,'Beállítások'!$Q$7),'Beállítások'!$Q$7:$R$11,2,TRUE)))</f>
        <v/>
      </c>
      <c r="I161">
        <f>IF($A161="","",IF('Ügyfelek'!K161="",'Beállítások'!$B$45,VLOOKUP(MAX('Ügyfelek'!K161,'Beállítások'!$T$7),'Beállítások'!$T$7:$U$11,2,TRUE)))</f>
        <v/>
      </c>
      <c r="J161">
        <f>IF($A161="","",IF('Ügyfelek'!M161="",'Beállítások'!$B$45,MIN(5,MAX(1,ROUND('Ügyfelek'!M161,0)))))</f>
        <v/>
      </c>
      <c r="K161">
        <f>IF($A161="","",IF('Ügyfelek'!P161="",'Beállítások'!$B$45,MIN(5,MAX(1,ROUND('Ügyfelek'!P161,0)))))</f>
        <v/>
      </c>
      <c r="L161">
        <f>IF($A161="","",IF('Ügyfelek'!O161="",'Beállítások'!$B$45,MIN(5,MAX(1,ROUND('Ügyfelek'!O161,0)))))</f>
        <v/>
      </c>
      <c r="M161" s="13">
        <f>IF($A161="","",ROUND('Beállítások'!$E$6*(B161-1)/4+'Beállítások'!$E$7*(C161-1)/4+'Beállítások'!$E$8*(D161-1)/4+'Beállítások'!$E$9*(E161-1)/4+'Beállítások'!$E$10*(F161-1)/4+'Beállítások'!$E$11*(G161-1)/4+'Beállítások'!$E$12*(H161-1)/4+'Beállítások'!$E$13*(I161-1)/4+'Beállítások'!$E$14*(J161-1)/4+'Beállítások'!$E$15*(K161-1)/4+'Beállítások'!$E$16*(L161-1)/4,1))</f>
        <v/>
      </c>
      <c r="N161" s="14">
        <f>IF($A161="","",RANK(M161,$M$2:$M$201))</f>
        <v/>
      </c>
      <c r="O161">
        <f>IF($A161="","",VLOOKUP(M161,'Beállítások'!$A$57:$E$60,2,TRUE))</f>
        <v/>
      </c>
      <c r="P161">
        <f>IF($A161="","",VLOOKUP(M161,'Beállítások'!$A$57:$E$60,3,TRUE))</f>
        <v/>
      </c>
      <c r="Q161">
        <f>IF($A161="","",INDEX('Beállítások'!$B$6:$B$16,MATCH(MAX(AD161:AN161),AD161:AN161,0)))</f>
        <v/>
      </c>
      <c r="R161">
        <f>IF($A161="","",IF(MAX(AO161:AY161)=0,"—",INDEX('Beállítások'!$B$6:$B$16,MATCH(MAX(AO161:AY161),AO161:AY161,0))))</f>
        <v/>
      </c>
      <c r="S161" s="5">
        <f>IF($A161="","",'Beállítások'!$B$47*(TRIM('Ügyfelek'!E161)="igen")+'Beállítások'!$B$48*(TRIM('Ügyfelek'!F161)="igen")+'Beállítások'!$B$49*N('Ügyfelek'!G161)+'Beállítások'!$B$46*N('Ügyfelek'!H161))</f>
        <v/>
      </c>
      <c r="T161" s="15">
        <f>IF($A161="","",VLOOKUP(M161,'Beállítások'!$A$57:$E$60,4,TRUE))</f>
        <v/>
      </c>
      <c r="U161" s="5">
        <f>IF($A161="","",N('Ügyfelek'!D161)*'Beállítások'!$B$51)</f>
        <v/>
      </c>
      <c r="V161" s="5">
        <f>IF($A161="","",CEILING(ROUND(MAX('Beállítások'!$B$50,S161*T161,U161),2),'Beállítások'!$B$52))</f>
        <v/>
      </c>
      <c r="W161">
        <f>IF($A161="","",IF(MAX('Beállítások'!$B$50,S161*T161,U161)=S161*T161,"Munkaigény × szintszorzó",IF(MAX('Beállítások'!$B$50,S161*T161,U161)=U161,"Hirdetési keret arányában","Minimumdíj")))</f>
        <v/>
      </c>
      <c r="X161" s="5">
        <f>IF(OR($A161="",'Ügyfelek'!Q161=""),"",'Ügyfelek'!Q161)</f>
        <v/>
      </c>
      <c r="Y161" s="5">
        <f>IF(X161="","",V161-X161)</f>
        <v/>
      </c>
      <c r="Z161" s="16">
        <f>IF(OR(X161="",X161=0),"",Y161/X161)</f>
        <v/>
      </c>
      <c r="AA161" s="5">
        <f>IF(OR($A161="",'Ügyfelek'!R161=""),"",'Ügyfelek'!R161*VLOOKUP(M161,'Beállítások'!$A$57:$E$60,5,TRUE))</f>
        <v/>
      </c>
      <c r="AB161" s="14">
        <f>IF($A161="","",('Ügyfelek'!B161="")+('Ügyfelek'!C161="")+('Ügyfelek'!D161="")+('Ügyfelek'!L161="")+('Ügyfelek'!I161="")+('Ügyfelek'!N161="")+('Ügyfelek'!J161="")+('Ügyfelek'!K161="")+('Ügyfelek'!M161="")+('Ügyfelek'!P161="")+('Ügyfelek'!O161=""))</f>
        <v/>
      </c>
      <c r="AD161">
        <f>IF($A161="","",B161+'Beállítások'!$E$6/1000)</f>
        <v/>
      </c>
      <c r="AE161">
        <f>IF($A161="","",C161+'Beállítások'!$E$7/1000)</f>
        <v/>
      </c>
      <c r="AF161">
        <f>IF($A161="","",D161+'Beállítások'!$E$8/1000)</f>
        <v/>
      </c>
      <c r="AG161">
        <f>IF($A161="","",E161+'Beállítások'!$E$9/1000)</f>
        <v/>
      </c>
      <c r="AH161">
        <f>IF($A161="","",F161+'Beállítások'!$E$10/1000)</f>
        <v/>
      </c>
      <c r="AI161">
        <f>IF($A161="","",G161+'Beállítások'!$E$11/1000)</f>
        <v/>
      </c>
      <c r="AJ161">
        <f>IF($A161="","",H161+'Beállítások'!$E$12/1000)</f>
        <v/>
      </c>
      <c r="AK161">
        <f>IF($A161="","",I161+'Beállítások'!$E$13/1000)</f>
        <v/>
      </c>
      <c r="AL161">
        <f>IF($A161="","",J161+'Beállítások'!$E$14/1000)</f>
        <v/>
      </c>
      <c r="AM161">
        <f>IF($A161="","",K161+'Beállítások'!$E$15/1000)</f>
        <v/>
      </c>
      <c r="AN161">
        <f>IF($A161="","",L161+'Beállítások'!$E$16/1000)</f>
        <v/>
      </c>
      <c r="AO161">
        <f>IF($A161="","",'Beállítások'!$E$6*(5-B161))</f>
        <v/>
      </c>
      <c r="AP161">
        <f>IF($A161="","",'Beállítások'!$E$7*(5-C161))</f>
        <v/>
      </c>
      <c r="AQ161">
        <f>IF($A161="","",'Beállítások'!$E$8*(5-D161))</f>
        <v/>
      </c>
      <c r="AR161">
        <f>IF($A161="","",'Beállítások'!$E$9*(5-E161))</f>
        <v/>
      </c>
      <c r="AS161">
        <f>IF($A161="","",'Beállítások'!$E$10*(5-F161))</f>
        <v/>
      </c>
      <c r="AT161">
        <f>IF($A161="","",'Beállítások'!$E$11*(5-G161))</f>
        <v/>
      </c>
      <c r="AU161">
        <f>IF($A161="","",'Beállítások'!$E$12*(5-H161))</f>
        <v/>
      </c>
      <c r="AV161">
        <f>IF($A161="","",'Beállítások'!$E$13*(5-I161))</f>
        <v/>
      </c>
      <c r="AW161">
        <f>IF($A161="","",'Beállítások'!$E$14*(5-J161))</f>
        <v/>
      </c>
      <c r="AX161">
        <f>IF($A161="","",'Beállítások'!$E$15*(5-K161))</f>
        <v/>
      </c>
      <c r="AY161">
        <f>IF($A161="","",'Beállítások'!$E$16*(5-L161))</f>
        <v/>
      </c>
      <c r="AZ161">
        <f>IF($A161="","",M161-ROW()/100000)</f>
        <v/>
      </c>
    </row>
    <row r="162">
      <c r="A162">
        <f>IF('Ügyfelek'!A162="","",'Ügyfelek'!A162)</f>
        <v/>
      </c>
      <c r="B162">
        <f>IF($A162="","",IF('Ügyfelek'!B162="",'Beállítások'!$B$45,IFERROR(VLOOKUP(TRIM('Ügyfelek'!B162),'Beállítások'!$A$22:$B$41,2,FALSE),'Beállítások'!$B$45)))</f>
        <v/>
      </c>
      <c r="C162">
        <f>IF($A162="","",IF('Ügyfelek'!C162="",'Beállítások'!$B$45,VLOOKUP(MAX('Ügyfelek'!C162,'Beállítások'!$H$7),'Beállítások'!$H$7:$I$11,2,TRUE)))</f>
        <v/>
      </c>
      <c r="D162">
        <f>IF($A162="","",IF('Ügyfelek'!D162="",'Beállítások'!$B$45,VLOOKUP(MAX('Ügyfelek'!D162,'Beállítások'!$K$7),'Beállítások'!$K$7:$L$11,2,TRUE)))</f>
        <v/>
      </c>
      <c r="E162">
        <f>IF($A162="","",IF('Ügyfelek'!L162="",'Beállítások'!$B$45,MIN(5,MAX(1,ROUND('Ügyfelek'!L162,0)))))</f>
        <v/>
      </c>
      <c r="F162">
        <f>IF($A162="","",IF('Ügyfelek'!I162="",'Beállítások'!$B$45,VLOOKUP(MAX('Ügyfelek'!I162,'Beállítások'!$N$7),'Beállítások'!$N$7:$O$11,2,TRUE)))</f>
        <v/>
      </c>
      <c r="G162">
        <f>IF($A162="","",IF('Ügyfelek'!N162="",'Beállítások'!$B$45,MIN(5,MAX(1,ROUND('Ügyfelek'!N162,0)))))</f>
        <v/>
      </c>
      <c r="H162">
        <f>IF($A162="","",IF('Ügyfelek'!J162="",'Beállítások'!$B$45,VLOOKUP(MAX('Ügyfelek'!J162,'Beállítások'!$Q$7),'Beállítások'!$Q$7:$R$11,2,TRUE)))</f>
        <v/>
      </c>
      <c r="I162">
        <f>IF($A162="","",IF('Ügyfelek'!K162="",'Beállítások'!$B$45,VLOOKUP(MAX('Ügyfelek'!K162,'Beállítások'!$T$7),'Beállítások'!$T$7:$U$11,2,TRUE)))</f>
        <v/>
      </c>
      <c r="J162">
        <f>IF($A162="","",IF('Ügyfelek'!M162="",'Beállítások'!$B$45,MIN(5,MAX(1,ROUND('Ügyfelek'!M162,0)))))</f>
        <v/>
      </c>
      <c r="K162">
        <f>IF($A162="","",IF('Ügyfelek'!P162="",'Beállítások'!$B$45,MIN(5,MAX(1,ROUND('Ügyfelek'!P162,0)))))</f>
        <v/>
      </c>
      <c r="L162">
        <f>IF($A162="","",IF('Ügyfelek'!O162="",'Beállítások'!$B$45,MIN(5,MAX(1,ROUND('Ügyfelek'!O162,0)))))</f>
        <v/>
      </c>
      <c r="M162" s="13">
        <f>IF($A162="","",ROUND('Beállítások'!$E$6*(B162-1)/4+'Beállítások'!$E$7*(C162-1)/4+'Beállítások'!$E$8*(D162-1)/4+'Beállítások'!$E$9*(E162-1)/4+'Beállítások'!$E$10*(F162-1)/4+'Beállítások'!$E$11*(G162-1)/4+'Beállítások'!$E$12*(H162-1)/4+'Beállítások'!$E$13*(I162-1)/4+'Beállítások'!$E$14*(J162-1)/4+'Beállítások'!$E$15*(K162-1)/4+'Beállítások'!$E$16*(L162-1)/4,1))</f>
        <v/>
      </c>
      <c r="N162" s="14">
        <f>IF($A162="","",RANK(M162,$M$2:$M$201))</f>
        <v/>
      </c>
      <c r="O162">
        <f>IF($A162="","",VLOOKUP(M162,'Beállítások'!$A$57:$E$60,2,TRUE))</f>
        <v/>
      </c>
      <c r="P162">
        <f>IF($A162="","",VLOOKUP(M162,'Beállítások'!$A$57:$E$60,3,TRUE))</f>
        <v/>
      </c>
      <c r="Q162">
        <f>IF($A162="","",INDEX('Beállítások'!$B$6:$B$16,MATCH(MAX(AD162:AN162),AD162:AN162,0)))</f>
        <v/>
      </c>
      <c r="R162">
        <f>IF($A162="","",IF(MAX(AO162:AY162)=0,"—",INDEX('Beállítások'!$B$6:$B$16,MATCH(MAX(AO162:AY162),AO162:AY162,0))))</f>
        <v/>
      </c>
      <c r="S162" s="5">
        <f>IF($A162="","",'Beállítások'!$B$47*(TRIM('Ügyfelek'!E162)="igen")+'Beállítások'!$B$48*(TRIM('Ügyfelek'!F162)="igen")+'Beállítások'!$B$49*N('Ügyfelek'!G162)+'Beállítások'!$B$46*N('Ügyfelek'!H162))</f>
        <v/>
      </c>
      <c r="T162" s="15">
        <f>IF($A162="","",VLOOKUP(M162,'Beállítások'!$A$57:$E$60,4,TRUE))</f>
        <v/>
      </c>
      <c r="U162" s="5">
        <f>IF($A162="","",N('Ügyfelek'!D162)*'Beállítások'!$B$51)</f>
        <v/>
      </c>
      <c r="V162" s="5">
        <f>IF($A162="","",CEILING(ROUND(MAX('Beállítások'!$B$50,S162*T162,U162),2),'Beállítások'!$B$52))</f>
        <v/>
      </c>
      <c r="W162">
        <f>IF($A162="","",IF(MAX('Beállítások'!$B$50,S162*T162,U162)=S162*T162,"Munkaigény × szintszorzó",IF(MAX('Beállítások'!$B$50,S162*T162,U162)=U162,"Hirdetési keret arányában","Minimumdíj")))</f>
        <v/>
      </c>
      <c r="X162" s="5">
        <f>IF(OR($A162="",'Ügyfelek'!Q162=""),"",'Ügyfelek'!Q162)</f>
        <v/>
      </c>
      <c r="Y162" s="5">
        <f>IF(X162="","",V162-X162)</f>
        <v/>
      </c>
      <c r="Z162" s="16">
        <f>IF(OR(X162="",X162=0),"",Y162/X162)</f>
        <v/>
      </c>
      <c r="AA162" s="5">
        <f>IF(OR($A162="",'Ügyfelek'!R162=""),"",'Ügyfelek'!R162*VLOOKUP(M162,'Beállítások'!$A$57:$E$60,5,TRUE))</f>
        <v/>
      </c>
      <c r="AB162" s="14">
        <f>IF($A162="","",('Ügyfelek'!B162="")+('Ügyfelek'!C162="")+('Ügyfelek'!D162="")+('Ügyfelek'!L162="")+('Ügyfelek'!I162="")+('Ügyfelek'!N162="")+('Ügyfelek'!J162="")+('Ügyfelek'!K162="")+('Ügyfelek'!M162="")+('Ügyfelek'!P162="")+('Ügyfelek'!O162=""))</f>
        <v/>
      </c>
      <c r="AD162">
        <f>IF($A162="","",B162+'Beállítások'!$E$6/1000)</f>
        <v/>
      </c>
      <c r="AE162">
        <f>IF($A162="","",C162+'Beállítások'!$E$7/1000)</f>
        <v/>
      </c>
      <c r="AF162">
        <f>IF($A162="","",D162+'Beállítások'!$E$8/1000)</f>
        <v/>
      </c>
      <c r="AG162">
        <f>IF($A162="","",E162+'Beállítások'!$E$9/1000)</f>
        <v/>
      </c>
      <c r="AH162">
        <f>IF($A162="","",F162+'Beállítások'!$E$10/1000)</f>
        <v/>
      </c>
      <c r="AI162">
        <f>IF($A162="","",G162+'Beállítások'!$E$11/1000)</f>
        <v/>
      </c>
      <c r="AJ162">
        <f>IF($A162="","",H162+'Beállítások'!$E$12/1000)</f>
        <v/>
      </c>
      <c r="AK162">
        <f>IF($A162="","",I162+'Beállítások'!$E$13/1000)</f>
        <v/>
      </c>
      <c r="AL162">
        <f>IF($A162="","",J162+'Beállítások'!$E$14/1000)</f>
        <v/>
      </c>
      <c r="AM162">
        <f>IF($A162="","",K162+'Beállítások'!$E$15/1000)</f>
        <v/>
      </c>
      <c r="AN162">
        <f>IF($A162="","",L162+'Beállítások'!$E$16/1000)</f>
        <v/>
      </c>
      <c r="AO162">
        <f>IF($A162="","",'Beállítások'!$E$6*(5-B162))</f>
        <v/>
      </c>
      <c r="AP162">
        <f>IF($A162="","",'Beállítások'!$E$7*(5-C162))</f>
        <v/>
      </c>
      <c r="AQ162">
        <f>IF($A162="","",'Beállítások'!$E$8*(5-D162))</f>
        <v/>
      </c>
      <c r="AR162">
        <f>IF($A162="","",'Beállítások'!$E$9*(5-E162))</f>
        <v/>
      </c>
      <c r="AS162">
        <f>IF($A162="","",'Beállítások'!$E$10*(5-F162))</f>
        <v/>
      </c>
      <c r="AT162">
        <f>IF($A162="","",'Beállítások'!$E$11*(5-G162))</f>
        <v/>
      </c>
      <c r="AU162">
        <f>IF($A162="","",'Beállítások'!$E$12*(5-H162))</f>
        <v/>
      </c>
      <c r="AV162">
        <f>IF($A162="","",'Beállítások'!$E$13*(5-I162))</f>
        <v/>
      </c>
      <c r="AW162">
        <f>IF($A162="","",'Beállítások'!$E$14*(5-J162))</f>
        <v/>
      </c>
      <c r="AX162">
        <f>IF($A162="","",'Beállítások'!$E$15*(5-K162))</f>
        <v/>
      </c>
      <c r="AY162">
        <f>IF($A162="","",'Beállítások'!$E$16*(5-L162))</f>
        <v/>
      </c>
      <c r="AZ162">
        <f>IF($A162="","",M162-ROW()/100000)</f>
        <v/>
      </c>
    </row>
    <row r="163">
      <c r="A163">
        <f>IF('Ügyfelek'!A163="","",'Ügyfelek'!A163)</f>
        <v/>
      </c>
      <c r="B163">
        <f>IF($A163="","",IF('Ügyfelek'!B163="",'Beállítások'!$B$45,IFERROR(VLOOKUP(TRIM('Ügyfelek'!B163),'Beállítások'!$A$22:$B$41,2,FALSE),'Beállítások'!$B$45)))</f>
        <v/>
      </c>
      <c r="C163">
        <f>IF($A163="","",IF('Ügyfelek'!C163="",'Beállítások'!$B$45,VLOOKUP(MAX('Ügyfelek'!C163,'Beállítások'!$H$7),'Beállítások'!$H$7:$I$11,2,TRUE)))</f>
        <v/>
      </c>
      <c r="D163">
        <f>IF($A163="","",IF('Ügyfelek'!D163="",'Beállítások'!$B$45,VLOOKUP(MAX('Ügyfelek'!D163,'Beállítások'!$K$7),'Beállítások'!$K$7:$L$11,2,TRUE)))</f>
        <v/>
      </c>
      <c r="E163">
        <f>IF($A163="","",IF('Ügyfelek'!L163="",'Beállítások'!$B$45,MIN(5,MAX(1,ROUND('Ügyfelek'!L163,0)))))</f>
        <v/>
      </c>
      <c r="F163">
        <f>IF($A163="","",IF('Ügyfelek'!I163="",'Beállítások'!$B$45,VLOOKUP(MAX('Ügyfelek'!I163,'Beállítások'!$N$7),'Beállítások'!$N$7:$O$11,2,TRUE)))</f>
        <v/>
      </c>
      <c r="G163">
        <f>IF($A163="","",IF('Ügyfelek'!N163="",'Beállítások'!$B$45,MIN(5,MAX(1,ROUND('Ügyfelek'!N163,0)))))</f>
        <v/>
      </c>
      <c r="H163">
        <f>IF($A163="","",IF('Ügyfelek'!J163="",'Beállítások'!$B$45,VLOOKUP(MAX('Ügyfelek'!J163,'Beállítások'!$Q$7),'Beállítások'!$Q$7:$R$11,2,TRUE)))</f>
        <v/>
      </c>
      <c r="I163">
        <f>IF($A163="","",IF('Ügyfelek'!K163="",'Beállítások'!$B$45,VLOOKUP(MAX('Ügyfelek'!K163,'Beállítások'!$T$7),'Beállítások'!$T$7:$U$11,2,TRUE)))</f>
        <v/>
      </c>
      <c r="J163">
        <f>IF($A163="","",IF('Ügyfelek'!M163="",'Beállítások'!$B$45,MIN(5,MAX(1,ROUND('Ügyfelek'!M163,0)))))</f>
        <v/>
      </c>
      <c r="K163">
        <f>IF($A163="","",IF('Ügyfelek'!P163="",'Beállítások'!$B$45,MIN(5,MAX(1,ROUND('Ügyfelek'!P163,0)))))</f>
        <v/>
      </c>
      <c r="L163">
        <f>IF($A163="","",IF('Ügyfelek'!O163="",'Beállítások'!$B$45,MIN(5,MAX(1,ROUND('Ügyfelek'!O163,0)))))</f>
        <v/>
      </c>
      <c r="M163" s="13">
        <f>IF($A163="","",ROUND('Beállítások'!$E$6*(B163-1)/4+'Beállítások'!$E$7*(C163-1)/4+'Beállítások'!$E$8*(D163-1)/4+'Beállítások'!$E$9*(E163-1)/4+'Beállítások'!$E$10*(F163-1)/4+'Beállítások'!$E$11*(G163-1)/4+'Beállítások'!$E$12*(H163-1)/4+'Beállítások'!$E$13*(I163-1)/4+'Beállítások'!$E$14*(J163-1)/4+'Beállítások'!$E$15*(K163-1)/4+'Beállítások'!$E$16*(L163-1)/4,1))</f>
        <v/>
      </c>
      <c r="N163" s="14">
        <f>IF($A163="","",RANK(M163,$M$2:$M$201))</f>
        <v/>
      </c>
      <c r="O163">
        <f>IF($A163="","",VLOOKUP(M163,'Beállítások'!$A$57:$E$60,2,TRUE))</f>
        <v/>
      </c>
      <c r="P163">
        <f>IF($A163="","",VLOOKUP(M163,'Beállítások'!$A$57:$E$60,3,TRUE))</f>
        <v/>
      </c>
      <c r="Q163">
        <f>IF($A163="","",INDEX('Beállítások'!$B$6:$B$16,MATCH(MAX(AD163:AN163),AD163:AN163,0)))</f>
        <v/>
      </c>
      <c r="R163">
        <f>IF($A163="","",IF(MAX(AO163:AY163)=0,"—",INDEX('Beállítások'!$B$6:$B$16,MATCH(MAX(AO163:AY163),AO163:AY163,0))))</f>
        <v/>
      </c>
      <c r="S163" s="5">
        <f>IF($A163="","",'Beállítások'!$B$47*(TRIM('Ügyfelek'!E163)="igen")+'Beállítások'!$B$48*(TRIM('Ügyfelek'!F163)="igen")+'Beállítások'!$B$49*N('Ügyfelek'!G163)+'Beállítások'!$B$46*N('Ügyfelek'!H163))</f>
        <v/>
      </c>
      <c r="T163" s="15">
        <f>IF($A163="","",VLOOKUP(M163,'Beállítások'!$A$57:$E$60,4,TRUE))</f>
        <v/>
      </c>
      <c r="U163" s="5">
        <f>IF($A163="","",N('Ügyfelek'!D163)*'Beállítások'!$B$51)</f>
        <v/>
      </c>
      <c r="V163" s="5">
        <f>IF($A163="","",CEILING(ROUND(MAX('Beállítások'!$B$50,S163*T163,U163),2),'Beállítások'!$B$52))</f>
        <v/>
      </c>
      <c r="W163">
        <f>IF($A163="","",IF(MAX('Beállítások'!$B$50,S163*T163,U163)=S163*T163,"Munkaigény × szintszorzó",IF(MAX('Beállítások'!$B$50,S163*T163,U163)=U163,"Hirdetési keret arányában","Minimumdíj")))</f>
        <v/>
      </c>
      <c r="X163" s="5">
        <f>IF(OR($A163="",'Ügyfelek'!Q163=""),"",'Ügyfelek'!Q163)</f>
        <v/>
      </c>
      <c r="Y163" s="5">
        <f>IF(X163="","",V163-X163)</f>
        <v/>
      </c>
      <c r="Z163" s="16">
        <f>IF(OR(X163="",X163=0),"",Y163/X163)</f>
        <v/>
      </c>
      <c r="AA163" s="5">
        <f>IF(OR($A163="",'Ügyfelek'!R163=""),"",'Ügyfelek'!R163*VLOOKUP(M163,'Beállítások'!$A$57:$E$60,5,TRUE))</f>
        <v/>
      </c>
      <c r="AB163" s="14">
        <f>IF($A163="","",('Ügyfelek'!B163="")+('Ügyfelek'!C163="")+('Ügyfelek'!D163="")+('Ügyfelek'!L163="")+('Ügyfelek'!I163="")+('Ügyfelek'!N163="")+('Ügyfelek'!J163="")+('Ügyfelek'!K163="")+('Ügyfelek'!M163="")+('Ügyfelek'!P163="")+('Ügyfelek'!O163=""))</f>
        <v/>
      </c>
      <c r="AD163">
        <f>IF($A163="","",B163+'Beállítások'!$E$6/1000)</f>
        <v/>
      </c>
      <c r="AE163">
        <f>IF($A163="","",C163+'Beállítások'!$E$7/1000)</f>
        <v/>
      </c>
      <c r="AF163">
        <f>IF($A163="","",D163+'Beállítások'!$E$8/1000)</f>
        <v/>
      </c>
      <c r="AG163">
        <f>IF($A163="","",E163+'Beállítások'!$E$9/1000)</f>
        <v/>
      </c>
      <c r="AH163">
        <f>IF($A163="","",F163+'Beállítások'!$E$10/1000)</f>
        <v/>
      </c>
      <c r="AI163">
        <f>IF($A163="","",G163+'Beállítások'!$E$11/1000)</f>
        <v/>
      </c>
      <c r="AJ163">
        <f>IF($A163="","",H163+'Beállítások'!$E$12/1000)</f>
        <v/>
      </c>
      <c r="AK163">
        <f>IF($A163="","",I163+'Beállítások'!$E$13/1000)</f>
        <v/>
      </c>
      <c r="AL163">
        <f>IF($A163="","",J163+'Beállítások'!$E$14/1000)</f>
        <v/>
      </c>
      <c r="AM163">
        <f>IF($A163="","",K163+'Beállítások'!$E$15/1000)</f>
        <v/>
      </c>
      <c r="AN163">
        <f>IF($A163="","",L163+'Beállítások'!$E$16/1000)</f>
        <v/>
      </c>
      <c r="AO163">
        <f>IF($A163="","",'Beállítások'!$E$6*(5-B163))</f>
        <v/>
      </c>
      <c r="AP163">
        <f>IF($A163="","",'Beállítások'!$E$7*(5-C163))</f>
        <v/>
      </c>
      <c r="AQ163">
        <f>IF($A163="","",'Beállítások'!$E$8*(5-D163))</f>
        <v/>
      </c>
      <c r="AR163">
        <f>IF($A163="","",'Beállítások'!$E$9*(5-E163))</f>
        <v/>
      </c>
      <c r="AS163">
        <f>IF($A163="","",'Beállítások'!$E$10*(5-F163))</f>
        <v/>
      </c>
      <c r="AT163">
        <f>IF($A163="","",'Beállítások'!$E$11*(5-G163))</f>
        <v/>
      </c>
      <c r="AU163">
        <f>IF($A163="","",'Beállítások'!$E$12*(5-H163))</f>
        <v/>
      </c>
      <c r="AV163">
        <f>IF($A163="","",'Beállítások'!$E$13*(5-I163))</f>
        <v/>
      </c>
      <c r="AW163">
        <f>IF($A163="","",'Beállítások'!$E$14*(5-J163))</f>
        <v/>
      </c>
      <c r="AX163">
        <f>IF($A163="","",'Beállítások'!$E$15*(5-K163))</f>
        <v/>
      </c>
      <c r="AY163">
        <f>IF($A163="","",'Beállítások'!$E$16*(5-L163))</f>
        <v/>
      </c>
      <c r="AZ163">
        <f>IF($A163="","",M163-ROW()/100000)</f>
        <v/>
      </c>
    </row>
    <row r="164">
      <c r="A164">
        <f>IF('Ügyfelek'!A164="","",'Ügyfelek'!A164)</f>
        <v/>
      </c>
      <c r="B164">
        <f>IF($A164="","",IF('Ügyfelek'!B164="",'Beállítások'!$B$45,IFERROR(VLOOKUP(TRIM('Ügyfelek'!B164),'Beállítások'!$A$22:$B$41,2,FALSE),'Beállítások'!$B$45)))</f>
        <v/>
      </c>
      <c r="C164">
        <f>IF($A164="","",IF('Ügyfelek'!C164="",'Beállítások'!$B$45,VLOOKUP(MAX('Ügyfelek'!C164,'Beállítások'!$H$7),'Beállítások'!$H$7:$I$11,2,TRUE)))</f>
        <v/>
      </c>
      <c r="D164">
        <f>IF($A164="","",IF('Ügyfelek'!D164="",'Beállítások'!$B$45,VLOOKUP(MAX('Ügyfelek'!D164,'Beállítások'!$K$7),'Beállítások'!$K$7:$L$11,2,TRUE)))</f>
        <v/>
      </c>
      <c r="E164">
        <f>IF($A164="","",IF('Ügyfelek'!L164="",'Beállítások'!$B$45,MIN(5,MAX(1,ROUND('Ügyfelek'!L164,0)))))</f>
        <v/>
      </c>
      <c r="F164">
        <f>IF($A164="","",IF('Ügyfelek'!I164="",'Beállítások'!$B$45,VLOOKUP(MAX('Ügyfelek'!I164,'Beállítások'!$N$7),'Beállítások'!$N$7:$O$11,2,TRUE)))</f>
        <v/>
      </c>
      <c r="G164">
        <f>IF($A164="","",IF('Ügyfelek'!N164="",'Beállítások'!$B$45,MIN(5,MAX(1,ROUND('Ügyfelek'!N164,0)))))</f>
        <v/>
      </c>
      <c r="H164">
        <f>IF($A164="","",IF('Ügyfelek'!J164="",'Beállítások'!$B$45,VLOOKUP(MAX('Ügyfelek'!J164,'Beállítások'!$Q$7),'Beállítások'!$Q$7:$R$11,2,TRUE)))</f>
        <v/>
      </c>
      <c r="I164">
        <f>IF($A164="","",IF('Ügyfelek'!K164="",'Beállítások'!$B$45,VLOOKUP(MAX('Ügyfelek'!K164,'Beállítások'!$T$7),'Beállítások'!$T$7:$U$11,2,TRUE)))</f>
        <v/>
      </c>
      <c r="J164">
        <f>IF($A164="","",IF('Ügyfelek'!M164="",'Beállítások'!$B$45,MIN(5,MAX(1,ROUND('Ügyfelek'!M164,0)))))</f>
        <v/>
      </c>
      <c r="K164">
        <f>IF($A164="","",IF('Ügyfelek'!P164="",'Beállítások'!$B$45,MIN(5,MAX(1,ROUND('Ügyfelek'!P164,0)))))</f>
        <v/>
      </c>
      <c r="L164">
        <f>IF($A164="","",IF('Ügyfelek'!O164="",'Beállítások'!$B$45,MIN(5,MAX(1,ROUND('Ügyfelek'!O164,0)))))</f>
        <v/>
      </c>
      <c r="M164" s="13">
        <f>IF($A164="","",ROUND('Beállítások'!$E$6*(B164-1)/4+'Beállítások'!$E$7*(C164-1)/4+'Beállítások'!$E$8*(D164-1)/4+'Beállítások'!$E$9*(E164-1)/4+'Beállítások'!$E$10*(F164-1)/4+'Beállítások'!$E$11*(G164-1)/4+'Beállítások'!$E$12*(H164-1)/4+'Beállítások'!$E$13*(I164-1)/4+'Beállítások'!$E$14*(J164-1)/4+'Beállítások'!$E$15*(K164-1)/4+'Beállítások'!$E$16*(L164-1)/4,1))</f>
        <v/>
      </c>
      <c r="N164" s="14">
        <f>IF($A164="","",RANK(M164,$M$2:$M$201))</f>
        <v/>
      </c>
      <c r="O164">
        <f>IF($A164="","",VLOOKUP(M164,'Beállítások'!$A$57:$E$60,2,TRUE))</f>
        <v/>
      </c>
      <c r="P164">
        <f>IF($A164="","",VLOOKUP(M164,'Beállítások'!$A$57:$E$60,3,TRUE))</f>
        <v/>
      </c>
      <c r="Q164">
        <f>IF($A164="","",INDEX('Beállítások'!$B$6:$B$16,MATCH(MAX(AD164:AN164),AD164:AN164,0)))</f>
        <v/>
      </c>
      <c r="R164">
        <f>IF($A164="","",IF(MAX(AO164:AY164)=0,"—",INDEX('Beállítások'!$B$6:$B$16,MATCH(MAX(AO164:AY164),AO164:AY164,0))))</f>
        <v/>
      </c>
      <c r="S164" s="5">
        <f>IF($A164="","",'Beállítások'!$B$47*(TRIM('Ügyfelek'!E164)="igen")+'Beállítások'!$B$48*(TRIM('Ügyfelek'!F164)="igen")+'Beállítások'!$B$49*N('Ügyfelek'!G164)+'Beállítások'!$B$46*N('Ügyfelek'!H164))</f>
        <v/>
      </c>
      <c r="T164" s="15">
        <f>IF($A164="","",VLOOKUP(M164,'Beállítások'!$A$57:$E$60,4,TRUE))</f>
        <v/>
      </c>
      <c r="U164" s="5">
        <f>IF($A164="","",N('Ügyfelek'!D164)*'Beállítások'!$B$51)</f>
        <v/>
      </c>
      <c r="V164" s="5">
        <f>IF($A164="","",CEILING(ROUND(MAX('Beállítások'!$B$50,S164*T164,U164),2),'Beállítások'!$B$52))</f>
        <v/>
      </c>
      <c r="W164">
        <f>IF($A164="","",IF(MAX('Beállítások'!$B$50,S164*T164,U164)=S164*T164,"Munkaigény × szintszorzó",IF(MAX('Beállítások'!$B$50,S164*T164,U164)=U164,"Hirdetési keret arányában","Minimumdíj")))</f>
        <v/>
      </c>
      <c r="X164" s="5">
        <f>IF(OR($A164="",'Ügyfelek'!Q164=""),"",'Ügyfelek'!Q164)</f>
        <v/>
      </c>
      <c r="Y164" s="5">
        <f>IF(X164="","",V164-X164)</f>
        <v/>
      </c>
      <c r="Z164" s="16">
        <f>IF(OR(X164="",X164=0),"",Y164/X164)</f>
        <v/>
      </c>
      <c r="AA164" s="5">
        <f>IF(OR($A164="",'Ügyfelek'!R164=""),"",'Ügyfelek'!R164*VLOOKUP(M164,'Beállítások'!$A$57:$E$60,5,TRUE))</f>
        <v/>
      </c>
      <c r="AB164" s="14">
        <f>IF($A164="","",('Ügyfelek'!B164="")+('Ügyfelek'!C164="")+('Ügyfelek'!D164="")+('Ügyfelek'!L164="")+('Ügyfelek'!I164="")+('Ügyfelek'!N164="")+('Ügyfelek'!J164="")+('Ügyfelek'!K164="")+('Ügyfelek'!M164="")+('Ügyfelek'!P164="")+('Ügyfelek'!O164=""))</f>
        <v/>
      </c>
      <c r="AD164">
        <f>IF($A164="","",B164+'Beállítások'!$E$6/1000)</f>
        <v/>
      </c>
      <c r="AE164">
        <f>IF($A164="","",C164+'Beállítások'!$E$7/1000)</f>
        <v/>
      </c>
      <c r="AF164">
        <f>IF($A164="","",D164+'Beállítások'!$E$8/1000)</f>
        <v/>
      </c>
      <c r="AG164">
        <f>IF($A164="","",E164+'Beállítások'!$E$9/1000)</f>
        <v/>
      </c>
      <c r="AH164">
        <f>IF($A164="","",F164+'Beállítások'!$E$10/1000)</f>
        <v/>
      </c>
      <c r="AI164">
        <f>IF($A164="","",G164+'Beállítások'!$E$11/1000)</f>
        <v/>
      </c>
      <c r="AJ164">
        <f>IF($A164="","",H164+'Beállítások'!$E$12/1000)</f>
        <v/>
      </c>
      <c r="AK164">
        <f>IF($A164="","",I164+'Beállítások'!$E$13/1000)</f>
        <v/>
      </c>
      <c r="AL164">
        <f>IF($A164="","",J164+'Beállítások'!$E$14/1000)</f>
        <v/>
      </c>
      <c r="AM164">
        <f>IF($A164="","",K164+'Beállítások'!$E$15/1000)</f>
        <v/>
      </c>
      <c r="AN164">
        <f>IF($A164="","",L164+'Beállítások'!$E$16/1000)</f>
        <v/>
      </c>
      <c r="AO164">
        <f>IF($A164="","",'Beállítások'!$E$6*(5-B164))</f>
        <v/>
      </c>
      <c r="AP164">
        <f>IF($A164="","",'Beállítások'!$E$7*(5-C164))</f>
        <v/>
      </c>
      <c r="AQ164">
        <f>IF($A164="","",'Beállítások'!$E$8*(5-D164))</f>
        <v/>
      </c>
      <c r="AR164">
        <f>IF($A164="","",'Beállítások'!$E$9*(5-E164))</f>
        <v/>
      </c>
      <c r="AS164">
        <f>IF($A164="","",'Beállítások'!$E$10*(5-F164))</f>
        <v/>
      </c>
      <c r="AT164">
        <f>IF($A164="","",'Beállítások'!$E$11*(5-G164))</f>
        <v/>
      </c>
      <c r="AU164">
        <f>IF($A164="","",'Beállítások'!$E$12*(5-H164))</f>
        <v/>
      </c>
      <c r="AV164">
        <f>IF($A164="","",'Beállítások'!$E$13*(5-I164))</f>
        <v/>
      </c>
      <c r="AW164">
        <f>IF($A164="","",'Beállítások'!$E$14*(5-J164))</f>
        <v/>
      </c>
      <c r="AX164">
        <f>IF($A164="","",'Beállítások'!$E$15*(5-K164))</f>
        <v/>
      </c>
      <c r="AY164">
        <f>IF($A164="","",'Beállítások'!$E$16*(5-L164))</f>
        <v/>
      </c>
      <c r="AZ164">
        <f>IF($A164="","",M164-ROW()/100000)</f>
        <v/>
      </c>
    </row>
    <row r="165">
      <c r="A165">
        <f>IF('Ügyfelek'!A165="","",'Ügyfelek'!A165)</f>
        <v/>
      </c>
      <c r="B165">
        <f>IF($A165="","",IF('Ügyfelek'!B165="",'Beállítások'!$B$45,IFERROR(VLOOKUP(TRIM('Ügyfelek'!B165),'Beállítások'!$A$22:$B$41,2,FALSE),'Beállítások'!$B$45)))</f>
        <v/>
      </c>
      <c r="C165">
        <f>IF($A165="","",IF('Ügyfelek'!C165="",'Beállítások'!$B$45,VLOOKUP(MAX('Ügyfelek'!C165,'Beállítások'!$H$7),'Beállítások'!$H$7:$I$11,2,TRUE)))</f>
        <v/>
      </c>
      <c r="D165">
        <f>IF($A165="","",IF('Ügyfelek'!D165="",'Beállítások'!$B$45,VLOOKUP(MAX('Ügyfelek'!D165,'Beállítások'!$K$7),'Beállítások'!$K$7:$L$11,2,TRUE)))</f>
        <v/>
      </c>
      <c r="E165">
        <f>IF($A165="","",IF('Ügyfelek'!L165="",'Beállítások'!$B$45,MIN(5,MAX(1,ROUND('Ügyfelek'!L165,0)))))</f>
        <v/>
      </c>
      <c r="F165">
        <f>IF($A165="","",IF('Ügyfelek'!I165="",'Beállítások'!$B$45,VLOOKUP(MAX('Ügyfelek'!I165,'Beállítások'!$N$7),'Beállítások'!$N$7:$O$11,2,TRUE)))</f>
        <v/>
      </c>
      <c r="G165">
        <f>IF($A165="","",IF('Ügyfelek'!N165="",'Beállítások'!$B$45,MIN(5,MAX(1,ROUND('Ügyfelek'!N165,0)))))</f>
        <v/>
      </c>
      <c r="H165">
        <f>IF($A165="","",IF('Ügyfelek'!J165="",'Beállítások'!$B$45,VLOOKUP(MAX('Ügyfelek'!J165,'Beállítások'!$Q$7),'Beállítások'!$Q$7:$R$11,2,TRUE)))</f>
        <v/>
      </c>
      <c r="I165">
        <f>IF($A165="","",IF('Ügyfelek'!K165="",'Beállítások'!$B$45,VLOOKUP(MAX('Ügyfelek'!K165,'Beállítások'!$T$7),'Beállítások'!$T$7:$U$11,2,TRUE)))</f>
        <v/>
      </c>
      <c r="J165">
        <f>IF($A165="","",IF('Ügyfelek'!M165="",'Beállítások'!$B$45,MIN(5,MAX(1,ROUND('Ügyfelek'!M165,0)))))</f>
        <v/>
      </c>
      <c r="K165">
        <f>IF($A165="","",IF('Ügyfelek'!P165="",'Beállítások'!$B$45,MIN(5,MAX(1,ROUND('Ügyfelek'!P165,0)))))</f>
        <v/>
      </c>
      <c r="L165">
        <f>IF($A165="","",IF('Ügyfelek'!O165="",'Beállítások'!$B$45,MIN(5,MAX(1,ROUND('Ügyfelek'!O165,0)))))</f>
        <v/>
      </c>
      <c r="M165" s="13">
        <f>IF($A165="","",ROUND('Beállítások'!$E$6*(B165-1)/4+'Beállítások'!$E$7*(C165-1)/4+'Beállítások'!$E$8*(D165-1)/4+'Beállítások'!$E$9*(E165-1)/4+'Beállítások'!$E$10*(F165-1)/4+'Beállítások'!$E$11*(G165-1)/4+'Beállítások'!$E$12*(H165-1)/4+'Beállítások'!$E$13*(I165-1)/4+'Beállítások'!$E$14*(J165-1)/4+'Beállítások'!$E$15*(K165-1)/4+'Beállítások'!$E$16*(L165-1)/4,1))</f>
        <v/>
      </c>
      <c r="N165" s="14">
        <f>IF($A165="","",RANK(M165,$M$2:$M$201))</f>
        <v/>
      </c>
      <c r="O165">
        <f>IF($A165="","",VLOOKUP(M165,'Beállítások'!$A$57:$E$60,2,TRUE))</f>
        <v/>
      </c>
      <c r="P165">
        <f>IF($A165="","",VLOOKUP(M165,'Beállítások'!$A$57:$E$60,3,TRUE))</f>
        <v/>
      </c>
      <c r="Q165">
        <f>IF($A165="","",INDEX('Beállítások'!$B$6:$B$16,MATCH(MAX(AD165:AN165),AD165:AN165,0)))</f>
        <v/>
      </c>
      <c r="R165">
        <f>IF($A165="","",IF(MAX(AO165:AY165)=0,"—",INDEX('Beállítások'!$B$6:$B$16,MATCH(MAX(AO165:AY165),AO165:AY165,0))))</f>
        <v/>
      </c>
      <c r="S165" s="5">
        <f>IF($A165="","",'Beállítások'!$B$47*(TRIM('Ügyfelek'!E165)="igen")+'Beállítások'!$B$48*(TRIM('Ügyfelek'!F165)="igen")+'Beállítások'!$B$49*N('Ügyfelek'!G165)+'Beállítások'!$B$46*N('Ügyfelek'!H165))</f>
        <v/>
      </c>
      <c r="T165" s="15">
        <f>IF($A165="","",VLOOKUP(M165,'Beállítások'!$A$57:$E$60,4,TRUE))</f>
        <v/>
      </c>
      <c r="U165" s="5">
        <f>IF($A165="","",N('Ügyfelek'!D165)*'Beállítások'!$B$51)</f>
        <v/>
      </c>
      <c r="V165" s="5">
        <f>IF($A165="","",CEILING(ROUND(MAX('Beállítások'!$B$50,S165*T165,U165),2),'Beállítások'!$B$52))</f>
        <v/>
      </c>
      <c r="W165">
        <f>IF($A165="","",IF(MAX('Beállítások'!$B$50,S165*T165,U165)=S165*T165,"Munkaigény × szintszorzó",IF(MAX('Beállítások'!$B$50,S165*T165,U165)=U165,"Hirdetési keret arányában","Minimumdíj")))</f>
        <v/>
      </c>
      <c r="X165" s="5">
        <f>IF(OR($A165="",'Ügyfelek'!Q165=""),"",'Ügyfelek'!Q165)</f>
        <v/>
      </c>
      <c r="Y165" s="5">
        <f>IF(X165="","",V165-X165)</f>
        <v/>
      </c>
      <c r="Z165" s="16">
        <f>IF(OR(X165="",X165=0),"",Y165/X165)</f>
        <v/>
      </c>
      <c r="AA165" s="5">
        <f>IF(OR($A165="",'Ügyfelek'!R165=""),"",'Ügyfelek'!R165*VLOOKUP(M165,'Beállítások'!$A$57:$E$60,5,TRUE))</f>
        <v/>
      </c>
      <c r="AB165" s="14">
        <f>IF($A165="","",('Ügyfelek'!B165="")+('Ügyfelek'!C165="")+('Ügyfelek'!D165="")+('Ügyfelek'!L165="")+('Ügyfelek'!I165="")+('Ügyfelek'!N165="")+('Ügyfelek'!J165="")+('Ügyfelek'!K165="")+('Ügyfelek'!M165="")+('Ügyfelek'!P165="")+('Ügyfelek'!O165=""))</f>
        <v/>
      </c>
      <c r="AD165">
        <f>IF($A165="","",B165+'Beállítások'!$E$6/1000)</f>
        <v/>
      </c>
      <c r="AE165">
        <f>IF($A165="","",C165+'Beállítások'!$E$7/1000)</f>
        <v/>
      </c>
      <c r="AF165">
        <f>IF($A165="","",D165+'Beállítások'!$E$8/1000)</f>
        <v/>
      </c>
      <c r="AG165">
        <f>IF($A165="","",E165+'Beállítások'!$E$9/1000)</f>
        <v/>
      </c>
      <c r="AH165">
        <f>IF($A165="","",F165+'Beállítások'!$E$10/1000)</f>
        <v/>
      </c>
      <c r="AI165">
        <f>IF($A165="","",G165+'Beállítások'!$E$11/1000)</f>
        <v/>
      </c>
      <c r="AJ165">
        <f>IF($A165="","",H165+'Beállítások'!$E$12/1000)</f>
        <v/>
      </c>
      <c r="AK165">
        <f>IF($A165="","",I165+'Beállítások'!$E$13/1000)</f>
        <v/>
      </c>
      <c r="AL165">
        <f>IF($A165="","",J165+'Beállítások'!$E$14/1000)</f>
        <v/>
      </c>
      <c r="AM165">
        <f>IF($A165="","",K165+'Beállítások'!$E$15/1000)</f>
        <v/>
      </c>
      <c r="AN165">
        <f>IF($A165="","",L165+'Beállítások'!$E$16/1000)</f>
        <v/>
      </c>
      <c r="AO165">
        <f>IF($A165="","",'Beállítások'!$E$6*(5-B165))</f>
        <v/>
      </c>
      <c r="AP165">
        <f>IF($A165="","",'Beállítások'!$E$7*(5-C165))</f>
        <v/>
      </c>
      <c r="AQ165">
        <f>IF($A165="","",'Beállítások'!$E$8*(5-D165))</f>
        <v/>
      </c>
      <c r="AR165">
        <f>IF($A165="","",'Beállítások'!$E$9*(5-E165))</f>
        <v/>
      </c>
      <c r="AS165">
        <f>IF($A165="","",'Beállítások'!$E$10*(5-F165))</f>
        <v/>
      </c>
      <c r="AT165">
        <f>IF($A165="","",'Beállítások'!$E$11*(5-G165))</f>
        <v/>
      </c>
      <c r="AU165">
        <f>IF($A165="","",'Beállítások'!$E$12*(5-H165))</f>
        <v/>
      </c>
      <c r="AV165">
        <f>IF($A165="","",'Beállítások'!$E$13*(5-I165))</f>
        <v/>
      </c>
      <c r="AW165">
        <f>IF($A165="","",'Beállítások'!$E$14*(5-J165))</f>
        <v/>
      </c>
      <c r="AX165">
        <f>IF($A165="","",'Beállítások'!$E$15*(5-K165))</f>
        <v/>
      </c>
      <c r="AY165">
        <f>IF($A165="","",'Beállítások'!$E$16*(5-L165))</f>
        <v/>
      </c>
      <c r="AZ165">
        <f>IF($A165="","",M165-ROW()/100000)</f>
        <v/>
      </c>
    </row>
    <row r="166">
      <c r="A166">
        <f>IF('Ügyfelek'!A166="","",'Ügyfelek'!A166)</f>
        <v/>
      </c>
      <c r="B166">
        <f>IF($A166="","",IF('Ügyfelek'!B166="",'Beállítások'!$B$45,IFERROR(VLOOKUP(TRIM('Ügyfelek'!B166),'Beállítások'!$A$22:$B$41,2,FALSE),'Beállítások'!$B$45)))</f>
        <v/>
      </c>
      <c r="C166">
        <f>IF($A166="","",IF('Ügyfelek'!C166="",'Beállítások'!$B$45,VLOOKUP(MAX('Ügyfelek'!C166,'Beállítások'!$H$7),'Beállítások'!$H$7:$I$11,2,TRUE)))</f>
        <v/>
      </c>
      <c r="D166">
        <f>IF($A166="","",IF('Ügyfelek'!D166="",'Beállítások'!$B$45,VLOOKUP(MAX('Ügyfelek'!D166,'Beállítások'!$K$7),'Beállítások'!$K$7:$L$11,2,TRUE)))</f>
        <v/>
      </c>
      <c r="E166">
        <f>IF($A166="","",IF('Ügyfelek'!L166="",'Beállítások'!$B$45,MIN(5,MAX(1,ROUND('Ügyfelek'!L166,0)))))</f>
        <v/>
      </c>
      <c r="F166">
        <f>IF($A166="","",IF('Ügyfelek'!I166="",'Beállítások'!$B$45,VLOOKUP(MAX('Ügyfelek'!I166,'Beállítások'!$N$7),'Beállítások'!$N$7:$O$11,2,TRUE)))</f>
        <v/>
      </c>
      <c r="G166">
        <f>IF($A166="","",IF('Ügyfelek'!N166="",'Beállítások'!$B$45,MIN(5,MAX(1,ROUND('Ügyfelek'!N166,0)))))</f>
        <v/>
      </c>
      <c r="H166">
        <f>IF($A166="","",IF('Ügyfelek'!J166="",'Beállítások'!$B$45,VLOOKUP(MAX('Ügyfelek'!J166,'Beállítások'!$Q$7),'Beállítások'!$Q$7:$R$11,2,TRUE)))</f>
        <v/>
      </c>
      <c r="I166">
        <f>IF($A166="","",IF('Ügyfelek'!K166="",'Beállítások'!$B$45,VLOOKUP(MAX('Ügyfelek'!K166,'Beállítások'!$T$7),'Beállítások'!$T$7:$U$11,2,TRUE)))</f>
        <v/>
      </c>
      <c r="J166">
        <f>IF($A166="","",IF('Ügyfelek'!M166="",'Beállítások'!$B$45,MIN(5,MAX(1,ROUND('Ügyfelek'!M166,0)))))</f>
        <v/>
      </c>
      <c r="K166">
        <f>IF($A166="","",IF('Ügyfelek'!P166="",'Beállítások'!$B$45,MIN(5,MAX(1,ROUND('Ügyfelek'!P166,0)))))</f>
        <v/>
      </c>
      <c r="L166">
        <f>IF($A166="","",IF('Ügyfelek'!O166="",'Beállítások'!$B$45,MIN(5,MAX(1,ROUND('Ügyfelek'!O166,0)))))</f>
        <v/>
      </c>
      <c r="M166" s="13">
        <f>IF($A166="","",ROUND('Beállítások'!$E$6*(B166-1)/4+'Beállítások'!$E$7*(C166-1)/4+'Beállítások'!$E$8*(D166-1)/4+'Beállítások'!$E$9*(E166-1)/4+'Beállítások'!$E$10*(F166-1)/4+'Beállítások'!$E$11*(G166-1)/4+'Beállítások'!$E$12*(H166-1)/4+'Beállítások'!$E$13*(I166-1)/4+'Beállítások'!$E$14*(J166-1)/4+'Beállítások'!$E$15*(K166-1)/4+'Beállítások'!$E$16*(L166-1)/4,1))</f>
        <v/>
      </c>
      <c r="N166" s="14">
        <f>IF($A166="","",RANK(M166,$M$2:$M$201))</f>
        <v/>
      </c>
      <c r="O166">
        <f>IF($A166="","",VLOOKUP(M166,'Beállítások'!$A$57:$E$60,2,TRUE))</f>
        <v/>
      </c>
      <c r="P166">
        <f>IF($A166="","",VLOOKUP(M166,'Beállítások'!$A$57:$E$60,3,TRUE))</f>
        <v/>
      </c>
      <c r="Q166">
        <f>IF($A166="","",INDEX('Beállítások'!$B$6:$B$16,MATCH(MAX(AD166:AN166),AD166:AN166,0)))</f>
        <v/>
      </c>
      <c r="R166">
        <f>IF($A166="","",IF(MAX(AO166:AY166)=0,"—",INDEX('Beállítások'!$B$6:$B$16,MATCH(MAX(AO166:AY166),AO166:AY166,0))))</f>
        <v/>
      </c>
      <c r="S166" s="5">
        <f>IF($A166="","",'Beállítások'!$B$47*(TRIM('Ügyfelek'!E166)="igen")+'Beállítások'!$B$48*(TRIM('Ügyfelek'!F166)="igen")+'Beállítások'!$B$49*N('Ügyfelek'!G166)+'Beállítások'!$B$46*N('Ügyfelek'!H166))</f>
        <v/>
      </c>
      <c r="T166" s="15">
        <f>IF($A166="","",VLOOKUP(M166,'Beállítások'!$A$57:$E$60,4,TRUE))</f>
        <v/>
      </c>
      <c r="U166" s="5">
        <f>IF($A166="","",N('Ügyfelek'!D166)*'Beállítások'!$B$51)</f>
        <v/>
      </c>
      <c r="V166" s="5">
        <f>IF($A166="","",CEILING(ROUND(MAX('Beállítások'!$B$50,S166*T166,U166),2),'Beállítások'!$B$52))</f>
        <v/>
      </c>
      <c r="W166">
        <f>IF($A166="","",IF(MAX('Beállítások'!$B$50,S166*T166,U166)=S166*T166,"Munkaigény × szintszorzó",IF(MAX('Beállítások'!$B$50,S166*T166,U166)=U166,"Hirdetési keret arányában","Minimumdíj")))</f>
        <v/>
      </c>
      <c r="X166" s="5">
        <f>IF(OR($A166="",'Ügyfelek'!Q166=""),"",'Ügyfelek'!Q166)</f>
        <v/>
      </c>
      <c r="Y166" s="5">
        <f>IF(X166="","",V166-X166)</f>
        <v/>
      </c>
      <c r="Z166" s="16">
        <f>IF(OR(X166="",X166=0),"",Y166/X166)</f>
        <v/>
      </c>
      <c r="AA166" s="5">
        <f>IF(OR($A166="",'Ügyfelek'!R166=""),"",'Ügyfelek'!R166*VLOOKUP(M166,'Beállítások'!$A$57:$E$60,5,TRUE))</f>
        <v/>
      </c>
      <c r="AB166" s="14">
        <f>IF($A166="","",('Ügyfelek'!B166="")+('Ügyfelek'!C166="")+('Ügyfelek'!D166="")+('Ügyfelek'!L166="")+('Ügyfelek'!I166="")+('Ügyfelek'!N166="")+('Ügyfelek'!J166="")+('Ügyfelek'!K166="")+('Ügyfelek'!M166="")+('Ügyfelek'!P166="")+('Ügyfelek'!O166=""))</f>
        <v/>
      </c>
      <c r="AD166">
        <f>IF($A166="","",B166+'Beállítások'!$E$6/1000)</f>
        <v/>
      </c>
      <c r="AE166">
        <f>IF($A166="","",C166+'Beállítások'!$E$7/1000)</f>
        <v/>
      </c>
      <c r="AF166">
        <f>IF($A166="","",D166+'Beállítások'!$E$8/1000)</f>
        <v/>
      </c>
      <c r="AG166">
        <f>IF($A166="","",E166+'Beállítások'!$E$9/1000)</f>
        <v/>
      </c>
      <c r="AH166">
        <f>IF($A166="","",F166+'Beállítások'!$E$10/1000)</f>
        <v/>
      </c>
      <c r="AI166">
        <f>IF($A166="","",G166+'Beállítások'!$E$11/1000)</f>
        <v/>
      </c>
      <c r="AJ166">
        <f>IF($A166="","",H166+'Beállítások'!$E$12/1000)</f>
        <v/>
      </c>
      <c r="AK166">
        <f>IF($A166="","",I166+'Beállítások'!$E$13/1000)</f>
        <v/>
      </c>
      <c r="AL166">
        <f>IF($A166="","",J166+'Beállítások'!$E$14/1000)</f>
        <v/>
      </c>
      <c r="AM166">
        <f>IF($A166="","",K166+'Beállítások'!$E$15/1000)</f>
        <v/>
      </c>
      <c r="AN166">
        <f>IF($A166="","",L166+'Beállítások'!$E$16/1000)</f>
        <v/>
      </c>
      <c r="AO166">
        <f>IF($A166="","",'Beállítások'!$E$6*(5-B166))</f>
        <v/>
      </c>
      <c r="AP166">
        <f>IF($A166="","",'Beállítások'!$E$7*(5-C166))</f>
        <v/>
      </c>
      <c r="AQ166">
        <f>IF($A166="","",'Beállítások'!$E$8*(5-D166))</f>
        <v/>
      </c>
      <c r="AR166">
        <f>IF($A166="","",'Beállítások'!$E$9*(5-E166))</f>
        <v/>
      </c>
      <c r="AS166">
        <f>IF($A166="","",'Beállítások'!$E$10*(5-F166))</f>
        <v/>
      </c>
      <c r="AT166">
        <f>IF($A166="","",'Beállítások'!$E$11*(5-G166))</f>
        <v/>
      </c>
      <c r="AU166">
        <f>IF($A166="","",'Beállítások'!$E$12*(5-H166))</f>
        <v/>
      </c>
      <c r="AV166">
        <f>IF($A166="","",'Beállítások'!$E$13*(5-I166))</f>
        <v/>
      </c>
      <c r="AW166">
        <f>IF($A166="","",'Beállítások'!$E$14*(5-J166))</f>
        <v/>
      </c>
      <c r="AX166">
        <f>IF($A166="","",'Beállítások'!$E$15*(5-K166))</f>
        <v/>
      </c>
      <c r="AY166">
        <f>IF($A166="","",'Beállítások'!$E$16*(5-L166))</f>
        <v/>
      </c>
      <c r="AZ166">
        <f>IF($A166="","",M166-ROW()/100000)</f>
        <v/>
      </c>
    </row>
    <row r="167">
      <c r="A167">
        <f>IF('Ügyfelek'!A167="","",'Ügyfelek'!A167)</f>
        <v/>
      </c>
      <c r="B167">
        <f>IF($A167="","",IF('Ügyfelek'!B167="",'Beállítások'!$B$45,IFERROR(VLOOKUP(TRIM('Ügyfelek'!B167),'Beállítások'!$A$22:$B$41,2,FALSE),'Beállítások'!$B$45)))</f>
        <v/>
      </c>
      <c r="C167">
        <f>IF($A167="","",IF('Ügyfelek'!C167="",'Beállítások'!$B$45,VLOOKUP(MAX('Ügyfelek'!C167,'Beállítások'!$H$7),'Beállítások'!$H$7:$I$11,2,TRUE)))</f>
        <v/>
      </c>
      <c r="D167">
        <f>IF($A167="","",IF('Ügyfelek'!D167="",'Beállítások'!$B$45,VLOOKUP(MAX('Ügyfelek'!D167,'Beállítások'!$K$7),'Beállítások'!$K$7:$L$11,2,TRUE)))</f>
        <v/>
      </c>
      <c r="E167">
        <f>IF($A167="","",IF('Ügyfelek'!L167="",'Beállítások'!$B$45,MIN(5,MAX(1,ROUND('Ügyfelek'!L167,0)))))</f>
        <v/>
      </c>
      <c r="F167">
        <f>IF($A167="","",IF('Ügyfelek'!I167="",'Beállítások'!$B$45,VLOOKUP(MAX('Ügyfelek'!I167,'Beállítások'!$N$7),'Beállítások'!$N$7:$O$11,2,TRUE)))</f>
        <v/>
      </c>
      <c r="G167">
        <f>IF($A167="","",IF('Ügyfelek'!N167="",'Beállítások'!$B$45,MIN(5,MAX(1,ROUND('Ügyfelek'!N167,0)))))</f>
        <v/>
      </c>
      <c r="H167">
        <f>IF($A167="","",IF('Ügyfelek'!J167="",'Beállítások'!$B$45,VLOOKUP(MAX('Ügyfelek'!J167,'Beállítások'!$Q$7),'Beállítások'!$Q$7:$R$11,2,TRUE)))</f>
        <v/>
      </c>
      <c r="I167">
        <f>IF($A167="","",IF('Ügyfelek'!K167="",'Beállítások'!$B$45,VLOOKUP(MAX('Ügyfelek'!K167,'Beállítások'!$T$7),'Beállítások'!$T$7:$U$11,2,TRUE)))</f>
        <v/>
      </c>
      <c r="J167">
        <f>IF($A167="","",IF('Ügyfelek'!M167="",'Beállítások'!$B$45,MIN(5,MAX(1,ROUND('Ügyfelek'!M167,0)))))</f>
        <v/>
      </c>
      <c r="K167">
        <f>IF($A167="","",IF('Ügyfelek'!P167="",'Beállítások'!$B$45,MIN(5,MAX(1,ROUND('Ügyfelek'!P167,0)))))</f>
        <v/>
      </c>
      <c r="L167">
        <f>IF($A167="","",IF('Ügyfelek'!O167="",'Beállítások'!$B$45,MIN(5,MAX(1,ROUND('Ügyfelek'!O167,0)))))</f>
        <v/>
      </c>
      <c r="M167" s="13">
        <f>IF($A167="","",ROUND('Beállítások'!$E$6*(B167-1)/4+'Beállítások'!$E$7*(C167-1)/4+'Beállítások'!$E$8*(D167-1)/4+'Beállítások'!$E$9*(E167-1)/4+'Beállítások'!$E$10*(F167-1)/4+'Beállítások'!$E$11*(G167-1)/4+'Beállítások'!$E$12*(H167-1)/4+'Beállítások'!$E$13*(I167-1)/4+'Beállítások'!$E$14*(J167-1)/4+'Beállítások'!$E$15*(K167-1)/4+'Beállítások'!$E$16*(L167-1)/4,1))</f>
        <v/>
      </c>
      <c r="N167" s="14">
        <f>IF($A167="","",RANK(M167,$M$2:$M$201))</f>
        <v/>
      </c>
      <c r="O167">
        <f>IF($A167="","",VLOOKUP(M167,'Beállítások'!$A$57:$E$60,2,TRUE))</f>
        <v/>
      </c>
      <c r="P167">
        <f>IF($A167="","",VLOOKUP(M167,'Beállítások'!$A$57:$E$60,3,TRUE))</f>
        <v/>
      </c>
      <c r="Q167">
        <f>IF($A167="","",INDEX('Beállítások'!$B$6:$B$16,MATCH(MAX(AD167:AN167),AD167:AN167,0)))</f>
        <v/>
      </c>
      <c r="R167">
        <f>IF($A167="","",IF(MAX(AO167:AY167)=0,"—",INDEX('Beállítások'!$B$6:$B$16,MATCH(MAX(AO167:AY167),AO167:AY167,0))))</f>
        <v/>
      </c>
      <c r="S167" s="5">
        <f>IF($A167="","",'Beállítások'!$B$47*(TRIM('Ügyfelek'!E167)="igen")+'Beállítások'!$B$48*(TRIM('Ügyfelek'!F167)="igen")+'Beállítások'!$B$49*N('Ügyfelek'!G167)+'Beállítások'!$B$46*N('Ügyfelek'!H167))</f>
        <v/>
      </c>
      <c r="T167" s="15">
        <f>IF($A167="","",VLOOKUP(M167,'Beállítások'!$A$57:$E$60,4,TRUE))</f>
        <v/>
      </c>
      <c r="U167" s="5">
        <f>IF($A167="","",N('Ügyfelek'!D167)*'Beállítások'!$B$51)</f>
        <v/>
      </c>
      <c r="V167" s="5">
        <f>IF($A167="","",CEILING(ROUND(MAX('Beállítások'!$B$50,S167*T167,U167),2),'Beállítások'!$B$52))</f>
        <v/>
      </c>
      <c r="W167">
        <f>IF($A167="","",IF(MAX('Beállítások'!$B$50,S167*T167,U167)=S167*T167,"Munkaigény × szintszorzó",IF(MAX('Beállítások'!$B$50,S167*T167,U167)=U167,"Hirdetési keret arányában","Minimumdíj")))</f>
        <v/>
      </c>
      <c r="X167" s="5">
        <f>IF(OR($A167="",'Ügyfelek'!Q167=""),"",'Ügyfelek'!Q167)</f>
        <v/>
      </c>
      <c r="Y167" s="5">
        <f>IF(X167="","",V167-X167)</f>
        <v/>
      </c>
      <c r="Z167" s="16">
        <f>IF(OR(X167="",X167=0),"",Y167/X167)</f>
        <v/>
      </c>
      <c r="AA167" s="5">
        <f>IF(OR($A167="",'Ügyfelek'!R167=""),"",'Ügyfelek'!R167*VLOOKUP(M167,'Beállítások'!$A$57:$E$60,5,TRUE))</f>
        <v/>
      </c>
      <c r="AB167" s="14">
        <f>IF($A167="","",('Ügyfelek'!B167="")+('Ügyfelek'!C167="")+('Ügyfelek'!D167="")+('Ügyfelek'!L167="")+('Ügyfelek'!I167="")+('Ügyfelek'!N167="")+('Ügyfelek'!J167="")+('Ügyfelek'!K167="")+('Ügyfelek'!M167="")+('Ügyfelek'!P167="")+('Ügyfelek'!O167=""))</f>
        <v/>
      </c>
      <c r="AD167">
        <f>IF($A167="","",B167+'Beállítások'!$E$6/1000)</f>
        <v/>
      </c>
      <c r="AE167">
        <f>IF($A167="","",C167+'Beállítások'!$E$7/1000)</f>
        <v/>
      </c>
      <c r="AF167">
        <f>IF($A167="","",D167+'Beállítások'!$E$8/1000)</f>
        <v/>
      </c>
      <c r="AG167">
        <f>IF($A167="","",E167+'Beállítások'!$E$9/1000)</f>
        <v/>
      </c>
      <c r="AH167">
        <f>IF($A167="","",F167+'Beállítások'!$E$10/1000)</f>
        <v/>
      </c>
      <c r="AI167">
        <f>IF($A167="","",G167+'Beállítások'!$E$11/1000)</f>
        <v/>
      </c>
      <c r="AJ167">
        <f>IF($A167="","",H167+'Beállítások'!$E$12/1000)</f>
        <v/>
      </c>
      <c r="AK167">
        <f>IF($A167="","",I167+'Beállítások'!$E$13/1000)</f>
        <v/>
      </c>
      <c r="AL167">
        <f>IF($A167="","",J167+'Beállítások'!$E$14/1000)</f>
        <v/>
      </c>
      <c r="AM167">
        <f>IF($A167="","",K167+'Beállítások'!$E$15/1000)</f>
        <v/>
      </c>
      <c r="AN167">
        <f>IF($A167="","",L167+'Beállítások'!$E$16/1000)</f>
        <v/>
      </c>
      <c r="AO167">
        <f>IF($A167="","",'Beállítások'!$E$6*(5-B167))</f>
        <v/>
      </c>
      <c r="AP167">
        <f>IF($A167="","",'Beállítások'!$E$7*(5-C167))</f>
        <v/>
      </c>
      <c r="AQ167">
        <f>IF($A167="","",'Beállítások'!$E$8*(5-D167))</f>
        <v/>
      </c>
      <c r="AR167">
        <f>IF($A167="","",'Beállítások'!$E$9*(5-E167))</f>
        <v/>
      </c>
      <c r="AS167">
        <f>IF($A167="","",'Beállítások'!$E$10*(5-F167))</f>
        <v/>
      </c>
      <c r="AT167">
        <f>IF($A167="","",'Beállítások'!$E$11*(5-G167))</f>
        <v/>
      </c>
      <c r="AU167">
        <f>IF($A167="","",'Beállítások'!$E$12*(5-H167))</f>
        <v/>
      </c>
      <c r="AV167">
        <f>IF($A167="","",'Beállítások'!$E$13*(5-I167))</f>
        <v/>
      </c>
      <c r="AW167">
        <f>IF($A167="","",'Beállítások'!$E$14*(5-J167))</f>
        <v/>
      </c>
      <c r="AX167">
        <f>IF($A167="","",'Beállítások'!$E$15*(5-K167))</f>
        <v/>
      </c>
      <c r="AY167">
        <f>IF($A167="","",'Beállítások'!$E$16*(5-L167))</f>
        <v/>
      </c>
      <c r="AZ167">
        <f>IF($A167="","",M167-ROW()/100000)</f>
        <v/>
      </c>
    </row>
    <row r="168">
      <c r="A168">
        <f>IF('Ügyfelek'!A168="","",'Ügyfelek'!A168)</f>
        <v/>
      </c>
      <c r="B168">
        <f>IF($A168="","",IF('Ügyfelek'!B168="",'Beállítások'!$B$45,IFERROR(VLOOKUP(TRIM('Ügyfelek'!B168),'Beállítások'!$A$22:$B$41,2,FALSE),'Beállítások'!$B$45)))</f>
        <v/>
      </c>
      <c r="C168">
        <f>IF($A168="","",IF('Ügyfelek'!C168="",'Beállítások'!$B$45,VLOOKUP(MAX('Ügyfelek'!C168,'Beállítások'!$H$7),'Beállítások'!$H$7:$I$11,2,TRUE)))</f>
        <v/>
      </c>
      <c r="D168">
        <f>IF($A168="","",IF('Ügyfelek'!D168="",'Beállítások'!$B$45,VLOOKUP(MAX('Ügyfelek'!D168,'Beállítások'!$K$7),'Beállítások'!$K$7:$L$11,2,TRUE)))</f>
        <v/>
      </c>
      <c r="E168">
        <f>IF($A168="","",IF('Ügyfelek'!L168="",'Beállítások'!$B$45,MIN(5,MAX(1,ROUND('Ügyfelek'!L168,0)))))</f>
        <v/>
      </c>
      <c r="F168">
        <f>IF($A168="","",IF('Ügyfelek'!I168="",'Beállítások'!$B$45,VLOOKUP(MAX('Ügyfelek'!I168,'Beállítások'!$N$7),'Beállítások'!$N$7:$O$11,2,TRUE)))</f>
        <v/>
      </c>
      <c r="G168">
        <f>IF($A168="","",IF('Ügyfelek'!N168="",'Beállítások'!$B$45,MIN(5,MAX(1,ROUND('Ügyfelek'!N168,0)))))</f>
        <v/>
      </c>
      <c r="H168">
        <f>IF($A168="","",IF('Ügyfelek'!J168="",'Beállítások'!$B$45,VLOOKUP(MAX('Ügyfelek'!J168,'Beállítások'!$Q$7),'Beállítások'!$Q$7:$R$11,2,TRUE)))</f>
        <v/>
      </c>
      <c r="I168">
        <f>IF($A168="","",IF('Ügyfelek'!K168="",'Beállítások'!$B$45,VLOOKUP(MAX('Ügyfelek'!K168,'Beállítások'!$T$7),'Beállítások'!$T$7:$U$11,2,TRUE)))</f>
        <v/>
      </c>
      <c r="J168">
        <f>IF($A168="","",IF('Ügyfelek'!M168="",'Beállítások'!$B$45,MIN(5,MAX(1,ROUND('Ügyfelek'!M168,0)))))</f>
        <v/>
      </c>
      <c r="K168">
        <f>IF($A168="","",IF('Ügyfelek'!P168="",'Beállítások'!$B$45,MIN(5,MAX(1,ROUND('Ügyfelek'!P168,0)))))</f>
        <v/>
      </c>
      <c r="L168">
        <f>IF($A168="","",IF('Ügyfelek'!O168="",'Beállítások'!$B$45,MIN(5,MAX(1,ROUND('Ügyfelek'!O168,0)))))</f>
        <v/>
      </c>
      <c r="M168" s="13">
        <f>IF($A168="","",ROUND('Beállítások'!$E$6*(B168-1)/4+'Beállítások'!$E$7*(C168-1)/4+'Beállítások'!$E$8*(D168-1)/4+'Beállítások'!$E$9*(E168-1)/4+'Beállítások'!$E$10*(F168-1)/4+'Beállítások'!$E$11*(G168-1)/4+'Beállítások'!$E$12*(H168-1)/4+'Beállítások'!$E$13*(I168-1)/4+'Beállítások'!$E$14*(J168-1)/4+'Beállítások'!$E$15*(K168-1)/4+'Beállítások'!$E$16*(L168-1)/4,1))</f>
        <v/>
      </c>
      <c r="N168" s="14">
        <f>IF($A168="","",RANK(M168,$M$2:$M$201))</f>
        <v/>
      </c>
      <c r="O168">
        <f>IF($A168="","",VLOOKUP(M168,'Beállítások'!$A$57:$E$60,2,TRUE))</f>
        <v/>
      </c>
      <c r="P168">
        <f>IF($A168="","",VLOOKUP(M168,'Beállítások'!$A$57:$E$60,3,TRUE))</f>
        <v/>
      </c>
      <c r="Q168">
        <f>IF($A168="","",INDEX('Beállítások'!$B$6:$B$16,MATCH(MAX(AD168:AN168),AD168:AN168,0)))</f>
        <v/>
      </c>
      <c r="R168">
        <f>IF($A168="","",IF(MAX(AO168:AY168)=0,"—",INDEX('Beállítások'!$B$6:$B$16,MATCH(MAX(AO168:AY168),AO168:AY168,0))))</f>
        <v/>
      </c>
      <c r="S168" s="5">
        <f>IF($A168="","",'Beállítások'!$B$47*(TRIM('Ügyfelek'!E168)="igen")+'Beállítások'!$B$48*(TRIM('Ügyfelek'!F168)="igen")+'Beállítások'!$B$49*N('Ügyfelek'!G168)+'Beállítások'!$B$46*N('Ügyfelek'!H168))</f>
        <v/>
      </c>
      <c r="T168" s="15">
        <f>IF($A168="","",VLOOKUP(M168,'Beállítások'!$A$57:$E$60,4,TRUE))</f>
        <v/>
      </c>
      <c r="U168" s="5">
        <f>IF($A168="","",N('Ügyfelek'!D168)*'Beállítások'!$B$51)</f>
        <v/>
      </c>
      <c r="V168" s="5">
        <f>IF($A168="","",CEILING(ROUND(MAX('Beállítások'!$B$50,S168*T168,U168),2),'Beállítások'!$B$52))</f>
        <v/>
      </c>
      <c r="W168">
        <f>IF($A168="","",IF(MAX('Beállítások'!$B$50,S168*T168,U168)=S168*T168,"Munkaigény × szintszorzó",IF(MAX('Beállítások'!$B$50,S168*T168,U168)=U168,"Hirdetési keret arányában","Minimumdíj")))</f>
        <v/>
      </c>
      <c r="X168" s="5">
        <f>IF(OR($A168="",'Ügyfelek'!Q168=""),"",'Ügyfelek'!Q168)</f>
        <v/>
      </c>
      <c r="Y168" s="5">
        <f>IF(X168="","",V168-X168)</f>
        <v/>
      </c>
      <c r="Z168" s="16">
        <f>IF(OR(X168="",X168=0),"",Y168/X168)</f>
        <v/>
      </c>
      <c r="AA168" s="5">
        <f>IF(OR($A168="",'Ügyfelek'!R168=""),"",'Ügyfelek'!R168*VLOOKUP(M168,'Beállítások'!$A$57:$E$60,5,TRUE))</f>
        <v/>
      </c>
      <c r="AB168" s="14">
        <f>IF($A168="","",('Ügyfelek'!B168="")+('Ügyfelek'!C168="")+('Ügyfelek'!D168="")+('Ügyfelek'!L168="")+('Ügyfelek'!I168="")+('Ügyfelek'!N168="")+('Ügyfelek'!J168="")+('Ügyfelek'!K168="")+('Ügyfelek'!M168="")+('Ügyfelek'!P168="")+('Ügyfelek'!O168=""))</f>
        <v/>
      </c>
      <c r="AD168">
        <f>IF($A168="","",B168+'Beállítások'!$E$6/1000)</f>
        <v/>
      </c>
      <c r="AE168">
        <f>IF($A168="","",C168+'Beállítások'!$E$7/1000)</f>
        <v/>
      </c>
      <c r="AF168">
        <f>IF($A168="","",D168+'Beállítások'!$E$8/1000)</f>
        <v/>
      </c>
      <c r="AG168">
        <f>IF($A168="","",E168+'Beállítások'!$E$9/1000)</f>
        <v/>
      </c>
      <c r="AH168">
        <f>IF($A168="","",F168+'Beállítások'!$E$10/1000)</f>
        <v/>
      </c>
      <c r="AI168">
        <f>IF($A168="","",G168+'Beállítások'!$E$11/1000)</f>
        <v/>
      </c>
      <c r="AJ168">
        <f>IF($A168="","",H168+'Beállítások'!$E$12/1000)</f>
        <v/>
      </c>
      <c r="AK168">
        <f>IF($A168="","",I168+'Beállítások'!$E$13/1000)</f>
        <v/>
      </c>
      <c r="AL168">
        <f>IF($A168="","",J168+'Beállítások'!$E$14/1000)</f>
        <v/>
      </c>
      <c r="AM168">
        <f>IF($A168="","",K168+'Beállítások'!$E$15/1000)</f>
        <v/>
      </c>
      <c r="AN168">
        <f>IF($A168="","",L168+'Beállítások'!$E$16/1000)</f>
        <v/>
      </c>
      <c r="AO168">
        <f>IF($A168="","",'Beállítások'!$E$6*(5-B168))</f>
        <v/>
      </c>
      <c r="AP168">
        <f>IF($A168="","",'Beállítások'!$E$7*(5-C168))</f>
        <v/>
      </c>
      <c r="AQ168">
        <f>IF($A168="","",'Beállítások'!$E$8*(5-D168))</f>
        <v/>
      </c>
      <c r="AR168">
        <f>IF($A168="","",'Beállítások'!$E$9*(5-E168))</f>
        <v/>
      </c>
      <c r="AS168">
        <f>IF($A168="","",'Beállítások'!$E$10*(5-F168))</f>
        <v/>
      </c>
      <c r="AT168">
        <f>IF($A168="","",'Beállítások'!$E$11*(5-G168))</f>
        <v/>
      </c>
      <c r="AU168">
        <f>IF($A168="","",'Beállítások'!$E$12*(5-H168))</f>
        <v/>
      </c>
      <c r="AV168">
        <f>IF($A168="","",'Beállítások'!$E$13*(5-I168))</f>
        <v/>
      </c>
      <c r="AW168">
        <f>IF($A168="","",'Beállítások'!$E$14*(5-J168))</f>
        <v/>
      </c>
      <c r="AX168">
        <f>IF($A168="","",'Beállítások'!$E$15*(5-K168))</f>
        <v/>
      </c>
      <c r="AY168">
        <f>IF($A168="","",'Beállítások'!$E$16*(5-L168))</f>
        <v/>
      </c>
      <c r="AZ168">
        <f>IF($A168="","",M168-ROW()/100000)</f>
        <v/>
      </c>
    </row>
    <row r="169">
      <c r="A169">
        <f>IF('Ügyfelek'!A169="","",'Ügyfelek'!A169)</f>
        <v/>
      </c>
      <c r="B169">
        <f>IF($A169="","",IF('Ügyfelek'!B169="",'Beállítások'!$B$45,IFERROR(VLOOKUP(TRIM('Ügyfelek'!B169),'Beállítások'!$A$22:$B$41,2,FALSE),'Beállítások'!$B$45)))</f>
        <v/>
      </c>
      <c r="C169">
        <f>IF($A169="","",IF('Ügyfelek'!C169="",'Beállítások'!$B$45,VLOOKUP(MAX('Ügyfelek'!C169,'Beállítások'!$H$7),'Beállítások'!$H$7:$I$11,2,TRUE)))</f>
        <v/>
      </c>
      <c r="D169">
        <f>IF($A169="","",IF('Ügyfelek'!D169="",'Beállítások'!$B$45,VLOOKUP(MAX('Ügyfelek'!D169,'Beállítások'!$K$7),'Beállítások'!$K$7:$L$11,2,TRUE)))</f>
        <v/>
      </c>
      <c r="E169">
        <f>IF($A169="","",IF('Ügyfelek'!L169="",'Beállítások'!$B$45,MIN(5,MAX(1,ROUND('Ügyfelek'!L169,0)))))</f>
        <v/>
      </c>
      <c r="F169">
        <f>IF($A169="","",IF('Ügyfelek'!I169="",'Beállítások'!$B$45,VLOOKUP(MAX('Ügyfelek'!I169,'Beállítások'!$N$7),'Beállítások'!$N$7:$O$11,2,TRUE)))</f>
        <v/>
      </c>
      <c r="G169">
        <f>IF($A169="","",IF('Ügyfelek'!N169="",'Beállítások'!$B$45,MIN(5,MAX(1,ROUND('Ügyfelek'!N169,0)))))</f>
        <v/>
      </c>
      <c r="H169">
        <f>IF($A169="","",IF('Ügyfelek'!J169="",'Beállítások'!$B$45,VLOOKUP(MAX('Ügyfelek'!J169,'Beállítások'!$Q$7),'Beállítások'!$Q$7:$R$11,2,TRUE)))</f>
        <v/>
      </c>
      <c r="I169">
        <f>IF($A169="","",IF('Ügyfelek'!K169="",'Beállítások'!$B$45,VLOOKUP(MAX('Ügyfelek'!K169,'Beállítások'!$T$7),'Beállítások'!$T$7:$U$11,2,TRUE)))</f>
        <v/>
      </c>
      <c r="J169">
        <f>IF($A169="","",IF('Ügyfelek'!M169="",'Beállítások'!$B$45,MIN(5,MAX(1,ROUND('Ügyfelek'!M169,0)))))</f>
        <v/>
      </c>
      <c r="K169">
        <f>IF($A169="","",IF('Ügyfelek'!P169="",'Beállítások'!$B$45,MIN(5,MAX(1,ROUND('Ügyfelek'!P169,0)))))</f>
        <v/>
      </c>
      <c r="L169">
        <f>IF($A169="","",IF('Ügyfelek'!O169="",'Beállítások'!$B$45,MIN(5,MAX(1,ROUND('Ügyfelek'!O169,0)))))</f>
        <v/>
      </c>
      <c r="M169" s="13">
        <f>IF($A169="","",ROUND('Beállítások'!$E$6*(B169-1)/4+'Beállítások'!$E$7*(C169-1)/4+'Beállítások'!$E$8*(D169-1)/4+'Beállítások'!$E$9*(E169-1)/4+'Beállítások'!$E$10*(F169-1)/4+'Beállítások'!$E$11*(G169-1)/4+'Beállítások'!$E$12*(H169-1)/4+'Beállítások'!$E$13*(I169-1)/4+'Beállítások'!$E$14*(J169-1)/4+'Beállítások'!$E$15*(K169-1)/4+'Beállítások'!$E$16*(L169-1)/4,1))</f>
        <v/>
      </c>
      <c r="N169" s="14">
        <f>IF($A169="","",RANK(M169,$M$2:$M$201))</f>
        <v/>
      </c>
      <c r="O169">
        <f>IF($A169="","",VLOOKUP(M169,'Beállítások'!$A$57:$E$60,2,TRUE))</f>
        <v/>
      </c>
      <c r="P169">
        <f>IF($A169="","",VLOOKUP(M169,'Beállítások'!$A$57:$E$60,3,TRUE))</f>
        <v/>
      </c>
      <c r="Q169">
        <f>IF($A169="","",INDEX('Beállítások'!$B$6:$B$16,MATCH(MAX(AD169:AN169),AD169:AN169,0)))</f>
        <v/>
      </c>
      <c r="R169">
        <f>IF($A169="","",IF(MAX(AO169:AY169)=0,"—",INDEX('Beállítások'!$B$6:$B$16,MATCH(MAX(AO169:AY169),AO169:AY169,0))))</f>
        <v/>
      </c>
      <c r="S169" s="5">
        <f>IF($A169="","",'Beállítások'!$B$47*(TRIM('Ügyfelek'!E169)="igen")+'Beállítások'!$B$48*(TRIM('Ügyfelek'!F169)="igen")+'Beállítások'!$B$49*N('Ügyfelek'!G169)+'Beállítások'!$B$46*N('Ügyfelek'!H169))</f>
        <v/>
      </c>
      <c r="T169" s="15">
        <f>IF($A169="","",VLOOKUP(M169,'Beállítások'!$A$57:$E$60,4,TRUE))</f>
        <v/>
      </c>
      <c r="U169" s="5">
        <f>IF($A169="","",N('Ügyfelek'!D169)*'Beállítások'!$B$51)</f>
        <v/>
      </c>
      <c r="V169" s="5">
        <f>IF($A169="","",CEILING(ROUND(MAX('Beállítások'!$B$50,S169*T169,U169),2),'Beállítások'!$B$52))</f>
        <v/>
      </c>
      <c r="W169">
        <f>IF($A169="","",IF(MAX('Beállítások'!$B$50,S169*T169,U169)=S169*T169,"Munkaigény × szintszorzó",IF(MAX('Beállítások'!$B$50,S169*T169,U169)=U169,"Hirdetési keret arányában","Minimumdíj")))</f>
        <v/>
      </c>
      <c r="X169" s="5">
        <f>IF(OR($A169="",'Ügyfelek'!Q169=""),"",'Ügyfelek'!Q169)</f>
        <v/>
      </c>
      <c r="Y169" s="5">
        <f>IF(X169="","",V169-X169)</f>
        <v/>
      </c>
      <c r="Z169" s="16">
        <f>IF(OR(X169="",X169=0),"",Y169/X169)</f>
        <v/>
      </c>
      <c r="AA169" s="5">
        <f>IF(OR($A169="",'Ügyfelek'!R169=""),"",'Ügyfelek'!R169*VLOOKUP(M169,'Beállítások'!$A$57:$E$60,5,TRUE))</f>
        <v/>
      </c>
      <c r="AB169" s="14">
        <f>IF($A169="","",('Ügyfelek'!B169="")+('Ügyfelek'!C169="")+('Ügyfelek'!D169="")+('Ügyfelek'!L169="")+('Ügyfelek'!I169="")+('Ügyfelek'!N169="")+('Ügyfelek'!J169="")+('Ügyfelek'!K169="")+('Ügyfelek'!M169="")+('Ügyfelek'!P169="")+('Ügyfelek'!O169=""))</f>
        <v/>
      </c>
      <c r="AD169">
        <f>IF($A169="","",B169+'Beállítások'!$E$6/1000)</f>
        <v/>
      </c>
      <c r="AE169">
        <f>IF($A169="","",C169+'Beállítások'!$E$7/1000)</f>
        <v/>
      </c>
      <c r="AF169">
        <f>IF($A169="","",D169+'Beállítások'!$E$8/1000)</f>
        <v/>
      </c>
      <c r="AG169">
        <f>IF($A169="","",E169+'Beállítások'!$E$9/1000)</f>
        <v/>
      </c>
      <c r="AH169">
        <f>IF($A169="","",F169+'Beállítások'!$E$10/1000)</f>
        <v/>
      </c>
      <c r="AI169">
        <f>IF($A169="","",G169+'Beállítások'!$E$11/1000)</f>
        <v/>
      </c>
      <c r="AJ169">
        <f>IF($A169="","",H169+'Beállítások'!$E$12/1000)</f>
        <v/>
      </c>
      <c r="AK169">
        <f>IF($A169="","",I169+'Beállítások'!$E$13/1000)</f>
        <v/>
      </c>
      <c r="AL169">
        <f>IF($A169="","",J169+'Beállítások'!$E$14/1000)</f>
        <v/>
      </c>
      <c r="AM169">
        <f>IF($A169="","",K169+'Beállítások'!$E$15/1000)</f>
        <v/>
      </c>
      <c r="AN169">
        <f>IF($A169="","",L169+'Beállítások'!$E$16/1000)</f>
        <v/>
      </c>
      <c r="AO169">
        <f>IF($A169="","",'Beállítások'!$E$6*(5-B169))</f>
        <v/>
      </c>
      <c r="AP169">
        <f>IF($A169="","",'Beállítások'!$E$7*(5-C169))</f>
        <v/>
      </c>
      <c r="AQ169">
        <f>IF($A169="","",'Beállítások'!$E$8*(5-D169))</f>
        <v/>
      </c>
      <c r="AR169">
        <f>IF($A169="","",'Beállítások'!$E$9*(5-E169))</f>
        <v/>
      </c>
      <c r="AS169">
        <f>IF($A169="","",'Beállítások'!$E$10*(5-F169))</f>
        <v/>
      </c>
      <c r="AT169">
        <f>IF($A169="","",'Beállítások'!$E$11*(5-G169))</f>
        <v/>
      </c>
      <c r="AU169">
        <f>IF($A169="","",'Beállítások'!$E$12*(5-H169))</f>
        <v/>
      </c>
      <c r="AV169">
        <f>IF($A169="","",'Beállítások'!$E$13*(5-I169))</f>
        <v/>
      </c>
      <c r="AW169">
        <f>IF($A169="","",'Beállítások'!$E$14*(5-J169))</f>
        <v/>
      </c>
      <c r="AX169">
        <f>IF($A169="","",'Beállítások'!$E$15*(5-K169))</f>
        <v/>
      </c>
      <c r="AY169">
        <f>IF($A169="","",'Beállítások'!$E$16*(5-L169))</f>
        <v/>
      </c>
      <c r="AZ169">
        <f>IF($A169="","",M169-ROW()/100000)</f>
        <v/>
      </c>
    </row>
    <row r="170">
      <c r="A170">
        <f>IF('Ügyfelek'!A170="","",'Ügyfelek'!A170)</f>
        <v/>
      </c>
      <c r="B170">
        <f>IF($A170="","",IF('Ügyfelek'!B170="",'Beállítások'!$B$45,IFERROR(VLOOKUP(TRIM('Ügyfelek'!B170),'Beállítások'!$A$22:$B$41,2,FALSE),'Beállítások'!$B$45)))</f>
        <v/>
      </c>
      <c r="C170">
        <f>IF($A170="","",IF('Ügyfelek'!C170="",'Beállítások'!$B$45,VLOOKUP(MAX('Ügyfelek'!C170,'Beállítások'!$H$7),'Beállítások'!$H$7:$I$11,2,TRUE)))</f>
        <v/>
      </c>
      <c r="D170">
        <f>IF($A170="","",IF('Ügyfelek'!D170="",'Beállítások'!$B$45,VLOOKUP(MAX('Ügyfelek'!D170,'Beállítások'!$K$7),'Beállítások'!$K$7:$L$11,2,TRUE)))</f>
        <v/>
      </c>
      <c r="E170">
        <f>IF($A170="","",IF('Ügyfelek'!L170="",'Beállítások'!$B$45,MIN(5,MAX(1,ROUND('Ügyfelek'!L170,0)))))</f>
        <v/>
      </c>
      <c r="F170">
        <f>IF($A170="","",IF('Ügyfelek'!I170="",'Beállítások'!$B$45,VLOOKUP(MAX('Ügyfelek'!I170,'Beállítások'!$N$7),'Beállítások'!$N$7:$O$11,2,TRUE)))</f>
        <v/>
      </c>
      <c r="G170">
        <f>IF($A170="","",IF('Ügyfelek'!N170="",'Beállítások'!$B$45,MIN(5,MAX(1,ROUND('Ügyfelek'!N170,0)))))</f>
        <v/>
      </c>
      <c r="H170">
        <f>IF($A170="","",IF('Ügyfelek'!J170="",'Beállítások'!$B$45,VLOOKUP(MAX('Ügyfelek'!J170,'Beállítások'!$Q$7),'Beállítások'!$Q$7:$R$11,2,TRUE)))</f>
        <v/>
      </c>
      <c r="I170">
        <f>IF($A170="","",IF('Ügyfelek'!K170="",'Beállítások'!$B$45,VLOOKUP(MAX('Ügyfelek'!K170,'Beállítások'!$T$7),'Beállítások'!$T$7:$U$11,2,TRUE)))</f>
        <v/>
      </c>
      <c r="J170">
        <f>IF($A170="","",IF('Ügyfelek'!M170="",'Beállítások'!$B$45,MIN(5,MAX(1,ROUND('Ügyfelek'!M170,0)))))</f>
        <v/>
      </c>
      <c r="K170">
        <f>IF($A170="","",IF('Ügyfelek'!P170="",'Beállítások'!$B$45,MIN(5,MAX(1,ROUND('Ügyfelek'!P170,0)))))</f>
        <v/>
      </c>
      <c r="L170">
        <f>IF($A170="","",IF('Ügyfelek'!O170="",'Beállítások'!$B$45,MIN(5,MAX(1,ROUND('Ügyfelek'!O170,0)))))</f>
        <v/>
      </c>
      <c r="M170" s="13">
        <f>IF($A170="","",ROUND('Beállítások'!$E$6*(B170-1)/4+'Beállítások'!$E$7*(C170-1)/4+'Beállítások'!$E$8*(D170-1)/4+'Beállítások'!$E$9*(E170-1)/4+'Beállítások'!$E$10*(F170-1)/4+'Beállítások'!$E$11*(G170-1)/4+'Beállítások'!$E$12*(H170-1)/4+'Beállítások'!$E$13*(I170-1)/4+'Beállítások'!$E$14*(J170-1)/4+'Beállítások'!$E$15*(K170-1)/4+'Beállítások'!$E$16*(L170-1)/4,1))</f>
        <v/>
      </c>
      <c r="N170" s="14">
        <f>IF($A170="","",RANK(M170,$M$2:$M$201))</f>
        <v/>
      </c>
      <c r="O170">
        <f>IF($A170="","",VLOOKUP(M170,'Beállítások'!$A$57:$E$60,2,TRUE))</f>
        <v/>
      </c>
      <c r="P170">
        <f>IF($A170="","",VLOOKUP(M170,'Beállítások'!$A$57:$E$60,3,TRUE))</f>
        <v/>
      </c>
      <c r="Q170">
        <f>IF($A170="","",INDEX('Beállítások'!$B$6:$B$16,MATCH(MAX(AD170:AN170),AD170:AN170,0)))</f>
        <v/>
      </c>
      <c r="R170">
        <f>IF($A170="","",IF(MAX(AO170:AY170)=0,"—",INDEX('Beállítások'!$B$6:$B$16,MATCH(MAX(AO170:AY170),AO170:AY170,0))))</f>
        <v/>
      </c>
      <c r="S170" s="5">
        <f>IF($A170="","",'Beállítások'!$B$47*(TRIM('Ügyfelek'!E170)="igen")+'Beállítások'!$B$48*(TRIM('Ügyfelek'!F170)="igen")+'Beállítások'!$B$49*N('Ügyfelek'!G170)+'Beállítások'!$B$46*N('Ügyfelek'!H170))</f>
        <v/>
      </c>
      <c r="T170" s="15">
        <f>IF($A170="","",VLOOKUP(M170,'Beállítások'!$A$57:$E$60,4,TRUE))</f>
        <v/>
      </c>
      <c r="U170" s="5">
        <f>IF($A170="","",N('Ügyfelek'!D170)*'Beállítások'!$B$51)</f>
        <v/>
      </c>
      <c r="V170" s="5">
        <f>IF($A170="","",CEILING(ROUND(MAX('Beállítások'!$B$50,S170*T170,U170),2),'Beállítások'!$B$52))</f>
        <v/>
      </c>
      <c r="W170">
        <f>IF($A170="","",IF(MAX('Beállítások'!$B$50,S170*T170,U170)=S170*T170,"Munkaigény × szintszorzó",IF(MAX('Beállítások'!$B$50,S170*T170,U170)=U170,"Hirdetési keret arányában","Minimumdíj")))</f>
        <v/>
      </c>
      <c r="X170" s="5">
        <f>IF(OR($A170="",'Ügyfelek'!Q170=""),"",'Ügyfelek'!Q170)</f>
        <v/>
      </c>
      <c r="Y170" s="5">
        <f>IF(X170="","",V170-X170)</f>
        <v/>
      </c>
      <c r="Z170" s="16">
        <f>IF(OR(X170="",X170=0),"",Y170/X170)</f>
        <v/>
      </c>
      <c r="AA170" s="5">
        <f>IF(OR($A170="",'Ügyfelek'!R170=""),"",'Ügyfelek'!R170*VLOOKUP(M170,'Beállítások'!$A$57:$E$60,5,TRUE))</f>
        <v/>
      </c>
      <c r="AB170" s="14">
        <f>IF($A170="","",('Ügyfelek'!B170="")+('Ügyfelek'!C170="")+('Ügyfelek'!D170="")+('Ügyfelek'!L170="")+('Ügyfelek'!I170="")+('Ügyfelek'!N170="")+('Ügyfelek'!J170="")+('Ügyfelek'!K170="")+('Ügyfelek'!M170="")+('Ügyfelek'!P170="")+('Ügyfelek'!O170=""))</f>
        <v/>
      </c>
      <c r="AD170">
        <f>IF($A170="","",B170+'Beállítások'!$E$6/1000)</f>
        <v/>
      </c>
      <c r="AE170">
        <f>IF($A170="","",C170+'Beállítások'!$E$7/1000)</f>
        <v/>
      </c>
      <c r="AF170">
        <f>IF($A170="","",D170+'Beállítások'!$E$8/1000)</f>
        <v/>
      </c>
      <c r="AG170">
        <f>IF($A170="","",E170+'Beállítások'!$E$9/1000)</f>
        <v/>
      </c>
      <c r="AH170">
        <f>IF($A170="","",F170+'Beállítások'!$E$10/1000)</f>
        <v/>
      </c>
      <c r="AI170">
        <f>IF($A170="","",G170+'Beállítások'!$E$11/1000)</f>
        <v/>
      </c>
      <c r="AJ170">
        <f>IF($A170="","",H170+'Beállítások'!$E$12/1000)</f>
        <v/>
      </c>
      <c r="AK170">
        <f>IF($A170="","",I170+'Beállítások'!$E$13/1000)</f>
        <v/>
      </c>
      <c r="AL170">
        <f>IF($A170="","",J170+'Beállítások'!$E$14/1000)</f>
        <v/>
      </c>
      <c r="AM170">
        <f>IF($A170="","",K170+'Beállítások'!$E$15/1000)</f>
        <v/>
      </c>
      <c r="AN170">
        <f>IF($A170="","",L170+'Beállítások'!$E$16/1000)</f>
        <v/>
      </c>
      <c r="AO170">
        <f>IF($A170="","",'Beállítások'!$E$6*(5-B170))</f>
        <v/>
      </c>
      <c r="AP170">
        <f>IF($A170="","",'Beállítások'!$E$7*(5-C170))</f>
        <v/>
      </c>
      <c r="AQ170">
        <f>IF($A170="","",'Beállítások'!$E$8*(5-D170))</f>
        <v/>
      </c>
      <c r="AR170">
        <f>IF($A170="","",'Beállítások'!$E$9*(5-E170))</f>
        <v/>
      </c>
      <c r="AS170">
        <f>IF($A170="","",'Beállítások'!$E$10*(5-F170))</f>
        <v/>
      </c>
      <c r="AT170">
        <f>IF($A170="","",'Beállítások'!$E$11*(5-G170))</f>
        <v/>
      </c>
      <c r="AU170">
        <f>IF($A170="","",'Beállítások'!$E$12*(5-H170))</f>
        <v/>
      </c>
      <c r="AV170">
        <f>IF($A170="","",'Beállítások'!$E$13*(5-I170))</f>
        <v/>
      </c>
      <c r="AW170">
        <f>IF($A170="","",'Beállítások'!$E$14*(5-J170))</f>
        <v/>
      </c>
      <c r="AX170">
        <f>IF($A170="","",'Beállítások'!$E$15*(5-K170))</f>
        <v/>
      </c>
      <c r="AY170">
        <f>IF($A170="","",'Beállítások'!$E$16*(5-L170))</f>
        <v/>
      </c>
      <c r="AZ170">
        <f>IF($A170="","",M170-ROW()/100000)</f>
        <v/>
      </c>
    </row>
    <row r="171">
      <c r="A171">
        <f>IF('Ügyfelek'!A171="","",'Ügyfelek'!A171)</f>
        <v/>
      </c>
      <c r="B171">
        <f>IF($A171="","",IF('Ügyfelek'!B171="",'Beállítások'!$B$45,IFERROR(VLOOKUP(TRIM('Ügyfelek'!B171),'Beállítások'!$A$22:$B$41,2,FALSE),'Beállítások'!$B$45)))</f>
        <v/>
      </c>
      <c r="C171">
        <f>IF($A171="","",IF('Ügyfelek'!C171="",'Beállítások'!$B$45,VLOOKUP(MAX('Ügyfelek'!C171,'Beállítások'!$H$7),'Beállítások'!$H$7:$I$11,2,TRUE)))</f>
        <v/>
      </c>
      <c r="D171">
        <f>IF($A171="","",IF('Ügyfelek'!D171="",'Beállítások'!$B$45,VLOOKUP(MAX('Ügyfelek'!D171,'Beállítások'!$K$7),'Beállítások'!$K$7:$L$11,2,TRUE)))</f>
        <v/>
      </c>
      <c r="E171">
        <f>IF($A171="","",IF('Ügyfelek'!L171="",'Beállítások'!$B$45,MIN(5,MAX(1,ROUND('Ügyfelek'!L171,0)))))</f>
        <v/>
      </c>
      <c r="F171">
        <f>IF($A171="","",IF('Ügyfelek'!I171="",'Beállítások'!$B$45,VLOOKUP(MAX('Ügyfelek'!I171,'Beállítások'!$N$7),'Beállítások'!$N$7:$O$11,2,TRUE)))</f>
        <v/>
      </c>
      <c r="G171">
        <f>IF($A171="","",IF('Ügyfelek'!N171="",'Beállítások'!$B$45,MIN(5,MAX(1,ROUND('Ügyfelek'!N171,0)))))</f>
        <v/>
      </c>
      <c r="H171">
        <f>IF($A171="","",IF('Ügyfelek'!J171="",'Beállítások'!$B$45,VLOOKUP(MAX('Ügyfelek'!J171,'Beállítások'!$Q$7),'Beállítások'!$Q$7:$R$11,2,TRUE)))</f>
        <v/>
      </c>
      <c r="I171">
        <f>IF($A171="","",IF('Ügyfelek'!K171="",'Beállítások'!$B$45,VLOOKUP(MAX('Ügyfelek'!K171,'Beállítások'!$T$7),'Beállítások'!$T$7:$U$11,2,TRUE)))</f>
        <v/>
      </c>
      <c r="J171">
        <f>IF($A171="","",IF('Ügyfelek'!M171="",'Beállítások'!$B$45,MIN(5,MAX(1,ROUND('Ügyfelek'!M171,0)))))</f>
        <v/>
      </c>
      <c r="K171">
        <f>IF($A171="","",IF('Ügyfelek'!P171="",'Beállítások'!$B$45,MIN(5,MAX(1,ROUND('Ügyfelek'!P171,0)))))</f>
        <v/>
      </c>
      <c r="L171">
        <f>IF($A171="","",IF('Ügyfelek'!O171="",'Beállítások'!$B$45,MIN(5,MAX(1,ROUND('Ügyfelek'!O171,0)))))</f>
        <v/>
      </c>
      <c r="M171" s="13">
        <f>IF($A171="","",ROUND('Beállítások'!$E$6*(B171-1)/4+'Beállítások'!$E$7*(C171-1)/4+'Beállítások'!$E$8*(D171-1)/4+'Beállítások'!$E$9*(E171-1)/4+'Beállítások'!$E$10*(F171-1)/4+'Beállítások'!$E$11*(G171-1)/4+'Beállítások'!$E$12*(H171-1)/4+'Beállítások'!$E$13*(I171-1)/4+'Beállítások'!$E$14*(J171-1)/4+'Beállítások'!$E$15*(K171-1)/4+'Beállítások'!$E$16*(L171-1)/4,1))</f>
        <v/>
      </c>
      <c r="N171" s="14">
        <f>IF($A171="","",RANK(M171,$M$2:$M$201))</f>
        <v/>
      </c>
      <c r="O171">
        <f>IF($A171="","",VLOOKUP(M171,'Beállítások'!$A$57:$E$60,2,TRUE))</f>
        <v/>
      </c>
      <c r="P171">
        <f>IF($A171="","",VLOOKUP(M171,'Beállítások'!$A$57:$E$60,3,TRUE))</f>
        <v/>
      </c>
      <c r="Q171">
        <f>IF($A171="","",INDEX('Beállítások'!$B$6:$B$16,MATCH(MAX(AD171:AN171),AD171:AN171,0)))</f>
        <v/>
      </c>
      <c r="R171">
        <f>IF($A171="","",IF(MAX(AO171:AY171)=0,"—",INDEX('Beállítások'!$B$6:$B$16,MATCH(MAX(AO171:AY171),AO171:AY171,0))))</f>
        <v/>
      </c>
      <c r="S171" s="5">
        <f>IF($A171="","",'Beállítások'!$B$47*(TRIM('Ügyfelek'!E171)="igen")+'Beállítások'!$B$48*(TRIM('Ügyfelek'!F171)="igen")+'Beállítások'!$B$49*N('Ügyfelek'!G171)+'Beállítások'!$B$46*N('Ügyfelek'!H171))</f>
        <v/>
      </c>
      <c r="T171" s="15">
        <f>IF($A171="","",VLOOKUP(M171,'Beállítások'!$A$57:$E$60,4,TRUE))</f>
        <v/>
      </c>
      <c r="U171" s="5">
        <f>IF($A171="","",N('Ügyfelek'!D171)*'Beállítások'!$B$51)</f>
        <v/>
      </c>
      <c r="V171" s="5">
        <f>IF($A171="","",CEILING(ROUND(MAX('Beállítások'!$B$50,S171*T171,U171),2),'Beállítások'!$B$52))</f>
        <v/>
      </c>
      <c r="W171">
        <f>IF($A171="","",IF(MAX('Beállítások'!$B$50,S171*T171,U171)=S171*T171,"Munkaigény × szintszorzó",IF(MAX('Beállítások'!$B$50,S171*T171,U171)=U171,"Hirdetési keret arányában","Minimumdíj")))</f>
        <v/>
      </c>
      <c r="X171" s="5">
        <f>IF(OR($A171="",'Ügyfelek'!Q171=""),"",'Ügyfelek'!Q171)</f>
        <v/>
      </c>
      <c r="Y171" s="5">
        <f>IF(X171="","",V171-X171)</f>
        <v/>
      </c>
      <c r="Z171" s="16">
        <f>IF(OR(X171="",X171=0),"",Y171/X171)</f>
        <v/>
      </c>
      <c r="AA171" s="5">
        <f>IF(OR($A171="",'Ügyfelek'!R171=""),"",'Ügyfelek'!R171*VLOOKUP(M171,'Beállítások'!$A$57:$E$60,5,TRUE))</f>
        <v/>
      </c>
      <c r="AB171" s="14">
        <f>IF($A171="","",('Ügyfelek'!B171="")+('Ügyfelek'!C171="")+('Ügyfelek'!D171="")+('Ügyfelek'!L171="")+('Ügyfelek'!I171="")+('Ügyfelek'!N171="")+('Ügyfelek'!J171="")+('Ügyfelek'!K171="")+('Ügyfelek'!M171="")+('Ügyfelek'!P171="")+('Ügyfelek'!O171=""))</f>
        <v/>
      </c>
      <c r="AD171">
        <f>IF($A171="","",B171+'Beállítások'!$E$6/1000)</f>
        <v/>
      </c>
      <c r="AE171">
        <f>IF($A171="","",C171+'Beállítások'!$E$7/1000)</f>
        <v/>
      </c>
      <c r="AF171">
        <f>IF($A171="","",D171+'Beállítások'!$E$8/1000)</f>
        <v/>
      </c>
      <c r="AG171">
        <f>IF($A171="","",E171+'Beállítások'!$E$9/1000)</f>
        <v/>
      </c>
      <c r="AH171">
        <f>IF($A171="","",F171+'Beállítások'!$E$10/1000)</f>
        <v/>
      </c>
      <c r="AI171">
        <f>IF($A171="","",G171+'Beállítások'!$E$11/1000)</f>
        <v/>
      </c>
      <c r="AJ171">
        <f>IF($A171="","",H171+'Beállítások'!$E$12/1000)</f>
        <v/>
      </c>
      <c r="AK171">
        <f>IF($A171="","",I171+'Beállítások'!$E$13/1000)</f>
        <v/>
      </c>
      <c r="AL171">
        <f>IF($A171="","",J171+'Beállítások'!$E$14/1000)</f>
        <v/>
      </c>
      <c r="AM171">
        <f>IF($A171="","",K171+'Beállítások'!$E$15/1000)</f>
        <v/>
      </c>
      <c r="AN171">
        <f>IF($A171="","",L171+'Beállítások'!$E$16/1000)</f>
        <v/>
      </c>
      <c r="AO171">
        <f>IF($A171="","",'Beállítások'!$E$6*(5-B171))</f>
        <v/>
      </c>
      <c r="AP171">
        <f>IF($A171="","",'Beállítások'!$E$7*(5-C171))</f>
        <v/>
      </c>
      <c r="AQ171">
        <f>IF($A171="","",'Beállítások'!$E$8*(5-D171))</f>
        <v/>
      </c>
      <c r="AR171">
        <f>IF($A171="","",'Beállítások'!$E$9*(5-E171))</f>
        <v/>
      </c>
      <c r="AS171">
        <f>IF($A171="","",'Beállítások'!$E$10*(5-F171))</f>
        <v/>
      </c>
      <c r="AT171">
        <f>IF($A171="","",'Beállítások'!$E$11*(5-G171))</f>
        <v/>
      </c>
      <c r="AU171">
        <f>IF($A171="","",'Beállítások'!$E$12*(5-H171))</f>
        <v/>
      </c>
      <c r="AV171">
        <f>IF($A171="","",'Beállítások'!$E$13*(5-I171))</f>
        <v/>
      </c>
      <c r="AW171">
        <f>IF($A171="","",'Beállítások'!$E$14*(5-J171))</f>
        <v/>
      </c>
      <c r="AX171">
        <f>IF($A171="","",'Beállítások'!$E$15*(5-K171))</f>
        <v/>
      </c>
      <c r="AY171">
        <f>IF($A171="","",'Beállítások'!$E$16*(5-L171))</f>
        <v/>
      </c>
      <c r="AZ171">
        <f>IF($A171="","",M171-ROW()/100000)</f>
        <v/>
      </c>
    </row>
    <row r="172">
      <c r="A172">
        <f>IF('Ügyfelek'!A172="","",'Ügyfelek'!A172)</f>
        <v/>
      </c>
      <c r="B172">
        <f>IF($A172="","",IF('Ügyfelek'!B172="",'Beállítások'!$B$45,IFERROR(VLOOKUP(TRIM('Ügyfelek'!B172),'Beállítások'!$A$22:$B$41,2,FALSE),'Beállítások'!$B$45)))</f>
        <v/>
      </c>
      <c r="C172">
        <f>IF($A172="","",IF('Ügyfelek'!C172="",'Beállítások'!$B$45,VLOOKUP(MAX('Ügyfelek'!C172,'Beállítások'!$H$7),'Beállítások'!$H$7:$I$11,2,TRUE)))</f>
        <v/>
      </c>
      <c r="D172">
        <f>IF($A172="","",IF('Ügyfelek'!D172="",'Beállítások'!$B$45,VLOOKUP(MAX('Ügyfelek'!D172,'Beállítások'!$K$7),'Beállítások'!$K$7:$L$11,2,TRUE)))</f>
        <v/>
      </c>
      <c r="E172">
        <f>IF($A172="","",IF('Ügyfelek'!L172="",'Beállítások'!$B$45,MIN(5,MAX(1,ROUND('Ügyfelek'!L172,0)))))</f>
        <v/>
      </c>
      <c r="F172">
        <f>IF($A172="","",IF('Ügyfelek'!I172="",'Beállítások'!$B$45,VLOOKUP(MAX('Ügyfelek'!I172,'Beállítások'!$N$7),'Beállítások'!$N$7:$O$11,2,TRUE)))</f>
        <v/>
      </c>
      <c r="G172">
        <f>IF($A172="","",IF('Ügyfelek'!N172="",'Beállítások'!$B$45,MIN(5,MAX(1,ROUND('Ügyfelek'!N172,0)))))</f>
        <v/>
      </c>
      <c r="H172">
        <f>IF($A172="","",IF('Ügyfelek'!J172="",'Beállítások'!$B$45,VLOOKUP(MAX('Ügyfelek'!J172,'Beállítások'!$Q$7),'Beállítások'!$Q$7:$R$11,2,TRUE)))</f>
        <v/>
      </c>
      <c r="I172">
        <f>IF($A172="","",IF('Ügyfelek'!K172="",'Beállítások'!$B$45,VLOOKUP(MAX('Ügyfelek'!K172,'Beállítások'!$T$7),'Beállítások'!$T$7:$U$11,2,TRUE)))</f>
        <v/>
      </c>
      <c r="J172">
        <f>IF($A172="","",IF('Ügyfelek'!M172="",'Beállítások'!$B$45,MIN(5,MAX(1,ROUND('Ügyfelek'!M172,0)))))</f>
        <v/>
      </c>
      <c r="K172">
        <f>IF($A172="","",IF('Ügyfelek'!P172="",'Beállítások'!$B$45,MIN(5,MAX(1,ROUND('Ügyfelek'!P172,0)))))</f>
        <v/>
      </c>
      <c r="L172">
        <f>IF($A172="","",IF('Ügyfelek'!O172="",'Beállítások'!$B$45,MIN(5,MAX(1,ROUND('Ügyfelek'!O172,0)))))</f>
        <v/>
      </c>
      <c r="M172" s="13">
        <f>IF($A172="","",ROUND('Beállítások'!$E$6*(B172-1)/4+'Beállítások'!$E$7*(C172-1)/4+'Beállítások'!$E$8*(D172-1)/4+'Beállítások'!$E$9*(E172-1)/4+'Beállítások'!$E$10*(F172-1)/4+'Beállítások'!$E$11*(G172-1)/4+'Beállítások'!$E$12*(H172-1)/4+'Beállítások'!$E$13*(I172-1)/4+'Beállítások'!$E$14*(J172-1)/4+'Beállítások'!$E$15*(K172-1)/4+'Beállítások'!$E$16*(L172-1)/4,1))</f>
        <v/>
      </c>
      <c r="N172" s="14">
        <f>IF($A172="","",RANK(M172,$M$2:$M$201))</f>
        <v/>
      </c>
      <c r="O172">
        <f>IF($A172="","",VLOOKUP(M172,'Beállítások'!$A$57:$E$60,2,TRUE))</f>
        <v/>
      </c>
      <c r="P172">
        <f>IF($A172="","",VLOOKUP(M172,'Beállítások'!$A$57:$E$60,3,TRUE))</f>
        <v/>
      </c>
      <c r="Q172">
        <f>IF($A172="","",INDEX('Beállítások'!$B$6:$B$16,MATCH(MAX(AD172:AN172),AD172:AN172,0)))</f>
        <v/>
      </c>
      <c r="R172">
        <f>IF($A172="","",IF(MAX(AO172:AY172)=0,"—",INDEX('Beállítások'!$B$6:$B$16,MATCH(MAX(AO172:AY172),AO172:AY172,0))))</f>
        <v/>
      </c>
      <c r="S172" s="5">
        <f>IF($A172="","",'Beállítások'!$B$47*(TRIM('Ügyfelek'!E172)="igen")+'Beállítások'!$B$48*(TRIM('Ügyfelek'!F172)="igen")+'Beállítások'!$B$49*N('Ügyfelek'!G172)+'Beállítások'!$B$46*N('Ügyfelek'!H172))</f>
        <v/>
      </c>
      <c r="T172" s="15">
        <f>IF($A172="","",VLOOKUP(M172,'Beállítások'!$A$57:$E$60,4,TRUE))</f>
        <v/>
      </c>
      <c r="U172" s="5">
        <f>IF($A172="","",N('Ügyfelek'!D172)*'Beállítások'!$B$51)</f>
        <v/>
      </c>
      <c r="V172" s="5">
        <f>IF($A172="","",CEILING(ROUND(MAX('Beállítások'!$B$50,S172*T172,U172),2),'Beállítások'!$B$52))</f>
        <v/>
      </c>
      <c r="W172">
        <f>IF($A172="","",IF(MAX('Beállítások'!$B$50,S172*T172,U172)=S172*T172,"Munkaigény × szintszorzó",IF(MAX('Beállítások'!$B$50,S172*T172,U172)=U172,"Hirdetési keret arányában","Minimumdíj")))</f>
        <v/>
      </c>
      <c r="X172" s="5">
        <f>IF(OR($A172="",'Ügyfelek'!Q172=""),"",'Ügyfelek'!Q172)</f>
        <v/>
      </c>
      <c r="Y172" s="5">
        <f>IF(X172="","",V172-X172)</f>
        <v/>
      </c>
      <c r="Z172" s="16">
        <f>IF(OR(X172="",X172=0),"",Y172/X172)</f>
        <v/>
      </c>
      <c r="AA172" s="5">
        <f>IF(OR($A172="",'Ügyfelek'!R172=""),"",'Ügyfelek'!R172*VLOOKUP(M172,'Beállítások'!$A$57:$E$60,5,TRUE))</f>
        <v/>
      </c>
      <c r="AB172" s="14">
        <f>IF($A172="","",('Ügyfelek'!B172="")+('Ügyfelek'!C172="")+('Ügyfelek'!D172="")+('Ügyfelek'!L172="")+('Ügyfelek'!I172="")+('Ügyfelek'!N172="")+('Ügyfelek'!J172="")+('Ügyfelek'!K172="")+('Ügyfelek'!M172="")+('Ügyfelek'!P172="")+('Ügyfelek'!O172=""))</f>
        <v/>
      </c>
      <c r="AD172">
        <f>IF($A172="","",B172+'Beállítások'!$E$6/1000)</f>
        <v/>
      </c>
      <c r="AE172">
        <f>IF($A172="","",C172+'Beállítások'!$E$7/1000)</f>
        <v/>
      </c>
      <c r="AF172">
        <f>IF($A172="","",D172+'Beállítások'!$E$8/1000)</f>
        <v/>
      </c>
      <c r="AG172">
        <f>IF($A172="","",E172+'Beállítások'!$E$9/1000)</f>
        <v/>
      </c>
      <c r="AH172">
        <f>IF($A172="","",F172+'Beállítások'!$E$10/1000)</f>
        <v/>
      </c>
      <c r="AI172">
        <f>IF($A172="","",G172+'Beállítások'!$E$11/1000)</f>
        <v/>
      </c>
      <c r="AJ172">
        <f>IF($A172="","",H172+'Beállítások'!$E$12/1000)</f>
        <v/>
      </c>
      <c r="AK172">
        <f>IF($A172="","",I172+'Beállítások'!$E$13/1000)</f>
        <v/>
      </c>
      <c r="AL172">
        <f>IF($A172="","",J172+'Beállítások'!$E$14/1000)</f>
        <v/>
      </c>
      <c r="AM172">
        <f>IF($A172="","",K172+'Beállítások'!$E$15/1000)</f>
        <v/>
      </c>
      <c r="AN172">
        <f>IF($A172="","",L172+'Beállítások'!$E$16/1000)</f>
        <v/>
      </c>
      <c r="AO172">
        <f>IF($A172="","",'Beállítások'!$E$6*(5-B172))</f>
        <v/>
      </c>
      <c r="AP172">
        <f>IF($A172="","",'Beállítások'!$E$7*(5-C172))</f>
        <v/>
      </c>
      <c r="AQ172">
        <f>IF($A172="","",'Beállítások'!$E$8*(5-D172))</f>
        <v/>
      </c>
      <c r="AR172">
        <f>IF($A172="","",'Beállítások'!$E$9*(5-E172))</f>
        <v/>
      </c>
      <c r="AS172">
        <f>IF($A172="","",'Beállítások'!$E$10*(5-F172))</f>
        <v/>
      </c>
      <c r="AT172">
        <f>IF($A172="","",'Beállítások'!$E$11*(5-G172))</f>
        <v/>
      </c>
      <c r="AU172">
        <f>IF($A172="","",'Beállítások'!$E$12*(5-H172))</f>
        <v/>
      </c>
      <c r="AV172">
        <f>IF($A172="","",'Beállítások'!$E$13*(5-I172))</f>
        <v/>
      </c>
      <c r="AW172">
        <f>IF($A172="","",'Beállítások'!$E$14*(5-J172))</f>
        <v/>
      </c>
      <c r="AX172">
        <f>IF($A172="","",'Beállítások'!$E$15*(5-K172))</f>
        <v/>
      </c>
      <c r="AY172">
        <f>IF($A172="","",'Beállítások'!$E$16*(5-L172))</f>
        <v/>
      </c>
      <c r="AZ172">
        <f>IF($A172="","",M172-ROW()/100000)</f>
        <v/>
      </c>
    </row>
    <row r="173">
      <c r="A173">
        <f>IF('Ügyfelek'!A173="","",'Ügyfelek'!A173)</f>
        <v/>
      </c>
      <c r="B173">
        <f>IF($A173="","",IF('Ügyfelek'!B173="",'Beállítások'!$B$45,IFERROR(VLOOKUP(TRIM('Ügyfelek'!B173),'Beállítások'!$A$22:$B$41,2,FALSE),'Beállítások'!$B$45)))</f>
        <v/>
      </c>
      <c r="C173">
        <f>IF($A173="","",IF('Ügyfelek'!C173="",'Beállítások'!$B$45,VLOOKUP(MAX('Ügyfelek'!C173,'Beállítások'!$H$7),'Beállítások'!$H$7:$I$11,2,TRUE)))</f>
        <v/>
      </c>
      <c r="D173">
        <f>IF($A173="","",IF('Ügyfelek'!D173="",'Beállítások'!$B$45,VLOOKUP(MAX('Ügyfelek'!D173,'Beállítások'!$K$7),'Beállítások'!$K$7:$L$11,2,TRUE)))</f>
        <v/>
      </c>
      <c r="E173">
        <f>IF($A173="","",IF('Ügyfelek'!L173="",'Beállítások'!$B$45,MIN(5,MAX(1,ROUND('Ügyfelek'!L173,0)))))</f>
        <v/>
      </c>
      <c r="F173">
        <f>IF($A173="","",IF('Ügyfelek'!I173="",'Beállítások'!$B$45,VLOOKUP(MAX('Ügyfelek'!I173,'Beállítások'!$N$7),'Beállítások'!$N$7:$O$11,2,TRUE)))</f>
        <v/>
      </c>
      <c r="G173">
        <f>IF($A173="","",IF('Ügyfelek'!N173="",'Beállítások'!$B$45,MIN(5,MAX(1,ROUND('Ügyfelek'!N173,0)))))</f>
        <v/>
      </c>
      <c r="H173">
        <f>IF($A173="","",IF('Ügyfelek'!J173="",'Beállítások'!$B$45,VLOOKUP(MAX('Ügyfelek'!J173,'Beállítások'!$Q$7),'Beállítások'!$Q$7:$R$11,2,TRUE)))</f>
        <v/>
      </c>
      <c r="I173">
        <f>IF($A173="","",IF('Ügyfelek'!K173="",'Beállítások'!$B$45,VLOOKUP(MAX('Ügyfelek'!K173,'Beállítások'!$T$7),'Beállítások'!$T$7:$U$11,2,TRUE)))</f>
        <v/>
      </c>
      <c r="J173">
        <f>IF($A173="","",IF('Ügyfelek'!M173="",'Beállítások'!$B$45,MIN(5,MAX(1,ROUND('Ügyfelek'!M173,0)))))</f>
        <v/>
      </c>
      <c r="K173">
        <f>IF($A173="","",IF('Ügyfelek'!P173="",'Beállítások'!$B$45,MIN(5,MAX(1,ROUND('Ügyfelek'!P173,0)))))</f>
        <v/>
      </c>
      <c r="L173">
        <f>IF($A173="","",IF('Ügyfelek'!O173="",'Beállítások'!$B$45,MIN(5,MAX(1,ROUND('Ügyfelek'!O173,0)))))</f>
        <v/>
      </c>
      <c r="M173" s="13">
        <f>IF($A173="","",ROUND('Beállítások'!$E$6*(B173-1)/4+'Beállítások'!$E$7*(C173-1)/4+'Beállítások'!$E$8*(D173-1)/4+'Beállítások'!$E$9*(E173-1)/4+'Beállítások'!$E$10*(F173-1)/4+'Beállítások'!$E$11*(G173-1)/4+'Beállítások'!$E$12*(H173-1)/4+'Beállítások'!$E$13*(I173-1)/4+'Beállítások'!$E$14*(J173-1)/4+'Beállítások'!$E$15*(K173-1)/4+'Beállítások'!$E$16*(L173-1)/4,1))</f>
        <v/>
      </c>
      <c r="N173" s="14">
        <f>IF($A173="","",RANK(M173,$M$2:$M$201))</f>
        <v/>
      </c>
      <c r="O173">
        <f>IF($A173="","",VLOOKUP(M173,'Beállítások'!$A$57:$E$60,2,TRUE))</f>
        <v/>
      </c>
      <c r="P173">
        <f>IF($A173="","",VLOOKUP(M173,'Beállítások'!$A$57:$E$60,3,TRUE))</f>
        <v/>
      </c>
      <c r="Q173">
        <f>IF($A173="","",INDEX('Beállítások'!$B$6:$B$16,MATCH(MAX(AD173:AN173),AD173:AN173,0)))</f>
        <v/>
      </c>
      <c r="R173">
        <f>IF($A173="","",IF(MAX(AO173:AY173)=0,"—",INDEX('Beállítások'!$B$6:$B$16,MATCH(MAX(AO173:AY173),AO173:AY173,0))))</f>
        <v/>
      </c>
      <c r="S173" s="5">
        <f>IF($A173="","",'Beállítások'!$B$47*(TRIM('Ügyfelek'!E173)="igen")+'Beállítások'!$B$48*(TRIM('Ügyfelek'!F173)="igen")+'Beállítások'!$B$49*N('Ügyfelek'!G173)+'Beállítások'!$B$46*N('Ügyfelek'!H173))</f>
        <v/>
      </c>
      <c r="T173" s="15">
        <f>IF($A173="","",VLOOKUP(M173,'Beállítások'!$A$57:$E$60,4,TRUE))</f>
        <v/>
      </c>
      <c r="U173" s="5">
        <f>IF($A173="","",N('Ügyfelek'!D173)*'Beállítások'!$B$51)</f>
        <v/>
      </c>
      <c r="V173" s="5">
        <f>IF($A173="","",CEILING(ROUND(MAX('Beállítások'!$B$50,S173*T173,U173),2),'Beállítások'!$B$52))</f>
        <v/>
      </c>
      <c r="W173">
        <f>IF($A173="","",IF(MAX('Beállítások'!$B$50,S173*T173,U173)=S173*T173,"Munkaigény × szintszorzó",IF(MAX('Beállítások'!$B$50,S173*T173,U173)=U173,"Hirdetési keret arányában","Minimumdíj")))</f>
        <v/>
      </c>
      <c r="X173" s="5">
        <f>IF(OR($A173="",'Ügyfelek'!Q173=""),"",'Ügyfelek'!Q173)</f>
        <v/>
      </c>
      <c r="Y173" s="5">
        <f>IF(X173="","",V173-X173)</f>
        <v/>
      </c>
      <c r="Z173" s="16">
        <f>IF(OR(X173="",X173=0),"",Y173/X173)</f>
        <v/>
      </c>
      <c r="AA173" s="5">
        <f>IF(OR($A173="",'Ügyfelek'!R173=""),"",'Ügyfelek'!R173*VLOOKUP(M173,'Beállítások'!$A$57:$E$60,5,TRUE))</f>
        <v/>
      </c>
      <c r="AB173" s="14">
        <f>IF($A173="","",('Ügyfelek'!B173="")+('Ügyfelek'!C173="")+('Ügyfelek'!D173="")+('Ügyfelek'!L173="")+('Ügyfelek'!I173="")+('Ügyfelek'!N173="")+('Ügyfelek'!J173="")+('Ügyfelek'!K173="")+('Ügyfelek'!M173="")+('Ügyfelek'!P173="")+('Ügyfelek'!O173=""))</f>
        <v/>
      </c>
      <c r="AD173">
        <f>IF($A173="","",B173+'Beállítások'!$E$6/1000)</f>
        <v/>
      </c>
      <c r="AE173">
        <f>IF($A173="","",C173+'Beállítások'!$E$7/1000)</f>
        <v/>
      </c>
      <c r="AF173">
        <f>IF($A173="","",D173+'Beállítások'!$E$8/1000)</f>
        <v/>
      </c>
      <c r="AG173">
        <f>IF($A173="","",E173+'Beállítások'!$E$9/1000)</f>
        <v/>
      </c>
      <c r="AH173">
        <f>IF($A173="","",F173+'Beállítások'!$E$10/1000)</f>
        <v/>
      </c>
      <c r="AI173">
        <f>IF($A173="","",G173+'Beállítások'!$E$11/1000)</f>
        <v/>
      </c>
      <c r="AJ173">
        <f>IF($A173="","",H173+'Beállítások'!$E$12/1000)</f>
        <v/>
      </c>
      <c r="AK173">
        <f>IF($A173="","",I173+'Beállítások'!$E$13/1000)</f>
        <v/>
      </c>
      <c r="AL173">
        <f>IF($A173="","",J173+'Beállítások'!$E$14/1000)</f>
        <v/>
      </c>
      <c r="AM173">
        <f>IF($A173="","",K173+'Beállítások'!$E$15/1000)</f>
        <v/>
      </c>
      <c r="AN173">
        <f>IF($A173="","",L173+'Beállítások'!$E$16/1000)</f>
        <v/>
      </c>
      <c r="AO173">
        <f>IF($A173="","",'Beállítások'!$E$6*(5-B173))</f>
        <v/>
      </c>
      <c r="AP173">
        <f>IF($A173="","",'Beállítások'!$E$7*(5-C173))</f>
        <v/>
      </c>
      <c r="AQ173">
        <f>IF($A173="","",'Beállítások'!$E$8*(5-D173))</f>
        <v/>
      </c>
      <c r="AR173">
        <f>IF($A173="","",'Beállítások'!$E$9*(5-E173))</f>
        <v/>
      </c>
      <c r="AS173">
        <f>IF($A173="","",'Beállítások'!$E$10*(5-F173))</f>
        <v/>
      </c>
      <c r="AT173">
        <f>IF($A173="","",'Beállítások'!$E$11*(5-G173))</f>
        <v/>
      </c>
      <c r="AU173">
        <f>IF($A173="","",'Beállítások'!$E$12*(5-H173))</f>
        <v/>
      </c>
      <c r="AV173">
        <f>IF($A173="","",'Beállítások'!$E$13*(5-I173))</f>
        <v/>
      </c>
      <c r="AW173">
        <f>IF($A173="","",'Beállítások'!$E$14*(5-J173))</f>
        <v/>
      </c>
      <c r="AX173">
        <f>IF($A173="","",'Beállítások'!$E$15*(5-K173))</f>
        <v/>
      </c>
      <c r="AY173">
        <f>IF($A173="","",'Beállítások'!$E$16*(5-L173))</f>
        <v/>
      </c>
      <c r="AZ173">
        <f>IF($A173="","",M173-ROW()/100000)</f>
        <v/>
      </c>
    </row>
    <row r="174">
      <c r="A174">
        <f>IF('Ügyfelek'!A174="","",'Ügyfelek'!A174)</f>
        <v/>
      </c>
      <c r="B174">
        <f>IF($A174="","",IF('Ügyfelek'!B174="",'Beállítások'!$B$45,IFERROR(VLOOKUP(TRIM('Ügyfelek'!B174),'Beállítások'!$A$22:$B$41,2,FALSE),'Beállítások'!$B$45)))</f>
        <v/>
      </c>
      <c r="C174">
        <f>IF($A174="","",IF('Ügyfelek'!C174="",'Beállítások'!$B$45,VLOOKUP(MAX('Ügyfelek'!C174,'Beállítások'!$H$7),'Beállítások'!$H$7:$I$11,2,TRUE)))</f>
        <v/>
      </c>
      <c r="D174">
        <f>IF($A174="","",IF('Ügyfelek'!D174="",'Beállítások'!$B$45,VLOOKUP(MAX('Ügyfelek'!D174,'Beállítások'!$K$7),'Beállítások'!$K$7:$L$11,2,TRUE)))</f>
        <v/>
      </c>
      <c r="E174">
        <f>IF($A174="","",IF('Ügyfelek'!L174="",'Beállítások'!$B$45,MIN(5,MAX(1,ROUND('Ügyfelek'!L174,0)))))</f>
        <v/>
      </c>
      <c r="F174">
        <f>IF($A174="","",IF('Ügyfelek'!I174="",'Beállítások'!$B$45,VLOOKUP(MAX('Ügyfelek'!I174,'Beállítások'!$N$7),'Beállítások'!$N$7:$O$11,2,TRUE)))</f>
        <v/>
      </c>
      <c r="G174">
        <f>IF($A174="","",IF('Ügyfelek'!N174="",'Beállítások'!$B$45,MIN(5,MAX(1,ROUND('Ügyfelek'!N174,0)))))</f>
        <v/>
      </c>
      <c r="H174">
        <f>IF($A174="","",IF('Ügyfelek'!J174="",'Beállítások'!$B$45,VLOOKUP(MAX('Ügyfelek'!J174,'Beállítások'!$Q$7),'Beállítások'!$Q$7:$R$11,2,TRUE)))</f>
        <v/>
      </c>
      <c r="I174">
        <f>IF($A174="","",IF('Ügyfelek'!K174="",'Beállítások'!$B$45,VLOOKUP(MAX('Ügyfelek'!K174,'Beállítások'!$T$7),'Beállítások'!$T$7:$U$11,2,TRUE)))</f>
        <v/>
      </c>
      <c r="J174">
        <f>IF($A174="","",IF('Ügyfelek'!M174="",'Beállítások'!$B$45,MIN(5,MAX(1,ROUND('Ügyfelek'!M174,0)))))</f>
        <v/>
      </c>
      <c r="K174">
        <f>IF($A174="","",IF('Ügyfelek'!P174="",'Beállítások'!$B$45,MIN(5,MAX(1,ROUND('Ügyfelek'!P174,0)))))</f>
        <v/>
      </c>
      <c r="L174">
        <f>IF($A174="","",IF('Ügyfelek'!O174="",'Beállítások'!$B$45,MIN(5,MAX(1,ROUND('Ügyfelek'!O174,0)))))</f>
        <v/>
      </c>
      <c r="M174" s="13">
        <f>IF($A174="","",ROUND('Beállítások'!$E$6*(B174-1)/4+'Beállítások'!$E$7*(C174-1)/4+'Beállítások'!$E$8*(D174-1)/4+'Beállítások'!$E$9*(E174-1)/4+'Beállítások'!$E$10*(F174-1)/4+'Beállítások'!$E$11*(G174-1)/4+'Beállítások'!$E$12*(H174-1)/4+'Beállítások'!$E$13*(I174-1)/4+'Beállítások'!$E$14*(J174-1)/4+'Beállítások'!$E$15*(K174-1)/4+'Beállítások'!$E$16*(L174-1)/4,1))</f>
        <v/>
      </c>
      <c r="N174" s="14">
        <f>IF($A174="","",RANK(M174,$M$2:$M$201))</f>
        <v/>
      </c>
      <c r="O174">
        <f>IF($A174="","",VLOOKUP(M174,'Beállítások'!$A$57:$E$60,2,TRUE))</f>
        <v/>
      </c>
      <c r="P174">
        <f>IF($A174="","",VLOOKUP(M174,'Beállítások'!$A$57:$E$60,3,TRUE))</f>
        <v/>
      </c>
      <c r="Q174">
        <f>IF($A174="","",INDEX('Beállítások'!$B$6:$B$16,MATCH(MAX(AD174:AN174),AD174:AN174,0)))</f>
        <v/>
      </c>
      <c r="R174">
        <f>IF($A174="","",IF(MAX(AO174:AY174)=0,"—",INDEX('Beállítások'!$B$6:$B$16,MATCH(MAX(AO174:AY174),AO174:AY174,0))))</f>
        <v/>
      </c>
      <c r="S174" s="5">
        <f>IF($A174="","",'Beállítások'!$B$47*(TRIM('Ügyfelek'!E174)="igen")+'Beállítások'!$B$48*(TRIM('Ügyfelek'!F174)="igen")+'Beállítások'!$B$49*N('Ügyfelek'!G174)+'Beállítások'!$B$46*N('Ügyfelek'!H174))</f>
        <v/>
      </c>
      <c r="T174" s="15">
        <f>IF($A174="","",VLOOKUP(M174,'Beállítások'!$A$57:$E$60,4,TRUE))</f>
        <v/>
      </c>
      <c r="U174" s="5">
        <f>IF($A174="","",N('Ügyfelek'!D174)*'Beállítások'!$B$51)</f>
        <v/>
      </c>
      <c r="V174" s="5">
        <f>IF($A174="","",CEILING(ROUND(MAX('Beállítások'!$B$50,S174*T174,U174),2),'Beállítások'!$B$52))</f>
        <v/>
      </c>
      <c r="W174">
        <f>IF($A174="","",IF(MAX('Beállítások'!$B$50,S174*T174,U174)=S174*T174,"Munkaigény × szintszorzó",IF(MAX('Beállítások'!$B$50,S174*T174,U174)=U174,"Hirdetési keret arányában","Minimumdíj")))</f>
        <v/>
      </c>
      <c r="X174" s="5">
        <f>IF(OR($A174="",'Ügyfelek'!Q174=""),"",'Ügyfelek'!Q174)</f>
        <v/>
      </c>
      <c r="Y174" s="5">
        <f>IF(X174="","",V174-X174)</f>
        <v/>
      </c>
      <c r="Z174" s="16">
        <f>IF(OR(X174="",X174=0),"",Y174/X174)</f>
        <v/>
      </c>
      <c r="AA174" s="5">
        <f>IF(OR($A174="",'Ügyfelek'!R174=""),"",'Ügyfelek'!R174*VLOOKUP(M174,'Beállítások'!$A$57:$E$60,5,TRUE))</f>
        <v/>
      </c>
      <c r="AB174" s="14">
        <f>IF($A174="","",('Ügyfelek'!B174="")+('Ügyfelek'!C174="")+('Ügyfelek'!D174="")+('Ügyfelek'!L174="")+('Ügyfelek'!I174="")+('Ügyfelek'!N174="")+('Ügyfelek'!J174="")+('Ügyfelek'!K174="")+('Ügyfelek'!M174="")+('Ügyfelek'!P174="")+('Ügyfelek'!O174=""))</f>
        <v/>
      </c>
      <c r="AD174">
        <f>IF($A174="","",B174+'Beállítások'!$E$6/1000)</f>
        <v/>
      </c>
      <c r="AE174">
        <f>IF($A174="","",C174+'Beállítások'!$E$7/1000)</f>
        <v/>
      </c>
      <c r="AF174">
        <f>IF($A174="","",D174+'Beállítások'!$E$8/1000)</f>
        <v/>
      </c>
      <c r="AG174">
        <f>IF($A174="","",E174+'Beállítások'!$E$9/1000)</f>
        <v/>
      </c>
      <c r="AH174">
        <f>IF($A174="","",F174+'Beállítások'!$E$10/1000)</f>
        <v/>
      </c>
      <c r="AI174">
        <f>IF($A174="","",G174+'Beállítások'!$E$11/1000)</f>
        <v/>
      </c>
      <c r="AJ174">
        <f>IF($A174="","",H174+'Beállítások'!$E$12/1000)</f>
        <v/>
      </c>
      <c r="AK174">
        <f>IF($A174="","",I174+'Beállítások'!$E$13/1000)</f>
        <v/>
      </c>
      <c r="AL174">
        <f>IF($A174="","",J174+'Beállítások'!$E$14/1000)</f>
        <v/>
      </c>
      <c r="AM174">
        <f>IF($A174="","",K174+'Beállítások'!$E$15/1000)</f>
        <v/>
      </c>
      <c r="AN174">
        <f>IF($A174="","",L174+'Beállítások'!$E$16/1000)</f>
        <v/>
      </c>
      <c r="AO174">
        <f>IF($A174="","",'Beállítások'!$E$6*(5-B174))</f>
        <v/>
      </c>
      <c r="AP174">
        <f>IF($A174="","",'Beállítások'!$E$7*(5-C174))</f>
        <v/>
      </c>
      <c r="AQ174">
        <f>IF($A174="","",'Beállítások'!$E$8*(5-D174))</f>
        <v/>
      </c>
      <c r="AR174">
        <f>IF($A174="","",'Beállítások'!$E$9*(5-E174))</f>
        <v/>
      </c>
      <c r="AS174">
        <f>IF($A174="","",'Beállítások'!$E$10*(5-F174))</f>
        <v/>
      </c>
      <c r="AT174">
        <f>IF($A174="","",'Beállítások'!$E$11*(5-G174))</f>
        <v/>
      </c>
      <c r="AU174">
        <f>IF($A174="","",'Beállítások'!$E$12*(5-H174))</f>
        <v/>
      </c>
      <c r="AV174">
        <f>IF($A174="","",'Beállítások'!$E$13*(5-I174))</f>
        <v/>
      </c>
      <c r="AW174">
        <f>IF($A174="","",'Beállítások'!$E$14*(5-J174))</f>
        <v/>
      </c>
      <c r="AX174">
        <f>IF($A174="","",'Beállítások'!$E$15*(5-K174))</f>
        <v/>
      </c>
      <c r="AY174">
        <f>IF($A174="","",'Beállítások'!$E$16*(5-L174))</f>
        <v/>
      </c>
      <c r="AZ174">
        <f>IF($A174="","",M174-ROW()/100000)</f>
        <v/>
      </c>
    </row>
    <row r="175">
      <c r="A175">
        <f>IF('Ügyfelek'!A175="","",'Ügyfelek'!A175)</f>
        <v/>
      </c>
      <c r="B175">
        <f>IF($A175="","",IF('Ügyfelek'!B175="",'Beállítások'!$B$45,IFERROR(VLOOKUP(TRIM('Ügyfelek'!B175),'Beállítások'!$A$22:$B$41,2,FALSE),'Beállítások'!$B$45)))</f>
        <v/>
      </c>
      <c r="C175">
        <f>IF($A175="","",IF('Ügyfelek'!C175="",'Beállítások'!$B$45,VLOOKUP(MAX('Ügyfelek'!C175,'Beállítások'!$H$7),'Beállítások'!$H$7:$I$11,2,TRUE)))</f>
        <v/>
      </c>
      <c r="D175">
        <f>IF($A175="","",IF('Ügyfelek'!D175="",'Beállítások'!$B$45,VLOOKUP(MAX('Ügyfelek'!D175,'Beállítások'!$K$7),'Beállítások'!$K$7:$L$11,2,TRUE)))</f>
        <v/>
      </c>
      <c r="E175">
        <f>IF($A175="","",IF('Ügyfelek'!L175="",'Beállítások'!$B$45,MIN(5,MAX(1,ROUND('Ügyfelek'!L175,0)))))</f>
        <v/>
      </c>
      <c r="F175">
        <f>IF($A175="","",IF('Ügyfelek'!I175="",'Beállítások'!$B$45,VLOOKUP(MAX('Ügyfelek'!I175,'Beállítások'!$N$7),'Beállítások'!$N$7:$O$11,2,TRUE)))</f>
        <v/>
      </c>
      <c r="G175">
        <f>IF($A175="","",IF('Ügyfelek'!N175="",'Beállítások'!$B$45,MIN(5,MAX(1,ROUND('Ügyfelek'!N175,0)))))</f>
        <v/>
      </c>
      <c r="H175">
        <f>IF($A175="","",IF('Ügyfelek'!J175="",'Beállítások'!$B$45,VLOOKUP(MAX('Ügyfelek'!J175,'Beállítások'!$Q$7),'Beállítások'!$Q$7:$R$11,2,TRUE)))</f>
        <v/>
      </c>
      <c r="I175">
        <f>IF($A175="","",IF('Ügyfelek'!K175="",'Beállítások'!$B$45,VLOOKUP(MAX('Ügyfelek'!K175,'Beállítások'!$T$7),'Beállítások'!$T$7:$U$11,2,TRUE)))</f>
        <v/>
      </c>
      <c r="J175">
        <f>IF($A175="","",IF('Ügyfelek'!M175="",'Beállítások'!$B$45,MIN(5,MAX(1,ROUND('Ügyfelek'!M175,0)))))</f>
        <v/>
      </c>
      <c r="K175">
        <f>IF($A175="","",IF('Ügyfelek'!P175="",'Beállítások'!$B$45,MIN(5,MAX(1,ROUND('Ügyfelek'!P175,0)))))</f>
        <v/>
      </c>
      <c r="L175">
        <f>IF($A175="","",IF('Ügyfelek'!O175="",'Beállítások'!$B$45,MIN(5,MAX(1,ROUND('Ügyfelek'!O175,0)))))</f>
        <v/>
      </c>
      <c r="M175" s="13">
        <f>IF($A175="","",ROUND('Beállítások'!$E$6*(B175-1)/4+'Beállítások'!$E$7*(C175-1)/4+'Beállítások'!$E$8*(D175-1)/4+'Beállítások'!$E$9*(E175-1)/4+'Beállítások'!$E$10*(F175-1)/4+'Beállítások'!$E$11*(G175-1)/4+'Beállítások'!$E$12*(H175-1)/4+'Beállítások'!$E$13*(I175-1)/4+'Beállítások'!$E$14*(J175-1)/4+'Beállítások'!$E$15*(K175-1)/4+'Beállítások'!$E$16*(L175-1)/4,1))</f>
        <v/>
      </c>
      <c r="N175" s="14">
        <f>IF($A175="","",RANK(M175,$M$2:$M$201))</f>
        <v/>
      </c>
      <c r="O175">
        <f>IF($A175="","",VLOOKUP(M175,'Beállítások'!$A$57:$E$60,2,TRUE))</f>
        <v/>
      </c>
      <c r="P175">
        <f>IF($A175="","",VLOOKUP(M175,'Beállítások'!$A$57:$E$60,3,TRUE))</f>
        <v/>
      </c>
      <c r="Q175">
        <f>IF($A175="","",INDEX('Beállítások'!$B$6:$B$16,MATCH(MAX(AD175:AN175),AD175:AN175,0)))</f>
        <v/>
      </c>
      <c r="R175">
        <f>IF($A175="","",IF(MAX(AO175:AY175)=0,"—",INDEX('Beállítások'!$B$6:$B$16,MATCH(MAX(AO175:AY175),AO175:AY175,0))))</f>
        <v/>
      </c>
      <c r="S175" s="5">
        <f>IF($A175="","",'Beállítások'!$B$47*(TRIM('Ügyfelek'!E175)="igen")+'Beállítások'!$B$48*(TRIM('Ügyfelek'!F175)="igen")+'Beállítások'!$B$49*N('Ügyfelek'!G175)+'Beállítások'!$B$46*N('Ügyfelek'!H175))</f>
        <v/>
      </c>
      <c r="T175" s="15">
        <f>IF($A175="","",VLOOKUP(M175,'Beállítások'!$A$57:$E$60,4,TRUE))</f>
        <v/>
      </c>
      <c r="U175" s="5">
        <f>IF($A175="","",N('Ügyfelek'!D175)*'Beállítások'!$B$51)</f>
        <v/>
      </c>
      <c r="V175" s="5">
        <f>IF($A175="","",CEILING(ROUND(MAX('Beállítások'!$B$50,S175*T175,U175),2),'Beállítások'!$B$52))</f>
        <v/>
      </c>
      <c r="W175">
        <f>IF($A175="","",IF(MAX('Beállítások'!$B$50,S175*T175,U175)=S175*T175,"Munkaigény × szintszorzó",IF(MAX('Beállítások'!$B$50,S175*T175,U175)=U175,"Hirdetési keret arányában","Minimumdíj")))</f>
        <v/>
      </c>
      <c r="X175" s="5">
        <f>IF(OR($A175="",'Ügyfelek'!Q175=""),"",'Ügyfelek'!Q175)</f>
        <v/>
      </c>
      <c r="Y175" s="5">
        <f>IF(X175="","",V175-X175)</f>
        <v/>
      </c>
      <c r="Z175" s="16">
        <f>IF(OR(X175="",X175=0),"",Y175/X175)</f>
        <v/>
      </c>
      <c r="AA175" s="5">
        <f>IF(OR($A175="",'Ügyfelek'!R175=""),"",'Ügyfelek'!R175*VLOOKUP(M175,'Beállítások'!$A$57:$E$60,5,TRUE))</f>
        <v/>
      </c>
      <c r="AB175" s="14">
        <f>IF($A175="","",('Ügyfelek'!B175="")+('Ügyfelek'!C175="")+('Ügyfelek'!D175="")+('Ügyfelek'!L175="")+('Ügyfelek'!I175="")+('Ügyfelek'!N175="")+('Ügyfelek'!J175="")+('Ügyfelek'!K175="")+('Ügyfelek'!M175="")+('Ügyfelek'!P175="")+('Ügyfelek'!O175=""))</f>
        <v/>
      </c>
      <c r="AD175">
        <f>IF($A175="","",B175+'Beállítások'!$E$6/1000)</f>
        <v/>
      </c>
      <c r="AE175">
        <f>IF($A175="","",C175+'Beállítások'!$E$7/1000)</f>
        <v/>
      </c>
      <c r="AF175">
        <f>IF($A175="","",D175+'Beállítások'!$E$8/1000)</f>
        <v/>
      </c>
      <c r="AG175">
        <f>IF($A175="","",E175+'Beállítások'!$E$9/1000)</f>
        <v/>
      </c>
      <c r="AH175">
        <f>IF($A175="","",F175+'Beállítások'!$E$10/1000)</f>
        <v/>
      </c>
      <c r="AI175">
        <f>IF($A175="","",G175+'Beállítások'!$E$11/1000)</f>
        <v/>
      </c>
      <c r="AJ175">
        <f>IF($A175="","",H175+'Beállítások'!$E$12/1000)</f>
        <v/>
      </c>
      <c r="AK175">
        <f>IF($A175="","",I175+'Beállítások'!$E$13/1000)</f>
        <v/>
      </c>
      <c r="AL175">
        <f>IF($A175="","",J175+'Beállítások'!$E$14/1000)</f>
        <v/>
      </c>
      <c r="AM175">
        <f>IF($A175="","",K175+'Beállítások'!$E$15/1000)</f>
        <v/>
      </c>
      <c r="AN175">
        <f>IF($A175="","",L175+'Beállítások'!$E$16/1000)</f>
        <v/>
      </c>
      <c r="AO175">
        <f>IF($A175="","",'Beállítások'!$E$6*(5-B175))</f>
        <v/>
      </c>
      <c r="AP175">
        <f>IF($A175="","",'Beállítások'!$E$7*(5-C175))</f>
        <v/>
      </c>
      <c r="AQ175">
        <f>IF($A175="","",'Beállítások'!$E$8*(5-D175))</f>
        <v/>
      </c>
      <c r="AR175">
        <f>IF($A175="","",'Beállítások'!$E$9*(5-E175))</f>
        <v/>
      </c>
      <c r="AS175">
        <f>IF($A175="","",'Beállítások'!$E$10*(5-F175))</f>
        <v/>
      </c>
      <c r="AT175">
        <f>IF($A175="","",'Beállítások'!$E$11*(5-G175))</f>
        <v/>
      </c>
      <c r="AU175">
        <f>IF($A175="","",'Beállítások'!$E$12*(5-H175))</f>
        <v/>
      </c>
      <c r="AV175">
        <f>IF($A175="","",'Beállítások'!$E$13*(5-I175))</f>
        <v/>
      </c>
      <c r="AW175">
        <f>IF($A175="","",'Beállítások'!$E$14*(5-J175))</f>
        <v/>
      </c>
      <c r="AX175">
        <f>IF($A175="","",'Beállítások'!$E$15*(5-K175))</f>
        <v/>
      </c>
      <c r="AY175">
        <f>IF($A175="","",'Beállítások'!$E$16*(5-L175))</f>
        <v/>
      </c>
      <c r="AZ175">
        <f>IF($A175="","",M175-ROW()/100000)</f>
        <v/>
      </c>
    </row>
    <row r="176">
      <c r="A176">
        <f>IF('Ügyfelek'!A176="","",'Ügyfelek'!A176)</f>
        <v/>
      </c>
      <c r="B176">
        <f>IF($A176="","",IF('Ügyfelek'!B176="",'Beállítások'!$B$45,IFERROR(VLOOKUP(TRIM('Ügyfelek'!B176),'Beállítások'!$A$22:$B$41,2,FALSE),'Beállítások'!$B$45)))</f>
        <v/>
      </c>
      <c r="C176">
        <f>IF($A176="","",IF('Ügyfelek'!C176="",'Beállítások'!$B$45,VLOOKUP(MAX('Ügyfelek'!C176,'Beállítások'!$H$7),'Beállítások'!$H$7:$I$11,2,TRUE)))</f>
        <v/>
      </c>
      <c r="D176">
        <f>IF($A176="","",IF('Ügyfelek'!D176="",'Beállítások'!$B$45,VLOOKUP(MAX('Ügyfelek'!D176,'Beállítások'!$K$7),'Beállítások'!$K$7:$L$11,2,TRUE)))</f>
        <v/>
      </c>
      <c r="E176">
        <f>IF($A176="","",IF('Ügyfelek'!L176="",'Beállítások'!$B$45,MIN(5,MAX(1,ROUND('Ügyfelek'!L176,0)))))</f>
        <v/>
      </c>
      <c r="F176">
        <f>IF($A176="","",IF('Ügyfelek'!I176="",'Beállítások'!$B$45,VLOOKUP(MAX('Ügyfelek'!I176,'Beállítások'!$N$7),'Beállítások'!$N$7:$O$11,2,TRUE)))</f>
        <v/>
      </c>
      <c r="G176">
        <f>IF($A176="","",IF('Ügyfelek'!N176="",'Beállítások'!$B$45,MIN(5,MAX(1,ROUND('Ügyfelek'!N176,0)))))</f>
        <v/>
      </c>
      <c r="H176">
        <f>IF($A176="","",IF('Ügyfelek'!J176="",'Beállítások'!$B$45,VLOOKUP(MAX('Ügyfelek'!J176,'Beállítások'!$Q$7),'Beállítások'!$Q$7:$R$11,2,TRUE)))</f>
        <v/>
      </c>
      <c r="I176">
        <f>IF($A176="","",IF('Ügyfelek'!K176="",'Beállítások'!$B$45,VLOOKUP(MAX('Ügyfelek'!K176,'Beállítások'!$T$7),'Beállítások'!$T$7:$U$11,2,TRUE)))</f>
        <v/>
      </c>
      <c r="J176">
        <f>IF($A176="","",IF('Ügyfelek'!M176="",'Beállítások'!$B$45,MIN(5,MAX(1,ROUND('Ügyfelek'!M176,0)))))</f>
        <v/>
      </c>
      <c r="K176">
        <f>IF($A176="","",IF('Ügyfelek'!P176="",'Beállítások'!$B$45,MIN(5,MAX(1,ROUND('Ügyfelek'!P176,0)))))</f>
        <v/>
      </c>
      <c r="L176">
        <f>IF($A176="","",IF('Ügyfelek'!O176="",'Beállítások'!$B$45,MIN(5,MAX(1,ROUND('Ügyfelek'!O176,0)))))</f>
        <v/>
      </c>
      <c r="M176" s="13">
        <f>IF($A176="","",ROUND('Beállítások'!$E$6*(B176-1)/4+'Beállítások'!$E$7*(C176-1)/4+'Beállítások'!$E$8*(D176-1)/4+'Beállítások'!$E$9*(E176-1)/4+'Beállítások'!$E$10*(F176-1)/4+'Beállítások'!$E$11*(G176-1)/4+'Beállítások'!$E$12*(H176-1)/4+'Beállítások'!$E$13*(I176-1)/4+'Beállítások'!$E$14*(J176-1)/4+'Beállítások'!$E$15*(K176-1)/4+'Beállítások'!$E$16*(L176-1)/4,1))</f>
        <v/>
      </c>
      <c r="N176" s="14">
        <f>IF($A176="","",RANK(M176,$M$2:$M$201))</f>
        <v/>
      </c>
      <c r="O176">
        <f>IF($A176="","",VLOOKUP(M176,'Beállítások'!$A$57:$E$60,2,TRUE))</f>
        <v/>
      </c>
      <c r="P176">
        <f>IF($A176="","",VLOOKUP(M176,'Beállítások'!$A$57:$E$60,3,TRUE))</f>
        <v/>
      </c>
      <c r="Q176">
        <f>IF($A176="","",INDEX('Beállítások'!$B$6:$B$16,MATCH(MAX(AD176:AN176),AD176:AN176,0)))</f>
        <v/>
      </c>
      <c r="R176">
        <f>IF($A176="","",IF(MAX(AO176:AY176)=0,"—",INDEX('Beállítások'!$B$6:$B$16,MATCH(MAX(AO176:AY176),AO176:AY176,0))))</f>
        <v/>
      </c>
      <c r="S176" s="5">
        <f>IF($A176="","",'Beállítások'!$B$47*(TRIM('Ügyfelek'!E176)="igen")+'Beállítások'!$B$48*(TRIM('Ügyfelek'!F176)="igen")+'Beállítások'!$B$49*N('Ügyfelek'!G176)+'Beállítások'!$B$46*N('Ügyfelek'!H176))</f>
        <v/>
      </c>
      <c r="T176" s="15">
        <f>IF($A176="","",VLOOKUP(M176,'Beállítások'!$A$57:$E$60,4,TRUE))</f>
        <v/>
      </c>
      <c r="U176" s="5">
        <f>IF($A176="","",N('Ügyfelek'!D176)*'Beállítások'!$B$51)</f>
        <v/>
      </c>
      <c r="V176" s="5">
        <f>IF($A176="","",CEILING(ROUND(MAX('Beállítások'!$B$50,S176*T176,U176),2),'Beállítások'!$B$52))</f>
        <v/>
      </c>
      <c r="W176">
        <f>IF($A176="","",IF(MAX('Beállítások'!$B$50,S176*T176,U176)=S176*T176,"Munkaigény × szintszorzó",IF(MAX('Beállítások'!$B$50,S176*T176,U176)=U176,"Hirdetési keret arányában","Minimumdíj")))</f>
        <v/>
      </c>
      <c r="X176" s="5">
        <f>IF(OR($A176="",'Ügyfelek'!Q176=""),"",'Ügyfelek'!Q176)</f>
        <v/>
      </c>
      <c r="Y176" s="5">
        <f>IF(X176="","",V176-X176)</f>
        <v/>
      </c>
      <c r="Z176" s="16">
        <f>IF(OR(X176="",X176=0),"",Y176/X176)</f>
        <v/>
      </c>
      <c r="AA176" s="5">
        <f>IF(OR($A176="",'Ügyfelek'!R176=""),"",'Ügyfelek'!R176*VLOOKUP(M176,'Beállítások'!$A$57:$E$60,5,TRUE))</f>
        <v/>
      </c>
      <c r="AB176" s="14">
        <f>IF($A176="","",('Ügyfelek'!B176="")+('Ügyfelek'!C176="")+('Ügyfelek'!D176="")+('Ügyfelek'!L176="")+('Ügyfelek'!I176="")+('Ügyfelek'!N176="")+('Ügyfelek'!J176="")+('Ügyfelek'!K176="")+('Ügyfelek'!M176="")+('Ügyfelek'!P176="")+('Ügyfelek'!O176=""))</f>
        <v/>
      </c>
      <c r="AD176">
        <f>IF($A176="","",B176+'Beállítások'!$E$6/1000)</f>
        <v/>
      </c>
      <c r="AE176">
        <f>IF($A176="","",C176+'Beállítások'!$E$7/1000)</f>
        <v/>
      </c>
      <c r="AF176">
        <f>IF($A176="","",D176+'Beállítások'!$E$8/1000)</f>
        <v/>
      </c>
      <c r="AG176">
        <f>IF($A176="","",E176+'Beállítások'!$E$9/1000)</f>
        <v/>
      </c>
      <c r="AH176">
        <f>IF($A176="","",F176+'Beállítások'!$E$10/1000)</f>
        <v/>
      </c>
      <c r="AI176">
        <f>IF($A176="","",G176+'Beállítások'!$E$11/1000)</f>
        <v/>
      </c>
      <c r="AJ176">
        <f>IF($A176="","",H176+'Beállítások'!$E$12/1000)</f>
        <v/>
      </c>
      <c r="AK176">
        <f>IF($A176="","",I176+'Beállítások'!$E$13/1000)</f>
        <v/>
      </c>
      <c r="AL176">
        <f>IF($A176="","",J176+'Beállítások'!$E$14/1000)</f>
        <v/>
      </c>
      <c r="AM176">
        <f>IF($A176="","",K176+'Beállítások'!$E$15/1000)</f>
        <v/>
      </c>
      <c r="AN176">
        <f>IF($A176="","",L176+'Beállítások'!$E$16/1000)</f>
        <v/>
      </c>
      <c r="AO176">
        <f>IF($A176="","",'Beállítások'!$E$6*(5-B176))</f>
        <v/>
      </c>
      <c r="AP176">
        <f>IF($A176="","",'Beállítások'!$E$7*(5-C176))</f>
        <v/>
      </c>
      <c r="AQ176">
        <f>IF($A176="","",'Beállítások'!$E$8*(5-D176))</f>
        <v/>
      </c>
      <c r="AR176">
        <f>IF($A176="","",'Beállítások'!$E$9*(5-E176))</f>
        <v/>
      </c>
      <c r="AS176">
        <f>IF($A176="","",'Beállítások'!$E$10*(5-F176))</f>
        <v/>
      </c>
      <c r="AT176">
        <f>IF($A176="","",'Beállítások'!$E$11*(5-G176))</f>
        <v/>
      </c>
      <c r="AU176">
        <f>IF($A176="","",'Beállítások'!$E$12*(5-H176))</f>
        <v/>
      </c>
      <c r="AV176">
        <f>IF($A176="","",'Beállítások'!$E$13*(5-I176))</f>
        <v/>
      </c>
      <c r="AW176">
        <f>IF($A176="","",'Beállítások'!$E$14*(5-J176))</f>
        <v/>
      </c>
      <c r="AX176">
        <f>IF($A176="","",'Beállítások'!$E$15*(5-K176))</f>
        <v/>
      </c>
      <c r="AY176">
        <f>IF($A176="","",'Beállítások'!$E$16*(5-L176))</f>
        <v/>
      </c>
      <c r="AZ176">
        <f>IF($A176="","",M176-ROW()/100000)</f>
        <v/>
      </c>
    </row>
    <row r="177">
      <c r="A177">
        <f>IF('Ügyfelek'!A177="","",'Ügyfelek'!A177)</f>
        <v/>
      </c>
      <c r="B177">
        <f>IF($A177="","",IF('Ügyfelek'!B177="",'Beállítások'!$B$45,IFERROR(VLOOKUP(TRIM('Ügyfelek'!B177),'Beállítások'!$A$22:$B$41,2,FALSE),'Beállítások'!$B$45)))</f>
        <v/>
      </c>
      <c r="C177">
        <f>IF($A177="","",IF('Ügyfelek'!C177="",'Beállítások'!$B$45,VLOOKUP(MAX('Ügyfelek'!C177,'Beállítások'!$H$7),'Beállítások'!$H$7:$I$11,2,TRUE)))</f>
        <v/>
      </c>
      <c r="D177">
        <f>IF($A177="","",IF('Ügyfelek'!D177="",'Beállítások'!$B$45,VLOOKUP(MAX('Ügyfelek'!D177,'Beállítások'!$K$7),'Beállítások'!$K$7:$L$11,2,TRUE)))</f>
        <v/>
      </c>
      <c r="E177">
        <f>IF($A177="","",IF('Ügyfelek'!L177="",'Beállítások'!$B$45,MIN(5,MAX(1,ROUND('Ügyfelek'!L177,0)))))</f>
        <v/>
      </c>
      <c r="F177">
        <f>IF($A177="","",IF('Ügyfelek'!I177="",'Beállítások'!$B$45,VLOOKUP(MAX('Ügyfelek'!I177,'Beállítások'!$N$7),'Beállítások'!$N$7:$O$11,2,TRUE)))</f>
        <v/>
      </c>
      <c r="G177">
        <f>IF($A177="","",IF('Ügyfelek'!N177="",'Beállítások'!$B$45,MIN(5,MAX(1,ROUND('Ügyfelek'!N177,0)))))</f>
        <v/>
      </c>
      <c r="H177">
        <f>IF($A177="","",IF('Ügyfelek'!J177="",'Beállítások'!$B$45,VLOOKUP(MAX('Ügyfelek'!J177,'Beállítások'!$Q$7),'Beállítások'!$Q$7:$R$11,2,TRUE)))</f>
        <v/>
      </c>
      <c r="I177">
        <f>IF($A177="","",IF('Ügyfelek'!K177="",'Beállítások'!$B$45,VLOOKUP(MAX('Ügyfelek'!K177,'Beállítások'!$T$7),'Beállítások'!$T$7:$U$11,2,TRUE)))</f>
        <v/>
      </c>
      <c r="J177">
        <f>IF($A177="","",IF('Ügyfelek'!M177="",'Beállítások'!$B$45,MIN(5,MAX(1,ROUND('Ügyfelek'!M177,0)))))</f>
        <v/>
      </c>
      <c r="K177">
        <f>IF($A177="","",IF('Ügyfelek'!P177="",'Beállítások'!$B$45,MIN(5,MAX(1,ROUND('Ügyfelek'!P177,0)))))</f>
        <v/>
      </c>
      <c r="L177">
        <f>IF($A177="","",IF('Ügyfelek'!O177="",'Beállítások'!$B$45,MIN(5,MAX(1,ROUND('Ügyfelek'!O177,0)))))</f>
        <v/>
      </c>
      <c r="M177" s="13">
        <f>IF($A177="","",ROUND('Beállítások'!$E$6*(B177-1)/4+'Beállítások'!$E$7*(C177-1)/4+'Beállítások'!$E$8*(D177-1)/4+'Beállítások'!$E$9*(E177-1)/4+'Beállítások'!$E$10*(F177-1)/4+'Beállítások'!$E$11*(G177-1)/4+'Beállítások'!$E$12*(H177-1)/4+'Beállítások'!$E$13*(I177-1)/4+'Beállítások'!$E$14*(J177-1)/4+'Beállítások'!$E$15*(K177-1)/4+'Beállítások'!$E$16*(L177-1)/4,1))</f>
        <v/>
      </c>
      <c r="N177" s="14">
        <f>IF($A177="","",RANK(M177,$M$2:$M$201))</f>
        <v/>
      </c>
      <c r="O177">
        <f>IF($A177="","",VLOOKUP(M177,'Beállítások'!$A$57:$E$60,2,TRUE))</f>
        <v/>
      </c>
      <c r="P177">
        <f>IF($A177="","",VLOOKUP(M177,'Beállítások'!$A$57:$E$60,3,TRUE))</f>
        <v/>
      </c>
      <c r="Q177">
        <f>IF($A177="","",INDEX('Beállítások'!$B$6:$B$16,MATCH(MAX(AD177:AN177),AD177:AN177,0)))</f>
        <v/>
      </c>
      <c r="R177">
        <f>IF($A177="","",IF(MAX(AO177:AY177)=0,"—",INDEX('Beállítások'!$B$6:$B$16,MATCH(MAX(AO177:AY177),AO177:AY177,0))))</f>
        <v/>
      </c>
      <c r="S177" s="5">
        <f>IF($A177="","",'Beállítások'!$B$47*(TRIM('Ügyfelek'!E177)="igen")+'Beállítások'!$B$48*(TRIM('Ügyfelek'!F177)="igen")+'Beállítások'!$B$49*N('Ügyfelek'!G177)+'Beállítások'!$B$46*N('Ügyfelek'!H177))</f>
        <v/>
      </c>
      <c r="T177" s="15">
        <f>IF($A177="","",VLOOKUP(M177,'Beállítások'!$A$57:$E$60,4,TRUE))</f>
        <v/>
      </c>
      <c r="U177" s="5">
        <f>IF($A177="","",N('Ügyfelek'!D177)*'Beállítások'!$B$51)</f>
        <v/>
      </c>
      <c r="V177" s="5">
        <f>IF($A177="","",CEILING(ROUND(MAX('Beállítások'!$B$50,S177*T177,U177),2),'Beállítások'!$B$52))</f>
        <v/>
      </c>
      <c r="W177">
        <f>IF($A177="","",IF(MAX('Beállítások'!$B$50,S177*T177,U177)=S177*T177,"Munkaigény × szintszorzó",IF(MAX('Beállítások'!$B$50,S177*T177,U177)=U177,"Hirdetési keret arányában","Minimumdíj")))</f>
        <v/>
      </c>
      <c r="X177" s="5">
        <f>IF(OR($A177="",'Ügyfelek'!Q177=""),"",'Ügyfelek'!Q177)</f>
        <v/>
      </c>
      <c r="Y177" s="5">
        <f>IF(X177="","",V177-X177)</f>
        <v/>
      </c>
      <c r="Z177" s="16">
        <f>IF(OR(X177="",X177=0),"",Y177/X177)</f>
        <v/>
      </c>
      <c r="AA177" s="5">
        <f>IF(OR($A177="",'Ügyfelek'!R177=""),"",'Ügyfelek'!R177*VLOOKUP(M177,'Beállítások'!$A$57:$E$60,5,TRUE))</f>
        <v/>
      </c>
      <c r="AB177" s="14">
        <f>IF($A177="","",('Ügyfelek'!B177="")+('Ügyfelek'!C177="")+('Ügyfelek'!D177="")+('Ügyfelek'!L177="")+('Ügyfelek'!I177="")+('Ügyfelek'!N177="")+('Ügyfelek'!J177="")+('Ügyfelek'!K177="")+('Ügyfelek'!M177="")+('Ügyfelek'!P177="")+('Ügyfelek'!O177=""))</f>
        <v/>
      </c>
      <c r="AD177">
        <f>IF($A177="","",B177+'Beállítások'!$E$6/1000)</f>
        <v/>
      </c>
      <c r="AE177">
        <f>IF($A177="","",C177+'Beállítások'!$E$7/1000)</f>
        <v/>
      </c>
      <c r="AF177">
        <f>IF($A177="","",D177+'Beállítások'!$E$8/1000)</f>
        <v/>
      </c>
      <c r="AG177">
        <f>IF($A177="","",E177+'Beállítások'!$E$9/1000)</f>
        <v/>
      </c>
      <c r="AH177">
        <f>IF($A177="","",F177+'Beállítások'!$E$10/1000)</f>
        <v/>
      </c>
      <c r="AI177">
        <f>IF($A177="","",G177+'Beállítások'!$E$11/1000)</f>
        <v/>
      </c>
      <c r="AJ177">
        <f>IF($A177="","",H177+'Beállítások'!$E$12/1000)</f>
        <v/>
      </c>
      <c r="AK177">
        <f>IF($A177="","",I177+'Beállítások'!$E$13/1000)</f>
        <v/>
      </c>
      <c r="AL177">
        <f>IF($A177="","",J177+'Beállítások'!$E$14/1000)</f>
        <v/>
      </c>
      <c r="AM177">
        <f>IF($A177="","",K177+'Beállítások'!$E$15/1000)</f>
        <v/>
      </c>
      <c r="AN177">
        <f>IF($A177="","",L177+'Beállítások'!$E$16/1000)</f>
        <v/>
      </c>
      <c r="AO177">
        <f>IF($A177="","",'Beállítások'!$E$6*(5-B177))</f>
        <v/>
      </c>
      <c r="AP177">
        <f>IF($A177="","",'Beállítások'!$E$7*(5-C177))</f>
        <v/>
      </c>
      <c r="AQ177">
        <f>IF($A177="","",'Beállítások'!$E$8*(5-D177))</f>
        <v/>
      </c>
      <c r="AR177">
        <f>IF($A177="","",'Beállítások'!$E$9*(5-E177))</f>
        <v/>
      </c>
      <c r="AS177">
        <f>IF($A177="","",'Beállítások'!$E$10*(5-F177))</f>
        <v/>
      </c>
      <c r="AT177">
        <f>IF($A177="","",'Beállítások'!$E$11*(5-G177))</f>
        <v/>
      </c>
      <c r="AU177">
        <f>IF($A177="","",'Beállítások'!$E$12*(5-H177))</f>
        <v/>
      </c>
      <c r="AV177">
        <f>IF($A177="","",'Beállítások'!$E$13*(5-I177))</f>
        <v/>
      </c>
      <c r="AW177">
        <f>IF($A177="","",'Beállítások'!$E$14*(5-J177))</f>
        <v/>
      </c>
      <c r="AX177">
        <f>IF($A177="","",'Beállítások'!$E$15*(5-K177))</f>
        <v/>
      </c>
      <c r="AY177">
        <f>IF($A177="","",'Beállítások'!$E$16*(5-L177))</f>
        <v/>
      </c>
      <c r="AZ177">
        <f>IF($A177="","",M177-ROW()/100000)</f>
        <v/>
      </c>
    </row>
    <row r="178">
      <c r="A178">
        <f>IF('Ügyfelek'!A178="","",'Ügyfelek'!A178)</f>
        <v/>
      </c>
      <c r="B178">
        <f>IF($A178="","",IF('Ügyfelek'!B178="",'Beállítások'!$B$45,IFERROR(VLOOKUP(TRIM('Ügyfelek'!B178),'Beállítások'!$A$22:$B$41,2,FALSE),'Beállítások'!$B$45)))</f>
        <v/>
      </c>
      <c r="C178">
        <f>IF($A178="","",IF('Ügyfelek'!C178="",'Beállítások'!$B$45,VLOOKUP(MAX('Ügyfelek'!C178,'Beállítások'!$H$7),'Beállítások'!$H$7:$I$11,2,TRUE)))</f>
        <v/>
      </c>
      <c r="D178">
        <f>IF($A178="","",IF('Ügyfelek'!D178="",'Beállítások'!$B$45,VLOOKUP(MAX('Ügyfelek'!D178,'Beállítások'!$K$7),'Beállítások'!$K$7:$L$11,2,TRUE)))</f>
        <v/>
      </c>
      <c r="E178">
        <f>IF($A178="","",IF('Ügyfelek'!L178="",'Beállítások'!$B$45,MIN(5,MAX(1,ROUND('Ügyfelek'!L178,0)))))</f>
        <v/>
      </c>
      <c r="F178">
        <f>IF($A178="","",IF('Ügyfelek'!I178="",'Beállítások'!$B$45,VLOOKUP(MAX('Ügyfelek'!I178,'Beállítások'!$N$7),'Beállítások'!$N$7:$O$11,2,TRUE)))</f>
        <v/>
      </c>
      <c r="G178">
        <f>IF($A178="","",IF('Ügyfelek'!N178="",'Beállítások'!$B$45,MIN(5,MAX(1,ROUND('Ügyfelek'!N178,0)))))</f>
        <v/>
      </c>
      <c r="H178">
        <f>IF($A178="","",IF('Ügyfelek'!J178="",'Beállítások'!$B$45,VLOOKUP(MAX('Ügyfelek'!J178,'Beállítások'!$Q$7),'Beállítások'!$Q$7:$R$11,2,TRUE)))</f>
        <v/>
      </c>
      <c r="I178">
        <f>IF($A178="","",IF('Ügyfelek'!K178="",'Beállítások'!$B$45,VLOOKUP(MAX('Ügyfelek'!K178,'Beállítások'!$T$7),'Beállítások'!$T$7:$U$11,2,TRUE)))</f>
        <v/>
      </c>
      <c r="J178">
        <f>IF($A178="","",IF('Ügyfelek'!M178="",'Beállítások'!$B$45,MIN(5,MAX(1,ROUND('Ügyfelek'!M178,0)))))</f>
        <v/>
      </c>
      <c r="K178">
        <f>IF($A178="","",IF('Ügyfelek'!P178="",'Beállítások'!$B$45,MIN(5,MAX(1,ROUND('Ügyfelek'!P178,0)))))</f>
        <v/>
      </c>
      <c r="L178">
        <f>IF($A178="","",IF('Ügyfelek'!O178="",'Beállítások'!$B$45,MIN(5,MAX(1,ROUND('Ügyfelek'!O178,0)))))</f>
        <v/>
      </c>
      <c r="M178" s="13">
        <f>IF($A178="","",ROUND('Beállítások'!$E$6*(B178-1)/4+'Beállítások'!$E$7*(C178-1)/4+'Beállítások'!$E$8*(D178-1)/4+'Beállítások'!$E$9*(E178-1)/4+'Beállítások'!$E$10*(F178-1)/4+'Beállítások'!$E$11*(G178-1)/4+'Beállítások'!$E$12*(H178-1)/4+'Beállítások'!$E$13*(I178-1)/4+'Beállítások'!$E$14*(J178-1)/4+'Beállítások'!$E$15*(K178-1)/4+'Beállítások'!$E$16*(L178-1)/4,1))</f>
        <v/>
      </c>
      <c r="N178" s="14">
        <f>IF($A178="","",RANK(M178,$M$2:$M$201))</f>
        <v/>
      </c>
      <c r="O178">
        <f>IF($A178="","",VLOOKUP(M178,'Beállítások'!$A$57:$E$60,2,TRUE))</f>
        <v/>
      </c>
      <c r="P178">
        <f>IF($A178="","",VLOOKUP(M178,'Beállítások'!$A$57:$E$60,3,TRUE))</f>
        <v/>
      </c>
      <c r="Q178">
        <f>IF($A178="","",INDEX('Beállítások'!$B$6:$B$16,MATCH(MAX(AD178:AN178),AD178:AN178,0)))</f>
        <v/>
      </c>
      <c r="R178">
        <f>IF($A178="","",IF(MAX(AO178:AY178)=0,"—",INDEX('Beállítások'!$B$6:$B$16,MATCH(MAX(AO178:AY178),AO178:AY178,0))))</f>
        <v/>
      </c>
      <c r="S178" s="5">
        <f>IF($A178="","",'Beállítások'!$B$47*(TRIM('Ügyfelek'!E178)="igen")+'Beállítások'!$B$48*(TRIM('Ügyfelek'!F178)="igen")+'Beállítások'!$B$49*N('Ügyfelek'!G178)+'Beállítások'!$B$46*N('Ügyfelek'!H178))</f>
        <v/>
      </c>
      <c r="T178" s="15">
        <f>IF($A178="","",VLOOKUP(M178,'Beállítások'!$A$57:$E$60,4,TRUE))</f>
        <v/>
      </c>
      <c r="U178" s="5">
        <f>IF($A178="","",N('Ügyfelek'!D178)*'Beállítások'!$B$51)</f>
        <v/>
      </c>
      <c r="V178" s="5">
        <f>IF($A178="","",CEILING(ROUND(MAX('Beállítások'!$B$50,S178*T178,U178),2),'Beállítások'!$B$52))</f>
        <v/>
      </c>
      <c r="W178">
        <f>IF($A178="","",IF(MAX('Beállítások'!$B$50,S178*T178,U178)=S178*T178,"Munkaigény × szintszorzó",IF(MAX('Beállítások'!$B$50,S178*T178,U178)=U178,"Hirdetési keret arányában","Minimumdíj")))</f>
        <v/>
      </c>
      <c r="X178" s="5">
        <f>IF(OR($A178="",'Ügyfelek'!Q178=""),"",'Ügyfelek'!Q178)</f>
        <v/>
      </c>
      <c r="Y178" s="5">
        <f>IF(X178="","",V178-X178)</f>
        <v/>
      </c>
      <c r="Z178" s="16">
        <f>IF(OR(X178="",X178=0),"",Y178/X178)</f>
        <v/>
      </c>
      <c r="AA178" s="5">
        <f>IF(OR($A178="",'Ügyfelek'!R178=""),"",'Ügyfelek'!R178*VLOOKUP(M178,'Beállítások'!$A$57:$E$60,5,TRUE))</f>
        <v/>
      </c>
      <c r="AB178" s="14">
        <f>IF($A178="","",('Ügyfelek'!B178="")+('Ügyfelek'!C178="")+('Ügyfelek'!D178="")+('Ügyfelek'!L178="")+('Ügyfelek'!I178="")+('Ügyfelek'!N178="")+('Ügyfelek'!J178="")+('Ügyfelek'!K178="")+('Ügyfelek'!M178="")+('Ügyfelek'!P178="")+('Ügyfelek'!O178=""))</f>
        <v/>
      </c>
      <c r="AD178">
        <f>IF($A178="","",B178+'Beállítások'!$E$6/1000)</f>
        <v/>
      </c>
      <c r="AE178">
        <f>IF($A178="","",C178+'Beállítások'!$E$7/1000)</f>
        <v/>
      </c>
      <c r="AF178">
        <f>IF($A178="","",D178+'Beállítások'!$E$8/1000)</f>
        <v/>
      </c>
      <c r="AG178">
        <f>IF($A178="","",E178+'Beállítások'!$E$9/1000)</f>
        <v/>
      </c>
      <c r="AH178">
        <f>IF($A178="","",F178+'Beállítások'!$E$10/1000)</f>
        <v/>
      </c>
      <c r="AI178">
        <f>IF($A178="","",G178+'Beállítások'!$E$11/1000)</f>
        <v/>
      </c>
      <c r="AJ178">
        <f>IF($A178="","",H178+'Beállítások'!$E$12/1000)</f>
        <v/>
      </c>
      <c r="AK178">
        <f>IF($A178="","",I178+'Beállítások'!$E$13/1000)</f>
        <v/>
      </c>
      <c r="AL178">
        <f>IF($A178="","",J178+'Beállítások'!$E$14/1000)</f>
        <v/>
      </c>
      <c r="AM178">
        <f>IF($A178="","",K178+'Beállítások'!$E$15/1000)</f>
        <v/>
      </c>
      <c r="AN178">
        <f>IF($A178="","",L178+'Beállítások'!$E$16/1000)</f>
        <v/>
      </c>
      <c r="AO178">
        <f>IF($A178="","",'Beállítások'!$E$6*(5-B178))</f>
        <v/>
      </c>
      <c r="AP178">
        <f>IF($A178="","",'Beállítások'!$E$7*(5-C178))</f>
        <v/>
      </c>
      <c r="AQ178">
        <f>IF($A178="","",'Beállítások'!$E$8*(5-D178))</f>
        <v/>
      </c>
      <c r="AR178">
        <f>IF($A178="","",'Beállítások'!$E$9*(5-E178))</f>
        <v/>
      </c>
      <c r="AS178">
        <f>IF($A178="","",'Beállítások'!$E$10*(5-F178))</f>
        <v/>
      </c>
      <c r="AT178">
        <f>IF($A178="","",'Beállítások'!$E$11*(5-G178))</f>
        <v/>
      </c>
      <c r="AU178">
        <f>IF($A178="","",'Beállítások'!$E$12*(5-H178))</f>
        <v/>
      </c>
      <c r="AV178">
        <f>IF($A178="","",'Beállítások'!$E$13*(5-I178))</f>
        <v/>
      </c>
      <c r="AW178">
        <f>IF($A178="","",'Beállítások'!$E$14*(5-J178))</f>
        <v/>
      </c>
      <c r="AX178">
        <f>IF($A178="","",'Beállítások'!$E$15*(5-K178))</f>
        <v/>
      </c>
      <c r="AY178">
        <f>IF($A178="","",'Beállítások'!$E$16*(5-L178))</f>
        <v/>
      </c>
      <c r="AZ178">
        <f>IF($A178="","",M178-ROW()/100000)</f>
        <v/>
      </c>
    </row>
    <row r="179">
      <c r="A179">
        <f>IF('Ügyfelek'!A179="","",'Ügyfelek'!A179)</f>
        <v/>
      </c>
      <c r="B179">
        <f>IF($A179="","",IF('Ügyfelek'!B179="",'Beállítások'!$B$45,IFERROR(VLOOKUP(TRIM('Ügyfelek'!B179),'Beállítások'!$A$22:$B$41,2,FALSE),'Beállítások'!$B$45)))</f>
        <v/>
      </c>
      <c r="C179">
        <f>IF($A179="","",IF('Ügyfelek'!C179="",'Beállítások'!$B$45,VLOOKUP(MAX('Ügyfelek'!C179,'Beállítások'!$H$7),'Beállítások'!$H$7:$I$11,2,TRUE)))</f>
        <v/>
      </c>
      <c r="D179">
        <f>IF($A179="","",IF('Ügyfelek'!D179="",'Beállítások'!$B$45,VLOOKUP(MAX('Ügyfelek'!D179,'Beállítások'!$K$7),'Beállítások'!$K$7:$L$11,2,TRUE)))</f>
        <v/>
      </c>
      <c r="E179">
        <f>IF($A179="","",IF('Ügyfelek'!L179="",'Beállítások'!$B$45,MIN(5,MAX(1,ROUND('Ügyfelek'!L179,0)))))</f>
        <v/>
      </c>
      <c r="F179">
        <f>IF($A179="","",IF('Ügyfelek'!I179="",'Beállítások'!$B$45,VLOOKUP(MAX('Ügyfelek'!I179,'Beállítások'!$N$7),'Beállítások'!$N$7:$O$11,2,TRUE)))</f>
        <v/>
      </c>
      <c r="G179">
        <f>IF($A179="","",IF('Ügyfelek'!N179="",'Beállítások'!$B$45,MIN(5,MAX(1,ROUND('Ügyfelek'!N179,0)))))</f>
        <v/>
      </c>
      <c r="H179">
        <f>IF($A179="","",IF('Ügyfelek'!J179="",'Beállítások'!$B$45,VLOOKUP(MAX('Ügyfelek'!J179,'Beállítások'!$Q$7),'Beállítások'!$Q$7:$R$11,2,TRUE)))</f>
        <v/>
      </c>
      <c r="I179">
        <f>IF($A179="","",IF('Ügyfelek'!K179="",'Beállítások'!$B$45,VLOOKUP(MAX('Ügyfelek'!K179,'Beállítások'!$T$7),'Beállítások'!$T$7:$U$11,2,TRUE)))</f>
        <v/>
      </c>
      <c r="J179">
        <f>IF($A179="","",IF('Ügyfelek'!M179="",'Beállítások'!$B$45,MIN(5,MAX(1,ROUND('Ügyfelek'!M179,0)))))</f>
        <v/>
      </c>
      <c r="K179">
        <f>IF($A179="","",IF('Ügyfelek'!P179="",'Beállítások'!$B$45,MIN(5,MAX(1,ROUND('Ügyfelek'!P179,0)))))</f>
        <v/>
      </c>
      <c r="L179">
        <f>IF($A179="","",IF('Ügyfelek'!O179="",'Beállítások'!$B$45,MIN(5,MAX(1,ROUND('Ügyfelek'!O179,0)))))</f>
        <v/>
      </c>
      <c r="M179" s="13">
        <f>IF($A179="","",ROUND('Beállítások'!$E$6*(B179-1)/4+'Beállítások'!$E$7*(C179-1)/4+'Beállítások'!$E$8*(D179-1)/4+'Beállítások'!$E$9*(E179-1)/4+'Beállítások'!$E$10*(F179-1)/4+'Beállítások'!$E$11*(G179-1)/4+'Beállítások'!$E$12*(H179-1)/4+'Beállítások'!$E$13*(I179-1)/4+'Beállítások'!$E$14*(J179-1)/4+'Beállítások'!$E$15*(K179-1)/4+'Beállítások'!$E$16*(L179-1)/4,1))</f>
        <v/>
      </c>
      <c r="N179" s="14">
        <f>IF($A179="","",RANK(M179,$M$2:$M$201))</f>
        <v/>
      </c>
      <c r="O179">
        <f>IF($A179="","",VLOOKUP(M179,'Beállítások'!$A$57:$E$60,2,TRUE))</f>
        <v/>
      </c>
      <c r="P179">
        <f>IF($A179="","",VLOOKUP(M179,'Beállítások'!$A$57:$E$60,3,TRUE))</f>
        <v/>
      </c>
      <c r="Q179">
        <f>IF($A179="","",INDEX('Beállítások'!$B$6:$B$16,MATCH(MAX(AD179:AN179),AD179:AN179,0)))</f>
        <v/>
      </c>
      <c r="R179">
        <f>IF($A179="","",IF(MAX(AO179:AY179)=0,"—",INDEX('Beállítások'!$B$6:$B$16,MATCH(MAX(AO179:AY179),AO179:AY179,0))))</f>
        <v/>
      </c>
      <c r="S179" s="5">
        <f>IF($A179="","",'Beállítások'!$B$47*(TRIM('Ügyfelek'!E179)="igen")+'Beállítások'!$B$48*(TRIM('Ügyfelek'!F179)="igen")+'Beállítások'!$B$49*N('Ügyfelek'!G179)+'Beállítások'!$B$46*N('Ügyfelek'!H179))</f>
        <v/>
      </c>
      <c r="T179" s="15">
        <f>IF($A179="","",VLOOKUP(M179,'Beállítások'!$A$57:$E$60,4,TRUE))</f>
        <v/>
      </c>
      <c r="U179" s="5">
        <f>IF($A179="","",N('Ügyfelek'!D179)*'Beállítások'!$B$51)</f>
        <v/>
      </c>
      <c r="V179" s="5">
        <f>IF($A179="","",CEILING(ROUND(MAX('Beállítások'!$B$50,S179*T179,U179),2),'Beállítások'!$B$52))</f>
        <v/>
      </c>
      <c r="W179">
        <f>IF($A179="","",IF(MAX('Beállítások'!$B$50,S179*T179,U179)=S179*T179,"Munkaigény × szintszorzó",IF(MAX('Beállítások'!$B$50,S179*T179,U179)=U179,"Hirdetési keret arányában","Minimumdíj")))</f>
        <v/>
      </c>
      <c r="X179" s="5">
        <f>IF(OR($A179="",'Ügyfelek'!Q179=""),"",'Ügyfelek'!Q179)</f>
        <v/>
      </c>
      <c r="Y179" s="5">
        <f>IF(X179="","",V179-X179)</f>
        <v/>
      </c>
      <c r="Z179" s="16">
        <f>IF(OR(X179="",X179=0),"",Y179/X179)</f>
        <v/>
      </c>
      <c r="AA179" s="5">
        <f>IF(OR($A179="",'Ügyfelek'!R179=""),"",'Ügyfelek'!R179*VLOOKUP(M179,'Beállítások'!$A$57:$E$60,5,TRUE))</f>
        <v/>
      </c>
      <c r="AB179" s="14">
        <f>IF($A179="","",('Ügyfelek'!B179="")+('Ügyfelek'!C179="")+('Ügyfelek'!D179="")+('Ügyfelek'!L179="")+('Ügyfelek'!I179="")+('Ügyfelek'!N179="")+('Ügyfelek'!J179="")+('Ügyfelek'!K179="")+('Ügyfelek'!M179="")+('Ügyfelek'!P179="")+('Ügyfelek'!O179=""))</f>
        <v/>
      </c>
      <c r="AD179">
        <f>IF($A179="","",B179+'Beállítások'!$E$6/1000)</f>
        <v/>
      </c>
      <c r="AE179">
        <f>IF($A179="","",C179+'Beállítások'!$E$7/1000)</f>
        <v/>
      </c>
      <c r="AF179">
        <f>IF($A179="","",D179+'Beállítások'!$E$8/1000)</f>
        <v/>
      </c>
      <c r="AG179">
        <f>IF($A179="","",E179+'Beállítások'!$E$9/1000)</f>
        <v/>
      </c>
      <c r="AH179">
        <f>IF($A179="","",F179+'Beállítások'!$E$10/1000)</f>
        <v/>
      </c>
      <c r="AI179">
        <f>IF($A179="","",G179+'Beállítások'!$E$11/1000)</f>
        <v/>
      </c>
      <c r="AJ179">
        <f>IF($A179="","",H179+'Beállítások'!$E$12/1000)</f>
        <v/>
      </c>
      <c r="AK179">
        <f>IF($A179="","",I179+'Beállítások'!$E$13/1000)</f>
        <v/>
      </c>
      <c r="AL179">
        <f>IF($A179="","",J179+'Beállítások'!$E$14/1000)</f>
        <v/>
      </c>
      <c r="AM179">
        <f>IF($A179="","",K179+'Beállítások'!$E$15/1000)</f>
        <v/>
      </c>
      <c r="AN179">
        <f>IF($A179="","",L179+'Beállítások'!$E$16/1000)</f>
        <v/>
      </c>
      <c r="AO179">
        <f>IF($A179="","",'Beállítások'!$E$6*(5-B179))</f>
        <v/>
      </c>
      <c r="AP179">
        <f>IF($A179="","",'Beállítások'!$E$7*(5-C179))</f>
        <v/>
      </c>
      <c r="AQ179">
        <f>IF($A179="","",'Beállítások'!$E$8*(5-D179))</f>
        <v/>
      </c>
      <c r="AR179">
        <f>IF($A179="","",'Beállítások'!$E$9*(5-E179))</f>
        <v/>
      </c>
      <c r="AS179">
        <f>IF($A179="","",'Beállítások'!$E$10*(5-F179))</f>
        <v/>
      </c>
      <c r="AT179">
        <f>IF($A179="","",'Beállítások'!$E$11*(5-G179))</f>
        <v/>
      </c>
      <c r="AU179">
        <f>IF($A179="","",'Beállítások'!$E$12*(5-H179))</f>
        <v/>
      </c>
      <c r="AV179">
        <f>IF($A179="","",'Beállítások'!$E$13*(5-I179))</f>
        <v/>
      </c>
      <c r="AW179">
        <f>IF($A179="","",'Beállítások'!$E$14*(5-J179))</f>
        <v/>
      </c>
      <c r="AX179">
        <f>IF($A179="","",'Beállítások'!$E$15*(5-K179))</f>
        <v/>
      </c>
      <c r="AY179">
        <f>IF($A179="","",'Beállítások'!$E$16*(5-L179))</f>
        <v/>
      </c>
      <c r="AZ179">
        <f>IF($A179="","",M179-ROW()/100000)</f>
        <v/>
      </c>
    </row>
    <row r="180">
      <c r="A180">
        <f>IF('Ügyfelek'!A180="","",'Ügyfelek'!A180)</f>
        <v/>
      </c>
      <c r="B180">
        <f>IF($A180="","",IF('Ügyfelek'!B180="",'Beállítások'!$B$45,IFERROR(VLOOKUP(TRIM('Ügyfelek'!B180),'Beállítások'!$A$22:$B$41,2,FALSE),'Beállítások'!$B$45)))</f>
        <v/>
      </c>
      <c r="C180">
        <f>IF($A180="","",IF('Ügyfelek'!C180="",'Beállítások'!$B$45,VLOOKUP(MAX('Ügyfelek'!C180,'Beállítások'!$H$7),'Beállítások'!$H$7:$I$11,2,TRUE)))</f>
        <v/>
      </c>
      <c r="D180">
        <f>IF($A180="","",IF('Ügyfelek'!D180="",'Beállítások'!$B$45,VLOOKUP(MAX('Ügyfelek'!D180,'Beállítások'!$K$7),'Beállítások'!$K$7:$L$11,2,TRUE)))</f>
        <v/>
      </c>
      <c r="E180">
        <f>IF($A180="","",IF('Ügyfelek'!L180="",'Beállítások'!$B$45,MIN(5,MAX(1,ROUND('Ügyfelek'!L180,0)))))</f>
        <v/>
      </c>
      <c r="F180">
        <f>IF($A180="","",IF('Ügyfelek'!I180="",'Beállítások'!$B$45,VLOOKUP(MAX('Ügyfelek'!I180,'Beállítások'!$N$7),'Beállítások'!$N$7:$O$11,2,TRUE)))</f>
        <v/>
      </c>
      <c r="G180">
        <f>IF($A180="","",IF('Ügyfelek'!N180="",'Beállítások'!$B$45,MIN(5,MAX(1,ROUND('Ügyfelek'!N180,0)))))</f>
        <v/>
      </c>
      <c r="H180">
        <f>IF($A180="","",IF('Ügyfelek'!J180="",'Beállítások'!$B$45,VLOOKUP(MAX('Ügyfelek'!J180,'Beállítások'!$Q$7),'Beállítások'!$Q$7:$R$11,2,TRUE)))</f>
        <v/>
      </c>
      <c r="I180">
        <f>IF($A180="","",IF('Ügyfelek'!K180="",'Beállítások'!$B$45,VLOOKUP(MAX('Ügyfelek'!K180,'Beállítások'!$T$7),'Beállítások'!$T$7:$U$11,2,TRUE)))</f>
        <v/>
      </c>
      <c r="J180">
        <f>IF($A180="","",IF('Ügyfelek'!M180="",'Beállítások'!$B$45,MIN(5,MAX(1,ROUND('Ügyfelek'!M180,0)))))</f>
        <v/>
      </c>
      <c r="K180">
        <f>IF($A180="","",IF('Ügyfelek'!P180="",'Beállítások'!$B$45,MIN(5,MAX(1,ROUND('Ügyfelek'!P180,0)))))</f>
        <v/>
      </c>
      <c r="L180">
        <f>IF($A180="","",IF('Ügyfelek'!O180="",'Beállítások'!$B$45,MIN(5,MAX(1,ROUND('Ügyfelek'!O180,0)))))</f>
        <v/>
      </c>
      <c r="M180" s="13">
        <f>IF($A180="","",ROUND('Beállítások'!$E$6*(B180-1)/4+'Beállítások'!$E$7*(C180-1)/4+'Beállítások'!$E$8*(D180-1)/4+'Beállítások'!$E$9*(E180-1)/4+'Beállítások'!$E$10*(F180-1)/4+'Beállítások'!$E$11*(G180-1)/4+'Beállítások'!$E$12*(H180-1)/4+'Beállítások'!$E$13*(I180-1)/4+'Beállítások'!$E$14*(J180-1)/4+'Beállítások'!$E$15*(K180-1)/4+'Beállítások'!$E$16*(L180-1)/4,1))</f>
        <v/>
      </c>
      <c r="N180" s="14">
        <f>IF($A180="","",RANK(M180,$M$2:$M$201))</f>
        <v/>
      </c>
      <c r="O180">
        <f>IF($A180="","",VLOOKUP(M180,'Beállítások'!$A$57:$E$60,2,TRUE))</f>
        <v/>
      </c>
      <c r="P180">
        <f>IF($A180="","",VLOOKUP(M180,'Beállítások'!$A$57:$E$60,3,TRUE))</f>
        <v/>
      </c>
      <c r="Q180">
        <f>IF($A180="","",INDEX('Beállítások'!$B$6:$B$16,MATCH(MAX(AD180:AN180),AD180:AN180,0)))</f>
        <v/>
      </c>
      <c r="R180">
        <f>IF($A180="","",IF(MAX(AO180:AY180)=0,"—",INDEX('Beállítások'!$B$6:$B$16,MATCH(MAX(AO180:AY180),AO180:AY180,0))))</f>
        <v/>
      </c>
      <c r="S180" s="5">
        <f>IF($A180="","",'Beállítások'!$B$47*(TRIM('Ügyfelek'!E180)="igen")+'Beállítások'!$B$48*(TRIM('Ügyfelek'!F180)="igen")+'Beállítások'!$B$49*N('Ügyfelek'!G180)+'Beállítások'!$B$46*N('Ügyfelek'!H180))</f>
        <v/>
      </c>
      <c r="T180" s="15">
        <f>IF($A180="","",VLOOKUP(M180,'Beállítások'!$A$57:$E$60,4,TRUE))</f>
        <v/>
      </c>
      <c r="U180" s="5">
        <f>IF($A180="","",N('Ügyfelek'!D180)*'Beállítások'!$B$51)</f>
        <v/>
      </c>
      <c r="V180" s="5">
        <f>IF($A180="","",CEILING(ROUND(MAX('Beállítások'!$B$50,S180*T180,U180),2),'Beállítások'!$B$52))</f>
        <v/>
      </c>
      <c r="W180">
        <f>IF($A180="","",IF(MAX('Beállítások'!$B$50,S180*T180,U180)=S180*T180,"Munkaigény × szintszorzó",IF(MAX('Beállítások'!$B$50,S180*T180,U180)=U180,"Hirdetési keret arányában","Minimumdíj")))</f>
        <v/>
      </c>
      <c r="X180" s="5">
        <f>IF(OR($A180="",'Ügyfelek'!Q180=""),"",'Ügyfelek'!Q180)</f>
        <v/>
      </c>
      <c r="Y180" s="5">
        <f>IF(X180="","",V180-X180)</f>
        <v/>
      </c>
      <c r="Z180" s="16">
        <f>IF(OR(X180="",X180=0),"",Y180/X180)</f>
        <v/>
      </c>
      <c r="AA180" s="5">
        <f>IF(OR($A180="",'Ügyfelek'!R180=""),"",'Ügyfelek'!R180*VLOOKUP(M180,'Beállítások'!$A$57:$E$60,5,TRUE))</f>
        <v/>
      </c>
      <c r="AB180" s="14">
        <f>IF($A180="","",('Ügyfelek'!B180="")+('Ügyfelek'!C180="")+('Ügyfelek'!D180="")+('Ügyfelek'!L180="")+('Ügyfelek'!I180="")+('Ügyfelek'!N180="")+('Ügyfelek'!J180="")+('Ügyfelek'!K180="")+('Ügyfelek'!M180="")+('Ügyfelek'!P180="")+('Ügyfelek'!O180=""))</f>
        <v/>
      </c>
      <c r="AD180">
        <f>IF($A180="","",B180+'Beállítások'!$E$6/1000)</f>
        <v/>
      </c>
      <c r="AE180">
        <f>IF($A180="","",C180+'Beállítások'!$E$7/1000)</f>
        <v/>
      </c>
      <c r="AF180">
        <f>IF($A180="","",D180+'Beállítások'!$E$8/1000)</f>
        <v/>
      </c>
      <c r="AG180">
        <f>IF($A180="","",E180+'Beállítások'!$E$9/1000)</f>
        <v/>
      </c>
      <c r="AH180">
        <f>IF($A180="","",F180+'Beállítások'!$E$10/1000)</f>
        <v/>
      </c>
      <c r="AI180">
        <f>IF($A180="","",G180+'Beállítások'!$E$11/1000)</f>
        <v/>
      </c>
      <c r="AJ180">
        <f>IF($A180="","",H180+'Beállítások'!$E$12/1000)</f>
        <v/>
      </c>
      <c r="AK180">
        <f>IF($A180="","",I180+'Beállítások'!$E$13/1000)</f>
        <v/>
      </c>
      <c r="AL180">
        <f>IF($A180="","",J180+'Beállítások'!$E$14/1000)</f>
        <v/>
      </c>
      <c r="AM180">
        <f>IF($A180="","",K180+'Beállítások'!$E$15/1000)</f>
        <v/>
      </c>
      <c r="AN180">
        <f>IF($A180="","",L180+'Beállítások'!$E$16/1000)</f>
        <v/>
      </c>
      <c r="AO180">
        <f>IF($A180="","",'Beállítások'!$E$6*(5-B180))</f>
        <v/>
      </c>
      <c r="AP180">
        <f>IF($A180="","",'Beállítások'!$E$7*(5-C180))</f>
        <v/>
      </c>
      <c r="AQ180">
        <f>IF($A180="","",'Beállítások'!$E$8*(5-D180))</f>
        <v/>
      </c>
      <c r="AR180">
        <f>IF($A180="","",'Beállítások'!$E$9*(5-E180))</f>
        <v/>
      </c>
      <c r="AS180">
        <f>IF($A180="","",'Beállítások'!$E$10*(5-F180))</f>
        <v/>
      </c>
      <c r="AT180">
        <f>IF($A180="","",'Beállítások'!$E$11*(5-G180))</f>
        <v/>
      </c>
      <c r="AU180">
        <f>IF($A180="","",'Beállítások'!$E$12*(5-H180))</f>
        <v/>
      </c>
      <c r="AV180">
        <f>IF($A180="","",'Beállítások'!$E$13*(5-I180))</f>
        <v/>
      </c>
      <c r="AW180">
        <f>IF($A180="","",'Beállítások'!$E$14*(5-J180))</f>
        <v/>
      </c>
      <c r="AX180">
        <f>IF($A180="","",'Beállítások'!$E$15*(5-K180))</f>
        <v/>
      </c>
      <c r="AY180">
        <f>IF($A180="","",'Beállítások'!$E$16*(5-L180))</f>
        <v/>
      </c>
      <c r="AZ180">
        <f>IF($A180="","",M180-ROW()/100000)</f>
        <v/>
      </c>
    </row>
    <row r="181">
      <c r="A181">
        <f>IF('Ügyfelek'!A181="","",'Ügyfelek'!A181)</f>
        <v/>
      </c>
      <c r="B181">
        <f>IF($A181="","",IF('Ügyfelek'!B181="",'Beállítások'!$B$45,IFERROR(VLOOKUP(TRIM('Ügyfelek'!B181),'Beállítások'!$A$22:$B$41,2,FALSE),'Beállítások'!$B$45)))</f>
        <v/>
      </c>
      <c r="C181">
        <f>IF($A181="","",IF('Ügyfelek'!C181="",'Beállítások'!$B$45,VLOOKUP(MAX('Ügyfelek'!C181,'Beállítások'!$H$7),'Beállítások'!$H$7:$I$11,2,TRUE)))</f>
        <v/>
      </c>
      <c r="D181">
        <f>IF($A181="","",IF('Ügyfelek'!D181="",'Beállítások'!$B$45,VLOOKUP(MAX('Ügyfelek'!D181,'Beállítások'!$K$7),'Beállítások'!$K$7:$L$11,2,TRUE)))</f>
        <v/>
      </c>
      <c r="E181">
        <f>IF($A181="","",IF('Ügyfelek'!L181="",'Beállítások'!$B$45,MIN(5,MAX(1,ROUND('Ügyfelek'!L181,0)))))</f>
        <v/>
      </c>
      <c r="F181">
        <f>IF($A181="","",IF('Ügyfelek'!I181="",'Beállítások'!$B$45,VLOOKUP(MAX('Ügyfelek'!I181,'Beállítások'!$N$7),'Beállítások'!$N$7:$O$11,2,TRUE)))</f>
        <v/>
      </c>
      <c r="G181">
        <f>IF($A181="","",IF('Ügyfelek'!N181="",'Beállítások'!$B$45,MIN(5,MAX(1,ROUND('Ügyfelek'!N181,0)))))</f>
        <v/>
      </c>
      <c r="H181">
        <f>IF($A181="","",IF('Ügyfelek'!J181="",'Beállítások'!$B$45,VLOOKUP(MAX('Ügyfelek'!J181,'Beállítások'!$Q$7),'Beállítások'!$Q$7:$R$11,2,TRUE)))</f>
        <v/>
      </c>
      <c r="I181">
        <f>IF($A181="","",IF('Ügyfelek'!K181="",'Beállítások'!$B$45,VLOOKUP(MAX('Ügyfelek'!K181,'Beállítások'!$T$7),'Beállítások'!$T$7:$U$11,2,TRUE)))</f>
        <v/>
      </c>
      <c r="J181">
        <f>IF($A181="","",IF('Ügyfelek'!M181="",'Beállítások'!$B$45,MIN(5,MAX(1,ROUND('Ügyfelek'!M181,0)))))</f>
        <v/>
      </c>
      <c r="K181">
        <f>IF($A181="","",IF('Ügyfelek'!P181="",'Beállítások'!$B$45,MIN(5,MAX(1,ROUND('Ügyfelek'!P181,0)))))</f>
        <v/>
      </c>
      <c r="L181">
        <f>IF($A181="","",IF('Ügyfelek'!O181="",'Beállítások'!$B$45,MIN(5,MAX(1,ROUND('Ügyfelek'!O181,0)))))</f>
        <v/>
      </c>
      <c r="M181" s="13">
        <f>IF($A181="","",ROUND('Beállítások'!$E$6*(B181-1)/4+'Beállítások'!$E$7*(C181-1)/4+'Beállítások'!$E$8*(D181-1)/4+'Beállítások'!$E$9*(E181-1)/4+'Beállítások'!$E$10*(F181-1)/4+'Beállítások'!$E$11*(G181-1)/4+'Beállítások'!$E$12*(H181-1)/4+'Beállítások'!$E$13*(I181-1)/4+'Beállítások'!$E$14*(J181-1)/4+'Beállítások'!$E$15*(K181-1)/4+'Beállítások'!$E$16*(L181-1)/4,1))</f>
        <v/>
      </c>
      <c r="N181" s="14">
        <f>IF($A181="","",RANK(M181,$M$2:$M$201))</f>
        <v/>
      </c>
      <c r="O181">
        <f>IF($A181="","",VLOOKUP(M181,'Beállítások'!$A$57:$E$60,2,TRUE))</f>
        <v/>
      </c>
      <c r="P181">
        <f>IF($A181="","",VLOOKUP(M181,'Beállítások'!$A$57:$E$60,3,TRUE))</f>
        <v/>
      </c>
      <c r="Q181">
        <f>IF($A181="","",INDEX('Beállítások'!$B$6:$B$16,MATCH(MAX(AD181:AN181),AD181:AN181,0)))</f>
        <v/>
      </c>
      <c r="R181">
        <f>IF($A181="","",IF(MAX(AO181:AY181)=0,"—",INDEX('Beállítások'!$B$6:$B$16,MATCH(MAX(AO181:AY181),AO181:AY181,0))))</f>
        <v/>
      </c>
      <c r="S181" s="5">
        <f>IF($A181="","",'Beállítások'!$B$47*(TRIM('Ügyfelek'!E181)="igen")+'Beállítások'!$B$48*(TRIM('Ügyfelek'!F181)="igen")+'Beállítások'!$B$49*N('Ügyfelek'!G181)+'Beállítások'!$B$46*N('Ügyfelek'!H181))</f>
        <v/>
      </c>
      <c r="T181" s="15">
        <f>IF($A181="","",VLOOKUP(M181,'Beállítások'!$A$57:$E$60,4,TRUE))</f>
        <v/>
      </c>
      <c r="U181" s="5">
        <f>IF($A181="","",N('Ügyfelek'!D181)*'Beállítások'!$B$51)</f>
        <v/>
      </c>
      <c r="V181" s="5">
        <f>IF($A181="","",CEILING(ROUND(MAX('Beállítások'!$B$50,S181*T181,U181),2),'Beállítások'!$B$52))</f>
        <v/>
      </c>
      <c r="W181">
        <f>IF($A181="","",IF(MAX('Beállítások'!$B$50,S181*T181,U181)=S181*T181,"Munkaigény × szintszorzó",IF(MAX('Beállítások'!$B$50,S181*T181,U181)=U181,"Hirdetési keret arányában","Minimumdíj")))</f>
        <v/>
      </c>
      <c r="X181" s="5">
        <f>IF(OR($A181="",'Ügyfelek'!Q181=""),"",'Ügyfelek'!Q181)</f>
        <v/>
      </c>
      <c r="Y181" s="5">
        <f>IF(X181="","",V181-X181)</f>
        <v/>
      </c>
      <c r="Z181" s="16">
        <f>IF(OR(X181="",X181=0),"",Y181/X181)</f>
        <v/>
      </c>
      <c r="AA181" s="5">
        <f>IF(OR($A181="",'Ügyfelek'!R181=""),"",'Ügyfelek'!R181*VLOOKUP(M181,'Beállítások'!$A$57:$E$60,5,TRUE))</f>
        <v/>
      </c>
      <c r="AB181" s="14">
        <f>IF($A181="","",('Ügyfelek'!B181="")+('Ügyfelek'!C181="")+('Ügyfelek'!D181="")+('Ügyfelek'!L181="")+('Ügyfelek'!I181="")+('Ügyfelek'!N181="")+('Ügyfelek'!J181="")+('Ügyfelek'!K181="")+('Ügyfelek'!M181="")+('Ügyfelek'!P181="")+('Ügyfelek'!O181=""))</f>
        <v/>
      </c>
      <c r="AD181">
        <f>IF($A181="","",B181+'Beállítások'!$E$6/1000)</f>
        <v/>
      </c>
      <c r="AE181">
        <f>IF($A181="","",C181+'Beállítások'!$E$7/1000)</f>
        <v/>
      </c>
      <c r="AF181">
        <f>IF($A181="","",D181+'Beállítások'!$E$8/1000)</f>
        <v/>
      </c>
      <c r="AG181">
        <f>IF($A181="","",E181+'Beállítások'!$E$9/1000)</f>
        <v/>
      </c>
      <c r="AH181">
        <f>IF($A181="","",F181+'Beállítások'!$E$10/1000)</f>
        <v/>
      </c>
      <c r="AI181">
        <f>IF($A181="","",G181+'Beállítások'!$E$11/1000)</f>
        <v/>
      </c>
      <c r="AJ181">
        <f>IF($A181="","",H181+'Beállítások'!$E$12/1000)</f>
        <v/>
      </c>
      <c r="AK181">
        <f>IF($A181="","",I181+'Beállítások'!$E$13/1000)</f>
        <v/>
      </c>
      <c r="AL181">
        <f>IF($A181="","",J181+'Beállítások'!$E$14/1000)</f>
        <v/>
      </c>
      <c r="AM181">
        <f>IF($A181="","",K181+'Beállítások'!$E$15/1000)</f>
        <v/>
      </c>
      <c r="AN181">
        <f>IF($A181="","",L181+'Beállítások'!$E$16/1000)</f>
        <v/>
      </c>
      <c r="AO181">
        <f>IF($A181="","",'Beállítások'!$E$6*(5-B181))</f>
        <v/>
      </c>
      <c r="AP181">
        <f>IF($A181="","",'Beállítások'!$E$7*(5-C181))</f>
        <v/>
      </c>
      <c r="AQ181">
        <f>IF($A181="","",'Beállítások'!$E$8*(5-D181))</f>
        <v/>
      </c>
      <c r="AR181">
        <f>IF($A181="","",'Beállítások'!$E$9*(5-E181))</f>
        <v/>
      </c>
      <c r="AS181">
        <f>IF($A181="","",'Beállítások'!$E$10*(5-F181))</f>
        <v/>
      </c>
      <c r="AT181">
        <f>IF($A181="","",'Beállítások'!$E$11*(5-G181))</f>
        <v/>
      </c>
      <c r="AU181">
        <f>IF($A181="","",'Beállítások'!$E$12*(5-H181))</f>
        <v/>
      </c>
      <c r="AV181">
        <f>IF($A181="","",'Beállítások'!$E$13*(5-I181))</f>
        <v/>
      </c>
      <c r="AW181">
        <f>IF($A181="","",'Beállítások'!$E$14*(5-J181))</f>
        <v/>
      </c>
      <c r="AX181">
        <f>IF($A181="","",'Beállítások'!$E$15*(5-K181))</f>
        <v/>
      </c>
      <c r="AY181">
        <f>IF($A181="","",'Beállítások'!$E$16*(5-L181))</f>
        <v/>
      </c>
      <c r="AZ181">
        <f>IF($A181="","",M181-ROW()/100000)</f>
        <v/>
      </c>
    </row>
    <row r="182">
      <c r="A182">
        <f>IF('Ügyfelek'!A182="","",'Ügyfelek'!A182)</f>
        <v/>
      </c>
      <c r="B182">
        <f>IF($A182="","",IF('Ügyfelek'!B182="",'Beállítások'!$B$45,IFERROR(VLOOKUP(TRIM('Ügyfelek'!B182),'Beállítások'!$A$22:$B$41,2,FALSE),'Beállítások'!$B$45)))</f>
        <v/>
      </c>
      <c r="C182">
        <f>IF($A182="","",IF('Ügyfelek'!C182="",'Beállítások'!$B$45,VLOOKUP(MAX('Ügyfelek'!C182,'Beállítások'!$H$7),'Beállítások'!$H$7:$I$11,2,TRUE)))</f>
        <v/>
      </c>
      <c r="D182">
        <f>IF($A182="","",IF('Ügyfelek'!D182="",'Beállítások'!$B$45,VLOOKUP(MAX('Ügyfelek'!D182,'Beállítások'!$K$7),'Beállítások'!$K$7:$L$11,2,TRUE)))</f>
        <v/>
      </c>
      <c r="E182">
        <f>IF($A182="","",IF('Ügyfelek'!L182="",'Beállítások'!$B$45,MIN(5,MAX(1,ROUND('Ügyfelek'!L182,0)))))</f>
        <v/>
      </c>
      <c r="F182">
        <f>IF($A182="","",IF('Ügyfelek'!I182="",'Beállítások'!$B$45,VLOOKUP(MAX('Ügyfelek'!I182,'Beállítások'!$N$7),'Beállítások'!$N$7:$O$11,2,TRUE)))</f>
        <v/>
      </c>
      <c r="G182">
        <f>IF($A182="","",IF('Ügyfelek'!N182="",'Beállítások'!$B$45,MIN(5,MAX(1,ROUND('Ügyfelek'!N182,0)))))</f>
        <v/>
      </c>
      <c r="H182">
        <f>IF($A182="","",IF('Ügyfelek'!J182="",'Beállítások'!$B$45,VLOOKUP(MAX('Ügyfelek'!J182,'Beállítások'!$Q$7),'Beállítások'!$Q$7:$R$11,2,TRUE)))</f>
        <v/>
      </c>
      <c r="I182">
        <f>IF($A182="","",IF('Ügyfelek'!K182="",'Beállítások'!$B$45,VLOOKUP(MAX('Ügyfelek'!K182,'Beállítások'!$T$7),'Beállítások'!$T$7:$U$11,2,TRUE)))</f>
        <v/>
      </c>
      <c r="J182">
        <f>IF($A182="","",IF('Ügyfelek'!M182="",'Beállítások'!$B$45,MIN(5,MAX(1,ROUND('Ügyfelek'!M182,0)))))</f>
        <v/>
      </c>
      <c r="K182">
        <f>IF($A182="","",IF('Ügyfelek'!P182="",'Beállítások'!$B$45,MIN(5,MAX(1,ROUND('Ügyfelek'!P182,0)))))</f>
        <v/>
      </c>
      <c r="L182">
        <f>IF($A182="","",IF('Ügyfelek'!O182="",'Beállítások'!$B$45,MIN(5,MAX(1,ROUND('Ügyfelek'!O182,0)))))</f>
        <v/>
      </c>
      <c r="M182" s="13">
        <f>IF($A182="","",ROUND('Beállítások'!$E$6*(B182-1)/4+'Beállítások'!$E$7*(C182-1)/4+'Beállítások'!$E$8*(D182-1)/4+'Beállítások'!$E$9*(E182-1)/4+'Beállítások'!$E$10*(F182-1)/4+'Beállítások'!$E$11*(G182-1)/4+'Beállítások'!$E$12*(H182-1)/4+'Beállítások'!$E$13*(I182-1)/4+'Beállítások'!$E$14*(J182-1)/4+'Beállítások'!$E$15*(K182-1)/4+'Beállítások'!$E$16*(L182-1)/4,1))</f>
        <v/>
      </c>
      <c r="N182" s="14">
        <f>IF($A182="","",RANK(M182,$M$2:$M$201))</f>
        <v/>
      </c>
      <c r="O182">
        <f>IF($A182="","",VLOOKUP(M182,'Beállítások'!$A$57:$E$60,2,TRUE))</f>
        <v/>
      </c>
      <c r="P182">
        <f>IF($A182="","",VLOOKUP(M182,'Beállítások'!$A$57:$E$60,3,TRUE))</f>
        <v/>
      </c>
      <c r="Q182">
        <f>IF($A182="","",INDEX('Beállítások'!$B$6:$B$16,MATCH(MAX(AD182:AN182),AD182:AN182,0)))</f>
        <v/>
      </c>
      <c r="R182">
        <f>IF($A182="","",IF(MAX(AO182:AY182)=0,"—",INDEX('Beállítások'!$B$6:$B$16,MATCH(MAX(AO182:AY182),AO182:AY182,0))))</f>
        <v/>
      </c>
      <c r="S182" s="5">
        <f>IF($A182="","",'Beállítások'!$B$47*(TRIM('Ügyfelek'!E182)="igen")+'Beállítások'!$B$48*(TRIM('Ügyfelek'!F182)="igen")+'Beállítások'!$B$49*N('Ügyfelek'!G182)+'Beállítások'!$B$46*N('Ügyfelek'!H182))</f>
        <v/>
      </c>
      <c r="T182" s="15">
        <f>IF($A182="","",VLOOKUP(M182,'Beállítások'!$A$57:$E$60,4,TRUE))</f>
        <v/>
      </c>
      <c r="U182" s="5">
        <f>IF($A182="","",N('Ügyfelek'!D182)*'Beállítások'!$B$51)</f>
        <v/>
      </c>
      <c r="V182" s="5">
        <f>IF($A182="","",CEILING(ROUND(MAX('Beállítások'!$B$50,S182*T182,U182),2),'Beállítások'!$B$52))</f>
        <v/>
      </c>
      <c r="W182">
        <f>IF($A182="","",IF(MAX('Beállítások'!$B$50,S182*T182,U182)=S182*T182,"Munkaigény × szintszorzó",IF(MAX('Beállítások'!$B$50,S182*T182,U182)=U182,"Hirdetési keret arányában","Minimumdíj")))</f>
        <v/>
      </c>
      <c r="X182" s="5">
        <f>IF(OR($A182="",'Ügyfelek'!Q182=""),"",'Ügyfelek'!Q182)</f>
        <v/>
      </c>
      <c r="Y182" s="5">
        <f>IF(X182="","",V182-X182)</f>
        <v/>
      </c>
      <c r="Z182" s="16">
        <f>IF(OR(X182="",X182=0),"",Y182/X182)</f>
        <v/>
      </c>
      <c r="AA182" s="5">
        <f>IF(OR($A182="",'Ügyfelek'!R182=""),"",'Ügyfelek'!R182*VLOOKUP(M182,'Beállítások'!$A$57:$E$60,5,TRUE))</f>
        <v/>
      </c>
      <c r="AB182" s="14">
        <f>IF($A182="","",('Ügyfelek'!B182="")+('Ügyfelek'!C182="")+('Ügyfelek'!D182="")+('Ügyfelek'!L182="")+('Ügyfelek'!I182="")+('Ügyfelek'!N182="")+('Ügyfelek'!J182="")+('Ügyfelek'!K182="")+('Ügyfelek'!M182="")+('Ügyfelek'!P182="")+('Ügyfelek'!O182=""))</f>
        <v/>
      </c>
      <c r="AD182">
        <f>IF($A182="","",B182+'Beállítások'!$E$6/1000)</f>
        <v/>
      </c>
      <c r="AE182">
        <f>IF($A182="","",C182+'Beállítások'!$E$7/1000)</f>
        <v/>
      </c>
      <c r="AF182">
        <f>IF($A182="","",D182+'Beállítások'!$E$8/1000)</f>
        <v/>
      </c>
      <c r="AG182">
        <f>IF($A182="","",E182+'Beállítások'!$E$9/1000)</f>
        <v/>
      </c>
      <c r="AH182">
        <f>IF($A182="","",F182+'Beállítások'!$E$10/1000)</f>
        <v/>
      </c>
      <c r="AI182">
        <f>IF($A182="","",G182+'Beállítások'!$E$11/1000)</f>
        <v/>
      </c>
      <c r="AJ182">
        <f>IF($A182="","",H182+'Beállítások'!$E$12/1000)</f>
        <v/>
      </c>
      <c r="AK182">
        <f>IF($A182="","",I182+'Beállítások'!$E$13/1000)</f>
        <v/>
      </c>
      <c r="AL182">
        <f>IF($A182="","",J182+'Beállítások'!$E$14/1000)</f>
        <v/>
      </c>
      <c r="AM182">
        <f>IF($A182="","",K182+'Beállítások'!$E$15/1000)</f>
        <v/>
      </c>
      <c r="AN182">
        <f>IF($A182="","",L182+'Beállítások'!$E$16/1000)</f>
        <v/>
      </c>
      <c r="AO182">
        <f>IF($A182="","",'Beállítások'!$E$6*(5-B182))</f>
        <v/>
      </c>
      <c r="AP182">
        <f>IF($A182="","",'Beállítások'!$E$7*(5-C182))</f>
        <v/>
      </c>
      <c r="AQ182">
        <f>IF($A182="","",'Beállítások'!$E$8*(5-D182))</f>
        <v/>
      </c>
      <c r="AR182">
        <f>IF($A182="","",'Beállítások'!$E$9*(5-E182))</f>
        <v/>
      </c>
      <c r="AS182">
        <f>IF($A182="","",'Beállítások'!$E$10*(5-F182))</f>
        <v/>
      </c>
      <c r="AT182">
        <f>IF($A182="","",'Beállítások'!$E$11*(5-G182))</f>
        <v/>
      </c>
      <c r="AU182">
        <f>IF($A182="","",'Beállítások'!$E$12*(5-H182))</f>
        <v/>
      </c>
      <c r="AV182">
        <f>IF($A182="","",'Beállítások'!$E$13*(5-I182))</f>
        <v/>
      </c>
      <c r="AW182">
        <f>IF($A182="","",'Beállítások'!$E$14*(5-J182))</f>
        <v/>
      </c>
      <c r="AX182">
        <f>IF($A182="","",'Beállítások'!$E$15*(5-K182))</f>
        <v/>
      </c>
      <c r="AY182">
        <f>IF($A182="","",'Beállítások'!$E$16*(5-L182))</f>
        <v/>
      </c>
      <c r="AZ182">
        <f>IF($A182="","",M182-ROW()/100000)</f>
        <v/>
      </c>
    </row>
    <row r="183">
      <c r="A183">
        <f>IF('Ügyfelek'!A183="","",'Ügyfelek'!A183)</f>
        <v/>
      </c>
      <c r="B183">
        <f>IF($A183="","",IF('Ügyfelek'!B183="",'Beállítások'!$B$45,IFERROR(VLOOKUP(TRIM('Ügyfelek'!B183),'Beállítások'!$A$22:$B$41,2,FALSE),'Beállítások'!$B$45)))</f>
        <v/>
      </c>
      <c r="C183">
        <f>IF($A183="","",IF('Ügyfelek'!C183="",'Beállítások'!$B$45,VLOOKUP(MAX('Ügyfelek'!C183,'Beállítások'!$H$7),'Beállítások'!$H$7:$I$11,2,TRUE)))</f>
        <v/>
      </c>
      <c r="D183">
        <f>IF($A183="","",IF('Ügyfelek'!D183="",'Beállítások'!$B$45,VLOOKUP(MAX('Ügyfelek'!D183,'Beállítások'!$K$7),'Beállítások'!$K$7:$L$11,2,TRUE)))</f>
        <v/>
      </c>
      <c r="E183">
        <f>IF($A183="","",IF('Ügyfelek'!L183="",'Beállítások'!$B$45,MIN(5,MAX(1,ROUND('Ügyfelek'!L183,0)))))</f>
        <v/>
      </c>
      <c r="F183">
        <f>IF($A183="","",IF('Ügyfelek'!I183="",'Beállítások'!$B$45,VLOOKUP(MAX('Ügyfelek'!I183,'Beállítások'!$N$7),'Beállítások'!$N$7:$O$11,2,TRUE)))</f>
        <v/>
      </c>
      <c r="G183">
        <f>IF($A183="","",IF('Ügyfelek'!N183="",'Beállítások'!$B$45,MIN(5,MAX(1,ROUND('Ügyfelek'!N183,0)))))</f>
        <v/>
      </c>
      <c r="H183">
        <f>IF($A183="","",IF('Ügyfelek'!J183="",'Beállítások'!$B$45,VLOOKUP(MAX('Ügyfelek'!J183,'Beállítások'!$Q$7),'Beállítások'!$Q$7:$R$11,2,TRUE)))</f>
        <v/>
      </c>
      <c r="I183">
        <f>IF($A183="","",IF('Ügyfelek'!K183="",'Beállítások'!$B$45,VLOOKUP(MAX('Ügyfelek'!K183,'Beállítások'!$T$7),'Beállítások'!$T$7:$U$11,2,TRUE)))</f>
        <v/>
      </c>
      <c r="J183">
        <f>IF($A183="","",IF('Ügyfelek'!M183="",'Beállítások'!$B$45,MIN(5,MAX(1,ROUND('Ügyfelek'!M183,0)))))</f>
        <v/>
      </c>
      <c r="K183">
        <f>IF($A183="","",IF('Ügyfelek'!P183="",'Beállítások'!$B$45,MIN(5,MAX(1,ROUND('Ügyfelek'!P183,0)))))</f>
        <v/>
      </c>
      <c r="L183">
        <f>IF($A183="","",IF('Ügyfelek'!O183="",'Beállítások'!$B$45,MIN(5,MAX(1,ROUND('Ügyfelek'!O183,0)))))</f>
        <v/>
      </c>
      <c r="M183" s="13">
        <f>IF($A183="","",ROUND('Beállítások'!$E$6*(B183-1)/4+'Beállítások'!$E$7*(C183-1)/4+'Beállítások'!$E$8*(D183-1)/4+'Beállítások'!$E$9*(E183-1)/4+'Beállítások'!$E$10*(F183-1)/4+'Beállítások'!$E$11*(G183-1)/4+'Beállítások'!$E$12*(H183-1)/4+'Beállítások'!$E$13*(I183-1)/4+'Beállítások'!$E$14*(J183-1)/4+'Beállítások'!$E$15*(K183-1)/4+'Beállítások'!$E$16*(L183-1)/4,1))</f>
        <v/>
      </c>
      <c r="N183" s="14">
        <f>IF($A183="","",RANK(M183,$M$2:$M$201))</f>
        <v/>
      </c>
      <c r="O183">
        <f>IF($A183="","",VLOOKUP(M183,'Beállítások'!$A$57:$E$60,2,TRUE))</f>
        <v/>
      </c>
      <c r="P183">
        <f>IF($A183="","",VLOOKUP(M183,'Beállítások'!$A$57:$E$60,3,TRUE))</f>
        <v/>
      </c>
      <c r="Q183">
        <f>IF($A183="","",INDEX('Beállítások'!$B$6:$B$16,MATCH(MAX(AD183:AN183),AD183:AN183,0)))</f>
        <v/>
      </c>
      <c r="R183">
        <f>IF($A183="","",IF(MAX(AO183:AY183)=0,"—",INDEX('Beállítások'!$B$6:$B$16,MATCH(MAX(AO183:AY183),AO183:AY183,0))))</f>
        <v/>
      </c>
      <c r="S183" s="5">
        <f>IF($A183="","",'Beállítások'!$B$47*(TRIM('Ügyfelek'!E183)="igen")+'Beállítások'!$B$48*(TRIM('Ügyfelek'!F183)="igen")+'Beállítások'!$B$49*N('Ügyfelek'!G183)+'Beállítások'!$B$46*N('Ügyfelek'!H183))</f>
        <v/>
      </c>
      <c r="T183" s="15">
        <f>IF($A183="","",VLOOKUP(M183,'Beállítások'!$A$57:$E$60,4,TRUE))</f>
        <v/>
      </c>
      <c r="U183" s="5">
        <f>IF($A183="","",N('Ügyfelek'!D183)*'Beállítások'!$B$51)</f>
        <v/>
      </c>
      <c r="V183" s="5">
        <f>IF($A183="","",CEILING(ROUND(MAX('Beállítások'!$B$50,S183*T183,U183),2),'Beállítások'!$B$52))</f>
        <v/>
      </c>
      <c r="W183">
        <f>IF($A183="","",IF(MAX('Beállítások'!$B$50,S183*T183,U183)=S183*T183,"Munkaigény × szintszorzó",IF(MAX('Beállítások'!$B$50,S183*T183,U183)=U183,"Hirdetési keret arányában","Minimumdíj")))</f>
        <v/>
      </c>
      <c r="X183" s="5">
        <f>IF(OR($A183="",'Ügyfelek'!Q183=""),"",'Ügyfelek'!Q183)</f>
        <v/>
      </c>
      <c r="Y183" s="5">
        <f>IF(X183="","",V183-X183)</f>
        <v/>
      </c>
      <c r="Z183" s="16">
        <f>IF(OR(X183="",X183=0),"",Y183/X183)</f>
        <v/>
      </c>
      <c r="AA183" s="5">
        <f>IF(OR($A183="",'Ügyfelek'!R183=""),"",'Ügyfelek'!R183*VLOOKUP(M183,'Beállítások'!$A$57:$E$60,5,TRUE))</f>
        <v/>
      </c>
      <c r="AB183" s="14">
        <f>IF($A183="","",('Ügyfelek'!B183="")+('Ügyfelek'!C183="")+('Ügyfelek'!D183="")+('Ügyfelek'!L183="")+('Ügyfelek'!I183="")+('Ügyfelek'!N183="")+('Ügyfelek'!J183="")+('Ügyfelek'!K183="")+('Ügyfelek'!M183="")+('Ügyfelek'!P183="")+('Ügyfelek'!O183=""))</f>
        <v/>
      </c>
      <c r="AD183">
        <f>IF($A183="","",B183+'Beállítások'!$E$6/1000)</f>
        <v/>
      </c>
      <c r="AE183">
        <f>IF($A183="","",C183+'Beállítások'!$E$7/1000)</f>
        <v/>
      </c>
      <c r="AF183">
        <f>IF($A183="","",D183+'Beállítások'!$E$8/1000)</f>
        <v/>
      </c>
      <c r="AG183">
        <f>IF($A183="","",E183+'Beállítások'!$E$9/1000)</f>
        <v/>
      </c>
      <c r="AH183">
        <f>IF($A183="","",F183+'Beállítások'!$E$10/1000)</f>
        <v/>
      </c>
      <c r="AI183">
        <f>IF($A183="","",G183+'Beállítások'!$E$11/1000)</f>
        <v/>
      </c>
      <c r="AJ183">
        <f>IF($A183="","",H183+'Beállítások'!$E$12/1000)</f>
        <v/>
      </c>
      <c r="AK183">
        <f>IF($A183="","",I183+'Beállítások'!$E$13/1000)</f>
        <v/>
      </c>
      <c r="AL183">
        <f>IF($A183="","",J183+'Beállítások'!$E$14/1000)</f>
        <v/>
      </c>
      <c r="AM183">
        <f>IF($A183="","",K183+'Beállítások'!$E$15/1000)</f>
        <v/>
      </c>
      <c r="AN183">
        <f>IF($A183="","",L183+'Beállítások'!$E$16/1000)</f>
        <v/>
      </c>
      <c r="AO183">
        <f>IF($A183="","",'Beállítások'!$E$6*(5-B183))</f>
        <v/>
      </c>
      <c r="AP183">
        <f>IF($A183="","",'Beállítások'!$E$7*(5-C183))</f>
        <v/>
      </c>
      <c r="AQ183">
        <f>IF($A183="","",'Beállítások'!$E$8*(5-D183))</f>
        <v/>
      </c>
      <c r="AR183">
        <f>IF($A183="","",'Beállítások'!$E$9*(5-E183))</f>
        <v/>
      </c>
      <c r="AS183">
        <f>IF($A183="","",'Beállítások'!$E$10*(5-F183))</f>
        <v/>
      </c>
      <c r="AT183">
        <f>IF($A183="","",'Beállítások'!$E$11*(5-G183))</f>
        <v/>
      </c>
      <c r="AU183">
        <f>IF($A183="","",'Beállítások'!$E$12*(5-H183))</f>
        <v/>
      </c>
      <c r="AV183">
        <f>IF($A183="","",'Beállítások'!$E$13*(5-I183))</f>
        <v/>
      </c>
      <c r="AW183">
        <f>IF($A183="","",'Beállítások'!$E$14*(5-J183))</f>
        <v/>
      </c>
      <c r="AX183">
        <f>IF($A183="","",'Beállítások'!$E$15*(5-K183))</f>
        <v/>
      </c>
      <c r="AY183">
        <f>IF($A183="","",'Beállítások'!$E$16*(5-L183))</f>
        <v/>
      </c>
      <c r="AZ183">
        <f>IF($A183="","",M183-ROW()/100000)</f>
        <v/>
      </c>
    </row>
    <row r="184">
      <c r="A184">
        <f>IF('Ügyfelek'!A184="","",'Ügyfelek'!A184)</f>
        <v/>
      </c>
      <c r="B184">
        <f>IF($A184="","",IF('Ügyfelek'!B184="",'Beállítások'!$B$45,IFERROR(VLOOKUP(TRIM('Ügyfelek'!B184),'Beállítások'!$A$22:$B$41,2,FALSE),'Beállítások'!$B$45)))</f>
        <v/>
      </c>
      <c r="C184">
        <f>IF($A184="","",IF('Ügyfelek'!C184="",'Beállítások'!$B$45,VLOOKUP(MAX('Ügyfelek'!C184,'Beállítások'!$H$7),'Beállítások'!$H$7:$I$11,2,TRUE)))</f>
        <v/>
      </c>
      <c r="D184">
        <f>IF($A184="","",IF('Ügyfelek'!D184="",'Beállítások'!$B$45,VLOOKUP(MAX('Ügyfelek'!D184,'Beállítások'!$K$7),'Beállítások'!$K$7:$L$11,2,TRUE)))</f>
        <v/>
      </c>
      <c r="E184">
        <f>IF($A184="","",IF('Ügyfelek'!L184="",'Beállítások'!$B$45,MIN(5,MAX(1,ROUND('Ügyfelek'!L184,0)))))</f>
        <v/>
      </c>
      <c r="F184">
        <f>IF($A184="","",IF('Ügyfelek'!I184="",'Beállítások'!$B$45,VLOOKUP(MAX('Ügyfelek'!I184,'Beállítások'!$N$7),'Beállítások'!$N$7:$O$11,2,TRUE)))</f>
        <v/>
      </c>
      <c r="G184">
        <f>IF($A184="","",IF('Ügyfelek'!N184="",'Beállítások'!$B$45,MIN(5,MAX(1,ROUND('Ügyfelek'!N184,0)))))</f>
        <v/>
      </c>
      <c r="H184">
        <f>IF($A184="","",IF('Ügyfelek'!J184="",'Beállítások'!$B$45,VLOOKUP(MAX('Ügyfelek'!J184,'Beállítások'!$Q$7),'Beállítások'!$Q$7:$R$11,2,TRUE)))</f>
        <v/>
      </c>
      <c r="I184">
        <f>IF($A184="","",IF('Ügyfelek'!K184="",'Beállítások'!$B$45,VLOOKUP(MAX('Ügyfelek'!K184,'Beállítások'!$T$7),'Beállítások'!$T$7:$U$11,2,TRUE)))</f>
        <v/>
      </c>
      <c r="J184">
        <f>IF($A184="","",IF('Ügyfelek'!M184="",'Beállítások'!$B$45,MIN(5,MAX(1,ROUND('Ügyfelek'!M184,0)))))</f>
        <v/>
      </c>
      <c r="K184">
        <f>IF($A184="","",IF('Ügyfelek'!P184="",'Beállítások'!$B$45,MIN(5,MAX(1,ROUND('Ügyfelek'!P184,0)))))</f>
        <v/>
      </c>
      <c r="L184">
        <f>IF($A184="","",IF('Ügyfelek'!O184="",'Beállítások'!$B$45,MIN(5,MAX(1,ROUND('Ügyfelek'!O184,0)))))</f>
        <v/>
      </c>
      <c r="M184" s="13">
        <f>IF($A184="","",ROUND('Beállítások'!$E$6*(B184-1)/4+'Beállítások'!$E$7*(C184-1)/4+'Beállítások'!$E$8*(D184-1)/4+'Beállítások'!$E$9*(E184-1)/4+'Beállítások'!$E$10*(F184-1)/4+'Beállítások'!$E$11*(G184-1)/4+'Beállítások'!$E$12*(H184-1)/4+'Beállítások'!$E$13*(I184-1)/4+'Beállítások'!$E$14*(J184-1)/4+'Beállítások'!$E$15*(K184-1)/4+'Beállítások'!$E$16*(L184-1)/4,1))</f>
        <v/>
      </c>
      <c r="N184" s="14">
        <f>IF($A184="","",RANK(M184,$M$2:$M$201))</f>
        <v/>
      </c>
      <c r="O184">
        <f>IF($A184="","",VLOOKUP(M184,'Beállítások'!$A$57:$E$60,2,TRUE))</f>
        <v/>
      </c>
      <c r="P184">
        <f>IF($A184="","",VLOOKUP(M184,'Beállítások'!$A$57:$E$60,3,TRUE))</f>
        <v/>
      </c>
      <c r="Q184">
        <f>IF($A184="","",INDEX('Beállítások'!$B$6:$B$16,MATCH(MAX(AD184:AN184),AD184:AN184,0)))</f>
        <v/>
      </c>
      <c r="R184">
        <f>IF($A184="","",IF(MAX(AO184:AY184)=0,"—",INDEX('Beállítások'!$B$6:$B$16,MATCH(MAX(AO184:AY184),AO184:AY184,0))))</f>
        <v/>
      </c>
      <c r="S184" s="5">
        <f>IF($A184="","",'Beállítások'!$B$47*(TRIM('Ügyfelek'!E184)="igen")+'Beállítások'!$B$48*(TRIM('Ügyfelek'!F184)="igen")+'Beállítások'!$B$49*N('Ügyfelek'!G184)+'Beállítások'!$B$46*N('Ügyfelek'!H184))</f>
        <v/>
      </c>
      <c r="T184" s="15">
        <f>IF($A184="","",VLOOKUP(M184,'Beállítások'!$A$57:$E$60,4,TRUE))</f>
        <v/>
      </c>
      <c r="U184" s="5">
        <f>IF($A184="","",N('Ügyfelek'!D184)*'Beállítások'!$B$51)</f>
        <v/>
      </c>
      <c r="V184" s="5">
        <f>IF($A184="","",CEILING(ROUND(MAX('Beállítások'!$B$50,S184*T184,U184),2),'Beállítások'!$B$52))</f>
        <v/>
      </c>
      <c r="W184">
        <f>IF($A184="","",IF(MAX('Beállítások'!$B$50,S184*T184,U184)=S184*T184,"Munkaigény × szintszorzó",IF(MAX('Beállítások'!$B$50,S184*T184,U184)=U184,"Hirdetési keret arányában","Minimumdíj")))</f>
        <v/>
      </c>
      <c r="X184" s="5">
        <f>IF(OR($A184="",'Ügyfelek'!Q184=""),"",'Ügyfelek'!Q184)</f>
        <v/>
      </c>
      <c r="Y184" s="5">
        <f>IF(X184="","",V184-X184)</f>
        <v/>
      </c>
      <c r="Z184" s="16">
        <f>IF(OR(X184="",X184=0),"",Y184/X184)</f>
        <v/>
      </c>
      <c r="AA184" s="5">
        <f>IF(OR($A184="",'Ügyfelek'!R184=""),"",'Ügyfelek'!R184*VLOOKUP(M184,'Beállítások'!$A$57:$E$60,5,TRUE))</f>
        <v/>
      </c>
      <c r="AB184" s="14">
        <f>IF($A184="","",('Ügyfelek'!B184="")+('Ügyfelek'!C184="")+('Ügyfelek'!D184="")+('Ügyfelek'!L184="")+('Ügyfelek'!I184="")+('Ügyfelek'!N184="")+('Ügyfelek'!J184="")+('Ügyfelek'!K184="")+('Ügyfelek'!M184="")+('Ügyfelek'!P184="")+('Ügyfelek'!O184=""))</f>
        <v/>
      </c>
      <c r="AD184">
        <f>IF($A184="","",B184+'Beállítások'!$E$6/1000)</f>
        <v/>
      </c>
      <c r="AE184">
        <f>IF($A184="","",C184+'Beállítások'!$E$7/1000)</f>
        <v/>
      </c>
      <c r="AF184">
        <f>IF($A184="","",D184+'Beállítások'!$E$8/1000)</f>
        <v/>
      </c>
      <c r="AG184">
        <f>IF($A184="","",E184+'Beállítások'!$E$9/1000)</f>
        <v/>
      </c>
      <c r="AH184">
        <f>IF($A184="","",F184+'Beállítások'!$E$10/1000)</f>
        <v/>
      </c>
      <c r="AI184">
        <f>IF($A184="","",G184+'Beállítások'!$E$11/1000)</f>
        <v/>
      </c>
      <c r="AJ184">
        <f>IF($A184="","",H184+'Beállítások'!$E$12/1000)</f>
        <v/>
      </c>
      <c r="AK184">
        <f>IF($A184="","",I184+'Beállítások'!$E$13/1000)</f>
        <v/>
      </c>
      <c r="AL184">
        <f>IF($A184="","",J184+'Beállítások'!$E$14/1000)</f>
        <v/>
      </c>
      <c r="AM184">
        <f>IF($A184="","",K184+'Beállítások'!$E$15/1000)</f>
        <v/>
      </c>
      <c r="AN184">
        <f>IF($A184="","",L184+'Beállítások'!$E$16/1000)</f>
        <v/>
      </c>
      <c r="AO184">
        <f>IF($A184="","",'Beállítások'!$E$6*(5-B184))</f>
        <v/>
      </c>
      <c r="AP184">
        <f>IF($A184="","",'Beállítások'!$E$7*(5-C184))</f>
        <v/>
      </c>
      <c r="AQ184">
        <f>IF($A184="","",'Beállítások'!$E$8*(5-D184))</f>
        <v/>
      </c>
      <c r="AR184">
        <f>IF($A184="","",'Beállítások'!$E$9*(5-E184))</f>
        <v/>
      </c>
      <c r="AS184">
        <f>IF($A184="","",'Beállítások'!$E$10*(5-F184))</f>
        <v/>
      </c>
      <c r="AT184">
        <f>IF($A184="","",'Beállítások'!$E$11*(5-G184))</f>
        <v/>
      </c>
      <c r="AU184">
        <f>IF($A184="","",'Beállítások'!$E$12*(5-H184))</f>
        <v/>
      </c>
      <c r="AV184">
        <f>IF($A184="","",'Beállítások'!$E$13*(5-I184))</f>
        <v/>
      </c>
      <c r="AW184">
        <f>IF($A184="","",'Beállítások'!$E$14*(5-J184))</f>
        <v/>
      </c>
      <c r="AX184">
        <f>IF($A184="","",'Beállítások'!$E$15*(5-K184))</f>
        <v/>
      </c>
      <c r="AY184">
        <f>IF($A184="","",'Beállítások'!$E$16*(5-L184))</f>
        <v/>
      </c>
      <c r="AZ184">
        <f>IF($A184="","",M184-ROW()/100000)</f>
        <v/>
      </c>
    </row>
    <row r="185">
      <c r="A185">
        <f>IF('Ügyfelek'!A185="","",'Ügyfelek'!A185)</f>
        <v/>
      </c>
      <c r="B185">
        <f>IF($A185="","",IF('Ügyfelek'!B185="",'Beállítások'!$B$45,IFERROR(VLOOKUP(TRIM('Ügyfelek'!B185),'Beállítások'!$A$22:$B$41,2,FALSE),'Beállítások'!$B$45)))</f>
        <v/>
      </c>
      <c r="C185">
        <f>IF($A185="","",IF('Ügyfelek'!C185="",'Beállítások'!$B$45,VLOOKUP(MAX('Ügyfelek'!C185,'Beállítások'!$H$7),'Beállítások'!$H$7:$I$11,2,TRUE)))</f>
        <v/>
      </c>
      <c r="D185">
        <f>IF($A185="","",IF('Ügyfelek'!D185="",'Beállítások'!$B$45,VLOOKUP(MAX('Ügyfelek'!D185,'Beállítások'!$K$7),'Beállítások'!$K$7:$L$11,2,TRUE)))</f>
        <v/>
      </c>
      <c r="E185">
        <f>IF($A185="","",IF('Ügyfelek'!L185="",'Beállítások'!$B$45,MIN(5,MAX(1,ROUND('Ügyfelek'!L185,0)))))</f>
        <v/>
      </c>
      <c r="F185">
        <f>IF($A185="","",IF('Ügyfelek'!I185="",'Beállítások'!$B$45,VLOOKUP(MAX('Ügyfelek'!I185,'Beállítások'!$N$7),'Beállítások'!$N$7:$O$11,2,TRUE)))</f>
        <v/>
      </c>
      <c r="G185">
        <f>IF($A185="","",IF('Ügyfelek'!N185="",'Beállítások'!$B$45,MIN(5,MAX(1,ROUND('Ügyfelek'!N185,0)))))</f>
        <v/>
      </c>
      <c r="H185">
        <f>IF($A185="","",IF('Ügyfelek'!J185="",'Beállítások'!$B$45,VLOOKUP(MAX('Ügyfelek'!J185,'Beállítások'!$Q$7),'Beállítások'!$Q$7:$R$11,2,TRUE)))</f>
        <v/>
      </c>
      <c r="I185">
        <f>IF($A185="","",IF('Ügyfelek'!K185="",'Beállítások'!$B$45,VLOOKUP(MAX('Ügyfelek'!K185,'Beállítások'!$T$7),'Beállítások'!$T$7:$U$11,2,TRUE)))</f>
        <v/>
      </c>
      <c r="J185">
        <f>IF($A185="","",IF('Ügyfelek'!M185="",'Beállítások'!$B$45,MIN(5,MAX(1,ROUND('Ügyfelek'!M185,0)))))</f>
        <v/>
      </c>
      <c r="K185">
        <f>IF($A185="","",IF('Ügyfelek'!P185="",'Beállítások'!$B$45,MIN(5,MAX(1,ROUND('Ügyfelek'!P185,0)))))</f>
        <v/>
      </c>
      <c r="L185">
        <f>IF($A185="","",IF('Ügyfelek'!O185="",'Beállítások'!$B$45,MIN(5,MAX(1,ROUND('Ügyfelek'!O185,0)))))</f>
        <v/>
      </c>
      <c r="M185" s="13">
        <f>IF($A185="","",ROUND('Beállítások'!$E$6*(B185-1)/4+'Beállítások'!$E$7*(C185-1)/4+'Beállítások'!$E$8*(D185-1)/4+'Beállítások'!$E$9*(E185-1)/4+'Beállítások'!$E$10*(F185-1)/4+'Beállítások'!$E$11*(G185-1)/4+'Beállítások'!$E$12*(H185-1)/4+'Beállítások'!$E$13*(I185-1)/4+'Beállítások'!$E$14*(J185-1)/4+'Beállítások'!$E$15*(K185-1)/4+'Beállítások'!$E$16*(L185-1)/4,1))</f>
        <v/>
      </c>
      <c r="N185" s="14">
        <f>IF($A185="","",RANK(M185,$M$2:$M$201))</f>
        <v/>
      </c>
      <c r="O185">
        <f>IF($A185="","",VLOOKUP(M185,'Beállítások'!$A$57:$E$60,2,TRUE))</f>
        <v/>
      </c>
      <c r="P185">
        <f>IF($A185="","",VLOOKUP(M185,'Beállítások'!$A$57:$E$60,3,TRUE))</f>
        <v/>
      </c>
      <c r="Q185">
        <f>IF($A185="","",INDEX('Beállítások'!$B$6:$B$16,MATCH(MAX(AD185:AN185),AD185:AN185,0)))</f>
        <v/>
      </c>
      <c r="R185">
        <f>IF($A185="","",IF(MAX(AO185:AY185)=0,"—",INDEX('Beállítások'!$B$6:$B$16,MATCH(MAX(AO185:AY185),AO185:AY185,0))))</f>
        <v/>
      </c>
      <c r="S185" s="5">
        <f>IF($A185="","",'Beállítások'!$B$47*(TRIM('Ügyfelek'!E185)="igen")+'Beállítások'!$B$48*(TRIM('Ügyfelek'!F185)="igen")+'Beállítások'!$B$49*N('Ügyfelek'!G185)+'Beállítások'!$B$46*N('Ügyfelek'!H185))</f>
        <v/>
      </c>
      <c r="T185" s="15">
        <f>IF($A185="","",VLOOKUP(M185,'Beállítások'!$A$57:$E$60,4,TRUE))</f>
        <v/>
      </c>
      <c r="U185" s="5">
        <f>IF($A185="","",N('Ügyfelek'!D185)*'Beállítások'!$B$51)</f>
        <v/>
      </c>
      <c r="V185" s="5">
        <f>IF($A185="","",CEILING(ROUND(MAX('Beállítások'!$B$50,S185*T185,U185),2),'Beállítások'!$B$52))</f>
        <v/>
      </c>
      <c r="W185">
        <f>IF($A185="","",IF(MAX('Beállítások'!$B$50,S185*T185,U185)=S185*T185,"Munkaigény × szintszorzó",IF(MAX('Beállítások'!$B$50,S185*T185,U185)=U185,"Hirdetési keret arányában","Minimumdíj")))</f>
        <v/>
      </c>
      <c r="X185" s="5">
        <f>IF(OR($A185="",'Ügyfelek'!Q185=""),"",'Ügyfelek'!Q185)</f>
        <v/>
      </c>
      <c r="Y185" s="5">
        <f>IF(X185="","",V185-X185)</f>
        <v/>
      </c>
      <c r="Z185" s="16">
        <f>IF(OR(X185="",X185=0),"",Y185/X185)</f>
        <v/>
      </c>
      <c r="AA185" s="5">
        <f>IF(OR($A185="",'Ügyfelek'!R185=""),"",'Ügyfelek'!R185*VLOOKUP(M185,'Beállítások'!$A$57:$E$60,5,TRUE))</f>
        <v/>
      </c>
      <c r="AB185" s="14">
        <f>IF($A185="","",('Ügyfelek'!B185="")+('Ügyfelek'!C185="")+('Ügyfelek'!D185="")+('Ügyfelek'!L185="")+('Ügyfelek'!I185="")+('Ügyfelek'!N185="")+('Ügyfelek'!J185="")+('Ügyfelek'!K185="")+('Ügyfelek'!M185="")+('Ügyfelek'!P185="")+('Ügyfelek'!O185=""))</f>
        <v/>
      </c>
      <c r="AD185">
        <f>IF($A185="","",B185+'Beállítások'!$E$6/1000)</f>
        <v/>
      </c>
      <c r="AE185">
        <f>IF($A185="","",C185+'Beállítások'!$E$7/1000)</f>
        <v/>
      </c>
      <c r="AF185">
        <f>IF($A185="","",D185+'Beállítások'!$E$8/1000)</f>
        <v/>
      </c>
      <c r="AG185">
        <f>IF($A185="","",E185+'Beállítások'!$E$9/1000)</f>
        <v/>
      </c>
      <c r="AH185">
        <f>IF($A185="","",F185+'Beállítások'!$E$10/1000)</f>
        <v/>
      </c>
      <c r="AI185">
        <f>IF($A185="","",G185+'Beállítások'!$E$11/1000)</f>
        <v/>
      </c>
      <c r="AJ185">
        <f>IF($A185="","",H185+'Beállítások'!$E$12/1000)</f>
        <v/>
      </c>
      <c r="AK185">
        <f>IF($A185="","",I185+'Beállítások'!$E$13/1000)</f>
        <v/>
      </c>
      <c r="AL185">
        <f>IF($A185="","",J185+'Beállítások'!$E$14/1000)</f>
        <v/>
      </c>
      <c r="AM185">
        <f>IF($A185="","",K185+'Beállítások'!$E$15/1000)</f>
        <v/>
      </c>
      <c r="AN185">
        <f>IF($A185="","",L185+'Beállítások'!$E$16/1000)</f>
        <v/>
      </c>
      <c r="AO185">
        <f>IF($A185="","",'Beállítások'!$E$6*(5-B185))</f>
        <v/>
      </c>
      <c r="AP185">
        <f>IF($A185="","",'Beállítások'!$E$7*(5-C185))</f>
        <v/>
      </c>
      <c r="AQ185">
        <f>IF($A185="","",'Beállítások'!$E$8*(5-D185))</f>
        <v/>
      </c>
      <c r="AR185">
        <f>IF($A185="","",'Beállítások'!$E$9*(5-E185))</f>
        <v/>
      </c>
      <c r="AS185">
        <f>IF($A185="","",'Beállítások'!$E$10*(5-F185))</f>
        <v/>
      </c>
      <c r="AT185">
        <f>IF($A185="","",'Beállítások'!$E$11*(5-G185))</f>
        <v/>
      </c>
      <c r="AU185">
        <f>IF($A185="","",'Beállítások'!$E$12*(5-H185))</f>
        <v/>
      </c>
      <c r="AV185">
        <f>IF($A185="","",'Beállítások'!$E$13*(5-I185))</f>
        <v/>
      </c>
      <c r="AW185">
        <f>IF($A185="","",'Beállítások'!$E$14*(5-J185))</f>
        <v/>
      </c>
      <c r="AX185">
        <f>IF($A185="","",'Beállítások'!$E$15*(5-K185))</f>
        <v/>
      </c>
      <c r="AY185">
        <f>IF($A185="","",'Beállítások'!$E$16*(5-L185))</f>
        <v/>
      </c>
      <c r="AZ185">
        <f>IF($A185="","",M185-ROW()/100000)</f>
        <v/>
      </c>
    </row>
    <row r="186">
      <c r="A186">
        <f>IF('Ügyfelek'!A186="","",'Ügyfelek'!A186)</f>
        <v/>
      </c>
      <c r="B186">
        <f>IF($A186="","",IF('Ügyfelek'!B186="",'Beállítások'!$B$45,IFERROR(VLOOKUP(TRIM('Ügyfelek'!B186),'Beállítások'!$A$22:$B$41,2,FALSE),'Beállítások'!$B$45)))</f>
        <v/>
      </c>
      <c r="C186">
        <f>IF($A186="","",IF('Ügyfelek'!C186="",'Beállítások'!$B$45,VLOOKUP(MAX('Ügyfelek'!C186,'Beállítások'!$H$7),'Beállítások'!$H$7:$I$11,2,TRUE)))</f>
        <v/>
      </c>
      <c r="D186">
        <f>IF($A186="","",IF('Ügyfelek'!D186="",'Beállítások'!$B$45,VLOOKUP(MAX('Ügyfelek'!D186,'Beállítások'!$K$7),'Beállítások'!$K$7:$L$11,2,TRUE)))</f>
        <v/>
      </c>
      <c r="E186">
        <f>IF($A186="","",IF('Ügyfelek'!L186="",'Beállítások'!$B$45,MIN(5,MAX(1,ROUND('Ügyfelek'!L186,0)))))</f>
        <v/>
      </c>
      <c r="F186">
        <f>IF($A186="","",IF('Ügyfelek'!I186="",'Beállítások'!$B$45,VLOOKUP(MAX('Ügyfelek'!I186,'Beállítások'!$N$7),'Beállítások'!$N$7:$O$11,2,TRUE)))</f>
        <v/>
      </c>
      <c r="G186">
        <f>IF($A186="","",IF('Ügyfelek'!N186="",'Beállítások'!$B$45,MIN(5,MAX(1,ROUND('Ügyfelek'!N186,0)))))</f>
        <v/>
      </c>
      <c r="H186">
        <f>IF($A186="","",IF('Ügyfelek'!J186="",'Beállítások'!$B$45,VLOOKUP(MAX('Ügyfelek'!J186,'Beállítások'!$Q$7),'Beállítások'!$Q$7:$R$11,2,TRUE)))</f>
        <v/>
      </c>
      <c r="I186">
        <f>IF($A186="","",IF('Ügyfelek'!K186="",'Beállítások'!$B$45,VLOOKUP(MAX('Ügyfelek'!K186,'Beállítások'!$T$7),'Beállítások'!$T$7:$U$11,2,TRUE)))</f>
        <v/>
      </c>
      <c r="J186">
        <f>IF($A186="","",IF('Ügyfelek'!M186="",'Beállítások'!$B$45,MIN(5,MAX(1,ROUND('Ügyfelek'!M186,0)))))</f>
        <v/>
      </c>
      <c r="K186">
        <f>IF($A186="","",IF('Ügyfelek'!P186="",'Beállítások'!$B$45,MIN(5,MAX(1,ROUND('Ügyfelek'!P186,0)))))</f>
        <v/>
      </c>
      <c r="L186">
        <f>IF($A186="","",IF('Ügyfelek'!O186="",'Beállítások'!$B$45,MIN(5,MAX(1,ROUND('Ügyfelek'!O186,0)))))</f>
        <v/>
      </c>
      <c r="M186" s="13">
        <f>IF($A186="","",ROUND('Beállítások'!$E$6*(B186-1)/4+'Beállítások'!$E$7*(C186-1)/4+'Beállítások'!$E$8*(D186-1)/4+'Beállítások'!$E$9*(E186-1)/4+'Beállítások'!$E$10*(F186-1)/4+'Beállítások'!$E$11*(G186-1)/4+'Beállítások'!$E$12*(H186-1)/4+'Beállítások'!$E$13*(I186-1)/4+'Beállítások'!$E$14*(J186-1)/4+'Beállítások'!$E$15*(K186-1)/4+'Beállítások'!$E$16*(L186-1)/4,1))</f>
        <v/>
      </c>
      <c r="N186" s="14">
        <f>IF($A186="","",RANK(M186,$M$2:$M$201))</f>
        <v/>
      </c>
      <c r="O186">
        <f>IF($A186="","",VLOOKUP(M186,'Beállítások'!$A$57:$E$60,2,TRUE))</f>
        <v/>
      </c>
      <c r="P186">
        <f>IF($A186="","",VLOOKUP(M186,'Beállítások'!$A$57:$E$60,3,TRUE))</f>
        <v/>
      </c>
      <c r="Q186">
        <f>IF($A186="","",INDEX('Beállítások'!$B$6:$B$16,MATCH(MAX(AD186:AN186),AD186:AN186,0)))</f>
        <v/>
      </c>
      <c r="R186">
        <f>IF($A186="","",IF(MAX(AO186:AY186)=0,"—",INDEX('Beállítások'!$B$6:$B$16,MATCH(MAX(AO186:AY186),AO186:AY186,0))))</f>
        <v/>
      </c>
      <c r="S186" s="5">
        <f>IF($A186="","",'Beállítások'!$B$47*(TRIM('Ügyfelek'!E186)="igen")+'Beállítások'!$B$48*(TRIM('Ügyfelek'!F186)="igen")+'Beállítások'!$B$49*N('Ügyfelek'!G186)+'Beállítások'!$B$46*N('Ügyfelek'!H186))</f>
        <v/>
      </c>
      <c r="T186" s="15">
        <f>IF($A186="","",VLOOKUP(M186,'Beállítások'!$A$57:$E$60,4,TRUE))</f>
        <v/>
      </c>
      <c r="U186" s="5">
        <f>IF($A186="","",N('Ügyfelek'!D186)*'Beállítások'!$B$51)</f>
        <v/>
      </c>
      <c r="V186" s="5">
        <f>IF($A186="","",CEILING(ROUND(MAX('Beállítások'!$B$50,S186*T186,U186),2),'Beállítások'!$B$52))</f>
        <v/>
      </c>
      <c r="W186">
        <f>IF($A186="","",IF(MAX('Beállítások'!$B$50,S186*T186,U186)=S186*T186,"Munkaigény × szintszorzó",IF(MAX('Beállítások'!$B$50,S186*T186,U186)=U186,"Hirdetési keret arányában","Minimumdíj")))</f>
        <v/>
      </c>
      <c r="X186" s="5">
        <f>IF(OR($A186="",'Ügyfelek'!Q186=""),"",'Ügyfelek'!Q186)</f>
        <v/>
      </c>
      <c r="Y186" s="5">
        <f>IF(X186="","",V186-X186)</f>
        <v/>
      </c>
      <c r="Z186" s="16">
        <f>IF(OR(X186="",X186=0),"",Y186/X186)</f>
        <v/>
      </c>
      <c r="AA186" s="5">
        <f>IF(OR($A186="",'Ügyfelek'!R186=""),"",'Ügyfelek'!R186*VLOOKUP(M186,'Beállítások'!$A$57:$E$60,5,TRUE))</f>
        <v/>
      </c>
      <c r="AB186" s="14">
        <f>IF($A186="","",('Ügyfelek'!B186="")+('Ügyfelek'!C186="")+('Ügyfelek'!D186="")+('Ügyfelek'!L186="")+('Ügyfelek'!I186="")+('Ügyfelek'!N186="")+('Ügyfelek'!J186="")+('Ügyfelek'!K186="")+('Ügyfelek'!M186="")+('Ügyfelek'!P186="")+('Ügyfelek'!O186=""))</f>
        <v/>
      </c>
      <c r="AD186">
        <f>IF($A186="","",B186+'Beállítások'!$E$6/1000)</f>
        <v/>
      </c>
      <c r="AE186">
        <f>IF($A186="","",C186+'Beállítások'!$E$7/1000)</f>
        <v/>
      </c>
      <c r="AF186">
        <f>IF($A186="","",D186+'Beállítások'!$E$8/1000)</f>
        <v/>
      </c>
      <c r="AG186">
        <f>IF($A186="","",E186+'Beállítások'!$E$9/1000)</f>
        <v/>
      </c>
      <c r="AH186">
        <f>IF($A186="","",F186+'Beállítások'!$E$10/1000)</f>
        <v/>
      </c>
      <c r="AI186">
        <f>IF($A186="","",G186+'Beállítások'!$E$11/1000)</f>
        <v/>
      </c>
      <c r="AJ186">
        <f>IF($A186="","",H186+'Beállítások'!$E$12/1000)</f>
        <v/>
      </c>
      <c r="AK186">
        <f>IF($A186="","",I186+'Beállítások'!$E$13/1000)</f>
        <v/>
      </c>
      <c r="AL186">
        <f>IF($A186="","",J186+'Beállítások'!$E$14/1000)</f>
        <v/>
      </c>
      <c r="AM186">
        <f>IF($A186="","",K186+'Beállítások'!$E$15/1000)</f>
        <v/>
      </c>
      <c r="AN186">
        <f>IF($A186="","",L186+'Beállítások'!$E$16/1000)</f>
        <v/>
      </c>
      <c r="AO186">
        <f>IF($A186="","",'Beállítások'!$E$6*(5-B186))</f>
        <v/>
      </c>
      <c r="AP186">
        <f>IF($A186="","",'Beállítások'!$E$7*(5-C186))</f>
        <v/>
      </c>
      <c r="AQ186">
        <f>IF($A186="","",'Beállítások'!$E$8*(5-D186))</f>
        <v/>
      </c>
      <c r="AR186">
        <f>IF($A186="","",'Beállítások'!$E$9*(5-E186))</f>
        <v/>
      </c>
      <c r="AS186">
        <f>IF($A186="","",'Beállítások'!$E$10*(5-F186))</f>
        <v/>
      </c>
      <c r="AT186">
        <f>IF($A186="","",'Beállítások'!$E$11*(5-G186))</f>
        <v/>
      </c>
      <c r="AU186">
        <f>IF($A186="","",'Beállítások'!$E$12*(5-H186))</f>
        <v/>
      </c>
      <c r="AV186">
        <f>IF($A186="","",'Beállítások'!$E$13*(5-I186))</f>
        <v/>
      </c>
      <c r="AW186">
        <f>IF($A186="","",'Beállítások'!$E$14*(5-J186))</f>
        <v/>
      </c>
      <c r="AX186">
        <f>IF($A186="","",'Beállítások'!$E$15*(5-K186))</f>
        <v/>
      </c>
      <c r="AY186">
        <f>IF($A186="","",'Beállítások'!$E$16*(5-L186))</f>
        <v/>
      </c>
      <c r="AZ186">
        <f>IF($A186="","",M186-ROW()/100000)</f>
        <v/>
      </c>
    </row>
    <row r="187">
      <c r="A187">
        <f>IF('Ügyfelek'!A187="","",'Ügyfelek'!A187)</f>
        <v/>
      </c>
      <c r="B187">
        <f>IF($A187="","",IF('Ügyfelek'!B187="",'Beállítások'!$B$45,IFERROR(VLOOKUP(TRIM('Ügyfelek'!B187),'Beállítások'!$A$22:$B$41,2,FALSE),'Beállítások'!$B$45)))</f>
        <v/>
      </c>
      <c r="C187">
        <f>IF($A187="","",IF('Ügyfelek'!C187="",'Beállítások'!$B$45,VLOOKUP(MAX('Ügyfelek'!C187,'Beállítások'!$H$7),'Beállítások'!$H$7:$I$11,2,TRUE)))</f>
        <v/>
      </c>
      <c r="D187">
        <f>IF($A187="","",IF('Ügyfelek'!D187="",'Beállítások'!$B$45,VLOOKUP(MAX('Ügyfelek'!D187,'Beállítások'!$K$7),'Beállítások'!$K$7:$L$11,2,TRUE)))</f>
        <v/>
      </c>
      <c r="E187">
        <f>IF($A187="","",IF('Ügyfelek'!L187="",'Beállítások'!$B$45,MIN(5,MAX(1,ROUND('Ügyfelek'!L187,0)))))</f>
        <v/>
      </c>
      <c r="F187">
        <f>IF($A187="","",IF('Ügyfelek'!I187="",'Beállítások'!$B$45,VLOOKUP(MAX('Ügyfelek'!I187,'Beállítások'!$N$7),'Beállítások'!$N$7:$O$11,2,TRUE)))</f>
        <v/>
      </c>
      <c r="G187">
        <f>IF($A187="","",IF('Ügyfelek'!N187="",'Beállítások'!$B$45,MIN(5,MAX(1,ROUND('Ügyfelek'!N187,0)))))</f>
        <v/>
      </c>
      <c r="H187">
        <f>IF($A187="","",IF('Ügyfelek'!J187="",'Beállítások'!$B$45,VLOOKUP(MAX('Ügyfelek'!J187,'Beállítások'!$Q$7),'Beállítások'!$Q$7:$R$11,2,TRUE)))</f>
        <v/>
      </c>
      <c r="I187">
        <f>IF($A187="","",IF('Ügyfelek'!K187="",'Beállítások'!$B$45,VLOOKUP(MAX('Ügyfelek'!K187,'Beállítások'!$T$7),'Beállítások'!$T$7:$U$11,2,TRUE)))</f>
        <v/>
      </c>
      <c r="J187">
        <f>IF($A187="","",IF('Ügyfelek'!M187="",'Beállítások'!$B$45,MIN(5,MAX(1,ROUND('Ügyfelek'!M187,0)))))</f>
        <v/>
      </c>
      <c r="K187">
        <f>IF($A187="","",IF('Ügyfelek'!P187="",'Beállítások'!$B$45,MIN(5,MAX(1,ROUND('Ügyfelek'!P187,0)))))</f>
        <v/>
      </c>
      <c r="L187">
        <f>IF($A187="","",IF('Ügyfelek'!O187="",'Beállítások'!$B$45,MIN(5,MAX(1,ROUND('Ügyfelek'!O187,0)))))</f>
        <v/>
      </c>
      <c r="M187" s="13">
        <f>IF($A187="","",ROUND('Beállítások'!$E$6*(B187-1)/4+'Beállítások'!$E$7*(C187-1)/4+'Beállítások'!$E$8*(D187-1)/4+'Beállítások'!$E$9*(E187-1)/4+'Beállítások'!$E$10*(F187-1)/4+'Beállítások'!$E$11*(G187-1)/4+'Beállítások'!$E$12*(H187-1)/4+'Beállítások'!$E$13*(I187-1)/4+'Beállítások'!$E$14*(J187-1)/4+'Beállítások'!$E$15*(K187-1)/4+'Beállítások'!$E$16*(L187-1)/4,1))</f>
        <v/>
      </c>
      <c r="N187" s="14">
        <f>IF($A187="","",RANK(M187,$M$2:$M$201))</f>
        <v/>
      </c>
      <c r="O187">
        <f>IF($A187="","",VLOOKUP(M187,'Beállítások'!$A$57:$E$60,2,TRUE))</f>
        <v/>
      </c>
      <c r="P187">
        <f>IF($A187="","",VLOOKUP(M187,'Beállítások'!$A$57:$E$60,3,TRUE))</f>
        <v/>
      </c>
      <c r="Q187">
        <f>IF($A187="","",INDEX('Beállítások'!$B$6:$B$16,MATCH(MAX(AD187:AN187),AD187:AN187,0)))</f>
        <v/>
      </c>
      <c r="R187">
        <f>IF($A187="","",IF(MAX(AO187:AY187)=0,"—",INDEX('Beállítások'!$B$6:$B$16,MATCH(MAX(AO187:AY187),AO187:AY187,0))))</f>
        <v/>
      </c>
      <c r="S187" s="5">
        <f>IF($A187="","",'Beállítások'!$B$47*(TRIM('Ügyfelek'!E187)="igen")+'Beállítások'!$B$48*(TRIM('Ügyfelek'!F187)="igen")+'Beállítások'!$B$49*N('Ügyfelek'!G187)+'Beállítások'!$B$46*N('Ügyfelek'!H187))</f>
        <v/>
      </c>
      <c r="T187" s="15">
        <f>IF($A187="","",VLOOKUP(M187,'Beállítások'!$A$57:$E$60,4,TRUE))</f>
        <v/>
      </c>
      <c r="U187" s="5">
        <f>IF($A187="","",N('Ügyfelek'!D187)*'Beállítások'!$B$51)</f>
        <v/>
      </c>
      <c r="V187" s="5">
        <f>IF($A187="","",CEILING(ROUND(MAX('Beállítások'!$B$50,S187*T187,U187),2),'Beállítások'!$B$52))</f>
        <v/>
      </c>
      <c r="W187">
        <f>IF($A187="","",IF(MAX('Beállítások'!$B$50,S187*T187,U187)=S187*T187,"Munkaigény × szintszorzó",IF(MAX('Beállítások'!$B$50,S187*T187,U187)=U187,"Hirdetési keret arányában","Minimumdíj")))</f>
        <v/>
      </c>
      <c r="X187" s="5">
        <f>IF(OR($A187="",'Ügyfelek'!Q187=""),"",'Ügyfelek'!Q187)</f>
        <v/>
      </c>
      <c r="Y187" s="5">
        <f>IF(X187="","",V187-X187)</f>
        <v/>
      </c>
      <c r="Z187" s="16">
        <f>IF(OR(X187="",X187=0),"",Y187/X187)</f>
        <v/>
      </c>
      <c r="AA187" s="5">
        <f>IF(OR($A187="",'Ügyfelek'!R187=""),"",'Ügyfelek'!R187*VLOOKUP(M187,'Beállítások'!$A$57:$E$60,5,TRUE))</f>
        <v/>
      </c>
      <c r="AB187" s="14">
        <f>IF($A187="","",('Ügyfelek'!B187="")+('Ügyfelek'!C187="")+('Ügyfelek'!D187="")+('Ügyfelek'!L187="")+('Ügyfelek'!I187="")+('Ügyfelek'!N187="")+('Ügyfelek'!J187="")+('Ügyfelek'!K187="")+('Ügyfelek'!M187="")+('Ügyfelek'!P187="")+('Ügyfelek'!O187=""))</f>
        <v/>
      </c>
      <c r="AD187">
        <f>IF($A187="","",B187+'Beállítások'!$E$6/1000)</f>
        <v/>
      </c>
      <c r="AE187">
        <f>IF($A187="","",C187+'Beállítások'!$E$7/1000)</f>
        <v/>
      </c>
      <c r="AF187">
        <f>IF($A187="","",D187+'Beállítások'!$E$8/1000)</f>
        <v/>
      </c>
      <c r="AG187">
        <f>IF($A187="","",E187+'Beállítások'!$E$9/1000)</f>
        <v/>
      </c>
      <c r="AH187">
        <f>IF($A187="","",F187+'Beállítások'!$E$10/1000)</f>
        <v/>
      </c>
      <c r="AI187">
        <f>IF($A187="","",G187+'Beállítások'!$E$11/1000)</f>
        <v/>
      </c>
      <c r="AJ187">
        <f>IF($A187="","",H187+'Beállítások'!$E$12/1000)</f>
        <v/>
      </c>
      <c r="AK187">
        <f>IF($A187="","",I187+'Beállítások'!$E$13/1000)</f>
        <v/>
      </c>
      <c r="AL187">
        <f>IF($A187="","",J187+'Beállítások'!$E$14/1000)</f>
        <v/>
      </c>
      <c r="AM187">
        <f>IF($A187="","",K187+'Beállítások'!$E$15/1000)</f>
        <v/>
      </c>
      <c r="AN187">
        <f>IF($A187="","",L187+'Beállítások'!$E$16/1000)</f>
        <v/>
      </c>
      <c r="AO187">
        <f>IF($A187="","",'Beállítások'!$E$6*(5-B187))</f>
        <v/>
      </c>
      <c r="AP187">
        <f>IF($A187="","",'Beállítások'!$E$7*(5-C187))</f>
        <v/>
      </c>
      <c r="AQ187">
        <f>IF($A187="","",'Beállítások'!$E$8*(5-D187))</f>
        <v/>
      </c>
      <c r="AR187">
        <f>IF($A187="","",'Beállítások'!$E$9*(5-E187))</f>
        <v/>
      </c>
      <c r="AS187">
        <f>IF($A187="","",'Beállítások'!$E$10*(5-F187))</f>
        <v/>
      </c>
      <c r="AT187">
        <f>IF($A187="","",'Beállítások'!$E$11*(5-G187))</f>
        <v/>
      </c>
      <c r="AU187">
        <f>IF($A187="","",'Beállítások'!$E$12*(5-H187))</f>
        <v/>
      </c>
      <c r="AV187">
        <f>IF($A187="","",'Beállítások'!$E$13*(5-I187))</f>
        <v/>
      </c>
      <c r="AW187">
        <f>IF($A187="","",'Beállítások'!$E$14*(5-J187))</f>
        <v/>
      </c>
      <c r="AX187">
        <f>IF($A187="","",'Beállítások'!$E$15*(5-K187))</f>
        <v/>
      </c>
      <c r="AY187">
        <f>IF($A187="","",'Beállítások'!$E$16*(5-L187))</f>
        <v/>
      </c>
      <c r="AZ187">
        <f>IF($A187="","",M187-ROW()/100000)</f>
        <v/>
      </c>
    </row>
    <row r="188">
      <c r="A188">
        <f>IF('Ügyfelek'!A188="","",'Ügyfelek'!A188)</f>
        <v/>
      </c>
      <c r="B188">
        <f>IF($A188="","",IF('Ügyfelek'!B188="",'Beállítások'!$B$45,IFERROR(VLOOKUP(TRIM('Ügyfelek'!B188),'Beállítások'!$A$22:$B$41,2,FALSE),'Beállítások'!$B$45)))</f>
        <v/>
      </c>
      <c r="C188">
        <f>IF($A188="","",IF('Ügyfelek'!C188="",'Beállítások'!$B$45,VLOOKUP(MAX('Ügyfelek'!C188,'Beállítások'!$H$7),'Beállítások'!$H$7:$I$11,2,TRUE)))</f>
        <v/>
      </c>
      <c r="D188">
        <f>IF($A188="","",IF('Ügyfelek'!D188="",'Beállítások'!$B$45,VLOOKUP(MAX('Ügyfelek'!D188,'Beállítások'!$K$7),'Beállítások'!$K$7:$L$11,2,TRUE)))</f>
        <v/>
      </c>
      <c r="E188">
        <f>IF($A188="","",IF('Ügyfelek'!L188="",'Beállítások'!$B$45,MIN(5,MAX(1,ROUND('Ügyfelek'!L188,0)))))</f>
        <v/>
      </c>
      <c r="F188">
        <f>IF($A188="","",IF('Ügyfelek'!I188="",'Beállítások'!$B$45,VLOOKUP(MAX('Ügyfelek'!I188,'Beállítások'!$N$7),'Beállítások'!$N$7:$O$11,2,TRUE)))</f>
        <v/>
      </c>
      <c r="G188">
        <f>IF($A188="","",IF('Ügyfelek'!N188="",'Beállítások'!$B$45,MIN(5,MAX(1,ROUND('Ügyfelek'!N188,0)))))</f>
        <v/>
      </c>
      <c r="H188">
        <f>IF($A188="","",IF('Ügyfelek'!J188="",'Beállítások'!$B$45,VLOOKUP(MAX('Ügyfelek'!J188,'Beállítások'!$Q$7),'Beállítások'!$Q$7:$R$11,2,TRUE)))</f>
        <v/>
      </c>
      <c r="I188">
        <f>IF($A188="","",IF('Ügyfelek'!K188="",'Beállítások'!$B$45,VLOOKUP(MAX('Ügyfelek'!K188,'Beállítások'!$T$7),'Beállítások'!$T$7:$U$11,2,TRUE)))</f>
        <v/>
      </c>
      <c r="J188">
        <f>IF($A188="","",IF('Ügyfelek'!M188="",'Beállítások'!$B$45,MIN(5,MAX(1,ROUND('Ügyfelek'!M188,0)))))</f>
        <v/>
      </c>
      <c r="K188">
        <f>IF($A188="","",IF('Ügyfelek'!P188="",'Beállítások'!$B$45,MIN(5,MAX(1,ROUND('Ügyfelek'!P188,0)))))</f>
        <v/>
      </c>
      <c r="L188">
        <f>IF($A188="","",IF('Ügyfelek'!O188="",'Beállítások'!$B$45,MIN(5,MAX(1,ROUND('Ügyfelek'!O188,0)))))</f>
        <v/>
      </c>
      <c r="M188" s="13">
        <f>IF($A188="","",ROUND('Beállítások'!$E$6*(B188-1)/4+'Beállítások'!$E$7*(C188-1)/4+'Beállítások'!$E$8*(D188-1)/4+'Beállítások'!$E$9*(E188-1)/4+'Beállítások'!$E$10*(F188-1)/4+'Beállítások'!$E$11*(G188-1)/4+'Beállítások'!$E$12*(H188-1)/4+'Beállítások'!$E$13*(I188-1)/4+'Beállítások'!$E$14*(J188-1)/4+'Beállítások'!$E$15*(K188-1)/4+'Beállítások'!$E$16*(L188-1)/4,1))</f>
        <v/>
      </c>
      <c r="N188" s="14">
        <f>IF($A188="","",RANK(M188,$M$2:$M$201))</f>
        <v/>
      </c>
      <c r="O188">
        <f>IF($A188="","",VLOOKUP(M188,'Beállítások'!$A$57:$E$60,2,TRUE))</f>
        <v/>
      </c>
      <c r="P188">
        <f>IF($A188="","",VLOOKUP(M188,'Beállítások'!$A$57:$E$60,3,TRUE))</f>
        <v/>
      </c>
      <c r="Q188">
        <f>IF($A188="","",INDEX('Beállítások'!$B$6:$B$16,MATCH(MAX(AD188:AN188),AD188:AN188,0)))</f>
        <v/>
      </c>
      <c r="R188">
        <f>IF($A188="","",IF(MAX(AO188:AY188)=0,"—",INDEX('Beállítások'!$B$6:$B$16,MATCH(MAX(AO188:AY188),AO188:AY188,0))))</f>
        <v/>
      </c>
      <c r="S188" s="5">
        <f>IF($A188="","",'Beállítások'!$B$47*(TRIM('Ügyfelek'!E188)="igen")+'Beállítások'!$B$48*(TRIM('Ügyfelek'!F188)="igen")+'Beállítások'!$B$49*N('Ügyfelek'!G188)+'Beállítások'!$B$46*N('Ügyfelek'!H188))</f>
        <v/>
      </c>
      <c r="T188" s="15">
        <f>IF($A188="","",VLOOKUP(M188,'Beállítások'!$A$57:$E$60,4,TRUE))</f>
        <v/>
      </c>
      <c r="U188" s="5">
        <f>IF($A188="","",N('Ügyfelek'!D188)*'Beállítások'!$B$51)</f>
        <v/>
      </c>
      <c r="V188" s="5">
        <f>IF($A188="","",CEILING(ROUND(MAX('Beállítások'!$B$50,S188*T188,U188),2),'Beállítások'!$B$52))</f>
        <v/>
      </c>
      <c r="W188">
        <f>IF($A188="","",IF(MAX('Beállítások'!$B$50,S188*T188,U188)=S188*T188,"Munkaigény × szintszorzó",IF(MAX('Beállítások'!$B$50,S188*T188,U188)=U188,"Hirdetési keret arányában","Minimumdíj")))</f>
        <v/>
      </c>
      <c r="X188" s="5">
        <f>IF(OR($A188="",'Ügyfelek'!Q188=""),"",'Ügyfelek'!Q188)</f>
        <v/>
      </c>
      <c r="Y188" s="5">
        <f>IF(X188="","",V188-X188)</f>
        <v/>
      </c>
      <c r="Z188" s="16">
        <f>IF(OR(X188="",X188=0),"",Y188/X188)</f>
        <v/>
      </c>
      <c r="AA188" s="5">
        <f>IF(OR($A188="",'Ügyfelek'!R188=""),"",'Ügyfelek'!R188*VLOOKUP(M188,'Beállítások'!$A$57:$E$60,5,TRUE))</f>
        <v/>
      </c>
      <c r="AB188" s="14">
        <f>IF($A188="","",('Ügyfelek'!B188="")+('Ügyfelek'!C188="")+('Ügyfelek'!D188="")+('Ügyfelek'!L188="")+('Ügyfelek'!I188="")+('Ügyfelek'!N188="")+('Ügyfelek'!J188="")+('Ügyfelek'!K188="")+('Ügyfelek'!M188="")+('Ügyfelek'!P188="")+('Ügyfelek'!O188=""))</f>
        <v/>
      </c>
      <c r="AD188">
        <f>IF($A188="","",B188+'Beállítások'!$E$6/1000)</f>
        <v/>
      </c>
      <c r="AE188">
        <f>IF($A188="","",C188+'Beállítások'!$E$7/1000)</f>
        <v/>
      </c>
      <c r="AF188">
        <f>IF($A188="","",D188+'Beállítások'!$E$8/1000)</f>
        <v/>
      </c>
      <c r="AG188">
        <f>IF($A188="","",E188+'Beállítások'!$E$9/1000)</f>
        <v/>
      </c>
      <c r="AH188">
        <f>IF($A188="","",F188+'Beállítások'!$E$10/1000)</f>
        <v/>
      </c>
      <c r="AI188">
        <f>IF($A188="","",G188+'Beállítások'!$E$11/1000)</f>
        <v/>
      </c>
      <c r="AJ188">
        <f>IF($A188="","",H188+'Beállítások'!$E$12/1000)</f>
        <v/>
      </c>
      <c r="AK188">
        <f>IF($A188="","",I188+'Beállítások'!$E$13/1000)</f>
        <v/>
      </c>
      <c r="AL188">
        <f>IF($A188="","",J188+'Beállítások'!$E$14/1000)</f>
        <v/>
      </c>
      <c r="AM188">
        <f>IF($A188="","",K188+'Beállítások'!$E$15/1000)</f>
        <v/>
      </c>
      <c r="AN188">
        <f>IF($A188="","",L188+'Beállítások'!$E$16/1000)</f>
        <v/>
      </c>
      <c r="AO188">
        <f>IF($A188="","",'Beállítások'!$E$6*(5-B188))</f>
        <v/>
      </c>
      <c r="AP188">
        <f>IF($A188="","",'Beállítások'!$E$7*(5-C188))</f>
        <v/>
      </c>
      <c r="AQ188">
        <f>IF($A188="","",'Beállítások'!$E$8*(5-D188))</f>
        <v/>
      </c>
      <c r="AR188">
        <f>IF($A188="","",'Beállítások'!$E$9*(5-E188))</f>
        <v/>
      </c>
      <c r="AS188">
        <f>IF($A188="","",'Beállítások'!$E$10*(5-F188))</f>
        <v/>
      </c>
      <c r="AT188">
        <f>IF($A188="","",'Beállítások'!$E$11*(5-G188))</f>
        <v/>
      </c>
      <c r="AU188">
        <f>IF($A188="","",'Beállítások'!$E$12*(5-H188))</f>
        <v/>
      </c>
      <c r="AV188">
        <f>IF($A188="","",'Beállítások'!$E$13*(5-I188))</f>
        <v/>
      </c>
      <c r="AW188">
        <f>IF($A188="","",'Beállítások'!$E$14*(5-J188))</f>
        <v/>
      </c>
      <c r="AX188">
        <f>IF($A188="","",'Beállítások'!$E$15*(5-K188))</f>
        <v/>
      </c>
      <c r="AY188">
        <f>IF($A188="","",'Beállítások'!$E$16*(5-L188))</f>
        <v/>
      </c>
      <c r="AZ188">
        <f>IF($A188="","",M188-ROW()/100000)</f>
        <v/>
      </c>
    </row>
    <row r="189">
      <c r="A189">
        <f>IF('Ügyfelek'!A189="","",'Ügyfelek'!A189)</f>
        <v/>
      </c>
      <c r="B189">
        <f>IF($A189="","",IF('Ügyfelek'!B189="",'Beállítások'!$B$45,IFERROR(VLOOKUP(TRIM('Ügyfelek'!B189),'Beállítások'!$A$22:$B$41,2,FALSE),'Beállítások'!$B$45)))</f>
        <v/>
      </c>
      <c r="C189">
        <f>IF($A189="","",IF('Ügyfelek'!C189="",'Beállítások'!$B$45,VLOOKUP(MAX('Ügyfelek'!C189,'Beállítások'!$H$7),'Beállítások'!$H$7:$I$11,2,TRUE)))</f>
        <v/>
      </c>
      <c r="D189">
        <f>IF($A189="","",IF('Ügyfelek'!D189="",'Beállítások'!$B$45,VLOOKUP(MAX('Ügyfelek'!D189,'Beállítások'!$K$7),'Beállítások'!$K$7:$L$11,2,TRUE)))</f>
        <v/>
      </c>
      <c r="E189">
        <f>IF($A189="","",IF('Ügyfelek'!L189="",'Beállítások'!$B$45,MIN(5,MAX(1,ROUND('Ügyfelek'!L189,0)))))</f>
        <v/>
      </c>
      <c r="F189">
        <f>IF($A189="","",IF('Ügyfelek'!I189="",'Beállítások'!$B$45,VLOOKUP(MAX('Ügyfelek'!I189,'Beállítások'!$N$7),'Beállítások'!$N$7:$O$11,2,TRUE)))</f>
        <v/>
      </c>
      <c r="G189">
        <f>IF($A189="","",IF('Ügyfelek'!N189="",'Beállítások'!$B$45,MIN(5,MAX(1,ROUND('Ügyfelek'!N189,0)))))</f>
        <v/>
      </c>
      <c r="H189">
        <f>IF($A189="","",IF('Ügyfelek'!J189="",'Beállítások'!$B$45,VLOOKUP(MAX('Ügyfelek'!J189,'Beállítások'!$Q$7),'Beállítások'!$Q$7:$R$11,2,TRUE)))</f>
        <v/>
      </c>
      <c r="I189">
        <f>IF($A189="","",IF('Ügyfelek'!K189="",'Beállítások'!$B$45,VLOOKUP(MAX('Ügyfelek'!K189,'Beállítások'!$T$7),'Beállítások'!$T$7:$U$11,2,TRUE)))</f>
        <v/>
      </c>
      <c r="J189">
        <f>IF($A189="","",IF('Ügyfelek'!M189="",'Beállítások'!$B$45,MIN(5,MAX(1,ROUND('Ügyfelek'!M189,0)))))</f>
        <v/>
      </c>
      <c r="K189">
        <f>IF($A189="","",IF('Ügyfelek'!P189="",'Beállítások'!$B$45,MIN(5,MAX(1,ROUND('Ügyfelek'!P189,0)))))</f>
        <v/>
      </c>
      <c r="L189">
        <f>IF($A189="","",IF('Ügyfelek'!O189="",'Beállítások'!$B$45,MIN(5,MAX(1,ROUND('Ügyfelek'!O189,0)))))</f>
        <v/>
      </c>
      <c r="M189" s="13">
        <f>IF($A189="","",ROUND('Beállítások'!$E$6*(B189-1)/4+'Beállítások'!$E$7*(C189-1)/4+'Beállítások'!$E$8*(D189-1)/4+'Beállítások'!$E$9*(E189-1)/4+'Beállítások'!$E$10*(F189-1)/4+'Beállítások'!$E$11*(G189-1)/4+'Beállítások'!$E$12*(H189-1)/4+'Beállítások'!$E$13*(I189-1)/4+'Beállítások'!$E$14*(J189-1)/4+'Beállítások'!$E$15*(K189-1)/4+'Beállítások'!$E$16*(L189-1)/4,1))</f>
        <v/>
      </c>
      <c r="N189" s="14">
        <f>IF($A189="","",RANK(M189,$M$2:$M$201))</f>
        <v/>
      </c>
      <c r="O189">
        <f>IF($A189="","",VLOOKUP(M189,'Beállítások'!$A$57:$E$60,2,TRUE))</f>
        <v/>
      </c>
      <c r="P189">
        <f>IF($A189="","",VLOOKUP(M189,'Beállítások'!$A$57:$E$60,3,TRUE))</f>
        <v/>
      </c>
      <c r="Q189">
        <f>IF($A189="","",INDEX('Beállítások'!$B$6:$B$16,MATCH(MAX(AD189:AN189),AD189:AN189,0)))</f>
        <v/>
      </c>
      <c r="R189">
        <f>IF($A189="","",IF(MAX(AO189:AY189)=0,"—",INDEX('Beállítások'!$B$6:$B$16,MATCH(MAX(AO189:AY189),AO189:AY189,0))))</f>
        <v/>
      </c>
      <c r="S189" s="5">
        <f>IF($A189="","",'Beállítások'!$B$47*(TRIM('Ügyfelek'!E189)="igen")+'Beállítások'!$B$48*(TRIM('Ügyfelek'!F189)="igen")+'Beállítások'!$B$49*N('Ügyfelek'!G189)+'Beállítások'!$B$46*N('Ügyfelek'!H189))</f>
        <v/>
      </c>
      <c r="T189" s="15">
        <f>IF($A189="","",VLOOKUP(M189,'Beállítások'!$A$57:$E$60,4,TRUE))</f>
        <v/>
      </c>
      <c r="U189" s="5">
        <f>IF($A189="","",N('Ügyfelek'!D189)*'Beállítások'!$B$51)</f>
        <v/>
      </c>
      <c r="V189" s="5">
        <f>IF($A189="","",CEILING(ROUND(MAX('Beállítások'!$B$50,S189*T189,U189),2),'Beállítások'!$B$52))</f>
        <v/>
      </c>
      <c r="W189">
        <f>IF($A189="","",IF(MAX('Beállítások'!$B$50,S189*T189,U189)=S189*T189,"Munkaigény × szintszorzó",IF(MAX('Beállítások'!$B$50,S189*T189,U189)=U189,"Hirdetési keret arányában","Minimumdíj")))</f>
        <v/>
      </c>
      <c r="X189" s="5">
        <f>IF(OR($A189="",'Ügyfelek'!Q189=""),"",'Ügyfelek'!Q189)</f>
        <v/>
      </c>
      <c r="Y189" s="5">
        <f>IF(X189="","",V189-X189)</f>
        <v/>
      </c>
      <c r="Z189" s="16">
        <f>IF(OR(X189="",X189=0),"",Y189/X189)</f>
        <v/>
      </c>
      <c r="AA189" s="5">
        <f>IF(OR($A189="",'Ügyfelek'!R189=""),"",'Ügyfelek'!R189*VLOOKUP(M189,'Beállítások'!$A$57:$E$60,5,TRUE))</f>
        <v/>
      </c>
      <c r="AB189" s="14">
        <f>IF($A189="","",('Ügyfelek'!B189="")+('Ügyfelek'!C189="")+('Ügyfelek'!D189="")+('Ügyfelek'!L189="")+('Ügyfelek'!I189="")+('Ügyfelek'!N189="")+('Ügyfelek'!J189="")+('Ügyfelek'!K189="")+('Ügyfelek'!M189="")+('Ügyfelek'!P189="")+('Ügyfelek'!O189=""))</f>
        <v/>
      </c>
      <c r="AD189">
        <f>IF($A189="","",B189+'Beállítások'!$E$6/1000)</f>
        <v/>
      </c>
      <c r="AE189">
        <f>IF($A189="","",C189+'Beállítások'!$E$7/1000)</f>
        <v/>
      </c>
      <c r="AF189">
        <f>IF($A189="","",D189+'Beállítások'!$E$8/1000)</f>
        <v/>
      </c>
      <c r="AG189">
        <f>IF($A189="","",E189+'Beállítások'!$E$9/1000)</f>
        <v/>
      </c>
      <c r="AH189">
        <f>IF($A189="","",F189+'Beállítások'!$E$10/1000)</f>
        <v/>
      </c>
      <c r="AI189">
        <f>IF($A189="","",G189+'Beállítások'!$E$11/1000)</f>
        <v/>
      </c>
      <c r="AJ189">
        <f>IF($A189="","",H189+'Beállítások'!$E$12/1000)</f>
        <v/>
      </c>
      <c r="AK189">
        <f>IF($A189="","",I189+'Beállítások'!$E$13/1000)</f>
        <v/>
      </c>
      <c r="AL189">
        <f>IF($A189="","",J189+'Beállítások'!$E$14/1000)</f>
        <v/>
      </c>
      <c r="AM189">
        <f>IF($A189="","",K189+'Beállítások'!$E$15/1000)</f>
        <v/>
      </c>
      <c r="AN189">
        <f>IF($A189="","",L189+'Beállítások'!$E$16/1000)</f>
        <v/>
      </c>
      <c r="AO189">
        <f>IF($A189="","",'Beállítások'!$E$6*(5-B189))</f>
        <v/>
      </c>
      <c r="AP189">
        <f>IF($A189="","",'Beállítások'!$E$7*(5-C189))</f>
        <v/>
      </c>
      <c r="AQ189">
        <f>IF($A189="","",'Beállítások'!$E$8*(5-D189))</f>
        <v/>
      </c>
      <c r="AR189">
        <f>IF($A189="","",'Beállítások'!$E$9*(5-E189))</f>
        <v/>
      </c>
      <c r="AS189">
        <f>IF($A189="","",'Beállítások'!$E$10*(5-F189))</f>
        <v/>
      </c>
      <c r="AT189">
        <f>IF($A189="","",'Beállítások'!$E$11*(5-G189))</f>
        <v/>
      </c>
      <c r="AU189">
        <f>IF($A189="","",'Beállítások'!$E$12*(5-H189))</f>
        <v/>
      </c>
      <c r="AV189">
        <f>IF($A189="","",'Beállítások'!$E$13*(5-I189))</f>
        <v/>
      </c>
      <c r="AW189">
        <f>IF($A189="","",'Beállítások'!$E$14*(5-J189))</f>
        <v/>
      </c>
      <c r="AX189">
        <f>IF($A189="","",'Beállítások'!$E$15*(5-K189))</f>
        <v/>
      </c>
      <c r="AY189">
        <f>IF($A189="","",'Beállítások'!$E$16*(5-L189))</f>
        <v/>
      </c>
      <c r="AZ189">
        <f>IF($A189="","",M189-ROW()/100000)</f>
        <v/>
      </c>
    </row>
    <row r="190">
      <c r="A190">
        <f>IF('Ügyfelek'!A190="","",'Ügyfelek'!A190)</f>
        <v/>
      </c>
      <c r="B190">
        <f>IF($A190="","",IF('Ügyfelek'!B190="",'Beállítások'!$B$45,IFERROR(VLOOKUP(TRIM('Ügyfelek'!B190),'Beállítások'!$A$22:$B$41,2,FALSE),'Beállítások'!$B$45)))</f>
        <v/>
      </c>
      <c r="C190">
        <f>IF($A190="","",IF('Ügyfelek'!C190="",'Beállítások'!$B$45,VLOOKUP(MAX('Ügyfelek'!C190,'Beállítások'!$H$7),'Beállítások'!$H$7:$I$11,2,TRUE)))</f>
        <v/>
      </c>
      <c r="D190">
        <f>IF($A190="","",IF('Ügyfelek'!D190="",'Beállítások'!$B$45,VLOOKUP(MAX('Ügyfelek'!D190,'Beállítások'!$K$7),'Beállítások'!$K$7:$L$11,2,TRUE)))</f>
        <v/>
      </c>
      <c r="E190">
        <f>IF($A190="","",IF('Ügyfelek'!L190="",'Beállítások'!$B$45,MIN(5,MAX(1,ROUND('Ügyfelek'!L190,0)))))</f>
        <v/>
      </c>
      <c r="F190">
        <f>IF($A190="","",IF('Ügyfelek'!I190="",'Beállítások'!$B$45,VLOOKUP(MAX('Ügyfelek'!I190,'Beállítások'!$N$7),'Beállítások'!$N$7:$O$11,2,TRUE)))</f>
        <v/>
      </c>
      <c r="G190">
        <f>IF($A190="","",IF('Ügyfelek'!N190="",'Beállítások'!$B$45,MIN(5,MAX(1,ROUND('Ügyfelek'!N190,0)))))</f>
        <v/>
      </c>
      <c r="H190">
        <f>IF($A190="","",IF('Ügyfelek'!J190="",'Beállítások'!$B$45,VLOOKUP(MAX('Ügyfelek'!J190,'Beállítások'!$Q$7),'Beállítások'!$Q$7:$R$11,2,TRUE)))</f>
        <v/>
      </c>
      <c r="I190">
        <f>IF($A190="","",IF('Ügyfelek'!K190="",'Beállítások'!$B$45,VLOOKUP(MAX('Ügyfelek'!K190,'Beállítások'!$T$7),'Beállítások'!$T$7:$U$11,2,TRUE)))</f>
        <v/>
      </c>
      <c r="J190">
        <f>IF($A190="","",IF('Ügyfelek'!M190="",'Beállítások'!$B$45,MIN(5,MAX(1,ROUND('Ügyfelek'!M190,0)))))</f>
        <v/>
      </c>
      <c r="K190">
        <f>IF($A190="","",IF('Ügyfelek'!P190="",'Beállítások'!$B$45,MIN(5,MAX(1,ROUND('Ügyfelek'!P190,0)))))</f>
        <v/>
      </c>
      <c r="L190">
        <f>IF($A190="","",IF('Ügyfelek'!O190="",'Beállítások'!$B$45,MIN(5,MAX(1,ROUND('Ügyfelek'!O190,0)))))</f>
        <v/>
      </c>
      <c r="M190" s="13">
        <f>IF($A190="","",ROUND('Beállítások'!$E$6*(B190-1)/4+'Beállítások'!$E$7*(C190-1)/4+'Beállítások'!$E$8*(D190-1)/4+'Beállítások'!$E$9*(E190-1)/4+'Beállítások'!$E$10*(F190-1)/4+'Beállítások'!$E$11*(G190-1)/4+'Beállítások'!$E$12*(H190-1)/4+'Beállítások'!$E$13*(I190-1)/4+'Beállítások'!$E$14*(J190-1)/4+'Beállítások'!$E$15*(K190-1)/4+'Beállítások'!$E$16*(L190-1)/4,1))</f>
        <v/>
      </c>
      <c r="N190" s="14">
        <f>IF($A190="","",RANK(M190,$M$2:$M$201))</f>
        <v/>
      </c>
      <c r="O190">
        <f>IF($A190="","",VLOOKUP(M190,'Beállítások'!$A$57:$E$60,2,TRUE))</f>
        <v/>
      </c>
      <c r="P190">
        <f>IF($A190="","",VLOOKUP(M190,'Beállítások'!$A$57:$E$60,3,TRUE))</f>
        <v/>
      </c>
      <c r="Q190">
        <f>IF($A190="","",INDEX('Beállítások'!$B$6:$B$16,MATCH(MAX(AD190:AN190),AD190:AN190,0)))</f>
        <v/>
      </c>
      <c r="R190">
        <f>IF($A190="","",IF(MAX(AO190:AY190)=0,"—",INDEX('Beállítások'!$B$6:$B$16,MATCH(MAX(AO190:AY190),AO190:AY190,0))))</f>
        <v/>
      </c>
      <c r="S190" s="5">
        <f>IF($A190="","",'Beállítások'!$B$47*(TRIM('Ügyfelek'!E190)="igen")+'Beállítások'!$B$48*(TRIM('Ügyfelek'!F190)="igen")+'Beállítások'!$B$49*N('Ügyfelek'!G190)+'Beállítások'!$B$46*N('Ügyfelek'!H190))</f>
        <v/>
      </c>
      <c r="T190" s="15">
        <f>IF($A190="","",VLOOKUP(M190,'Beállítások'!$A$57:$E$60,4,TRUE))</f>
        <v/>
      </c>
      <c r="U190" s="5">
        <f>IF($A190="","",N('Ügyfelek'!D190)*'Beállítások'!$B$51)</f>
        <v/>
      </c>
      <c r="V190" s="5">
        <f>IF($A190="","",CEILING(ROUND(MAX('Beállítások'!$B$50,S190*T190,U190),2),'Beállítások'!$B$52))</f>
        <v/>
      </c>
      <c r="W190">
        <f>IF($A190="","",IF(MAX('Beállítások'!$B$50,S190*T190,U190)=S190*T190,"Munkaigény × szintszorzó",IF(MAX('Beállítások'!$B$50,S190*T190,U190)=U190,"Hirdetési keret arányában","Minimumdíj")))</f>
        <v/>
      </c>
      <c r="X190" s="5">
        <f>IF(OR($A190="",'Ügyfelek'!Q190=""),"",'Ügyfelek'!Q190)</f>
        <v/>
      </c>
      <c r="Y190" s="5">
        <f>IF(X190="","",V190-X190)</f>
        <v/>
      </c>
      <c r="Z190" s="16">
        <f>IF(OR(X190="",X190=0),"",Y190/X190)</f>
        <v/>
      </c>
      <c r="AA190" s="5">
        <f>IF(OR($A190="",'Ügyfelek'!R190=""),"",'Ügyfelek'!R190*VLOOKUP(M190,'Beállítások'!$A$57:$E$60,5,TRUE))</f>
        <v/>
      </c>
      <c r="AB190" s="14">
        <f>IF($A190="","",('Ügyfelek'!B190="")+('Ügyfelek'!C190="")+('Ügyfelek'!D190="")+('Ügyfelek'!L190="")+('Ügyfelek'!I190="")+('Ügyfelek'!N190="")+('Ügyfelek'!J190="")+('Ügyfelek'!K190="")+('Ügyfelek'!M190="")+('Ügyfelek'!P190="")+('Ügyfelek'!O190=""))</f>
        <v/>
      </c>
      <c r="AD190">
        <f>IF($A190="","",B190+'Beállítások'!$E$6/1000)</f>
        <v/>
      </c>
      <c r="AE190">
        <f>IF($A190="","",C190+'Beállítások'!$E$7/1000)</f>
        <v/>
      </c>
      <c r="AF190">
        <f>IF($A190="","",D190+'Beállítások'!$E$8/1000)</f>
        <v/>
      </c>
      <c r="AG190">
        <f>IF($A190="","",E190+'Beállítások'!$E$9/1000)</f>
        <v/>
      </c>
      <c r="AH190">
        <f>IF($A190="","",F190+'Beállítások'!$E$10/1000)</f>
        <v/>
      </c>
      <c r="AI190">
        <f>IF($A190="","",G190+'Beállítások'!$E$11/1000)</f>
        <v/>
      </c>
      <c r="AJ190">
        <f>IF($A190="","",H190+'Beállítások'!$E$12/1000)</f>
        <v/>
      </c>
      <c r="AK190">
        <f>IF($A190="","",I190+'Beállítások'!$E$13/1000)</f>
        <v/>
      </c>
      <c r="AL190">
        <f>IF($A190="","",J190+'Beállítások'!$E$14/1000)</f>
        <v/>
      </c>
      <c r="AM190">
        <f>IF($A190="","",K190+'Beállítások'!$E$15/1000)</f>
        <v/>
      </c>
      <c r="AN190">
        <f>IF($A190="","",L190+'Beállítások'!$E$16/1000)</f>
        <v/>
      </c>
      <c r="AO190">
        <f>IF($A190="","",'Beállítások'!$E$6*(5-B190))</f>
        <v/>
      </c>
      <c r="AP190">
        <f>IF($A190="","",'Beállítások'!$E$7*(5-C190))</f>
        <v/>
      </c>
      <c r="AQ190">
        <f>IF($A190="","",'Beállítások'!$E$8*(5-D190))</f>
        <v/>
      </c>
      <c r="AR190">
        <f>IF($A190="","",'Beállítások'!$E$9*(5-E190))</f>
        <v/>
      </c>
      <c r="AS190">
        <f>IF($A190="","",'Beállítások'!$E$10*(5-F190))</f>
        <v/>
      </c>
      <c r="AT190">
        <f>IF($A190="","",'Beállítások'!$E$11*(5-G190))</f>
        <v/>
      </c>
      <c r="AU190">
        <f>IF($A190="","",'Beállítások'!$E$12*(5-H190))</f>
        <v/>
      </c>
      <c r="AV190">
        <f>IF($A190="","",'Beállítások'!$E$13*(5-I190))</f>
        <v/>
      </c>
      <c r="AW190">
        <f>IF($A190="","",'Beállítások'!$E$14*(5-J190))</f>
        <v/>
      </c>
      <c r="AX190">
        <f>IF($A190="","",'Beállítások'!$E$15*(5-K190))</f>
        <v/>
      </c>
      <c r="AY190">
        <f>IF($A190="","",'Beállítások'!$E$16*(5-L190))</f>
        <v/>
      </c>
      <c r="AZ190">
        <f>IF($A190="","",M190-ROW()/100000)</f>
        <v/>
      </c>
    </row>
    <row r="191">
      <c r="A191">
        <f>IF('Ügyfelek'!A191="","",'Ügyfelek'!A191)</f>
        <v/>
      </c>
      <c r="B191">
        <f>IF($A191="","",IF('Ügyfelek'!B191="",'Beállítások'!$B$45,IFERROR(VLOOKUP(TRIM('Ügyfelek'!B191),'Beállítások'!$A$22:$B$41,2,FALSE),'Beállítások'!$B$45)))</f>
        <v/>
      </c>
      <c r="C191">
        <f>IF($A191="","",IF('Ügyfelek'!C191="",'Beállítások'!$B$45,VLOOKUP(MAX('Ügyfelek'!C191,'Beállítások'!$H$7),'Beállítások'!$H$7:$I$11,2,TRUE)))</f>
        <v/>
      </c>
      <c r="D191">
        <f>IF($A191="","",IF('Ügyfelek'!D191="",'Beállítások'!$B$45,VLOOKUP(MAX('Ügyfelek'!D191,'Beállítások'!$K$7),'Beállítások'!$K$7:$L$11,2,TRUE)))</f>
        <v/>
      </c>
      <c r="E191">
        <f>IF($A191="","",IF('Ügyfelek'!L191="",'Beállítások'!$B$45,MIN(5,MAX(1,ROUND('Ügyfelek'!L191,0)))))</f>
        <v/>
      </c>
      <c r="F191">
        <f>IF($A191="","",IF('Ügyfelek'!I191="",'Beállítások'!$B$45,VLOOKUP(MAX('Ügyfelek'!I191,'Beállítások'!$N$7),'Beállítások'!$N$7:$O$11,2,TRUE)))</f>
        <v/>
      </c>
      <c r="G191">
        <f>IF($A191="","",IF('Ügyfelek'!N191="",'Beállítások'!$B$45,MIN(5,MAX(1,ROUND('Ügyfelek'!N191,0)))))</f>
        <v/>
      </c>
      <c r="H191">
        <f>IF($A191="","",IF('Ügyfelek'!J191="",'Beállítások'!$B$45,VLOOKUP(MAX('Ügyfelek'!J191,'Beállítások'!$Q$7),'Beállítások'!$Q$7:$R$11,2,TRUE)))</f>
        <v/>
      </c>
      <c r="I191">
        <f>IF($A191="","",IF('Ügyfelek'!K191="",'Beállítások'!$B$45,VLOOKUP(MAX('Ügyfelek'!K191,'Beállítások'!$T$7),'Beállítások'!$T$7:$U$11,2,TRUE)))</f>
        <v/>
      </c>
      <c r="J191">
        <f>IF($A191="","",IF('Ügyfelek'!M191="",'Beállítások'!$B$45,MIN(5,MAX(1,ROUND('Ügyfelek'!M191,0)))))</f>
        <v/>
      </c>
      <c r="K191">
        <f>IF($A191="","",IF('Ügyfelek'!P191="",'Beállítások'!$B$45,MIN(5,MAX(1,ROUND('Ügyfelek'!P191,0)))))</f>
        <v/>
      </c>
      <c r="L191">
        <f>IF($A191="","",IF('Ügyfelek'!O191="",'Beállítások'!$B$45,MIN(5,MAX(1,ROUND('Ügyfelek'!O191,0)))))</f>
        <v/>
      </c>
      <c r="M191" s="13">
        <f>IF($A191="","",ROUND('Beállítások'!$E$6*(B191-1)/4+'Beállítások'!$E$7*(C191-1)/4+'Beállítások'!$E$8*(D191-1)/4+'Beállítások'!$E$9*(E191-1)/4+'Beállítások'!$E$10*(F191-1)/4+'Beállítások'!$E$11*(G191-1)/4+'Beállítások'!$E$12*(H191-1)/4+'Beállítások'!$E$13*(I191-1)/4+'Beállítások'!$E$14*(J191-1)/4+'Beállítások'!$E$15*(K191-1)/4+'Beállítások'!$E$16*(L191-1)/4,1))</f>
        <v/>
      </c>
      <c r="N191" s="14">
        <f>IF($A191="","",RANK(M191,$M$2:$M$201))</f>
        <v/>
      </c>
      <c r="O191">
        <f>IF($A191="","",VLOOKUP(M191,'Beállítások'!$A$57:$E$60,2,TRUE))</f>
        <v/>
      </c>
      <c r="P191">
        <f>IF($A191="","",VLOOKUP(M191,'Beállítások'!$A$57:$E$60,3,TRUE))</f>
        <v/>
      </c>
      <c r="Q191">
        <f>IF($A191="","",INDEX('Beállítások'!$B$6:$B$16,MATCH(MAX(AD191:AN191),AD191:AN191,0)))</f>
        <v/>
      </c>
      <c r="R191">
        <f>IF($A191="","",IF(MAX(AO191:AY191)=0,"—",INDEX('Beállítások'!$B$6:$B$16,MATCH(MAX(AO191:AY191),AO191:AY191,0))))</f>
        <v/>
      </c>
      <c r="S191" s="5">
        <f>IF($A191="","",'Beállítások'!$B$47*(TRIM('Ügyfelek'!E191)="igen")+'Beállítások'!$B$48*(TRIM('Ügyfelek'!F191)="igen")+'Beállítások'!$B$49*N('Ügyfelek'!G191)+'Beállítások'!$B$46*N('Ügyfelek'!H191))</f>
        <v/>
      </c>
      <c r="T191" s="15">
        <f>IF($A191="","",VLOOKUP(M191,'Beállítások'!$A$57:$E$60,4,TRUE))</f>
        <v/>
      </c>
      <c r="U191" s="5">
        <f>IF($A191="","",N('Ügyfelek'!D191)*'Beállítások'!$B$51)</f>
        <v/>
      </c>
      <c r="V191" s="5">
        <f>IF($A191="","",CEILING(ROUND(MAX('Beállítások'!$B$50,S191*T191,U191),2),'Beállítások'!$B$52))</f>
        <v/>
      </c>
      <c r="W191">
        <f>IF($A191="","",IF(MAX('Beállítások'!$B$50,S191*T191,U191)=S191*T191,"Munkaigény × szintszorzó",IF(MAX('Beállítások'!$B$50,S191*T191,U191)=U191,"Hirdetési keret arányában","Minimumdíj")))</f>
        <v/>
      </c>
      <c r="X191" s="5">
        <f>IF(OR($A191="",'Ügyfelek'!Q191=""),"",'Ügyfelek'!Q191)</f>
        <v/>
      </c>
      <c r="Y191" s="5">
        <f>IF(X191="","",V191-X191)</f>
        <v/>
      </c>
      <c r="Z191" s="16">
        <f>IF(OR(X191="",X191=0),"",Y191/X191)</f>
        <v/>
      </c>
      <c r="AA191" s="5">
        <f>IF(OR($A191="",'Ügyfelek'!R191=""),"",'Ügyfelek'!R191*VLOOKUP(M191,'Beállítások'!$A$57:$E$60,5,TRUE))</f>
        <v/>
      </c>
      <c r="AB191" s="14">
        <f>IF($A191="","",('Ügyfelek'!B191="")+('Ügyfelek'!C191="")+('Ügyfelek'!D191="")+('Ügyfelek'!L191="")+('Ügyfelek'!I191="")+('Ügyfelek'!N191="")+('Ügyfelek'!J191="")+('Ügyfelek'!K191="")+('Ügyfelek'!M191="")+('Ügyfelek'!P191="")+('Ügyfelek'!O191=""))</f>
        <v/>
      </c>
      <c r="AD191">
        <f>IF($A191="","",B191+'Beállítások'!$E$6/1000)</f>
        <v/>
      </c>
      <c r="AE191">
        <f>IF($A191="","",C191+'Beállítások'!$E$7/1000)</f>
        <v/>
      </c>
      <c r="AF191">
        <f>IF($A191="","",D191+'Beállítások'!$E$8/1000)</f>
        <v/>
      </c>
      <c r="AG191">
        <f>IF($A191="","",E191+'Beállítások'!$E$9/1000)</f>
        <v/>
      </c>
      <c r="AH191">
        <f>IF($A191="","",F191+'Beállítások'!$E$10/1000)</f>
        <v/>
      </c>
      <c r="AI191">
        <f>IF($A191="","",G191+'Beállítások'!$E$11/1000)</f>
        <v/>
      </c>
      <c r="AJ191">
        <f>IF($A191="","",H191+'Beállítások'!$E$12/1000)</f>
        <v/>
      </c>
      <c r="AK191">
        <f>IF($A191="","",I191+'Beállítások'!$E$13/1000)</f>
        <v/>
      </c>
      <c r="AL191">
        <f>IF($A191="","",J191+'Beállítások'!$E$14/1000)</f>
        <v/>
      </c>
      <c r="AM191">
        <f>IF($A191="","",K191+'Beállítások'!$E$15/1000)</f>
        <v/>
      </c>
      <c r="AN191">
        <f>IF($A191="","",L191+'Beállítások'!$E$16/1000)</f>
        <v/>
      </c>
      <c r="AO191">
        <f>IF($A191="","",'Beállítások'!$E$6*(5-B191))</f>
        <v/>
      </c>
      <c r="AP191">
        <f>IF($A191="","",'Beállítások'!$E$7*(5-C191))</f>
        <v/>
      </c>
      <c r="AQ191">
        <f>IF($A191="","",'Beállítások'!$E$8*(5-D191))</f>
        <v/>
      </c>
      <c r="AR191">
        <f>IF($A191="","",'Beállítások'!$E$9*(5-E191))</f>
        <v/>
      </c>
      <c r="AS191">
        <f>IF($A191="","",'Beállítások'!$E$10*(5-F191))</f>
        <v/>
      </c>
      <c r="AT191">
        <f>IF($A191="","",'Beállítások'!$E$11*(5-G191))</f>
        <v/>
      </c>
      <c r="AU191">
        <f>IF($A191="","",'Beállítások'!$E$12*(5-H191))</f>
        <v/>
      </c>
      <c r="AV191">
        <f>IF($A191="","",'Beállítások'!$E$13*(5-I191))</f>
        <v/>
      </c>
      <c r="AW191">
        <f>IF($A191="","",'Beállítások'!$E$14*(5-J191))</f>
        <v/>
      </c>
      <c r="AX191">
        <f>IF($A191="","",'Beállítások'!$E$15*(5-K191))</f>
        <v/>
      </c>
      <c r="AY191">
        <f>IF($A191="","",'Beállítások'!$E$16*(5-L191))</f>
        <v/>
      </c>
      <c r="AZ191">
        <f>IF($A191="","",M191-ROW()/100000)</f>
        <v/>
      </c>
    </row>
    <row r="192">
      <c r="A192">
        <f>IF('Ügyfelek'!A192="","",'Ügyfelek'!A192)</f>
        <v/>
      </c>
      <c r="B192">
        <f>IF($A192="","",IF('Ügyfelek'!B192="",'Beállítások'!$B$45,IFERROR(VLOOKUP(TRIM('Ügyfelek'!B192),'Beállítások'!$A$22:$B$41,2,FALSE),'Beállítások'!$B$45)))</f>
        <v/>
      </c>
      <c r="C192">
        <f>IF($A192="","",IF('Ügyfelek'!C192="",'Beállítások'!$B$45,VLOOKUP(MAX('Ügyfelek'!C192,'Beállítások'!$H$7),'Beállítások'!$H$7:$I$11,2,TRUE)))</f>
        <v/>
      </c>
      <c r="D192">
        <f>IF($A192="","",IF('Ügyfelek'!D192="",'Beállítások'!$B$45,VLOOKUP(MAX('Ügyfelek'!D192,'Beállítások'!$K$7),'Beállítások'!$K$7:$L$11,2,TRUE)))</f>
        <v/>
      </c>
      <c r="E192">
        <f>IF($A192="","",IF('Ügyfelek'!L192="",'Beállítások'!$B$45,MIN(5,MAX(1,ROUND('Ügyfelek'!L192,0)))))</f>
        <v/>
      </c>
      <c r="F192">
        <f>IF($A192="","",IF('Ügyfelek'!I192="",'Beállítások'!$B$45,VLOOKUP(MAX('Ügyfelek'!I192,'Beállítások'!$N$7),'Beállítások'!$N$7:$O$11,2,TRUE)))</f>
        <v/>
      </c>
      <c r="G192">
        <f>IF($A192="","",IF('Ügyfelek'!N192="",'Beállítások'!$B$45,MIN(5,MAX(1,ROUND('Ügyfelek'!N192,0)))))</f>
        <v/>
      </c>
      <c r="H192">
        <f>IF($A192="","",IF('Ügyfelek'!J192="",'Beállítások'!$B$45,VLOOKUP(MAX('Ügyfelek'!J192,'Beállítások'!$Q$7),'Beállítások'!$Q$7:$R$11,2,TRUE)))</f>
        <v/>
      </c>
      <c r="I192">
        <f>IF($A192="","",IF('Ügyfelek'!K192="",'Beállítások'!$B$45,VLOOKUP(MAX('Ügyfelek'!K192,'Beállítások'!$T$7),'Beállítások'!$T$7:$U$11,2,TRUE)))</f>
        <v/>
      </c>
      <c r="J192">
        <f>IF($A192="","",IF('Ügyfelek'!M192="",'Beállítások'!$B$45,MIN(5,MAX(1,ROUND('Ügyfelek'!M192,0)))))</f>
        <v/>
      </c>
      <c r="K192">
        <f>IF($A192="","",IF('Ügyfelek'!P192="",'Beállítások'!$B$45,MIN(5,MAX(1,ROUND('Ügyfelek'!P192,0)))))</f>
        <v/>
      </c>
      <c r="L192">
        <f>IF($A192="","",IF('Ügyfelek'!O192="",'Beállítások'!$B$45,MIN(5,MAX(1,ROUND('Ügyfelek'!O192,0)))))</f>
        <v/>
      </c>
      <c r="M192" s="13">
        <f>IF($A192="","",ROUND('Beállítások'!$E$6*(B192-1)/4+'Beállítások'!$E$7*(C192-1)/4+'Beállítások'!$E$8*(D192-1)/4+'Beállítások'!$E$9*(E192-1)/4+'Beállítások'!$E$10*(F192-1)/4+'Beállítások'!$E$11*(G192-1)/4+'Beállítások'!$E$12*(H192-1)/4+'Beállítások'!$E$13*(I192-1)/4+'Beállítások'!$E$14*(J192-1)/4+'Beállítások'!$E$15*(K192-1)/4+'Beállítások'!$E$16*(L192-1)/4,1))</f>
        <v/>
      </c>
      <c r="N192" s="14">
        <f>IF($A192="","",RANK(M192,$M$2:$M$201))</f>
        <v/>
      </c>
      <c r="O192">
        <f>IF($A192="","",VLOOKUP(M192,'Beállítások'!$A$57:$E$60,2,TRUE))</f>
        <v/>
      </c>
      <c r="P192">
        <f>IF($A192="","",VLOOKUP(M192,'Beállítások'!$A$57:$E$60,3,TRUE))</f>
        <v/>
      </c>
      <c r="Q192">
        <f>IF($A192="","",INDEX('Beállítások'!$B$6:$B$16,MATCH(MAX(AD192:AN192),AD192:AN192,0)))</f>
        <v/>
      </c>
      <c r="R192">
        <f>IF($A192="","",IF(MAX(AO192:AY192)=0,"—",INDEX('Beállítások'!$B$6:$B$16,MATCH(MAX(AO192:AY192),AO192:AY192,0))))</f>
        <v/>
      </c>
      <c r="S192" s="5">
        <f>IF($A192="","",'Beállítások'!$B$47*(TRIM('Ügyfelek'!E192)="igen")+'Beállítások'!$B$48*(TRIM('Ügyfelek'!F192)="igen")+'Beállítások'!$B$49*N('Ügyfelek'!G192)+'Beállítások'!$B$46*N('Ügyfelek'!H192))</f>
        <v/>
      </c>
      <c r="T192" s="15">
        <f>IF($A192="","",VLOOKUP(M192,'Beállítások'!$A$57:$E$60,4,TRUE))</f>
        <v/>
      </c>
      <c r="U192" s="5">
        <f>IF($A192="","",N('Ügyfelek'!D192)*'Beállítások'!$B$51)</f>
        <v/>
      </c>
      <c r="V192" s="5">
        <f>IF($A192="","",CEILING(ROUND(MAX('Beállítások'!$B$50,S192*T192,U192),2),'Beállítások'!$B$52))</f>
        <v/>
      </c>
      <c r="W192">
        <f>IF($A192="","",IF(MAX('Beállítások'!$B$50,S192*T192,U192)=S192*T192,"Munkaigény × szintszorzó",IF(MAX('Beállítások'!$B$50,S192*T192,U192)=U192,"Hirdetési keret arányában","Minimumdíj")))</f>
        <v/>
      </c>
      <c r="X192" s="5">
        <f>IF(OR($A192="",'Ügyfelek'!Q192=""),"",'Ügyfelek'!Q192)</f>
        <v/>
      </c>
      <c r="Y192" s="5">
        <f>IF(X192="","",V192-X192)</f>
        <v/>
      </c>
      <c r="Z192" s="16">
        <f>IF(OR(X192="",X192=0),"",Y192/X192)</f>
        <v/>
      </c>
      <c r="AA192" s="5">
        <f>IF(OR($A192="",'Ügyfelek'!R192=""),"",'Ügyfelek'!R192*VLOOKUP(M192,'Beállítások'!$A$57:$E$60,5,TRUE))</f>
        <v/>
      </c>
      <c r="AB192" s="14">
        <f>IF($A192="","",('Ügyfelek'!B192="")+('Ügyfelek'!C192="")+('Ügyfelek'!D192="")+('Ügyfelek'!L192="")+('Ügyfelek'!I192="")+('Ügyfelek'!N192="")+('Ügyfelek'!J192="")+('Ügyfelek'!K192="")+('Ügyfelek'!M192="")+('Ügyfelek'!P192="")+('Ügyfelek'!O192=""))</f>
        <v/>
      </c>
      <c r="AD192">
        <f>IF($A192="","",B192+'Beállítások'!$E$6/1000)</f>
        <v/>
      </c>
      <c r="AE192">
        <f>IF($A192="","",C192+'Beállítások'!$E$7/1000)</f>
        <v/>
      </c>
      <c r="AF192">
        <f>IF($A192="","",D192+'Beállítások'!$E$8/1000)</f>
        <v/>
      </c>
      <c r="AG192">
        <f>IF($A192="","",E192+'Beállítások'!$E$9/1000)</f>
        <v/>
      </c>
      <c r="AH192">
        <f>IF($A192="","",F192+'Beállítások'!$E$10/1000)</f>
        <v/>
      </c>
      <c r="AI192">
        <f>IF($A192="","",G192+'Beállítások'!$E$11/1000)</f>
        <v/>
      </c>
      <c r="AJ192">
        <f>IF($A192="","",H192+'Beállítások'!$E$12/1000)</f>
        <v/>
      </c>
      <c r="AK192">
        <f>IF($A192="","",I192+'Beállítások'!$E$13/1000)</f>
        <v/>
      </c>
      <c r="AL192">
        <f>IF($A192="","",J192+'Beállítások'!$E$14/1000)</f>
        <v/>
      </c>
      <c r="AM192">
        <f>IF($A192="","",K192+'Beállítások'!$E$15/1000)</f>
        <v/>
      </c>
      <c r="AN192">
        <f>IF($A192="","",L192+'Beállítások'!$E$16/1000)</f>
        <v/>
      </c>
      <c r="AO192">
        <f>IF($A192="","",'Beállítások'!$E$6*(5-B192))</f>
        <v/>
      </c>
      <c r="AP192">
        <f>IF($A192="","",'Beállítások'!$E$7*(5-C192))</f>
        <v/>
      </c>
      <c r="AQ192">
        <f>IF($A192="","",'Beállítások'!$E$8*(5-D192))</f>
        <v/>
      </c>
      <c r="AR192">
        <f>IF($A192="","",'Beállítások'!$E$9*(5-E192))</f>
        <v/>
      </c>
      <c r="AS192">
        <f>IF($A192="","",'Beállítások'!$E$10*(5-F192))</f>
        <v/>
      </c>
      <c r="AT192">
        <f>IF($A192="","",'Beállítások'!$E$11*(5-G192))</f>
        <v/>
      </c>
      <c r="AU192">
        <f>IF($A192="","",'Beállítások'!$E$12*(5-H192))</f>
        <v/>
      </c>
      <c r="AV192">
        <f>IF($A192="","",'Beállítások'!$E$13*(5-I192))</f>
        <v/>
      </c>
      <c r="AW192">
        <f>IF($A192="","",'Beállítások'!$E$14*(5-J192))</f>
        <v/>
      </c>
      <c r="AX192">
        <f>IF($A192="","",'Beállítások'!$E$15*(5-K192))</f>
        <v/>
      </c>
      <c r="AY192">
        <f>IF($A192="","",'Beállítások'!$E$16*(5-L192))</f>
        <v/>
      </c>
      <c r="AZ192">
        <f>IF($A192="","",M192-ROW()/100000)</f>
        <v/>
      </c>
    </row>
    <row r="193">
      <c r="A193">
        <f>IF('Ügyfelek'!A193="","",'Ügyfelek'!A193)</f>
        <v/>
      </c>
      <c r="B193">
        <f>IF($A193="","",IF('Ügyfelek'!B193="",'Beállítások'!$B$45,IFERROR(VLOOKUP(TRIM('Ügyfelek'!B193),'Beállítások'!$A$22:$B$41,2,FALSE),'Beállítások'!$B$45)))</f>
        <v/>
      </c>
      <c r="C193">
        <f>IF($A193="","",IF('Ügyfelek'!C193="",'Beállítások'!$B$45,VLOOKUP(MAX('Ügyfelek'!C193,'Beállítások'!$H$7),'Beállítások'!$H$7:$I$11,2,TRUE)))</f>
        <v/>
      </c>
      <c r="D193">
        <f>IF($A193="","",IF('Ügyfelek'!D193="",'Beállítások'!$B$45,VLOOKUP(MAX('Ügyfelek'!D193,'Beállítások'!$K$7),'Beállítások'!$K$7:$L$11,2,TRUE)))</f>
        <v/>
      </c>
      <c r="E193">
        <f>IF($A193="","",IF('Ügyfelek'!L193="",'Beállítások'!$B$45,MIN(5,MAX(1,ROUND('Ügyfelek'!L193,0)))))</f>
        <v/>
      </c>
      <c r="F193">
        <f>IF($A193="","",IF('Ügyfelek'!I193="",'Beállítások'!$B$45,VLOOKUP(MAX('Ügyfelek'!I193,'Beállítások'!$N$7),'Beállítások'!$N$7:$O$11,2,TRUE)))</f>
        <v/>
      </c>
      <c r="G193">
        <f>IF($A193="","",IF('Ügyfelek'!N193="",'Beállítások'!$B$45,MIN(5,MAX(1,ROUND('Ügyfelek'!N193,0)))))</f>
        <v/>
      </c>
      <c r="H193">
        <f>IF($A193="","",IF('Ügyfelek'!J193="",'Beállítások'!$B$45,VLOOKUP(MAX('Ügyfelek'!J193,'Beállítások'!$Q$7),'Beállítások'!$Q$7:$R$11,2,TRUE)))</f>
        <v/>
      </c>
      <c r="I193">
        <f>IF($A193="","",IF('Ügyfelek'!K193="",'Beállítások'!$B$45,VLOOKUP(MAX('Ügyfelek'!K193,'Beállítások'!$T$7),'Beállítások'!$T$7:$U$11,2,TRUE)))</f>
        <v/>
      </c>
      <c r="J193">
        <f>IF($A193="","",IF('Ügyfelek'!M193="",'Beállítások'!$B$45,MIN(5,MAX(1,ROUND('Ügyfelek'!M193,0)))))</f>
        <v/>
      </c>
      <c r="K193">
        <f>IF($A193="","",IF('Ügyfelek'!P193="",'Beállítások'!$B$45,MIN(5,MAX(1,ROUND('Ügyfelek'!P193,0)))))</f>
        <v/>
      </c>
      <c r="L193">
        <f>IF($A193="","",IF('Ügyfelek'!O193="",'Beállítások'!$B$45,MIN(5,MAX(1,ROUND('Ügyfelek'!O193,0)))))</f>
        <v/>
      </c>
      <c r="M193" s="13">
        <f>IF($A193="","",ROUND('Beállítások'!$E$6*(B193-1)/4+'Beállítások'!$E$7*(C193-1)/4+'Beállítások'!$E$8*(D193-1)/4+'Beállítások'!$E$9*(E193-1)/4+'Beállítások'!$E$10*(F193-1)/4+'Beállítások'!$E$11*(G193-1)/4+'Beállítások'!$E$12*(H193-1)/4+'Beállítások'!$E$13*(I193-1)/4+'Beállítások'!$E$14*(J193-1)/4+'Beállítások'!$E$15*(K193-1)/4+'Beállítások'!$E$16*(L193-1)/4,1))</f>
        <v/>
      </c>
      <c r="N193" s="14">
        <f>IF($A193="","",RANK(M193,$M$2:$M$201))</f>
        <v/>
      </c>
      <c r="O193">
        <f>IF($A193="","",VLOOKUP(M193,'Beállítások'!$A$57:$E$60,2,TRUE))</f>
        <v/>
      </c>
      <c r="P193">
        <f>IF($A193="","",VLOOKUP(M193,'Beállítások'!$A$57:$E$60,3,TRUE))</f>
        <v/>
      </c>
      <c r="Q193">
        <f>IF($A193="","",INDEX('Beállítások'!$B$6:$B$16,MATCH(MAX(AD193:AN193),AD193:AN193,0)))</f>
        <v/>
      </c>
      <c r="R193">
        <f>IF($A193="","",IF(MAX(AO193:AY193)=0,"—",INDEX('Beállítások'!$B$6:$B$16,MATCH(MAX(AO193:AY193),AO193:AY193,0))))</f>
        <v/>
      </c>
      <c r="S193" s="5">
        <f>IF($A193="","",'Beállítások'!$B$47*(TRIM('Ügyfelek'!E193)="igen")+'Beállítások'!$B$48*(TRIM('Ügyfelek'!F193)="igen")+'Beállítások'!$B$49*N('Ügyfelek'!G193)+'Beállítások'!$B$46*N('Ügyfelek'!H193))</f>
        <v/>
      </c>
      <c r="T193" s="15">
        <f>IF($A193="","",VLOOKUP(M193,'Beállítások'!$A$57:$E$60,4,TRUE))</f>
        <v/>
      </c>
      <c r="U193" s="5">
        <f>IF($A193="","",N('Ügyfelek'!D193)*'Beállítások'!$B$51)</f>
        <v/>
      </c>
      <c r="V193" s="5">
        <f>IF($A193="","",CEILING(ROUND(MAX('Beállítások'!$B$50,S193*T193,U193),2),'Beállítások'!$B$52))</f>
        <v/>
      </c>
      <c r="W193">
        <f>IF($A193="","",IF(MAX('Beállítások'!$B$50,S193*T193,U193)=S193*T193,"Munkaigény × szintszorzó",IF(MAX('Beállítások'!$B$50,S193*T193,U193)=U193,"Hirdetési keret arányában","Minimumdíj")))</f>
        <v/>
      </c>
      <c r="X193" s="5">
        <f>IF(OR($A193="",'Ügyfelek'!Q193=""),"",'Ügyfelek'!Q193)</f>
        <v/>
      </c>
      <c r="Y193" s="5">
        <f>IF(X193="","",V193-X193)</f>
        <v/>
      </c>
      <c r="Z193" s="16">
        <f>IF(OR(X193="",X193=0),"",Y193/X193)</f>
        <v/>
      </c>
      <c r="AA193" s="5">
        <f>IF(OR($A193="",'Ügyfelek'!R193=""),"",'Ügyfelek'!R193*VLOOKUP(M193,'Beállítások'!$A$57:$E$60,5,TRUE))</f>
        <v/>
      </c>
      <c r="AB193" s="14">
        <f>IF($A193="","",('Ügyfelek'!B193="")+('Ügyfelek'!C193="")+('Ügyfelek'!D193="")+('Ügyfelek'!L193="")+('Ügyfelek'!I193="")+('Ügyfelek'!N193="")+('Ügyfelek'!J193="")+('Ügyfelek'!K193="")+('Ügyfelek'!M193="")+('Ügyfelek'!P193="")+('Ügyfelek'!O193=""))</f>
        <v/>
      </c>
      <c r="AD193">
        <f>IF($A193="","",B193+'Beállítások'!$E$6/1000)</f>
        <v/>
      </c>
      <c r="AE193">
        <f>IF($A193="","",C193+'Beállítások'!$E$7/1000)</f>
        <v/>
      </c>
      <c r="AF193">
        <f>IF($A193="","",D193+'Beállítások'!$E$8/1000)</f>
        <v/>
      </c>
      <c r="AG193">
        <f>IF($A193="","",E193+'Beállítások'!$E$9/1000)</f>
        <v/>
      </c>
      <c r="AH193">
        <f>IF($A193="","",F193+'Beállítások'!$E$10/1000)</f>
        <v/>
      </c>
      <c r="AI193">
        <f>IF($A193="","",G193+'Beállítások'!$E$11/1000)</f>
        <v/>
      </c>
      <c r="AJ193">
        <f>IF($A193="","",H193+'Beállítások'!$E$12/1000)</f>
        <v/>
      </c>
      <c r="AK193">
        <f>IF($A193="","",I193+'Beállítások'!$E$13/1000)</f>
        <v/>
      </c>
      <c r="AL193">
        <f>IF($A193="","",J193+'Beállítások'!$E$14/1000)</f>
        <v/>
      </c>
      <c r="AM193">
        <f>IF($A193="","",K193+'Beállítások'!$E$15/1000)</f>
        <v/>
      </c>
      <c r="AN193">
        <f>IF($A193="","",L193+'Beállítások'!$E$16/1000)</f>
        <v/>
      </c>
      <c r="AO193">
        <f>IF($A193="","",'Beállítások'!$E$6*(5-B193))</f>
        <v/>
      </c>
      <c r="AP193">
        <f>IF($A193="","",'Beállítások'!$E$7*(5-C193))</f>
        <v/>
      </c>
      <c r="AQ193">
        <f>IF($A193="","",'Beállítások'!$E$8*(5-D193))</f>
        <v/>
      </c>
      <c r="AR193">
        <f>IF($A193="","",'Beállítások'!$E$9*(5-E193))</f>
        <v/>
      </c>
      <c r="AS193">
        <f>IF($A193="","",'Beállítások'!$E$10*(5-F193))</f>
        <v/>
      </c>
      <c r="AT193">
        <f>IF($A193="","",'Beállítások'!$E$11*(5-G193))</f>
        <v/>
      </c>
      <c r="AU193">
        <f>IF($A193="","",'Beállítások'!$E$12*(5-H193))</f>
        <v/>
      </c>
      <c r="AV193">
        <f>IF($A193="","",'Beállítások'!$E$13*(5-I193))</f>
        <v/>
      </c>
      <c r="AW193">
        <f>IF($A193="","",'Beállítások'!$E$14*(5-J193))</f>
        <v/>
      </c>
      <c r="AX193">
        <f>IF($A193="","",'Beállítások'!$E$15*(5-K193))</f>
        <v/>
      </c>
      <c r="AY193">
        <f>IF($A193="","",'Beállítások'!$E$16*(5-L193))</f>
        <v/>
      </c>
      <c r="AZ193">
        <f>IF($A193="","",M193-ROW()/100000)</f>
        <v/>
      </c>
    </row>
    <row r="194">
      <c r="A194">
        <f>IF('Ügyfelek'!A194="","",'Ügyfelek'!A194)</f>
        <v/>
      </c>
      <c r="B194">
        <f>IF($A194="","",IF('Ügyfelek'!B194="",'Beállítások'!$B$45,IFERROR(VLOOKUP(TRIM('Ügyfelek'!B194),'Beállítások'!$A$22:$B$41,2,FALSE),'Beállítások'!$B$45)))</f>
        <v/>
      </c>
      <c r="C194">
        <f>IF($A194="","",IF('Ügyfelek'!C194="",'Beállítások'!$B$45,VLOOKUP(MAX('Ügyfelek'!C194,'Beállítások'!$H$7),'Beállítások'!$H$7:$I$11,2,TRUE)))</f>
        <v/>
      </c>
      <c r="D194">
        <f>IF($A194="","",IF('Ügyfelek'!D194="",'Beállítások'!$B$45,VLOOKUP(MAX('Ügyfelek'!D194,'Beállítások'!$K$7),'Beállítások'!$K$7:$L$11,2,TRUE)))</f>
        <v/>
      </c>
      <c r="E194">
        <f>IF($A194="","",IF('Ügyfelek'!L194="",'Beállítások'!$B$45,MIN(5,MAX(1,ROUND('Ügyfelek'!L194,0)))))</f>
        <v/>
      </c>
      <c r="F194">
        <f>IF($A194="","",IF('Ügyfelek'!I194="",'Beállítások'!$B$45,VLOOKUP(MAX('Ügyfelek'!I194,'Beállítások'!$N$7),'Beállítások'!$N$7:$O$11,2,TRUE)))</f>
        <v/>
      </c>
      <c r="G194">
        <f>IF($A194="","",IF('Ügyfelek'!N194="",'Beállítások'!$B$45,MIN(5,MAX(1,ROUND('Ügyfelek'!N194,0)))))</f>
        <v/>
      </c>
      <c r="H194">
        <f>IF($A194="","",IF('Ügyfelek'!J194="",'Beállítások'!$B$45,VLOOKUP(MAX('Ügyfelek'!J194,'Beállítások'!$Q$7),'Beállítások'!$Q$7:$R$11,2,TRUE)))</f>
        <v/>
      </c>
      <c r="I194">
        <f>IF($A194="","",IF('Ügyfelek'!K194="",'Beállítások'!$B$45,VLOOKUP(MAX('Ügyfelek'!K194,'Beállítások'!$T$7),'Beállítások'!$T$7:$U$11,2,TRUE)))</f>
        <v/>
      </c>
      <c r="J194">
        <f>IF($A194="","",IF('Ügyfelek'!M194="",'Beállítások'!$B$45,MIN(5,MAX(1,ROUND('Ügyfelek'!M194,0)))))</f>
        <v/>
      </c>
      <c r="K194">
        <f>IF($A194="","",IF('Ügyfelek'!P194="",'Beállítások'!$B$45,MIN(5,MAX(1,ROUND('Ügyfelek'!P194,0)))))</f>
        <v/>
      </c>
      <c r="L194">
        <f>IF($A194="","",IF('Ügyfelek'!O194="",'Beállítások'!$B$45,MIN(5,MAX(1,ROUND('Ügyfelek'!O194,0)))))</f>
        <v/>
      </c>
      <c r="M194" s="13">
        <f>IF($A194="","",ROUND('Beállítások'!$E$6*(B194-1)/4+'Beállítások'!$E$7*(C194-1)/4+'Beállítások'!$E$8*(D194-1)/4+'Beállítások'!$E$9*(E194-1)/4+'Beállítások'!$E$10*(F194-1)/4+'Beállítások'!$E$11*(G194-1)/4+'Beállítások'!$E$12*(H194-1)/4+'Beállítások'!$E$13*(I194-1)/4+'Beállítások'!$E$14*(J194-1)/4+'Beállítások'!$E$15*(K194-1)/4+'Beállítások'!$E$16*(L194-1)/4,1))</f>
        <v/>
      </c>
      <c r="N194" s="14">
        <f>IF($A194="","",RANK(M194,$M$2:$M$201))</f>
        <v/>
      </c>
      <c r="O194">
        <f>IF($A194="","",VLOOKUP(M194,'Beállítások'!$A$57:$E$60,2,TRUE))</f>
        <v/>
      </c>
      <c r="P194">
        <f>IF($A194="","",VLOOKUP(M194,'Beállítások'!$A$57:$E$60,3,TRUE))</f>
        <v/>
      </c>
      <c r="Q194">
        <f>IF($A194="","",INDEX('Beállítások'!$B$6:$B$16,MATCH(MAX(AD194:AN194),AD194:AN194,0)))</f>
        <v/>
      </c>
      <c r="R194">
        <f>IF($A194="","",IF(MAX(AO194:AY194)=0,"—",INDEX('Beállítások'!$B$6:$B$16,MATCH(MAX(AO194:AY194),AO194:AY194,0))))</f>
        <v/>
      </c>
      <c r="S194" s="5">
        <f>IF($A194="","",'Beállítások'!$B$47*(TRIM('Ügyfelek'!E194)="igen")+'Beállítások'!$B$48*(TRIM('Ügyfelek'!F194)="igen")+'Beállítások'!$B$49*N('Ügyfelek'!G194)+'Beállítások'!$B$46*N('Ügyfelek'!H194))</f>
        <v/>
      </c>
      <c r="T194" s="15">
        <f>IF($A194="","",VLOOKUP(M194,'Beállítások'!$A$57:$E$60,4,TRUE))</f>
        <v/>
      </c>
      <c r="U194" s="5">
        <f>IF($A194="","",N('Ügyfelek'!D194)*'Beállítások'!$B$51)</f>
        <v/>
      </c>
      <c r="V194" s="5">
        <f>IF($A194="","",CEILING(ROUND(MAX('Beállítások'!$B$50,S194*T194,U194),2),'Beállítások'!$B$52))</f>
        <v/>
      </c>
      <c r="W194">
        <f>IF($A194="","",IF(MAX('Beállítások'!$B$50,S194*T194,U194)=S194*T194,"Munkaigény × szintszorzó",IF(MAX('Beállítások'!$B$50,S194*T194,U194)=U194,"Hirdetési keret arányában","Minimumdíj")))</f>
        <v/>
      </c>
      <c r="X194" s="5">
        <f>IF(OR($A194="",'Ügyfelek'!Q194=""),"",'Ügyfelek'!Q194)</f>
        <v/>
      </c>
      <c r="Y194" s="5">
        <f>IF(X194="","",V194-X194)</f>
        <v/>
      </c>
      <c r="Z194" s="16">
        <f>IF(OR(X194="",X194=0),"",Y194/X194)</f>
        <v/>
      </c>
      <c r="AA194" s="5">
        <f>IF(OR($A194="",'Ügyfelek'!R194=""),"",'Ügyfelek'!R194*VLOOKUP(M194,'Beállítások'!$A$57:$E$60,5,TRUE))</f>
        <v/>
      </c>
      <c r="AB194" s="14">
        <f>IF($A194="","",('Ügyfelek'!B194="")+('Ügyfelek'!C194="")+('Ügyfelek'!D194="")+('Ügyfelek'!L194="")+('Ügyfelek'!I194="")+('Ügyfelek'!N194="")+('Ügyfelek'!J194="")+('Ügyfelek'!K194="")+('Ügyfelek'!M194="")+('Ügyfelek'!P194="")+('Ügyfelek'!O194=""))</f>
        <v/>
      </c>
      <c r="AD194">
        <f>IF($A194="","",B194+'Beállítások'!$E$6/1000)</f>
        <v/>
      </c>
      <c r="AE194">
        <f>IF($A194="","",C194+'Beállítások'!$E$7/1000)</f>
        <v/>
      </c>
      <c r="AF194">
        <f>IF($A194="","",D194+'Beállítások'!$E$8/1000)</f>
        <v/>
      </c>
      <c r="AG194">
        <f>IF($A194="","",E194+'Beállítások'!$E$9/1000)</f>
        <v/>
      </c>
      <c r="AH194">
        <f>IF($A194="","",F194+'Beállítások'!$E$10/1000)</f>
        <v/>
      </c>
      <c r="AI194">
        <f>IF($A194="","",G194+'Beállítások'!$E$11/1000)</f>
        <v/>
      </c>
      <c r="AJ194">
        <f>IF($A194="","",H194+'Beállítások'!$E$12/1000)</f>
        <v/>
      </c>
      <c r="AK194">
        <f>IF($A194="","",I194+'Beállítások'!$E$13/1000)</f>
        <v/>
      </c>
      <c r="AL194">
        <f>IF($A194="","",J194+'Beállítások'!$E$14/1000)</f>
        <v/>
      </c>
      <c r="AM194">
        <f>IF($A194="","",K194+'Beállítások'!$E$15/1000)</f>
        <v/>
      </c>
      <c r="AN194">
        <f>IF($A194="","",L194+'Beállítások'!$E$16/1000)</f>
        <v/>
      </c>
      <c r="AO194">
        <f>IF($A194="","",'Beállítások'!$E$6*(5-B194))</f>
        <v/>
      </c>
      <c r="AP194">
        <f>IF($A194="","",'Beállítások'!$E$7*(5-C194))</f>
        <v/>
      </c>
      <c r="AQ194">
        <f>IF($A194="","",'Beállítások'!$E$8*(5-D194))</f>
        <v/>
      </c>
      <c r="AR194">
        <f>IF($A194="","",'Beállítások'!$E$9*(5-E194))</f>
        <v/>
      </c>
      <c r="AS194">
        <f>IF($A194="","",'Beállítások'!$E$10*(5-F194))</f>
        <v/>
      </c>
      <c r="AT194">
        <f>IF($A194="","",'Beállítások'!$E$11*(5-G194))</f>
        <v/>
      </c>
      <c r="AU194">
        <f>IF($A194="","",'Beállítások'!$E$12*(5-H194))</f>
        <v/>
      </c>
      <c r="AV194">
        <f>IF($A194="","",'Beállítások'!$E$13*(5-I194))</f>
        <v/>
      </c>
      <c r="AW194">
        <f>IF($A194="","",'Beállítások'!$E$14*(5-J194))</f>
        <v/>
      </c>
      <c r="AX194">
        <f>IF($A194="","",'Beállítások'!$E$15*(5-K194))</f>
        <v/>
      </c>
      <c r="AY194">
        <f>IF($A194="","",'Beállítások'!$E$16*(5-L194))</f>
        <v/>
      </c>
      <c r="AZ194">
        <f>IF($A194="","",M194-ROW()/100000)</f>
        <v/>
      </c>
    </row>
    <row r="195">
      <c r="A195">
        <f>IF('Ügyfelek'!A195="","",'Ügyfelek'!A195)</f>
        <v/>
      </c>
      <c r="B195">
        <f>IF($A195="","",IF('Ügyfelek'!B195="",'Beállítások'!$B$45,IFERROR(VLOOKUP(TRIM('Ügyfelek'!B195),'Beállítások'!$A$22:$B$41,2,FALSE),'Beállítások'!$B$45)))</f>
        <v/>
      </c>
      <c r="C195">
        <f>IF($A195="","",IF('Ügyfelek'!C195="",'Beállítások'!$B$45,VLOOKUP(MAX('Ügyfelek'!C195,'Beállítások'!$H$7),'Beállítások'!$H$7:$I$11,2,TRUE)))</f>
        <v/>
      </c>
      <c r="D195">
        <f>IF($A195="","",IF('Ügyfelek'!D195="",'Beállítások'!$B$45,VLOOKUP(MAX('Ügyfelek'!D195,'Beállítások'!$K$7),'Beállítások'!$K$7:$L$11,2,TRUE)))</f>
        <v/>
      </c>
      <c r="E195">
        <f>IF($A195="","",IF('Ügyfelek'!L195="",'Beállítások'!$B$45,MIN(5,MAX(1,ROUND('Ügyfelek'!L195,0)))))</f>
        <v/>
      </c>
      <c r="F195">
        <f>IF($A195="","",IF('Ügyfelek'!I195="",'Beállítások'!$B$45,VLOOKUP(MAX('Ügyfelek'!I195,'Beállítások'!$N$7),'Beállítások'!$N$7:$O$11,2,TRUE)))</f>
        <v/>
      </c>
      <c r="G195">
        <f>IF($A195="","",IF('Ügyfelek'!N195="",'Beállítások'!$B$45,MIN(5,MAX(1,ROUND('Ügyfelek'!N195,0)))))</f>
        <v/>
      </c>
      <c r="H195">
        <f>IF($A195="","",IF('Ügyfelek'!J195="",'Beállítások'!$B$45,VLOOKUP(MAX('Ügyfelek'!J195,'Beállítások'!$Q$7),'Beállítások'!$Q$7:$R$11,2,TRUE)))</f>
        <v/>
      </c>
      <c r="I195">
        <f>IF($A195="","",IF('Ügyfelek'!K195="",'Beállítások'!$B$45,VLOOKUP(MAX('Ügyfelek'!K195,'Beállítások'!$T$7),'Beállítások'!$T$7:$U$11,2,TRUE)))</f>
        <v/>
      </c>
      <c r="J195">
        <f>IF($A195="","",IF('Ügyfelek'!M195="",'Beállítások'!$B$45,MIN(5,MAX(1,ROUND('Ügyfelek'!M195,0)))))</f>
        <v/>
      </c>
      <c r="K195">
        <f>IF($A195="","",IF('Ügyfelek'!P195="",'Beállítások'!$B$45,MIN(5,MAX(1,ROUND('Ügyfelek'!P195,0)))))</f>
        <v/>
      </c>
      <c r="L195">
        <f>IF($A195="","",IF('Ügyfelek'!O195="",'Beállítások'!$B$45,MIN(5,MAX(1,ROUND('Ügyfelek'!O195,0)))))</f>
        <v/>
      </c>
      <c r="M195" s="13">
        <f>IF($A195="","",ROUND('Beállítások'!$E$6*(B195-1)/4+'Beállítások'!$E$7*(C195-1)/4+'Beállítások'!$E$8*(D195-1)/4+'Beállítások'!$E$9*(E195-1)/4+'Beállítások'!$E$10*(F195-1)/4+'Beállítások'!$E$11*(G195-1)/4+'Beállítások'!$E$12*(H195-1)/4+'Beállítások'!$E$13*(I195-1)/4+'Beállítások'!$E$14*(J195-1)/4+'Beállítások'!$E$15*(K195-1)/4+'Beállítások'!$E$16*(L195-1)/4,1))</f>
        <v/>
      </c>
      <c r="N195" s="14">
        <f>IF($A195="","",RANK(M195,$M$2:$M$201))</f>
        <v/>
      </c>
      <c r="O195">
        <f>IF($A195="","",VLOOKUP(M195,'Beállítások'!$A$57:$E$60,2,TRUE))</f>
        <v/>
      </c>
      <c r="P195">
        <f>IF($A195="","",VLOOKUP(M195,'Beállítások'!$A$57:$E$60,3,TRUE))</f>
        <v/>
      </c>
      <c r="Q195">
        <f>IF($A195="","",INDEX('Beállítások'!$B$6:$B$16,MATCH(MAX(AD195:AN195),AD195:AN195,0)))</f>
        <v/>
      </c>
      <c r="R195">
        <f>IF($A195="","",IF(MAX(AO195:AY195)=0,"—",INDEX('Beállítások'!$B$6:$B$16,MATCH(MAX(AO195:AY195),AO195:AY195,0))))</f>
        <v/>
      </c>
      <c r="S195" s="5">
        <f>IF($A195="","",'Beállítások'!$B$47*(TRIM('Ügyfelek'!E195)="igen")+'Beállítások'!$B$48*(TRIM('Ügyfelek'!F195)="igen")+'Beállítások'!$B$49*N('Ügyfelek'!G195)+'Beállítások'!$B$46*N('Ügyfelek'!H195))</f>
        <v/>
      </c>
      <c r="T195" s="15">
        <f>IF($A195="","",VLOOKUP(M195,'Beállítások'!$A$57:$E$60,4,TRUE))</f>
        <v/>
      </c>
      <c r="U195" s="5">
        <f>IF($A195="","",N('Ügyfelek'!D195)*'Beállítások'!$B$51)</f>
        <v/>
      </c>
      <c r="V195" s="5">
        <f>IF($A195="","",CEILING(ROUND(MAX('Beállítások'!$B$50,S195*T195,U195),2),'Beállítások'!$B$52))</f>
        <v/>
      </c>
      <c r="W195">
        <f>IF($A195="","",IF(MAX('Beállítások'!$B$50,S195*T195,U195)=S195*T195,"Munkaigény × szintszorzó",IF(MAX('Beállítások'!$B$50,S195*T195,U195)=U195,"Hirdetési keret arányában","Minimumdíj")))</f>
        <v/>
      </c>
      <c r="X195" s="5">
        <f>IF(OR($A195="",'Ügyfelek'!Q195=""),"",'Ügyfelek'!Q195)</f>
        <v/>
      </c>
      <c r="Y195" s="5">
        <f>IF(X195="","",V195-X195)</f>
        <v/>
      </c>
      <c r="Z195" s="16">
        <f>IF(OR(X195="",X195=0),"",Y195/X195)</f>
        <v/>
      </c>
      <c r="AA195" s="5">
        <f>IF(OR($A195="",'Ügyfelek'!R195=""),"",'Ügyfelek'!R195*VLOOKUP(M195,'Beállítások'!$A$57:$E$60,5,TRUE))</f>
        <v/>
      </c>
      <c r="AB195" s="14">
        <f>IF($A195="","",('Ügyfelek'!B195="")+('Ügyfelek'!C195="")+('Ügyfelek'!D195="")+('Ügyfelek'!L195="")+('Ügyfelek'!I195="")+('Ügyfelek'!N195="")+('Ügyfelek'!J195="")+('Ügyfelek'!K195="")+('Ügyfelek'!M195="")+('Ügyfelek'!P195="")+('Ügyfelek'!O195=""))</f>
        <v/>
      </c>
      <c r="AD195">
        <f>IF($A195="","",B195+'Beállítások'!$E$6/1000)</f>
        <v/>
      </c>
      <c r="AE195">
        <f>IF($A195="","",C195+'Beállítások'!$E$7/1000)</f>
        <v/>
      </c>
      <c r="AF195">
        <f>IF($A195="","",D195+'Beállítások'!$E$8/1000)</f>
        <v/>
      </c>
      <c r="AG195">
        <f>IF($A195="","",E195+'Beállítások'!$E$9/1000)</f>
        <v/>
      </c>
      <c r="AH195">
        <f>IF($A195="","",F195+'Beállítások'!$E$10/1000)</f>
        <v/>
      </c>
      <c r="AI195">
        <f>IF($A195="","",G195+'Beállítások'!$E$11/1000)</f>
        <v/>
      </c>
      <c r="AJ195">
        <f>IF($A195="","",H195+'Beállítások'!$E$12/1000)</f>
        <v/>
      </c>
      <c r="AK195">
        <f>IF($A195="","",I195+'Beállítások'!$E$13/1000)</f>
        <v/>
      </c>
      <c r="AL195">
        <f>IF($A195="","",J195+'Beállítások'!$E$14/1000)</f>
        <v/>
      </c>
      <c r="AM195">
        <f>IF($A195="","",K195+'Beállítások'!$E$15/1000)</f>
        <v/>
      </c>
      <c r="AN195">
        <f>IF($A195="","",L195+'Beállítások'!$E$16/1000)</f>
        <v/>
      </c>
      <c r="AO195">
        <f>IF($A195="","",'Beállítások'!$E$6*(5-B195))</f>
        <v/>
      </c>
      <c r="AP195">
        <f>IF($A195="","",'Beállítások'!$E$7*(5-C195))</f>
        <v/>
      </c>
      <c r="AQ195">
        <f>IF($A195="","",'Beállítások'!$E$8*(5-D195))</f>
        <v/>
      </c>
      <c r="AR195">
        <f>IF($A195="","",'Beállítások'!$E$9*(5-E195))</f>
        <v/>
      </c>
      <c r="AS195">
        <f>IF($A195="","",'Beállítások'!$E$10*(5-F195))</f>
        <v/>
      </c>
      <c r="AT195">
        <f>IF($A195="","",'Beállítások'!$E$11*(5-G195))</f>
        <v/>
      </c>
      <c r="AU195">
        <f>IF($A195="","",'Beállítások'!$E$12*(5-H195))</f>
        <v/>
      </c>
      <c r="AV195">
        <f>IF($A195="","",'Beállítások'!$E$13*(5-I195))</f>
        <v/>
      </c>
      <c r="AW195">
        <f>IF($A195="","",'Beállítások'!$E$14*(5-J195))</f>
        <v/>
      </c>
      <c r="AX195">
        <f>IF($A195="","",'Beállítások'!$E$15*(5-K195))</f>
        <v/>
      </c>
      <c r="AY195">
        <f>IF($A195="","",'Beállítások'!$E$16*(5-L195))</f>
        <v/>
      </c>
      <c r="AZ195">
        <f>IF($A195="","",M195-ROW()/100000)</f>
        <v/>
      </c>
    </row>
    <row r="196">
      <c r="A196">
        <f>IF('Ügyfelek'!A196="","",'Ügyfelek'!A196)</f>
        <v/>
      </c>
      <c r="B196">
        <f>IF($A196="","",IF('Ügyfelek'!B196="",'Beállítások'!$B$45,IFERROR(VLOOKUP(TRIM('Ügyfelek'!B196),'Beállítások'!$A$22:$B$41,2,FALSE),'Beállítások'!$B$45)))</f>
        <v/>
      </c>
      <c r="C196">
        <f>IF($A196="","",IF('Ügyfelek'!C196="",'Beállítások'!$B$45,VLOOKUP(MAX('Ügyfelek'!C196,'Beállítások'!$H$7),'Beállítások'!$H$7:$I$11,2,TRUE)))</f>
        <v/>
      </c>
      <c r="D196">
        <f>IF($A196="","",IF('Ügyfelek'!D196="",'Beállítások'!$B$45,VLOOKUP(MAX('Ügyfelek'!D196,'Beállítások'!$K$7),'Beállítások'!$K$7:$L$11,2,TRUE)))</f>
        <v/>
      </c>
      <c r="E196">
        <f>IF($A196="","",IF('Ügyfelek'!L196="",'Beállítások'!$B$45,MIN(5,MAX(1,ROUND('Ügyfelek'!L196,0)))))</f>
        <v/>
      </c>
      <c r="F196">
        <f>IF($A196="","",IF('Ügyfelek'!I196="",'Beállítások'!$B$45,VLOOKUP(MAX('Ügyfelek'!I196,'Beállítások'!$N$7),'Beállítások'!$N$7:$O$11,2,TRUE)))</f>
        <v/>
      </c>
      <c r="G196">
        <f>IF($A196="","",IF('Ügyfelek'!N196="",'Beállítások'!$B$45,MIN(5,MAX(1,ROUND('Ügyfelek'!N196,0)))))</f>
        <v/>
      </c>
      <c r="H196">
        <f>IF($A196="","",IF('Ügyfelek'!J196="",'Beállítások'!$B$45,VLOOKUP(MAX('Ügyfelek'!J196,'Beállítások'!$Q$7),'Beállítások'!$Q$7:$R$11,2,TRUE)))</f>
        <v/>
      </c>
      <c r="I196">
        <f>IF($A196="","",IF('Ügyfelek'!K196="",'Beállítások'!$B$45,VLOOKUP(MAX('Ügyfelek'!K196,'Beállítások'!$T$7),'Beállítások'!$T$7:$U$11,2,TRUE)))</f>
        <v/>
      </c>
      <c r="J196">
        <f>IF($A196="","",IF('Ügyfelek'!M196="",'Beállítások'!$B$45,MIN(5,MAX(1,ROUND('Ügyfelek'!M196,0)))))</f>
        <v/>
      </c>
      <c r="K196">
        <f>IF($A196="","",IF('Ügyfelek'!P196="",'Beállítások'!$B$45,MIN(5,MAX(1,ROUND('Ügyfelek'!P196,0)))))</f>
        <v/>
      </c>
      <c r="L196">
        <f>IF($A196="","",IF('Ügyfelek'!O196="",'Beállítások'!$B$45,MIN(5,MAX(1,ROUND('Ügyfelek'!O196,0)))))</f>
        <v/>
      </c>
      <c r="M196" s="13">
        <f>IF($A196="","",ROUND('Beállítások'!$E$6*(B196-1)/4+'Beállítások'!$E$7*(C196-1)/4+'Beállítások'!$E$8*(D196-1)/4+'Beállítások'!$E$9*(E196-1)/4+'Beállítások'!$E$10*(F196-1)/4+'Beállítások'!$E$11*(G196-1)/4+'Beállítások'!$E$12*(H196-1)/4+'Beállítások'!$E$13*(I196-1)/4+'Beállítások'!$E$14*(J196-1)/4+'Beállítások'!$E$15*(K196-1)/4+'Beállítások'!$E$16*(L196-1)/4,1))</f>
        <v/>
      </c>
      <c r="N196" s="14">
        <f>IF($A196="","",RANK(M196,$M$2:$M$201))</f>
        <v/>
      </c>
      <c r="O196">
        <f>IF($A196="","",VLOOKUP(M196,'Beállítások'!$A$57:$E$60,2,TRUE))</f>
        <v/>
      </c>
      <c r="P196">
        <f>IF($A196="","",VLOOKUP(M196,'Beállítások'!$A$57:$E$60,3,TRUE))</f>
        <v/>
      </c>
      <c r="Q196">
        <f>IF($A196="","",INDEX('Beállítások'!$B$6:$B$16,MATCH(MAX(AD196:AN196),AD196:AN196,0)))</f>
        <v/>
      </c>
      <c r="R196">
        <f>IF($A196="","",IF(MAX(AO196:AY196)=0,"—",INDEX('Beállítások'!$B$6:$B$16,MATCH(MAX(AO196:AY196),AO196:AY196,0))))</f>
        <v/>
      </c>
      <c r="S196" s="5">
        <f>IF($A196="","",'Beállítások'!$B$47*(TRIM('Ügyfelek'!E196)="igen")+'Beállítások'!$B$48*(TRIM('Ügyfelek'!F196)="igen")+'Beállítások'!$B$49*N('Ügyfelek'!G196)+'Beállítások'!$B$46*N('Ügyfelek'!H196))</f>
        <v/>
      </c>
      <c r="T196" s="15">
        <f>IF($A196="","",VLOOKUP(M196,'Beállítások'!$A$57:$E$60,4,TRUE))</f>
        <v/>
      </c>
      <c r="U196" s="5">
        <f>IF($A196="","",N('Ügyfelek'!D196)*'Beállítások'!$B$51)</f>
        <v/>
      </c>
      <c r="V196" s="5">
        <f>IF($A196="","",CEILING(ROUND(MAX('Beállítások'!$B$50,S196*T196,U196),2),'Beállítások'!$B$52))</f>
        <v/>
      </c>
      <c r="W196">
        <f>IF($A196="","",IF(MAX('Beállítások'!$B$50,S196*T196,U196)=S196*T196,"Munkaigény × szintszorzó",IF(MAX('Beállítások'!$B$50,S196*T196,U196)=U196,"Hirdetési keret arányában","Minimumdíj")))</f>
        <v/>
      </c>
      <c r="X196" s="5">
        <f>IF(OR($A196="",'Ügyfelek'!Q196=""),"",'Ügyfelek'!Q196)</f>
        <v/>
      </c>
      <c r="Y196" s="5">
        <f>IF(X196="","",V196-X196)</f>
        <v/>
      </c>
      <c r="Z196" s="16">
        <f>IF(OR(X196="",X196=0),"",Y196/X196)</f>
        <v/>
      </c>
      <c r="AA196" s="5">
        <f>IF(OR($A196="",'Ügyfelek'!R196=""),"",'Ügyfelek'!R196*VLOOKUP(M196,'Beállítások'!$A$57:$E$60,5,TRUE))</f>
        <v/>
      </c>
      <c r="AB196" s="14">
        <f>IF($A196="","",('Ügyfelek'!B196="")+('Ügyfelek'!C196="")+('Ügyfelek'!D196="")+('Ügyfelek'!L196="")+('Ügyfelek'!I196="")+('Ügyfelek'!N196="")+('Ügyfelek'!J196="")+('Ügyfelek'!K196="")+('Ügyfelek'!M196="")+('Ügyfelek'!P196="")+('Ügyfelek'!O196=""))</f>
        <v/>
      </c>
      <c r="AD196">
        <f>IF($A196="","",B196+'Beállítások'!$E$6/1000)</f>
        <v/>
      </c>
      <c r="AE196">
        <f>IF($A196="","",C196+'Beállítások'!$E$7/1000)</f>
        <v/>
      </c>
      <c r="AF196">
        <f>IF($A196="","",D196+'Beállítások'!$E$8/1000)</f>
        <v/>
      </c>
      <c r="AG196">
        <f>IF($A196="","",E196+'Beállítások'!$E$9/1000)</f>
        <v/>
      </c>
      <c r="AH196">
        <f>IF($A196="","",F196+'Beállítások'!$E$10/1000)</f>
        <v/>
      </c>
      <c r="AI196">
        <f>IF($A196="","",G196+'Beállítások'!$E$11/1000)</f>
        <v/>
      </c>
      <c r="AJ196">
        <f>IF($A196="","",H196+'Beállítások'!$E$12/1000)</f>
        <v/>
      </c>
      <c r="AK196">
        <f>IF($A196="","",I196+'Beállítások'!$E$13/1000)</f>
        <v/>
      </c>
      <c r="AL196">
        <f>IF($A196="","",J196+'Beállítások'!$E$14/1000)</f>
        <v/>
      </c>
      <c r="AM196">
        <f>IF($A196="","",K196+'Beállítások'!$E$15/1000)</f>
        <v/>
      </c>
      <c r="AN196">
        <f>IF($A196="","",L196+'Beállítások'!$E$16/1000)</f>
        <v/>
      </c>
      <c r="AO196">
        <f>IF($A196="","",'Beállítások'!$E$6*(5-B196))</f>
        <v/>
      </c>
      <c r="AP196">
        <f>IF($A196="","",'Beállítások'!$E$7*(5-C196))</f>
        <v/>
      </c>
      <c r="AQ196">
        <f>IF($A196="","",'Beállítások'!$E$8*(5-D196))</f>
        <v/>
      </c>
      <c r="AR196">
        <f>IF($A196="","",'Beállítások'!$E$9*(5-E196))</f>
        <v/>
      </c>
      <c r="AS196">
        <f>IF($A196="","",'Beállítások'!$E$10*(5-F196))</f>
        <v/>
      </c>
      <c r="AT196">
        <f>IF($A196="","",'Beállítások'!$E$11*(5-G196))</f>
        <v/>
      </c>
      <c r="AU196">
        <f>IF($A196="","",'Beállítások'!$E$12*(5-H196))</f>
        <v/>
      </c>
      <c r="AV196">
        <f>IF($A196="","",'Beállítások'!$E$13*(5-I196))</f>
        <v/>
      </c>
      <c r="AW196">
        <f>IF($A196="","",'Beállítások'!$E$14*(5-J196))</f>
        <v/>
      </c>
      <c r="AX196">
        <f>IF($A196="","",'Beállítások'!$E$15*(5-K196))</f>
        <v/>
      </c>
      <c r="AY196">
        <f>IF($A196="","",'Beállítások'!$E$16*(5-L196))</f>
        <v/>
      </c>
      <c r="AZ196">
        <f>IF($A196="","",M196-ROW()/100000)</f>
        <v/>
      </c>
    </row>
    <row r="197">
      <c r="A197">
        <f>IF('Ügyfelek'!A197="","",'Ügyfelek'!A197)</f>
        <v/>
      </c>
      <c r="B197">
        <f>IF($A197="","",IF('Ügyfelek'!B197="",'Beállítások'!$B$45,IFERROR(VLOOKUP(TRIM('Ügyfelek'!B197),'Beállítások'!$A$22:$B$41,2,FALSE),'Beállítások'!$B$45)))</f>
        <v/>
      </c>
      <c r="C197">
        <f>IF($A197="","",IF('Ügyfelek'!C197="",'Beállítások'!$B$45,VLOOKUP(MAX('Ügyfelek'!C197,'Beállítások'!$H$7),'Beállítások'!$H$7:$I$11,2,TRUE)))</f>
        <v/>
      </c>
      <c r="D197">
        <f>IF($A197="","",IF('Ügyfelek'!D197="",'Beállítások'!$B$45,VLOOKUP(MAX('Ügyfelek'!D197,'Beállítások'!$K$7),'Beállítások'!$K$7:$L$11,2,TRUE)))</f>
        <v/>
      </c>
      <c r="E197">
        <f>IF($A197="","",IF('Ügyfelek'!L197="",'Beállítások'!$B$45,MIN(5,MAX(1,ROUND('Ügyfelek'!L197,0)))))</f>
        <v/>
      </c>
      <c r="F197">
        <f>IF($A197="","",IF('Ügyfelek'!I197="",'Beállítások'!$B$45,VLOOKUP(MAX('Ügyfelek'!I197,'Beállítások'!$N$7),'Beállítások'!$N$7:$O$11,2,TRUE)))</f>
        <v/>
      </c>
      <c r="G197">
        <f>IF($A197="","",IF('Ügyfelek'!N197="",'Beállítások'!$B$45,MIN(5,MAX(1,ROUND('Ügyfelek'!N197,0)))))</f>
        <v/>
      </c>
      <c r="H197">
        <f>IF($A197="","",IF('Ügyfelek'!J197="",'Beállítások'!$B$45,VLOOKUP(MAX('Ügyfelek'!J197,'Beállítások'!$Q$7),'Beállítások'!$Q$7:$R$11,2,TRUE)))</f>
        <v/>
      </c>
      <c r="I197">
        <f>IF($A197="","",IF('Ügyfelek'!K197="",'Beállítások'!$B$45,VLOOKUP(MAX('Ügyfelek'!K197,'Beállítások'!$T$7),'Beállítások'!$T$7:$U$11,2,TRUE)))</f>
        <v/>
      </c>
      <c r="J197">
        <f>IF($A197="","",IF('Ügyfelek'!M197="",'Beállítások'!$B$45,MIN(5,MAX(1,ROUND('Ügyfelek'!M197,0)))))</f>
        <v/>
      </c>
      <c r="K197">
        <f>IF($A197="","",IF('Ügyfelek'!P197="",'Beállítások'!$B$45,MIN(5,MAX(1,ROUND('Ügyfelek'!P197,0)))))</f>
        <v/>
      </c>
      <c r="L197">
        <f>IF($A197="","",IF('Ügyfelek'!O197="",'Beállítások'!$B$45,MIN(5,MAX(1,ROUND('Ügyfelek'!O197,0)))))</f>
        <v/>
      </c>
      <c r="M197" s="13">
        <f>IF($A197="","",ROUND('Beállítások'!$E$6*(B197-1)/4+'Beállítások'!$E$7*(C197-1)/4+'Beállítások'!$E$8*(D197-1)/4+'Beállítások'!$E$9*(E197-1)/4+'Beállítások'!$E$10*(F197-1)/4+'Beállítások'!$E$11*(G197-1)/4+'Beállítások'!$E$12*(H197-1)/4+'Beállítások'!$E$13*(I197-1)/4+'Beállítások'!$E$14*(J197-1)/4+'Beállítások'!$E$15*(K197-1)/4+'Beállítások'!$E$16*(L197-1)/4,1))</f>
        <v/>
      </c>
      <c r="N197" s="14">
        <f>IF($A197="","",RANK(M197,$M$2:$M$201))</f>
        <v/>
      </c>
      <c r="O197">
        <f>IF($A197="","",VLOOKUP(M197,'Beállítások'!$A$57:$E$60,2,TRUE))</f>
        <v/>
      </c>
      <c r="P197">
        <f>IF($A197="","",VLOOKUP(M197,'Beállítások'!$A$57:$E$60,3,TRUE))</f>
        <v/>
      </c>
      <c r="Q197">
        <f>IF($A197="","",INDEX('Beállítások'!$B$6:$B$16,MATCH(MAX(AD197:AN197),AD197:AN197,0)))</f>
        <v/>
      </c>
      <c r="R197">
        <f>IF($A197="","",IF(MAX(AO197:AY197)=0,"—",INDEX('Beállítások'!$B$6:$B$16,MATCH(MAX(AO197:AY197),AO197:AY197,0))))</f>
        <v/>
      </c>
      <c r="S197" s="5">
        <f>IF($A197="","",'Beállítások'!$B$47*(TRIM('Ügyfelek'!E197)="igen")+'Beállítások'!$B$48*(TRIM('Ügyfelek'!F197)="igen")+'Beállítások'!$B$49*N('Ügyfelek'!G197)+'Beállítások'!$B$46*N('Ügyfelek'!H197))</f>
        <v/>
      </c>
      <c r="T197" s="15">
        <f>IF($A197="","",VLOOKUP(M197,'Beállítások'!$A$57:$E$60,4,TRUE))</f>
        <v/>
      </c>
      <c r="U197" s="5">
        <f>IF($A197="","",N('Ügyfelek'!D197)*'Beállítások'!$B$51)</f>
        <v/>
      </c>
      <c r="V197" s="5">
        <f>IF($A197="","",CEILING(ROUND(MAX('Beállítások'!$B$50,S197*T197,U197),2),'Beállítások'!$B$52))</f>
        <v/>
      </c>
      <c r="W197">
        <f>IF($A197="","",IF(MAX('Beállítások'!$B$50,S197*T197,U197)=S197*T197,"Munkaigény × szintszorzó",IF(MAX('Beállítások'!$B$50,S197*T197,U197)=U197,"Hirdetési keret arányában","Minimumdíj")))</f>
        <v/>
      </c>
      <c r="X197" s="5">
        <f>IF(OR($A197="",'Ügyfelek'!Q197=""),"",'Ügyfelek'!Q197)</f>
        <v/>
      </c>
      <c r="Y197" s="5">
        <f>IF(X197="","",V197-X197)</f>
        <v/>
      </c>
      <c r="Z197" s="16">
        <f>IF(OR(X197="",X197=0),"",Y197/X197)</f>
        <v/>
      </c>
      <c r="AA197" s="5">
        <f>IF(OR($A197="",'Ügyfelek'!R197=""),"",'Ügyfelek'!R197*VLOOKUP(M197,'Beállítások'!$A$57:$E$60,5,TRUE))</f>
        <v/>
      </c>
      <c r="AB197" s="14">
        <f>IF($A197="","",('Ügyfelek'!B197="")+('Ügyfelek'!C197="")+('Ügyfelek'!D197="")+('Ügyfelek'!L197="")+('Ügyfelek'!I197="")+('Ügyfelek'!N197="")+('Ügyfelek'!J197="")+('Ügyfelek'!K197="")+('Ügyfelek'!M197="")+('Ügyfelek'!P197="")+('Ügyfelek'!O197=""))</f>
        <v/>
      </c>
      <c r="AD197">
        <f>IF($A197="","",B197+'Beállítások'!$E$6/1000)</f>
        <v/>
      </c>
      <c r="AE197">
        <f>IF($A197="","",C197+'Beállítások'!$E$7/1000)</f>
        <v/>
      </c>
      <c r="AF197">
        <f>IF($A197="","",D197+'Beállítások'!$E$8/1000)</f>
        <v/>
      </c>
      <c r="AG197">
        <f>IF($A197="","",E197+'Beállítások'!$E$9/1000)</f>
        <v/>
      </c>
      <c r="AH197">
        <f>IF($A197="","",F197+'Beállítások'!$E$10/1000)</f>
        <v/>
      </c>
      <c r="AI197">
        <f>IF($A197="","",G197+'Beállítások'!$E$11/1000)</f>
        <v/>
      </c>
      <c r="AJ197">
        <f>IF($A197="","",H197+'Beállítások'!$E$12/1000)</f>
        <v/>
      </c>
      <c r="AK197">
        <f>IF($A197="","",I197+'Beállítások'!$E$13/1000)</f>
        <v/>
      </c>
      <c r="AL197">
        <f>IF($A197="","",J197+'Beállítások'!$E$14/1000)</f>
        <v/>
      </c>
      <c r="AM197">
        <f>IF($A197="","",K197+'Beállítások'!$E$15/1000)</f>
        <v/>
      </c>
      <c r="AN197">
        <f>IF($A197="","",L197+'Beállítások'!$E$16/1000)</f>
        <v/>
      </c>
      <c r="AO197">
        <f>IF($A197="","",'Beállítások'!$E$6*(5-B197))</f>
        <v/>
      </c>
      <c r="AP197">
        <f>IF($A197="","",'Beállítások'!$E$7*(5-C197))</f>
        <v/>
      </c>
      <c r="AQ197">
        <f>IF($A197="","",'Beállítások'!$E$8*(5-D197))</f>
        <v/>
      </c>
      <c r="AR197">
        <f>IF($A197="","",'Beállítások'!$E$9*(5-E197))</f>
        <v/>
      </c>
      <c r="AS197">
        <f>IF($A197="","",'Beállítások'!$E$10*(5-F197))</f>
        <v/>
      </c>
      <c r="AT197">
        <f>IF($A197="","",'Beállítások'!$E$11*(5-G197))</f>
        <v/>
      </c>
      <c r="AU197">
        <f>IF($A197="","",'Beállítások'!$E$12*(5-H197))</f>
        <v/>
      </c>
      <c r="AV197">
        <f>IF($A197="","",'Beállítások'!$E$13*(5-I197))</f>
        <v/>
      </c>
      <c r="AW197">
        <f>IF($A197="","",'Beállítások'!$E$14*(5-J197))</f>
        <v/>
      </c>
      <c r="AX197">
        <f>IF($A197="","",'Beállítások'!$E$15*(5-K197))</f>
        <v/>
      </c>
      <c r="AY197">
        <f>IF($A197="","",'Beállítások'!$E$16*(5-L197))</f>
        <v/>
      </c>
      <c r="AZ197">
        <f>IF($A197="","",M197-ROW()/100000)</f>
        <v/>
      </c>
    </row>
    <row r="198">
      <c r="A198">
        <f>IF('Ügyfelek'!A198="","",'Ügyfelek'!A198)</f>
        <v/>
      </c>
      <c r="B198">
        <f>IF($A198="","",IF('Ügyfelek'!B198="",'Beállítások'!$B$45,IFERROR(VLOOKUP(TRIM('Ügyfelek'!B198),'Beállítások'!$A$22:$B$41,2,FALSE),'Beállítások'!$B$45)))</f>
        <v/>
      </c>
      <c r="C198">
        <f>IF($A198="","",IF('Ügyfelek'!C198="",'Beállítások'!$B$45,VLOOKUP(MAX('Ügyfelek'!C198,'Beállítások'!$H$7),'Beállítások'!$H$7:$I$11,2,TRUE)))</f>
        <v/>
      </c>
      <c r="D198">
        <f>IF($A198="","",IF('Ügyfelek'!D198="",'Beállítások'!$B$45,VLOOKUP(MAX('Ügyfelek'!D198,'Beállítások'!$K$7),'Beállítások'!$K$7:$L$11,2,TRUE)))</f>
        <v/>
      </c>
      <c r="E198">
        <f>IF($A198="","",IF('Ügyfelek'!L198="",'Beállítások'!$B$45,MIN(5,MAX(1,ROUND('Ügyfelek'!L198,0)))))</f>
        <v/>
      </c>
      <c r="F198">
        <f>IF($A198="","",IF('Ügyfelek'!I198="",'Beállítások'!$B$45,VLOOKUP(MAX('Ügyfelek'!I198,'Beállítások'!$N$7),'Beállítások'!$N$7:$O$11,2,TRUE)))</f>
        <v/>
      </c>
      <c r="G198">
        <f>IF($A198="","",IF('Ügyfelek'!N198="",'Beállítások'!$B$45,MIN(5,MAX(1,ROUND('Ügyfelek'!N198,0)))))</f>
        <v/>
      </c>
      <c r="H198">
        <f>IF($A198="","",IF('Ügyfelek'!J198="",'Beállítások'!$B$45,VLOOKUP(MAX('Ügyfelek'!J198,'Beállítások'!$Q$7),'Beállítások'!$Q$7:$R$11,2,TRUE)))</f>
        <v/>
      </c>
      <c r="I198">
        <f>IF($A198="","",IF('Ügyfelek'!K198="",'Beállítások'!$B$45,VLOOKUP(MAX('Ügyfelek'!K198,'Beállítások'!$T$7),'Beállítások'!$T$7:$U$11,2,TRUE)))</f>
        <v/>
      </c>
      <c r="J198">
        <f>IF($A198="","",IF('Ügyfelek'!M198="",'Beállítások'!$B$45,MIN(5,MAX(1,ROUND('Ügyfelek'!M198,0)))))</f>
        <v/>
      </c>
      <c r="K198">
        <f>IF($A198="","",IF('Ügyfelek'!P198="",'Beállítások'!$B$45,MIN(5,MAX(1,ROUND('Ügyfelek'!P198,0)))))</f>
        <v/>
      </c>
      <c r="L198">
        <f>IF($A198="","",IF('Ügyfelek'!O198="",'Beállítások'!$B$45,MIN(5,MAX(1,ROUND('Ügyfelek'!O198,0)))))</f>
        <v/>
      </c>
      <c r="M198" s="13">
        <f>IF($A198="","",ROUND('Beállítások'!$E$6*(B198-1)/4+'Beállítások'!$E$7*(C198-1)/4+'Beállítások'!$E$8*(D198-1)/4+'Beállítások'!$E$9*(E198-1)/4+'Beállítások'!$E$10*(F198-1)/4+'Beállítások'!$E$11*(G198-1)/4+'Beállítások'!$E$12*(H198-1)/4+'Beállítások'!$E$13*(I198-1)/4+'Beállítások'!$E$14*(J198-1)/4+'Beállítások'!$E$15*(K198-1)/4+'Beállítások'!$E$16*(L198-1)/4,1))</f>
        <v/>
      </c>
      <c r="N198" s="14">
        <f>IF($A198="","",RANK(M198,$M$2:$M$201))</f>
        <v/>
      </c>
      <c r="O198">
        <f>IF($A198="","",VLOOKUP(M198,'Beállítások'!$A$57:$E$60,2,TRUE))</f>
        <v/>
      </c>
      <c r="P198">
        <f>IF($A198="","",VLOOKUP(M198,'Beállítások'!$A$57:$E$60,3,TRUE))</f>
        <v/>
      </c>
      <c r="Q198">
        <f>IF($A198="","",INDEX('Beállítások'!$B$6:$B$16,MATCH(MAX(AD198:AN198),AD198:AN198,0)))</f>
        <v/>
      </c>
      <c r="R198">
        <f>IF($A198="","",IF(MAX(AO198:AY198)=0,"—",INDEX('Beállítások'!$B$6:$B$16,MATCH(MAX(AO198:AY198),AO198:AY198,0))))</f>
        <v/>
      </c>
      <c r="S198" s="5">
        <f>IF($A198="","",'Beállítások'!$B$47*(TRIM('Ügyfelek'!E198)="igen")+'Beállítások'!$B$48*(TRIM('Ügyfelek'!F198)="igen")+'Beállítások'!$B$49*N('Ügyfelek'!G198)+'Beállítások'!$B$46*N('Ügyfelek'!H198))</f>
        <v/>
      </c>
      <c r="T198" s="15">
        <f>IF($A198="","",VLOOKUP(M198,'Beállítások'!$A$57:$E$60,4,TRUE))</f>
        <v/>
      </c>
      <c r="U198" s="5">
        <f>IF($A198="","",N('Ügyfelek'!D198)*'Beállítások'!$B$51)</f>
        <v/>
      </c>
      <c r="V198" s="5">
        <f>IF($A198="","",CEILING(ROUND(MAX('Beállítások'!$B$50,S198*T198,U198),2),'Beállítások'!$B$52))</f>
        <v/>
      </c>
      <c r="W198">
        <f>IF($A198="","",IF(MAX('Beállítások'!$B$50,S198*T198,U198)=S198*T198,"Munkaigény × szintszorzó",IF(MAX('Beállítások'!$B$50,S198*T198,U198)=U198,"Hirdetési keret arányában","Minimumdíj")))</f>
        <v/>
      </c>
      <c r="X198" s="5">
        <f>IF(OR($A198="",'Ügyfelek'!Q198=""),"",'Ügyfelek'!Q198)</f>
        <v/>
      </c>
      <c r="Y198" s="5">
        <f>IF(X198="","",V198-X198)</f>
        <v/>
      </c>
      <c r="Z198" s="16">
        <f>IF(OR(X198="",X198=0),"",Y198/X198)</f>
        <v/>
      </c>
      <c r="AA198" s="5">
        <f>IF(OR($A198="",'Ügyfelek'!R198=""),"",'Ügyfelek'!R198*VLOOKUP(M198,'Beállítások'!$A$57:$E$60,5,TRUE))</f>
        <v/>
      </c>
      <c r="AB198" s="14">
        <f>IF($A198="","",('Ügyfelek'!B198="")+('Ügyfelek'!C198="")+('Ügyfelek'!D198="")+('Ügyfelek'!L198="")+('Ügyfelek'!I198="")+('Ügyfelek'!N198="")+('Ügyfelek'!J198="")+('Ügyfelek'!K198="")+('Ügyfelek'!M198="")+('Ügyfelek'!P198="")+('Ügyfelek'!O198=""))</f>
        <v/>
      </c>
      <c r="AD198">
        <f>IF($A198="","",B198+'Beállítások'!$E$6/1000)</f>
        <v/>
      </c>
      <c r="AE198">
        <f>IF($A198="","",C198+'Beállítások'!$E$7/1000)</f>
        <v/>
      </c>
      <c r="AF198">
        <f>IF($A198="","",D198+'Beállítások'!$E$8/1000)</f>
        <v/>
      </c>
      <c r="AG198">
        <f>IF($A198="","",E198+'Beállítások'!$E$9/1000)</f>
        <v/>
      </c>
      <c r="AH198">
        <f>IF($A198="","",F198+'Beállítások'!$E$10/1000)</f>
        <v/>
      </c>
      <c r="AI198">
        <f>IF($A198="","",G198+'Beállítások'!$E$11/1000)</f>
        <v/>
      </c>
      <c r="AJ198">
        <f>IF($A198="","",H198+'Beállítások'!$E$12/1000)</f>
        <v/>
      </c>
      <c r="AK198">
        <f>IF($A198="","",I198+'Beállítások'!$E$13/1000)</f>
        <v/>
      </c>
      <c r="AL198">
        <f>IF($A198="","",J198+'Beállítások'!$E$14/1000)</f>
        <v/>
      </c>
      <c r="AM198">
        <f>IF($A198="","",K198+'Beállítások'!$E$15/1000)</f>
        <v/>
      </c>
      <c r="AN198">
        <f>IF($A198="","",L198+'Beállítások'!$E$16/1000)</f>
        <v/>
      </c>
      <c r="AO198">
        <f>IF($A198="","",'Beállítások'!$E$6*(5-B198))</f>
        <v/>
      </c>
      <c r="AP198">
        <f>IF($A198="","",'Beállítások'!$E$7*(5-C198))</f>
        <v/>
      </c>
      <c r="AQ198">
        <f>IF($A198="","",'Beállítások'!$E$8*(5-D198))</f>
        <v/>
      </c>
      <c r="AR198">
        <f>IF($A198="","",'Beállítások'!$E$9*(5-E198))</f>
        <v/>
      </c>
      <c r="AS198">
        <f>IF($A198="","",'Beállítások'!$E$10*(5-F198))</f>
        <v/>
      </c>
      <c r="AT198">
        <f>IF($A198="","",'Beállítások'!$E$11*(5-G198))</f>
        <v/>
      </c>
      <c r="AU198">
        <f>IF($A198="","",'Beállítások'!$E$12*(5-H198))</f>
        <v/>
      </c>
      <c r="AV198">
        <f>IF($A198="","",'Beállítások'!$E$13*(5-I198))</f>
        <v/>
      </c>
      <c r="AW198">
        <f>IF($A198="","",'Beállítások'!$E$14*(5-J198))</f>
        <v/>
      </c>
      <c r="AX198">
        <f>IF($A198="","",'Beállítások'!$E$15*(5-K198))</f>
        <v/>
      </c>
      <c r="AY198">
        <f>IF($A198="","",'Beállítások'!$E$16*(5-L198))</f>
        <v/>
      </c>
      <c r="AZ198">
        <f>IF($A198="","",M198-ROW()/100000)</f>
        <v/>
      </c>
    </row>
    <row r="199">
      <c r="A199">
        <f>IF('Ügyfelek'!A199="","",'Ügyfelek'!A199)</f>
        <v/>
      </c>
      <c r="B199">
        <f>IF($A199="","",IF('Ügyfelek'!B199="",'Beállítások'!$B$45,IFERROR(VLOOKUP(TRIM('Ügyfelek'!B199),'Beállítások'!$A$22:$B$41,2,FALSE),'Beállítások'!$B$45)))</f>
        <v/>
      </c>
      <c r="C199">
        <f>IF($A199="","",IF('Ügyfelek'!C199="",'Beállítások'!$B$45,VLOOKUP(MAX('Ügyfelek'!C199,'Beállítások'!$H$7),'Beállítások'!$H$7:$I$11,2,TRUE)))</f>
        <v/>
      </c>
      <c r="D199">
        <f>IF($A199="","",IF('Ügyfelek'!D199="",'Beállítások'!$B$45,VLOOKUP(MAX('Ügyfelek'!D199,'Beállítások'!$K$7),'Beállítások'!$K$7:$L$11,2,TRUE)))</f>
        <v/>
      </c>
      <c r="E199">
        <f>IF($A199="","",IF('Ügyfelek'!L199="",'Beállítások'!$B$45,MIN(5,MAX(1,ROUND('Ügyfelek'!L199,0)))))</f>
        <v/>
      </c>
      <c r="F199">
        <f>IF($A199="","",IF('Ügyfelek'!I199="",'Beállítások'!$B$45,VLOOKUP(MAX('Ügyfelek'!I199,'Beállítások'!$N$7),'Beállítások'!$N$7:$O$11,2,TRUE)))</f>
        <v/>
      </c>
      <c r="G199">
        <f>IF($A199="","",IF('Ügyfelek'!N199="",'Beállítások'!$B$45,MIN(5,MAX(1,ROUND('Ügyfelek'!N199,0)))))</f>
        <v/>
      </c>
      <c r="H199">
        <f>IF($A199="","",IF('Ügyfelek'!J199="",'Beállítások'!$B$45,VLOOKUP(MAX('Ügyfelek'!J199,'Beállítások'!$Q$7),'Beállítások'!$Q$7:$R$11,2,TRUE)))</f>
        <v/>
      </c>
      <c r="I199">
        <f>IF($A199="","",IF('Ügyfelek'!K199="",'Beállítások'!$B$45,VLOOKUP(MAX('Ügyfelek'!K199,'Beállítások'!$T$7),'Beállítások'!$T$7:$U$11,2,TRUE)))</f>
        <v/>
      </c>
      <c r="J199">
        <f>IF($A199="","",IF('Ügyfelek'!M199="",'Beállítások'!$B$45,MIN(5,MAX(1,ROUND('Ügyfelek'!M199,0)))))</f>
        <v/>
      </c>
      <c r="K199">
        <f>IF($A199="","",IF('Ügyfelek'!P199="",'Beállítások'!$B$45,MIN(5,MAX(1,ROUND('Ügyfelek'!P199,0)))))</f>
        <v/>
      </c>
      <c r="L199">
        <f>IF($A199="","",IF('Ügyfelek'!O199="",'Beállítások'!$B$45,MIN(5,MAX(1,ROUND('Ügyfelek'!O199,0)))))</f>
        <v/>
      </c>
      <c r="M199" s="13">
        <f>IF($A199="","",ROUND('Beállítások'!$E$6*(B199-1)/4+'Beállítások'!$E$7*(C199-1)/4+'Beállítások'!$E$8*(D199-1)/4+'Beállítások'!$E$9*(E199-1)/4+'Beállítások'!$E$10*(F199-1)/4+'Beállítások'!$E$11*(G199-1)/4+'Beállítások'!$E$12*(H199-1)/4+'Beállítások'!$E$13*(I199-1)/4+'Beállítások'!$E$14*(J199-1)/4+'Beállítások'!$E$15*(K199-1)/4+'Beállítások'!$E$16*(L199-1)/4,1))</f>
        <v/>
      </c>
      <c r="N199" s="14">
        <f>IF($A199="","",RANK(M199,$M$2:$M$201))</f>
        <v/>
      </c>
      <c r="O199">
        <f>IF($A199="","",VLOOKUP(M199,'Beállítások'!$A$57:$E$60,2,TRUE))</f>
        <v/>
      </c>
      <c r="P199">
        <f>IF($A199="","",VLOOKUP(M199,'Beállítások'!$A$57:$E$60,3,TRUE))</f>
        <v/>
      </c>
      <c r="Q199">
        <f>IF($A199="","",INDEX('Beállítások'!$B$6:$B$16,MATCH(MAX(AD199:AN199),AD199:AN199,0)))</f>
        <v/>
      </c>
      <c r="R199">
        <f>IF($A199="","",IF(MAX(AO199:AY199)=0,"—",INDEX('Beállítások'!$B$6:$B$16,MATCH(MAX(AO199:AY199),AO199:AY199,0))))</f>
        <v/>
      </c>
      <c r="S199" s="5">
        <f>IF($A199="","",'Beállítások'!$B$47*(TRIM('Ügyfelek'!E199)="igen")+'Beállítások'!$B$48*(TRIM('Ügyfelek'!F199)="igen")+'Beállítások'!$B$49*N('Ügyfelek'!G199)+'Beállítások'!$B$46*N('Ügyfelek'!H199))</f>
        <v/>
      </c>
      <c r="T199" s="15">
        <f>IF($A199="","",VLOOKUP(M199,'Beállítások'!$A$57:$E$60,4,TRUE))</f>
        <v/>
      </c>
      <c r="U199" s="5">
        <f>IF($A199="","",N('Ügyfelek'!D199)*'Beállítások'!$B$51)</f>
        <v/>
      </c>
      <c r="V199" s="5">
        <f>IF($A199="","",CEILING(ROUND(MAX('Beállítások'!$B$50,S199*T199,U199),2),'Beállítások'!$B$52))</f>
        <v/>
      </c>
      <c r="W199">
        <f>IF($A199="","",IF(MAX('Beállítások'!$B$50,S199*T199,U199)=S199*T199,"Munkaigény × szintszorzó",IF(MAX('Beállítások'!$B$50,S199*T199,U199)=U199,"Hirdetési keret arányában","Minimumdíj")))</f>
        <v/>
      </c>
      <c r="X199" s="5">
        <f>IF(OR($A199="",'Ügyfelek'!Q199=""),"",'Ügyfelek'!Q199)</f>
        <v/>
      </c>
      <c r="Y199" s="5">
        <f>IF(X199="","",V199-X199)</f>
        <v/>
      </c>
      <c r="Z199" s="16">
        <f>IF(OR(X199="",X199=0),"",Y199/X199)</f>
        <v/>
      </c>
      <c r="AA199" s="5">
        <f>IF(OR($A199="",'Ügyfelek'!R199=""),"",'Ügyfelek'!R199*VLOOKUP(M199,'Beállítások'!$A$57:$E$60,5,TRUE))</f>
        <v/>
      </c>
      <c r="AB199" s="14">
        <f>IF($A199="","",('Ügyfelek'!B199="")+('Ügyfelek'!C199="")+('Ügyfelek'!D199="")+('Ügyfelek'!L199="")+('Ügyfelek'!I199="")+('Ügyfelek'!N199="")+('Ügyfelek'!J199="")+('Ügyfelek'!K199="")+('Ügyfelek'!M199="")+('Ügyfelek'!P199="")+('Ügyfelek'!O199=""))</f>
        <v/>
      </c>
      <c r="AD199">
        <f>IF($A199="","",B199+'Beállítások'!$E$6/1000)</f>
        <v/>
      </c>
      <c r="AE199">
        <f>IF($A199="","",C199+'Beállítások'!$E$7/1000)</f>
        <v/>
      </c>
      <c r="AF199">
        <f>IF($A199="","",D199+'Beállítások'!$E$8/1000)</f>
        <v/>
      </c>
      <c r="AG199">
        <f>IF($A199="","",E199+'Beállítások'!$E$9/1000)</f>
        <v/>
      </c>
      <c r="AH199">
        <f>IF($A199="","",F199+'Beállítások'!$E$10/1000)</f>
        <v/>
      </c>
      <c r="AI199">
        <f>IF($A199="","",G199+'Beállítások'!$E$11/1000)</f>
        <v/>
      </c>
      <c r="AJ199">
        <f>IF($A199="","",H199+'Beállítások'!$E$12/1000)</f>
        <v/>
      </c>
      <c r="AK199">
        <f>IF($A199="","",I199+'Beállítások'!$E$13/1000)</f>
        <v/>
      </c>
      <c r="AL199">
        <f>IF($A199="","",J199+'Beállítások'!$E$14/1000)</f>
        <v/>
      </c>
      <c r="AM199">
        <f>IF($A199="","",K199+'Beállítások'!$E$15/1000)</f>
        <v/>
      </c>
      <c r="AN199">
        <f>IF($A199="","",L199+'Beállítások'!$E$16/1000)</f>
        <v/>
      </c>
      <c r="AO199">
        <f>IF($A199="","",'Beállítások'!$E$6*(5-B199))</f>
        <v/>
      </c>
      <c r="AP199">
        <f>IF($A199="","",'Beállítások'!$E$7*(5-C199))</f>
        <v/>
      </c>
      <c r="AQ199">
        <f>IF($A199="","",'Beállítások'!$E$8*(5-D199))</f>
        <v/>
      </c>
      <c r="AR199">
        <f>IF($A199="","",'Beállítások'!$E$9*(5-E199))</f>
        <v/>
      </c>
      <c r="AS199">
        <f>IF($A199="","",'Beállítások'!$E$10*(5-F199))</f>
        <v/>
      </c>
      <c r="AT199">
        <f>IF($A199="","",'Beállítások'!$E$11*(5-G199))</f>
        <v/>
      </c>
      <c r="AU199">
        <f>IF($A199="","",'Beállítások'!$E$12*(5-H199))</f>
        <v/>
      </c>
      <c r="AV199">
        <f>IF($A199="","",'Beállítások'!$E$13*(5-I199))</f>
        <v/>
      </c>
      <c r="AW199">
        <f>IF($A199="","",'Beállítások'!$E$14*(5-J199))</f>
        <v/>
      </c>
      <c r="AX199">
        <f>IF($A199="","",'Beállítások'!$E$15*(5-K199))</f>
        <v/>
      </c>
      <c r="AY199">
        <f>IF($A199="","",'Beállítások'!$E$16*(5-L199))</f>
        <v/>
      </c>
      <c r="AZ199">
        <f>IF($A199="","",M199-ROW()/100000)</f>
        <v/>
      </c>
    </row>
    <row r="200">
      <c r="A200">
        <f>IF('Ügyfelek'!A200="","",'Ügyfelek'!A200)</f>
        <v/>
      </c>
      <c r="B200">
        <f>IF($A200="","",IF('Ügyfelek'!B200="",'Beállítások'!$B$45,IFERROR(VLOOKUP(TRIM('Ügyfelek'!B200),'Beállítások'!$A$22:$B$41,2,FALSE),'Beállítások'!$B$45)))</f>
        <v/>
      </c>
      <c r="C200">
        <f>IF($A200="","",IF('Ügyfelek'!C200="",'Beállítások'!$B$45,VLOOKUP(MAX('Ügyfelek'!C200,'Beállítások'!$H$7),'Beállítások'!$H$7:$I$11,2,TRUE)))</f>
        <v/>
      </c>
      <c r="D200">
        <f>IF($A200="","",IF('Ügyfelek'!D200="",'Beállítások'!$B$45,VLOOKUP(MAX('Ügyfelek'!D200,'Beállítások'!$K$7),'Beállítások'!$K$7:$L$11,2,TRUE)))</f>
        <v/>
      </c>
      <c r="E200">
        <f>IF($A200="","",IF('Ügyfelek'!L200="",'Beállítások'!$B$45,MIN(5,MAX(1,ROUND('Ügyfelek'!L200,0)))))</f>
        <v/>
      </c>
      <c r="F200">
        <f>IF($A200="","",IF('Ügyfelek'!I200="",'Beállítások'!$B$45,VLOOKUP(MAX('Ügyfelek'!I200,'Beállítások'!$N$7),'Beállítások'!$N$7:$O$11,2,TRUE)))</f>
        <v/>
      </c>
      <c r="G200">
        <f>IF($A200="","",IF('Ügyfelek'!N200="",'Beállítások'!$B$45,MIN(5,MAX(1,ROUND('Ügyfelek'!N200,0)))))</f>
        <v/>
      </c>
      <c r="H200">
        <f>IF($A200="","",IF('Ügyfelek'!J200="",'Beállítások'!$B$45,VLOOKUP(MAX('Ügyfelek'!J200,'Beállítások'!$Q$7),'Beállítások'!$Q$7:$R$11,2,TRUE)))</f>
        <v/>
      </c>
      <c r="I200">
        <f>IF($A200="","",IF('Ügyfelek'!K200="",'Beállítások'!$B$45,VLOOKUP(MAX('Ügyfelek'!K200,'Beállítások'!$T$7),'Beállítások'!$T$7:$U$11,2,TRUE)))</f>
        <v/>
      </c>
      <c r="J200">
        <f>IF($A200="","",IF('Ügyfelek'!M200="",'Beállítások'!$B$45,MIN(5,MAX(1,ROUND('Ügyfelek'!M200,0)))))</f>
        <v/>
      </c>
      <c r="K200">
        <f>IF($A200="","",IF('Ügyfelek'!P200="",'Beállítások'!$B$45,MIN(5,MAX(1,ROUND('Ügyfelek'!P200,0)))))</f>
        <v/>
      </c>
      <c r="L200">
        <f>IF($A200="","",IF('Ügyfelek'!O200="",'Beállítások'!$B$45,MIN(5,MAX(1,ROUND('Ügyfelek'!O200,0)))))</f>
        <v/>
      </c>
      <c r="M200" s="13">
        <f>IF($A200="","",ROUND('Beállítások'!$E$6*(B200-1)/4+'Beállítások'!$E$7*(C200-1)/4+'Beállítások'!$E$8*(D200-1)/4+'Beállítások'!$E$9*(E200-1)/4+'Beállítások'!$E$10*(F200-1)/4+'Beállítások'!$E$11*(G200-1)/4+'Beállítások'!$E$12*(H200-1)/4+'Beállítások'!$E$13*(I200-1)/4+'Beállítások'!$E$14*(J200-1)/4+'Beállítások'!$E$15*(K200-1)/4+'Beállítások'!$E$16*(L200-1)/4,1))</f>
        <v/>
      </c>
      <c r="N200" s="14">
        <f>IF($A200="","",RANK(M200,$M$2:$M$201))</f>
        <v/>
      </c>
      <c r="O200">
        <f>IF($A200="","",VLOOKUP(M200,'Beállítások'!$A$57:$E$60,2,TRUE))</f>
        <v/>
      </c>
      <c r="P200">
        <f>IF($A200="","",VLOOKUP(M200,'Beállítások'!$A$57:$E$60,3,TRUE))</f>
        <v/>
      </c>
      <c r="Q200">
        <f>IF($A200="","",INDEX('Beállítások'!$B$6:$B$16,MATCH(MAX(AD200:AN200),AD200:AN200,0)))</f>
        <v/>
      </c>
      <c r="R200">
        <f>IF($A200="","",IF(MAX(AO200:AY200)=0,"—",INDEX('Beállítások'!$B$6:$B$16,MATCH(MAX(AO200:AY200),AO200:AY200,0))))</f>
        <v/>
      </c>
      <c r="S200" s="5">
        <f>IF($A200="","",'Beállítások'!$B$47*(TRIM('Ügyfelek'!E200)="igen")+'Beállítások'!$B$48*(TRIM('Ügyfelek'!F200)="igen")+'Beállítások'!$B$49*N('Ügyfelek'!G200)+'Beállítások'!$B$46*N('Ügyfelek'!H200))</f>
        <v/>
      </c>
      <c r="T200" s="15">
        <f>IF($A200="","",VLOOKUP(M200,'Beállítások'!$A$57:$E$60,4,TRUE))</f>
        <v/>
      </c>
      <c r="U200" s="5">
        <f>IF($A200="","",N('Ügyfelek'!D200)*'Beállítások'!$B$51)</f>
        <v/>
      </c>
      <c r="V200" s="5">
        <f>IF($A200="","",CEILING(ROUND(MAX('Beállítások'!$B$50,S200*T200,U200),2),'Beállítások'!$B$52))</f>
        <v/>
      </c>
      <c r="W200">
        <f>IF($A200="","",IF(MAX('Beállítások'!$B$50,S200*T200,U200)=S200*T200,"Munkaigény × szintszorzó",IF(MAX('Beállítások'!$B$50,S200*T200,U200)=U200,"Hirdetési keret arányában","Minimumdíj")))</f>
        <v/>
      </c>
      <c r="X200" s="5">
        <f>IF(OR($A200="",'Ügyfelek'!Q200=""),"",'Ügyfelek'!Q200)</f>
        <v/>
      </c>
      <c r="Y200" s="5">
        <f>IF(X200="","",V200-X200)</f>
        <v/>
      </c>
      <c r="Z200" s="16">
        <f>IF(OR(X200="",X200=0),"",Y200/X200)</f>
        <v/>
      </c>
      <c r="AA200" s="5">
        <f>IF(OR($A200="",'Ügyfelek'!R200=""),"",'Ügyfelek'!R200*VLOOKUP(M200,'Beállítások'!$A$57:$E$60,5,TRUE))</f>
        <v/>
      </c>
      <c r="AB200" s="14">
        <f>IF($A200="","",('Ügyfelek'!B200="")+('Ügyfelek'!C200="")+('Ügyfelek'!D200="")+('Ügyfelek'!L200="")+('Ügyfelek'!I200="")+('Ügyfelek'!N200="")+('Ügyfelek'!J200="")+('Ügyfelek'!K200="")+('Ügyfelek'!M200="")+('Ügyfelek'!P200="")+('Ügyfelek'!O200=""))</f>
        <v/>
      </c>
      <c r="AD200">
        <f>IF($A200="","",B200+'Beállítások'!$E$6/1000)</f>
        <v/>
      </c>
      <c r="AE200">
        <f>IF($A200="","",C200+'Beállítások'!$E$7/1000)</f>
        <v/>
      </c>
      <c r="AF200">
        <f>IF($A200="","",D200+'Beállítások'!$E$8/1000)</f>
        <v/>
      </c>
      <c r="AG200">
        <f>IF($A200="","",E200+'Beállítások'!$E$9/1000)</f>
        <v/>
      </c>
      <c r="AH200">
        <f>IF($A200="","",F200+'Beállítások'!$E$10/1000)</f>
        <v/>
      </c>
      <c r="AI200">
        <f>IF($A200="","",G200+'Beállítások'!$E$11/1000)</f>
        <v/>
      </c>
      <c r="AJ200">
        <f>IF($A200="","",H200+'Beállítások'!$E$12/1000)</f>
        <v/>
      </c>
      <c r="AK200">
        <f>IF($A200="","",I200+'Beállítások'!$E$13/1000)</f>
        <v/>
      </c>
      <c r="AL200">
        <f>IF($A200="","",J200+'Beállítások'!$E$14/1000)</f>
        <v/>
      </c>
      <c r="AM200">
        <f>IF($A200="","",K200+'Beállítások'!$E$15/1000)</f>
        <v/>
      </c>
      <c r="AN200">
        <f>IF($A200="","",L200+'Beállítások'!$E$16/1000)</f>
        <v/>
      </c>
      <c r="AO200">
        <f>IF($A200="","",'Beállítások'!$E$6*(5-B200))</f>
        <v/>
      </c>
      <c r="AP200">
        <f>IF($A200="","",'Beállítások'!$E$7*(5-C200))</f>
        <v/>
      </c>
      <c r="AQ200">
        <f>IF($A200="","",'Beállítások'!$E$8*(5-D200))</f>
        <v/>
      </c>
      <c r="AR200">
        <f>IF($A200="","",'Beállítások'!$E$9*(5-E200))</f>
        <v/>
      </c>
      <c r="AS200">
        <f>IF($A200="","",'Beállítások'!$E$10*(5-F200))</f>
        <v/>
      </c>
      <c r="AT200">
        <f>IF($A200="","",'Beállítások'!$E$11*(5-G200))</f>
        <v/>
      </c>
      <c r="AU200">
        <f>IF($A200="","",'Beállítások'!$E$12*(5-H200))</f>
        <v/>
      </c>
      <c r="AV200">
        <f>IF($A200="","",'Beállítások'!$E$13*(5-I200))</f>
        <v/>
      </c>
      <c r="AW200">
        <f>IF($A200="","",'Beállítások'!$E$14*(5-J200))</f>
        <v/>
      </c>
      <c r="AX200">
        <f>IF($A200="","",'Beállítások'!$E$15*(5-K200))</f>
        <v/>
      </c>
      <c r="AY200">
        <f>IF($A200="","",'Beállítások'!$E$16*(5-L200))</f>
        <v/>
      </c>
      <c r="AZ200">
        <f>IF($A200="","",M200-ROW()/100000)</f>
        <v/>
      </c>
    </row>
    <row r="201">
      <c r="A201">
        <f>IF('Ügyfelek'!A201="","",'Ügyfelek'!A201)</f>
        <v/>
      </c>
      <c r="B201">
        <f>IF($A201="","",IF('Ügyfelek'!B201="",'Beállítások'!$B$45,IFERROR(VLOOKUP(TRIM('Ügyfelek'!B201),'Beállítások'!$A$22:$B$41,2,FALSE),'Beállítások'!$B$45)))</f>
        <v/>
      </c>
      <c r="C201">
        <f>IF($A201="","",IF('Ügyfelek'!C201="",'Beállítások'!$B$45,VLOOKUP(MAX('Ügyfelek'!C201,'Beállítások'!$H$7),'Beállítások'!$H$7:$I$11,2,TRUE)))</f>
        <v/>
      </c>
      <c r="D201">
        <f>IF($A201="","",IF('Ügyfelek'!D201="",'Beállítások'!$B$45,VLOOKUP(MAX('Ügyfelek'!D201,'Beállítások'!$K$7),'Beállítások'!$K$7:$L$11,2,TRUE)))</f>
        <v/>
      </c>
      <c r="E201">
        <f>IF($A201="","",IF('Ügyfelek'!L201="",'Beállítások'!$B$45,MIN(5,MAX(1,ROUND('Ügyfelek'!L201,0)))))</f>
        <v/>
      </c>
      <c r="F201">
        <f>IF($A201="","",IF('Ügyfelek'!I201="",'Beállítások'!$B$45,VLOOKUP(MAX('Ügyfelek'!I201,'Beállítások'!$N$7),'Beállítások'!$N$7:$O$11,2,TRUE)))</f>
        <v/>
      </c>
      <c r="G201">
        <f>IF($A201="","",IF('Ügyfelek'!N201="",'Beállítások'!$B$45,MIN(5,MAX(1,ROUND('Ügyfelek'!N201,0)))))</f>
        <v/>
      </c>
      <c r="H201">
        <f>IF($A201="","",IF('Ügyfelek'!J201="",'Beállítások'!$B$45,VLOOKUP(MAX('Ügyfelek'!J201,'Beállítások'!$Q$7),'Beállítások'!$Q$7:$R$11,2,TRUE)))</f>
        <v/>
      </c>
      <c r="I201">
        <f>IF($A201="","",IF('Ügyfelek'!K201="",'Beállítások'!$B$45,VLOOKUP(MAX('Ügyfelek'!K201,'Beállítások'!$T$7),'Beállítások'!$T$7:$U$11,2,TRUE)))</f>
        <v/>
      </c>
      <c r="J201">
        <f>IF($A201="","",IF('Ügyfelek'!M201="",'Beállítások'!$B$45,MIN(5,MAX(1,ROUND('Ügyfelek'!M201,0)))))</f>
        <v/>
      </c>
      <c r="K201">
        <f>IF($A201="","",IF('Ügyfelek'!P201="",'Beállítások'!$B$45,MIN(5,MAX(1,ROUND('Ügyfelek'!P201,0)))))</f>
        <v/>
      </c>
      <c r="L201">
        <f>IF($A201="","",IF('Ügyfelek'!O201="",'Beállítások'!$B$45,MIN(5,MAX(1,ROUND('Ügyfelek'!O201,0)))))</f>
        <v/>
      </c>
      <c r="M201" s="13">
        <f>IF($A201="","",ROUND('Beállítások'!$E$6*(B201-1)/4+'Beállítások'!$E$7*(C201-1)/4+'Beállítások'!$E$8*(D201-1)/4+'Beállítások'!$E$9*(E201-1)/4+'Beállítások'!$E$10*(F201-1)/4+'Beállítások'!$E$11*(G201-1)/4+'Beállítások'!$E$12*(H201-1)/4+'Beállítások'!$E$13*(I201-1)/4+'Beállítások'!$E$14*(J201-1)/4+'Beállítások'!$E$15*(K201-1)/4+'Beállítások'!$E$16*(L201-1)/4,1))</f>
        <v/>
      </c>
      <c r="N201" s="14">
        <f>IF($A201="","",RANK(M201,$M$2:$M$201))</f>
        <v/>
      </c>
      <c r="O201">
        <f>IF($A201="","",VLOOKUP(M201,'Beállítások'!$A$57:$E$60,2,TRUE))</f>
        <v/>
      </c>
      <c r="P201">
        <f>IF($A201="","",VLOOKUP(M201,'Beállítások'!$A$57:$E$60,3,TRUE))</f>
        <v/>
      </c>
      <c r="Q201">
        <f>IF($A201="","",INDEX('Beállítások'!$B$6:$B$16,MATCH(MAX(AD201:AN201),AD201:AN201,0)))</f>
        <v/>
      </c>
      <c r="R201">
        <f>IF($A201="","",IF(MAX(AO201:AY201)=0,"—",INDEX('Beállítások'!$B$6:$B$16,MATCH(MAX(AO201:AY201),AO201:AY201,0))))</f>
        <v/>
      </c>
      <c r="S201" s="5">
        <f>IF($A201="","",'Beállítások'!$B$47*(TRIM('Ügyfelek'!E201)="igen")+'Beállítások'!$B$48*(TRIM('Ügyfelek'!F201)="igen")+'Beállítások'!$B$49*N('Ügyfelek'!G201)+'Beállítások'!$B$46*N('Ügyfelek'!H201))</f>
        <v/>
      </c>
      <c r="T201" s="15">
        <f>IF($A201="","",VLOOKUP(M201,'Beállítások'!$A$57:$E$60,4,TRUE))</f>
        <v/>
      </c>
      <c r="U201" s="5">
        <f>IF($A201="","",N('Ügyfelek'!D201)*'Beállítások'!$B$51)</f>
        <v/>
      </c>
      <c r="V201" s="5">
        <f>IF($A201="","",CEILING(ROUND(MAX('Beállítások'!$B$50,S201*T201,U201),2),'Beállítások'!$B$52))</f>
        <v/>
      </c>
      <c r="W201">
        <f>IF($A201="","",IF(MAX('Beállítások'!$B$50,S201*T201,U201)=S201*T201,"Munkaigény × szintszorzó",IF(MAX('Beállítások'!$B$50,S201*T201,U201)=U201,"Hirdetési keret arányában","Minimumdíj")))</f>
        <v/>
      </c>
      <c r="X201" s="5">
        <f>IF(OR($A201="",'Ügyfelek'!Q201=""),"",'Ügyfelek'!Q201)</f>
        <v/>
      </c>
      <c r="Y201" s="5">
        <f>IF(X201="","",V201-X201)</f>
        <v/>
      </c>
      <c r="Z201" s="16">
        <f>IF(OR(X201="",X201=0),"",Y201/X201)</f>
        <v/>
      </c>
      <c r="AA201" s="5">
        <f>IF(OR($A201="",'Ügyfelek'!R201=""),"",'Ügyfelek'!R201*VLOOKUP(M201,'Beállítások'!$A$57:$E$60,5,TRUE))</f>
        <v/>
      </c>
      <c r="AB201" s="14">
        <f>IF($A201="","",('Ügyfelek'!B201="")+('Ügyfelek'!C201="")+('Ügyfelek'!D201="")+('Ügyfelek'!L201="")+('Ügyfelek'!I201="")+('Ügyfelek'!N201="")+('Ügyfelek'!J201="")+('Ügyfelek'!K201="")+('Ügyfelek'!M201="")+('Ügyfelek'!P201="")+('Ügyfelek'!O201=""))</f>
        <v/>
      </c>
      <c r="AD201">
        <f>IF($A201="","",B201+'Beállítások'!$E$6/1000)</f>
        <v/>
      </c>
      <c r="AE201">
        <f>IF($A201="","",C201+'Beállítások'!$E$7/1000)</f>
        <v/>
      </c>
      <c r="AF201">
        <f>IF($A201="","",D201+'Beállítások'!$E$8/1000)</f>
        <v/>
      </c>
      <c r="AG201">
        <f>IF($A201="","",E201+'Beállítások'!$E$9/1000)</f>
        <v/>
      </c>
      <c r="AH201">
        <f>IF($A201="","",F201+'Beállítások'!$E$10/1000)</f>
        <v/>
      </c>
      <c r="AI201">
        <f>IF($A201="","",G201+'Beállítások'!$E$11/1000)</f>
        <v/>
      </c>
      <c r="AJ201">
        <f>IF($A201="","",H201+'Beállítások'!$E$12/1000)</f>
        <v/>
      </c>
      <c r="AK201">
        <f>IF($A201="","",I201+'Beállítások'!$E$13/1000)</f>
        <v/>
      </c>
      <c r="AL201">
        <f>IF($A201="","",J201+'Beállítások'!$E$14/1000)</f>
        <v/>
      </c>
      <c r="AM201">
        <f>IF($A201="","",K201+'Beállítások'!$E$15/1000)</f>
        <v/>
      </c>
      <c r="AN201">
        <f>IF($A201="","",L201+'Beállítások'!$E$16/1000)</f>
        <v/>
      </c>
      <c r="AO201">
        <f>IF($A201="","",'Beállítások'!$E$6*(5-B201))</f>
        <v/>
      </c>
      <c r="AP201">
        <f>IF($A201="","",'Beállítások'!$E$7*(5-C201))</f>
        <v/>
      </c>
      <c r="AQ201">
        <f>IF($A201="","",'Beállítások'!$E$8*(5-D201))</f>
        <v/>
      </c>
      <c r="AR201">
        <f>IF($A201="","",'Beállítások'!$E$9*(5-E201))</f>
        <v/>
      </c>
      <c r="AS201">
        <f>IF($A201="","",'Beállítások'!$E$10*(5-F201))</f>
        <v/>
      </c>
      <c r="AT201">
        <f>IF($A201="","",'Beállítások'!$E$11*(5-G201))</f>
        <v/>
      </c>
      <c r="AU201">
        <f>IF($A201="","",'Beállítások'!$E$12*(5-H201))</f>
        <v/>
      </c>
      <c r="AV201">
        <f>IF($A201="","",'Beállítások'!$E$13*(5-I201))</f>
        <v/>
      </c>
      <c r="AW201">
        <f>IF($A201="","",'Beállítások'!$E$14*(5-J201))</f>
        <v/>
      </c>
      <c r="AX201">
        <f>IF($A201="","",'Beállítások'!$E$15*(5-K201))</f>
        <v/>
      </c>
      <c r="AY201">
        <f>IF($A201="","",'Beállítások'!$E$16*(5-L201))</f>
        <v/>
      </c>
      <c r="AZ201">
        <f>IF($A201="","",M201-ROW()/100000)</f>
        <v/>
      </c>
    </row>
  </sheetData>
  <autoFilter ref="A1:AB201"/>
  <conditionalFormatting sqref="M2:M201">
    <cfRule type="dataBar" priority="1">
      <dataBar>
        <cfvo type="num" val="0"/>
        <cfvo type="num" val="100"/>
        <color rgb="002E981B"/>
      </dataBar>
    </cfRule>
  </conditionalFormatting>
  <conditionalFormatting sqref="O2:O201">
    <cfRule type="expression" priority="2" dxfId="0">
      <formula>O2="A"</formula>
    </cfRule>
    <cfRule type="expression" priority="3" dxfId="1">
      <formula>O2="B"</formula>
    </cfRule>
    <cfRule type="expression" priority="4" dxfId="2">
      <formula>O2="C"</formula>
    </cfRule>
    <cfRule type="expression" priority="5" dxfId="3">
      <formula>O2="D"</formula>
    </cfRule>
  </conditionalFormatting>
  <conditionalFormatting sqref="Y2:Z201">
    <cfRule type="cellIs" priority="6" operator="greaterThan" dxfId="4">
      <formula>0</formula>
    </cfRule>
    <cfRule type="cellIs" priority="7" operator="lessThan" dxfId="5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98781"/>
    <outlinePr summaryBelow="1" summaryRight="1"/>
    <pageSetUpPr/>
  </sheetPr>
  <dimension ref="A1:U6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3" customWidth="1" min="3" max="3"/>
    <col width="11" customWidth="1" min="4" max="4"/>
    <col width="8" customWidth="1" min="5" max="5"/>
    <col width="70" customWidth="1" min="6" max="6"/>
    <col width="13" customWidth="1" min="8" max="8"/>
    <col width="7" customWidth="1" min="9" max="9"/>
    <col width="3" customWidth="1" min="10" max="10"/>
    <col width="13" customWidth="1" min="11" max="11"/>
    <col width="7" customWidth="1" min="12" max="12"/>
    <col width="3" customWidth="1" min="13" max="13"/>
    <col width="13" customWidth="1" min="14" max="14"/>
    <col width="7" customWidth="1" min="15" max="15"/>
    <col width="3" customWidth="1" min="16" max="16"/>
    <col width="13" customWidth="1" min="17" max="17"/>
    <col width="7" customWidth="1" min="18" max="18"/>
    <col width="3" customWidth="1" min="19" max="19"/>
    <col width="13" customWidth="1" min="20" max="20"/>
    <col width="7" customWidth="1" min="21" max="21"/>
    <col width="3" customWidth="1" min="22" max="22"/>
  </cols>
  <sheetData>
    <row r="1">
      <c r="A1" s="6" t="inlineStr">
        <is>
          <t>Beállítások – kritériumok, súlyok, sávok, szintek, díjazás</t>
        </is>
      </c>
    </row>
    <row r="2">
      <c r="A2" t="inlineStr">
        <is>
          <t>A sárga cellák szabadon módosíthatók; minden eredmény azonnal újraszámolódik.</t>
        </is>
      </c>
    </row>
    <row r="4">
      <c r="A4" s="17" t="inlineStr">
        <is>
          <t>Kritériumok és súlyok</t>
        </is>
      </c>
      <c r="H4" s="17" t="inlineStr">
        <is>
          <t>Sávok (alsó határ → pont)</t>
        </is>
      </c>
    </row>
    <row r="5" ht="45" customHeight="1">
      <c r="A5" s="4" t="inlineStr">
        <is>
          <t>Kód</t>
        </is>
      </c>
      <c r="B5" s="4" t="inlineStr">
        <is>
          <t>Kritérium</t>
        </is>
      </c>
      <c r="C5" s="4" t="inlineStr">
        <is>
          <t>Csoport</t>
        </is>
      </c>
      <c r="D5" s="4" t="inlineStr">
        <is>
          <t>Típus</t>
        </is>
      </c>
      <c r="E5" s="4" t="inlineStr">
        <is>
          <t>Súly</t>
        </is>
      </c>
      <c r="F5" s="4" t="inlineStr">
        <is>
          <t>Leírás</t>
        </is>
      </c>
      <c r="H5" s="18" t="inlineStr">
        <is>
          <t>Éves árbevétel</t>
        </is>
      </c>
      <c r="K5" s="18" t="inlineStr">
        <is>
          <t>Havi hirdetési keret</t>
        </is>
      </c>
      <c r="N5" s="18" t="inlineStr">
        <is>
          <t>Jelenlegi ROAS</t>
        </is>
      </c>
      <c r="Q5" s="18" t="inlineStr">
        <is>
          <t>Fizetési fegyelem</t>
        </is>
      </c>
      <c r="T5" s="18" t="inlineStr">
        <is>
          <t>Együttműködés hossza</t>
        </is>
      </c>
    </row>
    <row r="6">
      <c r="A6" t="inlineStr">
        <is>
          <t>iparag</t>
        </is>
      </c>
      <c r="B6" t="inlineStr">
        <is>
          <t>Iparági illeszkedés</t>
        </is>
      </c>
      <c r="C6" t="inlineStr">
        <is>
          <t>Illeszkedés</t>
        </is>
      </c>
      <c r="D6" t="inlineStr">
        <is>
          <t>lista</t>
        </is>
      </c>
      <c r="E6" s="19" t="n">
        <v>10</v>
      </c>
      <c r="F6" t="inlineStr">
        <is>
          <t>Mennyire mérhető és skálázható az online hirdetés az iparágban.</t>
        </is>
      </c>
      <c r="H6" s="20" t="inlineStr">
        <is>
          <t>Alsó határ</t>
        </is>
      </c>
      <c r="I6" s="20" t="inlineStr">
        <is>
          <t>Pont</t>
        </is>
      </c>
      <c r="K6" s="20" t="inlineStr">
        <is>
          <t>Alsó határ</t>
        </is>
      </c>
      <c r="L6" s="20" t="inlineStr">
        <is>
          <t>Pont</t>
        </is>
      </c>
      <c r="N6" s="20" t="inlineStr">
        <is>
          <t>Alsó határ</t>
        </is>
      </c>
      <c r="O6" s="20" t="inlineStr">
        <is>
          <t>Pont</t>
        </is>
      </c>
      <c r="Q6" s="20" t="inlineStr">
        <is>
          <t>Alsó határ</t>
        </is>
      </c>
      <c r="R6" s="20" t="inlineStr">
        <is>
          <t>Pont</t>
        </is>
      </c>
      <c r="T6" s="20" t="inlineStr">
        <is>
          <t>Alsó határ</t>
        </is>
      </c>
      <c r="U6" s="20" t="inlineStr">
        <is>
          <t>Pont</t>
        </is>
      </c>
    </row>
    <row r="7">
      <c r="A7" t="inlineStr">
        <is>
          <t>arbevetel</t>
        </is>
      </c>
      <c r="B7" t="inlineStr">
        <is>
          <t>Éves árbevétel</t>
        </is>
      </c>
      <c r="C7" t="inlineStr">
        <is>
          <t>Illeszkedés</t>
        </is>
      </c>
      <c r="D7" t="inlineStr">
        <is>
          <t>sáv</t>
        </is>
      </c>
      <c r="E7" s="19" t="n">
        <v>10</v>
      </c>
      <c r="F7" t="inlineStr">
        <is>
          <t>Millió Ft-ban. A cég mérete és fizetőképessége.</t>
        </is>
      </c>
      <c r="H7" s="21" t="n">
        <v>0</v>
      </c>
      <c r="I7" s="19" t="n">
        <v>1</v>
      </c>
      <c r="K7" s="21" t="n">
        <v>0</v>
      </c>
      <c r="L7" s="19" t="n">
        <v>1</v>
      </c>
      <c r="N7" s="21" t="n">
        <v>0</v>
      </c>
      <c r="O7" s="19" t="n">
        <v>1</v>
      </c>
      <c r="Q7" s="21" t="n">
        <v>0</v>
      </c>
      <c r="R7" s="19" t="n">
        <v>5</v>
      </c>
      <c r="T7" s="21" t="n">
        <v>0</v>
      </c>
      <c r="U7" s="19" t="n">
        <v>1</v>
      </c>
    </row>
    <row r="8">
      <c r="A8" t="inlineStr">
        <is>
          <t>keret</t>
        </is>
      </c>
      <c r="B8" t="inlineStr">
        <is>
          <t>Havi hirdetési keret</t>
        </is>
      </c>
      <c r="C8" t="inlineStr">
        <is>
          <t>Illeszkedés</t>
        </is>
      </c>
      <c r="D8" t="inlineStr">
        <is>
          <t>sáv</t>
        </is>
      </c>
      <c r="E8" s="19" t="n">
        <v>15</v>
      </c>
      <c r="F8" t="inlineStr">
        <is>
          <t>Havi médiaköltés Ft-ban (Google + Meta + egyéb).</t>
        </is>
      </c>
      <c r="H8" s="21" t="n">
        <v>50</v>
      </c>
      <c r="I8" s="19" t="n">
        <v>2</v>
      </c>
      <c r="K8" s="21" t="n">
        <v>300000</v>
      </c>
      <c r="L8" s="19" t="n">
        <v>2</v>
      </c>
      <c r="N8" s="21" t="n">
        <v>1</v>
      </c>
      <c r="O8" s="19" t="n">
        <v>2</v>
      </c>
      <c r="Q8" s="21" t="n">
        <v>1</v>
      </c>
      <c r="R8" s="19" t="n">
        <v>4</v>
      </c>
      <c r="T8" s="21" t="n">
        <v>3</v>
      </c>
      <c r="U8" s="19" t="n">
        <v>2</v>
      </c>
    </row>
    <row r="9">
      <c r="A9" t="inlineStr">
        <is>
          <t>erettseg</t>
        </is>
      </c>
      <c r="B9" t="inlineStr">
        <is>
          <t>Marketing-érettség</t>
        </is>
      </c>
      <c r="C9" t="inlineStr">
        <is>
          <t>Illeszkedés</t>
        </is>
      </c>
      <c r="D9" t="inlineStr">
        <is>
          <t>1–5 skála</t>
        </is>
      </c>
      <c r="E9" s="19" t="n">
        <v>10</v>
      </c>
      <c r="F9" t="inlineStr">
        <is>
          <t>Van-e konverziómérés, CRM, saját marketinges, tiszta cél. 1 = semmi, 5 = teljes.</t>
        </is>
      </c>
      <c r="H9" s="21" t="n">
        <v>200</v>
      </c>
      <c r="I9" s="19" t="n">
        <v>3</v>
      </c>
      <c r="K9" s="21" t="n">
        <v>1000000</v>
      </c>
      <c r="L9" s="19" t="n">
        <v>3</v>
      </c>
      <c r="N9" s="21" t="n">
        <v>2</v>
      </c>
      <c r="O9" s="19" t="n">
        <v>3</v>
      </c>
      <c r="Q9" s="21" t="n">
        <v>8</v>
      </c>
      <c r="R9" s="19" t="n">
        <v>3</v>
      </c>
      <c r="T9" s="21" t="n">
        <v>6</v>
      </c>
      <c r="U9" s="19" t="n">
        <v>3</v>
      </c>
    </row>
    <row r="10">
      <c r="A10" t="inlineStr">
        <is>
          <t>roas</t>
        </is>
      </c>
      <c r="B10" t="inlineStr">
        <is>
          <t>Jelenlegi ROAS</t>
        </is>
      </c>
      <c r="C10" t="inlineStr">
        <is>
          <t>Teljesítmény</t>
        </is>
      </c>
      <c r="D10" t="inlineStr">
        <is>
          <t>sáv</t>
        </is>
      </c>
      <c r="E10" s="19" t="n">
        <v>10</v>
      </c>
      <c r="F10" t="inlineStr">
        <is>
          <t>Mért bevétel / költés (a dashboardról). Ha nem mérhető, maradjon üresen.</t>
        </is>
      </c>
      <c r="H10" s="21" t="n">
        <v>500</v>
      </c>
      <c r="I10" s="19" t="n">
        <v>4</v>
      </c>
      <c r="K10" s="21" t="n">
        <v>3000000</v>
      </c>
      <c r="L10" s="19" t="n">
        <v>4</v>
      </c>
      <c r="N10" s="21" t="n">
        <v>4</v>
      </c>
      <c r="O10" s="19" t="n">
        <v>4</v>
      </c>
      <c r="Q10" s="21" t="n">
        <v>16</v>
      </c>
      <c r="R10" s="19" t="n">
        <v>2</v>
      </c>
      <c r="T10" s="21" t="n">
        <v>12</v>
      </c>
      <c r="U10" s="19" t="n">
        <v>4</v>
      </c>
    </row>
    <row r="11">
      <c r="A11" t="inlineStr">
        <is>
          <t>novekedes</t>
        </is>
      </c>
      <c r="B11" t="inlineStr">
        <is>
          <t>Növekedési potenciál</t>
        </is>
      </c>
      <c r="C11" t="inlineStr">
        <is>
          <t>Teljesítmény</t>
        </is>
      </c>
      <c r="D11" t="inlineStr">
        <is>
          <t>1–5 skála</t>
        </is>
      </c>
      <c r="E11" s="19" t="n">
        <v>10</v>
      </c>
      <c r="F11" t="inlineStr">
        <is>
          <t>Mennyit nőhet a keret és a bevétel 12 hónap alatt. 1 = stagnál, 5 = erősen nő.</t>
        </is>
      </c>
      <c r="H11" s="21" t="n">
        <v>2000</v>
      </c>
      <c r="I11" s="19" t="n">
        <v>5</v>
      </c>
      <c r="K11" s="21" t="n">
        <v>10000000</v>
      </c>
      <c r="L11" s="19" t="n">
        <v>5</v>
      </c>
      <c r="N11" s="21" t="n">
        <v>6</v>
      </c>
      <c r="O11" s="19" t="n">
        <v>5</v>
      </c>
      <c r="Q11" s="21" t="n">
        <v>31</v>
      </c>
      <c r="R11" s="19" t="n">
        <v>1</v>
      </c>
      <c r="T11" s="21" t="n">
        <v>24</v>
      </c>
      <c r="U11" s="19" t="n">
        <v>5</v>
      </c>
    </row>
    <row r="12">
      <c r="A12" t="inlineStr">
        <is>
          <t>keses</t>
        </is>
      </c>
      <c r="B12" t="inlineStr">
        <is>
          <t>Fizetési fegyelem</t>
        </is>
      </c>
      <c r="C12" t="inlineStr">
        <is>
          <t>Kapcsolat</t>
        </is>
      </c>
      <c r="D12" t="inlineStr">
        <is>
          <t>sáv</t>
        </is>
      </c>
      <c r="E12" s="19" t="n">
        <v>10</v>
      </c>
      <c r="F12" t="inlineStr">
        <is>
          <t>Átlagos késés napokban. 0 = mindig időben fizet.</t>
        </is>
      </c>
    </row>
    <row r="13">
      <c r="A13" t="inlineStr">
        <is>
          <t>hossz</t>
        </is>
      </c>
      <c r="B13" t="inlineStr">
        <is>
          <t>Együttműködés hossza</t>
        </is>
      </c>
      <c r="C13" t="inlineStr">
        <is>
          <t>Kapcsolat</t>
        </is>
      </c>
      <c r="D13" t="inlineStr">
        <is>
          <t>sáv</t>
        </is>
      </c>
      <c r="E13" s="19" t="n">
        <v>5</v>
      </c>
      <c r="F13" t="inlineStr">
        <is>
          <t>Hány hónapja dolgozunk együtt.</t>
        </is>
      </c>
    </row>
    <row r="14">
      <c r="A14" t="inlineStr">
        <is>
          <t>egyuttmukodes</t>
        </is>
      </c>
      <c r="B14" t="inlineStr">
        <is>
          <t>Döntéshozó, együttműködés</t>
        </is>
      </c>
      <c r="C14" t="inlineStr">
        <is>
          <t>Kapcsolat</t>
        </is>
      </c>
      <c r="D14" t="inlineStr">
        <is>
          <t>1–5 skála</t>
        </is>
      </c>
      <c r="E14" s="19" t="n">
        <v>10</v>
      </c>
      <c r="F14" t="inlineStr">
        <is>
          <t>Elérhető-e a döntéshozó, gyors-e a jóváhagyás. 1 = nehézkes, 5 = kiváló.</t>
        </is>
      </c>
    </row>
    <row r="15">
      <c r="A15" t="inlineStr">
        <is>
          <t>kezelhetoseg</t>
        </is>
      </c>
      <c r="B15" t="inlineStr">
        <is>
          <t>Kezelhetőség</t>
        </is>
      </c>
      <c r="C15" t="inlineStr">
        <is>
          <t>Kapcsolat</t>
        </is>
      </c>
      <c r="D15" t="inlineStr">
        <is>
          <t>1–5 skála</t>
        </is>
      </c>
      <c r="E15" s="19" t="n">
        <v>5</v>
      </c>
      <c r="F15" t="inlineStr">
        <is>
          <t>Kiszolgálási terhelés. 1 = sok egyeztetés, sürgetés; 5 = önállóan futtatható.</t>
        </is>
      </c>
    </row>
    <row r="16">
      <c r="A16" t="inlineStr">
        <is>
          <t>ajanlas</t>
        </is>
      </c>
      <c r="B16" t="inlineStr">
        <is>
          <t>Ajánlási, referenciaérték</t>
        </is>
      </c>
      <c r="C16" t="inlineStr">
        <is>
          <t>Kapcsolat</t>
        </is>
      </c>
      <c r="D16" t="inlineStr">
        <is>
          <t>1–5 skála</t>
        </is>
      </c>
      <c r="E16" s="19" t="n">
        <v>5</v>
      </c>
      <c r="F16" t="inlineStr">
        <is>
          <t>Ajánl-e minket, használható-e esettanulmánynak. 1 = nem, 5 = aktívan ajánl.</t>
        </is>
      </c>
    </row>
    <row r="17">
      <c r="D17" s="18" t="inlineStr">
        <is>
          <t>Összesen</t>
        </is>
      </c>
      <c r="E17" s="18">
        <f>SUM(E6:E16)</f>
        <v/>
      </c>
      <c r="F17">
        <f>IF(E17=100,"Rendben","Figyelem: a súlyok összege legyen 100!")</f>
        <v/>
      </c>
    </row>
    <row r="20">
      <c r="A20" s="17" t="inlineStr">
        <is>
          <t>Iparágak pontértéke</t>
        </is>
      </c>
      <c r="C20" t="inlineStr">
        <is>
          <t>(új iparág az üres sorokba vehető fel)</t>
        </is>
      </c>
    </row>
    <row r="21">
      <c r="A21" s="20" t="inlineStr">
        <is>
          <t>Iparág</t>
        </is>
      </c>
      <c r="B21" s="20" t="inlineStr">
        <is>
          <t>Pont (1–5)</t>
        </is>
      </c>
    </row>
    <row r="22">
      <c r="A22" s="19" t="inlineStr">
        <is>
          <t>E-kereskedelem, webshop</t>
        </is>
      </c>
      <c r="B22" s="19" t="n">
        <v>5</v>
      </c>
    </row>
    <row r="23">
      <c r="A23" s="19" t="inlineStr">
        <is>
          <t>Online szolgáltatás, SaaS</t>
        </is>
      </c>
      <c r="B23" s="19" t="n">
        <v>5</v>
      </c>
    </row>
    <row r="24">
      <c r="A24" s="19" t="inlineStr">
        <is>
          <t>Oktatás, képzés</t>
        </is>
      </c>
      <c r="B24" s="19" t="n">
        <v>4</v>
      </c>
    </row>
    <row r="25">
      <c r="A25" s="19" t="inlineStr">
        <is>
          <t>Egészség, szépség</t>
        </is>
      </c>
      <c r="B25" s="19" t="n">
        <v>4</v>
      </c>
    </row>
    <row r="26">
      <c r="A26" s="19" t="inlineStr">
        <is>
          <t>Turizmus, vendéglátás</t>
        </is>
      </c>
      <c r="B26" s="19" t="n">
        <v>4</v>
      </c>
    </row>
    <row r="27">
      <c r="A27" s="19" t="inlineStr">
        <is>
          <t>B2B szolgáltatás</t>
        </is>
      </c>
      <c r="B27" s="19" t="n">
        <v>3</v>
      </c>
    </row>
    <row r="28">
      <c r="A28" s="19" t="inlineStr">
        <is>
          <t>Helyi szolgáltatás</t>
        </is>
      </c>
      <c r="B28" s="19" t="n">
        <v>3</v>
      </c>
    </row>
    <row r="29">
      <c r="A29" s="19" t="inlineStr">
        <is>
          <t>Ingatlan, építőipar</t>
        </is>
      </c>
      <c r="B29" s="19" t="n">
        <v>3</v>
      </c>
    </row>
    <row r="30">
      <c r="A30" s="19" t="inlineStr">
        <is>
          <t>Gyártás, ipar</t>
        </is>
      </c>
      <c r="B30" s="19" t="n">
        <v>2</v>
      </c>
    </row>
    <row r="31">
      <c r="A31" s="19" t="inlineStr">
        <is>
          <t>Egyéb</t>
        </is>
      </c>
      <c r="B31" s="19" t="n">
        <v>2</v>
      </c>
    </row>
    <row r="32">
      <c r="A32" s="19" t="n"/>
      <c r="B32" s="19" t="n"/>
    </row>
    <row r="33">
      <c r="A33" s="19" t="n"/>
      <c r="B33" s="19" t="n"/>
    </row>
    <row r="34">
      <c r="A34" s="19" t="n"/>
      <c r="B34" s="19" t="n"/>
    </row>
    <row r="35">
      <c r="A35" s="19" t="n"/>
      <c r="B35" s="19" t="n"/>
    </row>
    <row r="36">
      <c r="A36" s="19" t="n"/>
      <c r="B36" s="19" t="n"/>
    </row>
    <row r="37">
      <c r="A37" s="19" t="n"/>
      <c r="B37" s="19" t="n"/>
    </row>
    <row r="38">
      <c r="A38" s="19" t="n"/>
      <c r="B38" s="19" t="n"/>
    </row>
    <row r="39">
      <c r="A39" s="19" t="n"/>
      <c r="B39" s="19" t="n"/>
    </row>
    <row r="40">
      <c r="A40" s="19" t="n"/>
      <c r="B40" s="19" t="n"/>
    </row>
    <row r="41">
      <c r="A41" s="19" t="n"/>
      <c r="B41" s="19" t="n"/>
    </row>
    <row r="44">
      <c r="A44" s="17" t="inlineStr">
        <is>
          <t>Általános és díjparaméterek</t>
        </is>
      </c>
    </row>
    <row r="45">
      <c r="A45" t="inlineStr">
        <is>
          <t>Hiányzó adat pontja (1–5)</t>
        </is>
      </c>
      <c r="B45" s="22" t="n">
        <v>2</v>
      </c>
    </row>
    <row r="46">
      <c r="A46" t="inlineStr">
        <is>
          <t>Óradíj (Ft/óra)</t>
        </is>
      </c>
      <c r="B46" s="23" t="n">
        <v>12000</v>
      </c>
    </row>
    <row r="47">
      <c r="A47" t="inlineStr">
        <is>
          <t>Google Ads alapdíj (Ft/hó)</t>
        </is>
      </c>
      <c r="B47" s="23" t="n">
        <v>60000</v>
      </c>
    </row>
    <row r="48">
      <c r="A48" t="inlineStr">
        <is>
          <t>Meta alapdíj (Ft/hó)</t>
        </is>
      </c>
      <c r="B48" s="23" t="n">
        <v>50000</v>
      </c>
    </row>
    <row r="49">
      <c r="A49" t="inlineStr">
        <is>
          <t>Egyéb csatorna alapdíja (Ft/hó/csatorna)</t>
        </is>
      </c>
      <c r="B49" s="23" t="n">
        <v>40000</v>
      </c>
    </row>
    <row r="50">
      <c r="A50" t="inlineStr">
        <is>
          <t>Minimum havi díj (Ft)</t>
        </is>
      </c>
      <c r="B50" s="23" t="n">
        <v>150000</v>
      </c>
    </row>
    <row r="51">
      <c r="A51" t="inlineStr">
        <is>
          <t>Díj minimuma a hirdetési keret arányában</t>
        </is>
      </c>
      <c r="B51" s="24" t="n">
        <v>0.08</v>
      </c>
    </row>
    <row r="52">
      <c r="A52" t="inlineStr">
        <is>
          <t>Kerekítés (Ft)</t>
        </is>
      </c>
      <c r="B52" s="23" t="n">
        <v>10000</v>
      </c>
    </row>
    <row r="55">
      <c r="A55" s="17" t="inlineStr">
        <is>
          <t>Szintek és díjszorzók</t>
        </is>
      </c>
    </row>
    <row r="56">
      <c r="A56" s="20" t="inlineStr">
        <is>
          <t>Minimum pontszám</t>
        </is>
      </c>
      <c r="B56" s="20" t="inlineStr">
        <is>
          <t>Szint</t>
        </is>
      </c>
      <c r="C56" s="20" t="inlineStr">
        <is>
          <t>Megnevezés</t>
        </is>
      </c>
      <c r="D56" s="20" t="inlineStr">
        <is>
          <t>Díjszorzó</t>
        </is>
      </c>
      <c r="E56" s="20" t="inlineStr">
        <is>
          <t>Jutalék % (később)</t>
        </is>
      </c>
    </row>
    <row r="57">
      <c r="A57" s="19" t="n">
        <v>0</v>
      </c>
      <c r="B57" s="19" t="inlineStr">
        <is>
          <t>D</t>
        </is>
      </c>
      <c r="C57" s="19" t="inlineStr">
        <is>
          <t>Nem ideális</t>
        </is>
      </c>
      <c r="D57" s="25" t="n">
        <v>1.3</v>
      </c>
      <c r="E57" s="26" t="n">
        <v>0</v>
      </c>
    </row>
    <row r="58">
      <c r="A58" s="19" t="n">
        <v>50</v>
      </c>
      <c r="B58" s="19" t="inlineStr">
        <is>
          <t>C</t>
        </is>
      </c>
      <c r="C58" s="19" t="inlineStr">
        <is>
          <t>Fejlesztendő</t>
        </is>
      </c>
      <c r="D58" s="25" t="n">
        <v>1.15</v>
      </c>
      <c r="E58" s="26" t="n">
        <v>0</v>
      </c>
    </row>
    <row r="59">
      <c r="A59" s="19" t="n">
        <v>65</v>
      </c>
      <c r="B59" s="19" t="inlineStr">
        <is>
          <t>B</t>
        </is>
      </c>
      <c r="C59" s="19" t="inlineStr">
        <is>
          <t>Jó ügyfél</t>
        </is>
      </c>
      <c r="D59" s="25" t="n">
        <v>1.05</v>
      </c>
      <c r="E59" s="26" t="n">
        <v>0</v>
      </c>
    </row>
    <row r="60">
      <c r="A60" s="19" t="n">
        <v>80</v>
      </c>
      <c r="B60" s="19" t="inlineStr">
        <is>
          <t>A</t>
        </is>
      </c>
      <c r="C60" s="19" t="inlineStr">
        <is>
          <t>Ideális ügyfél (ICP)</t>
        </is>
      </c>
      <c r="D60" s="25" t="n">
        <v>1</v>
      </c>
      <c r="E60" s="26" t="n">
        <v>0</v>
      </c>
    </row>
    <row r="61">
      <c r="A61" s="27" t="inlineStr">
        <is>
          <t>A szintek a minimum pontszám szerint növekvő sorrendben maradjanak.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2026-09-28T14:22:33Z</dcterms:created>
  <dcterms:modified xsi:type="dcterms:W3CDTF">2026-09-28T14:22:33Z</dcterms:modified>
</cp:coreProperties>
</file>