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Útmutató" sheetId="1" state="visible" r:id="rId1"/>
    <sheet name="Ügyfelek" sheetId="2" state="visible" r:id="rId2"/>
    <sheet name="Rangsor" sheetId="3" state="visible" r:id="rId3"/>
    <sheet name="Portfólió" sheetId="4" state="visible" r:id="rId4"/>
    <sheet name="Eredmény" sheetId="5" state="visible" r:id="rId5"/>
    <sheet name="Beállítások" sheetId="6" state="visible" r:id="rId6"/>
  </sheets>
  <definedNames>
    <definedName name="_xlnm._FilterDatabase" localSheetId="4" hidden="1">'Eredmény'!$A$1:$BI$201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#,##0&quot; Ft&quot;"/>
    <numFmt numFmtId="166" formatCode="0.0%"/>
    <numFmt numFmtId="167" formatCode="0.0"/>
  </numFmts>
  <fonts count="11">
    <font>
      <name val="Calibri"/>
      <family val="2"/>
      <color theme="1"/>
      <sz val="11"/>
      <scheme val="minor"/>
    </font>
    <font>
      <b val="1"/>
      <color rgb="00032D42"/>
      <sz val="14"/>
    </font>
    <font>
      <b val="1"/>
      <color rgb="00032D42"/>
      <sz val="12"/>
    </font>
    <font>
      <b val="1"/>
      <color rgb="00FFFFFF"/>
    </font>
    <font>
      <b val="1"/>
      <color rgb="002E7D32"/>
    </font>
    <font>
      <b val="1"/>
      <color rgb="00134F6C"/>
    </font>
    <font>
      <b val="1"/>
      <color rgb="006A4C93"/>
    </font>
    <font>
      <b val="1"/>
      <color rgb="008C5A14"/>
    </font>
    <font>
      <b val="1"/>
    </font>
    <font>
      <i val="1"/>
    </font>
    <font>
      <i val="1"/>
      <color rgb="00898781"/>
    </font>
  </fonts>
  <fills count="9">
    <fill>
      <patternFill/>
    </fill>
    <fill>
      <patternFill patternType="gray125"/>
    </fill>
    <fill>
      <patternFill patternType="solid">
        <fgColor rgb="00032D42"/>
      </patternFill>
    </fill>
    <fill>
      <patternFill patternType="solid">
        <fgColor rgb="00FFF8E1"/>
      </patternFill>
    </fill>
    <fill>
      <patternFill patternType="solid">
        <fgColor rgb="002E7D32"/>
      </patternFill>
    </fill>
    <fill>
      <patternFill patternType="solid">
        <fgColor rgb="00134F6C"/>
      </patternFill>
    </fill>
    <fill>
      <patternFill patternType="solid">
        <fgColor rgb="006A4C93"/>
      </patternFill>
    </fill>
    <fill>
      <patternFill patternType="solid">
        <fgColor rgb="008C5A14"/>
      </patternFill>
    </fill>
    <fill>
      <patternFill patternType="solid">
        <fgColor rgb="005E5E5A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165" fontId="0" fillId="0" borderId="0" pivotButton="0" quotePrefix="0" xfId="0"/>
    <xf numFmtId="0" fontId="1" fillId="0" borderId="0" pivotButton="0" quotePrefix="0" xfId="0"/>
    <xf numFmtId="1" fontId="0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166" fontId="0" fillId="0" borderId="1" pivotButton="0" quotePrefix="0" xfId="0"/>
    <xf numFmtId="9" fontId="0" fillId="0" borderId="0" pivotButton="0" quotePrefix="0" xfId="0"/>
    <xf numFmtId="0" fontId="8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" fontId="0" fillId="3" borderId="0" pivotButton="0" quotePrefix="0" xfId="0"/>
    <xf numFmtId="9" fontId="0" fillId="3" borderId="0" pivotButton="0" quotePrefix="0" xfId="0"/>
    <xf numFmtId="165" fontId="0" fillId="3" borderId="0" pivotButton="0" quotePrefix="0" xfId="0"/>
    <xf numFmtId="1" fontId="0" fillId="0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66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C8EFC0"/>
        </patternFill>
      </fill>
    </dxf>
    <dxf>
      <fill>
        <patternFill patternType="solid">
          <fgColor rgb="00E3F4D9"/>
        </patternFill>
      </fill>
    </dxf>
    <dxf>
      <fill>
        <patternFill patternType="solid">
          <fgColor rgb="00FDEBC2"/>
        </patternFill>
      </fill>
    </dxf>
    <dxf>
      <fill>
        <patternFill patternType="solid">
          <fgColor rgb="00F9D3B0"/>
        </patternFill>
      </fill>
    </dxf>
    <dxf>
      <fill>
        <patternFill patternType="solid">
          <fgColor rgb="00F6CFCF"/>
        </patternFill>
      </fill>
    </dxf>
    <dxf>
      <font>
        <b val="1"/>
        <color rgb="001C7A3E"/>
      </font>
    </dxf>
    <dxf>
      <font>
        <b val="1"/>
        <color rgb="00B26B00"/>
      </font>
    </dxf>
    <dxf>
      <font>
        <b val="1"/>
        <color rgb="00C2343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ICP ügyfélminősítő – útmutató</t>
        </is>
      </c>
    </row>
    <row r="2">
      <c r="A2" s="2" t="inlineStr"/>
    </row>
    <row r="3">
      <c r="A3" s="3" t="inlineStr">
        <is>
          <t>Mire jó?</t>
        </is>
      </c>
    </row>
    <row r="4">
      <c r="A4" s="2" t="inlineStr">
        <is>
          <t>Az ügyfeleket 33 szempont alapján 0–100 pontra értékeli, rangsorolja, öt státuszba sorolja, és ebből díjat, illetve jutalékos modellt javasol.</t>
        </is>
      </c>
    </row>
    <row r="5">
      <c r="A5" s="2" t="inlineStr"/>
    </row>
    <row r="6">
      <c r="A6" s="3" t="inlineStr">
        <is>
          <t>Kiket tekintünk ideális ügyfélnek?</t>
        </is>
      </c>
    </row>
    <row r="7">
      <c r="A7" s="2" t="inlineStr">
        <is>
          <t>Felelősségteljes, fenntartható, zöld szemléletű cégeket, amelyek elsősorban szükségleteket elégítenek ki, nem igényeket:</t>
        </is>
      </c>
    </row>
    <row r="8">
      <c r="A8" s="2" t="inlineStr">
        <is>
          <t>• Emberközpontú szolgáltatók (egészség, oktatás, mentális jóllét, fejlesztés)</t>
        </is>
      </c>
    </row>
    <row r="9">
      <c r="A9" s="2" t="inlineStr">
        <is>
          <t>• Tudatos termelők és alkotók (fenntartható termékek, kézműves márkák, gazdaságok)</t>
        </is>
      </c>
    </row>
    <row r="10">
      <c r="A10" s="2" t="inlineStr">
        <is>
          <t>• Hatásközpontú szervezetek (közösségi, környezeti és társadalmi projektek)</t>
        </is>
      </c>
    </row>
    <row r="11">
      <c r="A11" s="2" t="inlineStr">
        <is>
          <t>Kizáró feltétel: „Értékalapú szegmens” legfeljebb 1 pont; „Felelősség, fenntarthatóság” legfeljebb 3 pont (a szegmensnél ez az „Értékeinkkel nem összeegyeztethető” érték). Az ilyen ügyfél automatikusan 5. státuszú, és elutasítjuk. Hiányzó adat nem zár ki.</t>
        </is>
      </c>
    </row>
    <row r="12">
      <c r="A12" s="2" t="inlineStr"/>
    </row>
    <row r="13">
      <c r="A13" s="3" t="inlineStr">
        <is>
          <t>Státuszok</t>
        </is>
      </c>
    </row>
    <row r="14">
      <c r="A14" s="2" t="inlineStr">
        <is>
          <t>1. Stabil rendszer (rendszerpontszám ≥ 70; szorzó 0,90, jutalék 5%): A kampányok és a kapcsolódó marketingelemek jól működnek, az eredmények kiszámíthatók. A feladat elsősorban az ellenőrzés, fenntartás és kisebb finomhangolás.</t>
        </is>
      </c>
    </row>
    <row r="15">
      <c r="A15" s="2" t="inlineStr">
        <is>
          <t>2. Menedzselt rendszer (rendszerpontszám ≥ 55; szorzó 1,00, jutalék 3%): A rendszer működik, de rendszeres operatív kezelést igényel: ismétlődő kampányfrissítések, szezonális promóciók, kreatívcserék, tervezhető optimalizálási feladatok.</t>
        </is>
      </c>
    </row>
    <row r="16">
      <c r="A16" s="2" t="inlineStr">
        <is>
          <t>3. Fejlesztés alatt álló rendszer (rendszerpontszám ≥ 40; szorzó 1,15): Az alapok részben adottak, de több ponton optimalizálásra van szükség: kampányok, mérések, ajánlatok, kreatívok vagy landing oldalak fejlesztése.</t>
        </is>
      </c>
    </row>
    <row r="17">
      <c r="A17" s="2" t="inlineStr">
        <is>
          <t>4. Stratégiai fejlesztést igénylő rendszer (kiemelkedő értékek és kapcsolat, legfeljebb 1 ügyfél; szorzó 1,30): A növekedéshez már nem elég a meglévő rendszer kezelése: új ötletek, kampánytípusok, csatornák, az ajánlati vagy értékesítési logika újragondolása kell.</t>
        </is>
      </c>
    </row>
    <row r="18">
      <c r="A18" s="2" t="inlineStr">
        <is>
          <t>5. Kritikus helyreállítást igénylő rendszer (minden más; nincs ajánlat): A jelenlegi marketingrendszer nem alkalmas stabil eredmények elérésére. Automatikusan kipontozódik, elutasítjuk.</t>
        </is>
      </c>
    </row>
    <row r="19">
      <c r="A19" s="2" t="inlineStr">
        <is>
          <t>A státusz a marketingrendszer állapotát írja le, ezért a rendszerpontszám dönti el: a Marketingezhetőség és a Üzleti illeszkedés csoport közös pontszáma (0–100). A rangsor a teljes ICP pontszám szerint készül.</t>
        </is>
      </c>
    </row>
    <row r="20">
      <c r="A20" s="2" t="inlineStr">
        <is>
          <t>A 4. státusz feltétele: a 3. státusz határa alatt van, de rendszerpontszáma ≥ 25, és „Értékek” ≥ 80 és „Kapcsolat” ≥ 75. Legfeljebb 1 ilyen ügyfelet vállalunk; a továbbiak várólistára kerülnek.</t>
        </is>
      </c>
    </row>
    <row r="21">
      <c r="A21" s="2" t="inlineStr">
        <is>
          <t>Célarány (Portfólió lap): az elfogadott ügyfelek 70–80%-a 1. vagy 2., 20–25%-a 3. státuszú legyen. Ha nem teljesül, a státuszhatárokat (Beállítások) vagy a portfóliót érdemes felülvizsgálni.</t>
        </is>
      </c>
    </row>
    <row r="22">
      <c r="A22" s="2" t="inlineStr"/>
    </row>
    <row r="23">
      <c r="A23" s="3" t="inlineStr">
        <is>
          <t>Használat</t>
        </is>
      </c>
    </row>
    <row r="24">
      <c r="A24" s="2" t="inlineStr">
        <is>
          <t>1. Ügyfelek lap: ügyfelenként egy sor. Minden értékelés 1–10 között, ahol a 10 mindig a számunkra kedvező (pl. „Vásárlószerzés költsége”: 10 = olcsó, könnyű). Az üres mező hiányzó adatnak számít (alapból 3 pont), ezért érdemes mindent kitölteni. A fejlécek színe a szempontcsoportot jelöli; a Beállítások lap Leírás oszlopa minden szempontot elmagyaráz.</t>
        </is>
      </c>
    </row>
    <row r="25">
      <c r="A25" s="2" t="inlineStr">
        <is>
          <t>2. Rangsor lap: sorrend státusszal, döntéssel, csoportpontszámokkal, díj- és jutalékjavaslattal.</t>
        </is>
      </c>
    </row>
    <row r="26">
      <c r="A26" s="2" t="inlineStr">
        <is>
          <t>3. Portfólió lap: hány ügyfél van az egyes státuszokban, és teljesülnek-e a célarányok.</t>
        </is>
      </c>
    </row>
    <row r="27">
      <c r="A27" s="2" t="inlineStr">
        <is>
          <t>4. Eredmény lap: szempontonkénti pontok és a díjszámítás részletei. Szűrhető.</t>
        </is>
      </c>
    </row>
    <row r="28">
      <c r="A28" s="2" t="inlineStr">
        <is>
          <t>5. Beállítások lap: súlyok, sávhatárok, választható értékek, státuszhatárok, díjparaméterek (sárga cellák).</t>
        </is>
      </c>
    </row>
    <row r="29">
      <c r="A29" s="2" t="inlineStr"/>
    </row>
    <row r="30">
      <c r="A30" s="3" t="inlineStr">
        <is>
          <t>Pontozás</t>
        </is>
      </c>
    </row>
    <row r="31">
      <c r="A31" s="2" t="inlineStr">
        <is>
          <t>• Értékek: 2 szempont, 20% súly</t>
        </is>
      </c>
    </row>
    <row r="32">
      <c r="A32" s="2" t="inlineStr">
        <is>
          <t>• Marketingezhetőség: 15 szempont, 30% súly</t>
        </is>
      </c>
    </row>
    <row r="33">
      <c r="A33" s="2" t="inlineStr">
        <is>
          <t>• Üzleti illeszkedés: 7 szempont, 20% súly</t>
        </is>
      </c>
    </row>
    <row r="34">
      <c r="A34" s="2" t="inlineStr">
        <is>
          <t>• Kapcsolat: 9 szempont, 30% súly</t>
        </is>
      </c>
    </row>
    <row r="35">
      <c r="A35" s="2" t="inlineStr">
        <is>
          <t>ICP pontszám = 100 × Σ súly × (pont − 1) / (9 × Σ súly), így 0 és 100 közé esik. A csoportpontszámok ugyanígy, csak a csoport szempontjaival számolnak. A súlyozás ideiglenes váz.</t>
        </is>
      </c>
    </row>
    <row r="36">
      <c r="A36" s="2" t="inlineStr"/>
    </row>
    <row r="37">
      <c r="A37" s="3" t="inlineStr">
        <is>
          <t>Díj és jutalék</t>
        </is>
      </c>
    </row>
    <row r="38">
      <c r="A38" s="2" t="inlineStr">
        <is>
          <t>Munkadíj = csatornák alapdíja (Google, Meta, egyéb) + becsült havi óra × óradíj.</t>
        </is>
      </c>
    </row>
    <row r="39">
      <c r="A39" s="2" t="inlineStr">
        <is>
          <t>Javasolt fix díj = a három közül a legnagyobb, felfelé kerekítve: munkadíj × státuszszorzó | hirdetési keret × keretarány | minimumdíj. Az 5. státusznál nincs ajánlat.</t>
        </is>
      </c>
    </row>
    <row r="40">
      <c r="A40" s="2" t="inlineStr">
        <is>
          <t>Jutalékos modell: ha a státuszhoz jutalék tartozik (1–2.) és az ügyfél nyitott rá (nyitottság ≥ 7 pont), a fix díj 25%-kal csökken, és a mért bevétel státusz szerinti %-a jutalékként jár.</t>
        </is>
      </c>
    </row>
    <row r="41">
      <c r="A41" s="2" t="inlineStr"/>
    </row>
    <row r="42">
      <c r="A42" s="3" t="inlineStr">
        <is>
          <t>Google Táblázatok</t>
        </is>
      </c>
    </row>
    <row r="43">
      <c r="A43" s="2" t="inlineStr">
        <is>
          <t>A fájl feltölthető Google Drive-ra és megnyitható Google Táblázatként; a képletek ott is működnek.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AB219"/>
    <outlinePr summaryBelow="1" summaryRight="1"/>
    <pageSetUpPr/>
  </sheetPr>
  <dimension ref="A1:AO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30" customWidth="1" min="34" max="34"/>
    <col width="11" customWidth="1" min="35" max="35"/>
    <col width="11" customWidth="1" min="36" max="36"/>
    <col width="11" customWidth="1" min="37" max="37"/>
    <col width="11" customWidth="1" min="38" max="38"/>
    <col width="15" customWidth="1" min="39" max="39"/>
    <col width="15" customWidth="1" min="40" max="40"/>
    <col width="30" customWidth="1" min="41" max="41"/>
  </cols>
  <sheetData>
    <row r="1" ht="60" customHeight="1">
      <c r="A1" s="4" t="inlineStr">
        <is>
          <t>Ügyfél neve</t>
        </is>
      </c>
      <c r="B1" s="5" t="inlineStr">
        <is>
          <t>Értékalapú szegmens</t>
        </is>
      </c>
      <c r="C1" s="5" t="inlineStr">
        <is>
          <t>Felelősség, fenntarthatóság (1–10)</t>
        </is>
      </c>
      <c r="D1" s="6" t="inlineStr">
        <is>
          <t>Sürgősség (1–10)</t>
        </is>
      </c>
      <c r="E1" s="6" t="inlineStr">
        <is>
          <t>A piac mérete (1–10)</t>
        </is>
      </c>
      <c r="F1" s="6" t="inlineStr">
        <is>
          <t>Árazási potenciál (1–10)</t>
        </is>
      </c>
      <c r="G1" s="6" t="inlineStr">
        <is>
          <t>Vásárlószerzés költsége (1–10)</t>
        </is>
      </c>
      <c r="H1" s="6" t="inlineStr">
        <is>
          <t>Leszállítás költsége (1–10)</t>
        </is>
      </c>
      <c r="I1" s="6" t="inlineStr">
        <is>
          <t>Egyediség, egyedi tulajdonság (1–10)</t>
        </is>
      </c>
      <c r="J1" s="6" t="inlineStr">
        <is>
          <t>A piac gyorsasága (1–10)</t>
        </is>
      </c>
      <c r="K1" s="6" t="inlineStr">
        <is>
          <t>Befektetési igény (1–10)</t>
        </is>
      </c>
      <c r="L1" s="6" t="inlineStr">
        <is>
          <t>Upsell-potenciál (1–10)</t>
        </is>
      </c>
      <c r="M1" s="6" t="inlineStr">
        <is>
          <t>Örökzöld potenciál (1–10)</t>
        </is>
      </c>
      <c r="N1" s="6" t="inlineStr">
        <is>
          <t>Látványos demonstrálhatóság (1–10)</t>
        </is>
      </c>
      <c r="O1" s="6" t="inlineStr">
        <is>
          <t>Dizájn, vonzó megjelenés (1–10)</t>
        </is>
      </c>
      <c r="P1" s="6" t="inlineStr">
        <is>
          <t>Egyszerű használat (1–10)</t>
        </is>
      </c>
      <c r="Q1" s="6" t="inlineStr">
        <is>
          <t>Problémát old meg (1–10)</t>
        </is>
      </c>
      <c r="R1" s="6" t="inlineStr">
        <is>
          <t>Újdonság (1–10)</t>
        </is>
      </c>
      <c r="S1" s="7" t="inlineStr">
        <is>
          <t>Iparági illeszkedés (1–10)</t>
        </is>
      </c>
      <c r="T1" s="7" t="inlineStr">
        <is>
          <t>Éves árbevétel (M Ft)</t>
        </is>
      </c>
      <c r="U1" s="7" t="inlineStr">
        <is>
          <t>Havi hirdetési keret (Ft)</t>
        </is>
      </c>
      <c r="V1" s="7" t="inlineStr">
        <is>
          <t>Marketing-érettség (1–10)</t>
        </is>
      </c>
      <c r="W1" s="7" t="inlineStr">
        <is>
          <t>Jelenlegi ROAS</t>
        </is>
      </c>
      <c r="X1" s="7" t="inlineStr">
        <is>
          <t>Növekedési potenciál (1–10)</t>
        </is>
      </c>
      <c r="Y1" s="7" t="inlineStr">
        <is>
          <t>Nyitottság a jutalékos modellre</t>
        </is>
      </c>
      <c r="Z1" s="8" t="inlineStr">
        <is>
          <t>Átlagos fizetési késés (nap)</t>
        </is>
      </c>
      <c r="AA1" s="8" t="inlineStr">
        <is>
          <t>Együttműködés hossza (hónap)</t>
        </is>
      </c>
      <c r="AB1" s="8" t="inlineStr">
        <is>
          <t>Döntéshozó, együttműködés (1–10)</t>
        </is>
      </c>
      <c r="AC1" s="8" t="inlineStr">
        <is>
          <t>Kezelhetőség (1–10)</t>
        </is>
      </c>
      <c r="AD1" s="8" t="inlineStr">
        <is>
          <t>Ajánlási, referenciaérték (1–10)</t>
        </is>
      </c>
      <c r="AE1" s="8" t="inlineStr">
        <is>
          <t>Reális elvárások (1–10)</t>
        </is>
      </c>
      <c r="AF1" s="8" t="inlineStr">
        <is>
          <t>Emberi oldal (1–10)</t>
        </is>
      </c>
      <c r="AG1" s="8" t="inlineStr">
        <is>
          <t>Szakmai színvonal (1–10)</t>
        </is>
      </c>
      <c r="AH1" s="8" t="inlineStr">
        <is>
          <t>Korábbi ügynökségi tapasztalat</t>
        </is>
      </c>
      <c r="AI1" s="9" t="inlineStr">
        <is>
          <t>Google Ads (igen/nem)</t>
        </is>
      </c>
      <c r="AJ1" s="9" t="inlineStr">
        <is>
          <t>Meta (igen/nem)</t>
        </is>
      </c>
      <c r="AK1" s="9" t="inlineStr">
        <is>
          <t>Egyéb csatornák száma</t>
        </is>
      </c>
      <c r="AL1" s="9" t="inlineStr">
        <is>
          <t>Becsült havi munkaóra</t>
        </is>
      </c>
      <c r="AM1" s="9" t="inlineStr">
        <is>
          <t>Jelenlegi havi díj (Ft)</t>
        </is>
      </c>
      <c r="AN1" s="9" t="inlineStr">
        <is>
          <t>Havi mért bevétel (Ft)</t>
        </is>
      </c>
      <c r="AO1" s="4" t="inlineStr">
        <is>
          <t>Megjegyzés</t>
        </is>
      </c>
    </row>
    <row r="2">
      <c r="U2" s="10" t="n"/>
      <c r="AM2" s="10" t="n"/>
      <c r="AN2" s="10" t="n"/>
    </row>
    <row r="3">
      <c r="U3" s="10" t="n"/>
      <c r="AM3" s="10" t="n"/>
      <c r="AN3" s="10" t="n"/>
    </row>
    <row r="4">
      <c r="U4" s="10" t="n"/>
      <c r="AM4" s="10" t="n"/>
      <c r="AN4" s="10" t="n"/>
    </row>
    <row r="5">
      <c r="U5" s="10" t="n"/>
      <c r="AM5" s="10" t="n"/>
      <c r="AN5" s="10" t="n"/>
    </row>
    <row r="6">
      <c r="U6" s="10" t="n"/>
      <c r="AM6" s="10" t="n"/>
      <c r="AN6" s="10" t="n"/>
    </row>
    <row r="7">
      <c r="U7" s="10" t="n"/>
      <c r="AM7" s="10" t="n"/>
      <c r="AN7" s="10" t="n"/>
    </row>
    <row r="8">
      <c r="U8" s="10" t="n"/>
      <c r="AM8" s="10" t="n"/>
      <c r="AN8" s="10" t="n"/>
    </row>
    <row r="9">
      <c r="U9" s="10" t="n"/>
      <c r="AM9" s="10" t="n"/>
      <c r="AN9" s="10" t="n"/>
    </row>
    <row r="10">
      <c r="U10" s="10" t="n"/>
      <c r="AM10" s="10" t="n"/>
      <c r="AN10" s="10" t="n"/>
    </row>
    <row r="11">
      <c r="U11" s="10" t="n"/>
      <c r="AM11" s="10" t="n"/>
      <c r="AN11" s="10" t="n"/>
    </row>
    <row r="12">
      <c r="U12" s="10" t="n"/>
      <c r="AM12" s="10" t="n"/>
      <c r="AN12" s="10" t="n"/>
    </row>
    <row r="13">
      <c r="U13" s="10" t="n"/>
      <c r="AM13" s="10" t="n"/>
      <c r="AN13" s="10" t="n"/>
    </row>
    <row r="14">
      <c r="U14" s="10" t="n"/>
      <c r="AM14" s="10" t="n"/>
      <c r="AN14" s="10" t="n"/>
    </row>
    <row r="15">
      <c r="U15" s="10" t="n"/>
      <c r="AM15" s="10" t="n"/>
      <c r="AN15" s="10" t="n"/>
    </row>
    <row r="16">
      <c r="U16" s="10" t="n"/>
      <c r="AM16" s="10" t="n"/>
      <c r="AN16" s="10" t="n"/>
    </row>
    <row r="17">
      <c r="U17" s="10" t="n"/>
      <c r="AM17" s="10" t="n"/>
      <c r="AN17" s="10" t="n"/>
    </row>
    <row r="18">
      <c r="U18" s="10" t="n"/>
      <c r="AM18" s="10" t="n"/>
      <c r="AN18" s="10" t="n"/>
    </row>
    <row r="19">
      <c r="U19" s="10" t="n"/>
      <c r="AM19" s="10" t="n"/>
      <c r="AN19" s="10" t="n"/>
    </row>
    <row r="20">
      <c r="U20" s="10" t="n"/>
      <c r="AM20" s="10" t="n"/>
      <c r="AN20" s="10" t="n"/>
    </row>
    <row r="21">
      <c r="U21" s="10" t="n"/>
      <c r="AM21" s="10" t="n"/>
      <c r="AN21" s="10" t="n"/>
    </row>
    <row r="22">
      <c r="U22" s="10" t="n"/>
      <c r="AM22" s="10" t="n"/>
      <c r="AN22" s="10" t="n"/>
    </row>
    <row r="23">
      <c r="U23" s="10" t="n"/>
      <c r="AM23" s="10" t="n"/>
      <c r="AN23" s="10" t="n"/>
    </row>
    <row r="24">
      <c r="U24" s="10" t="n"/>
      <c r="AM24" s="10" t="n"/>
      <c r="AN24" s="10" t="n"/>
    </row>
    <row r="25">
      <c r="U25" s="10" t="n"/>
      <c r="AM25" s="10" t="n"/>
      <c r="AN25" s="10" t="n"/>
    </row>
    <row r="26">
      <c r="U26" s="10" t="n"/>
      <c r="AM26" s="10" t="n"/>
      <c r="AN26" s="10" t="n"/>
    </row>
    <row r="27">
      <c r="U27" s="10" t="n"/>
      <c r="AM27" s="10" t="n"/>
      <c r="AN27" s="10" t="n"/>
    </row>
    <row r="28">
      <c r="U28" s="10" t="n"/>
      <c r="AM28" s="10" t="n"/>
      <c r="AN28" s="10" t="n"/>
    </row>
    <row r="29">
      <c r="U29" s="10" t="n"/>
      <c r="AM29" s="10" t="n"/>
      <c r="AN29" s="10" t="n"/>
    </row>
    <row r="30">
      <c r="U30" s="10" t="n"/>
      <c r="AM30" s="10" t="n"/>
      <c r="AN30" s="10" t="n"/>
    </row>
    <row r="31">
      <c r="U31" s="10" t="n"/>
      <c r="AM31" s="10" t="n"/>
      <c r="AN31" s="10" t="n"/>
    </row>
    <row r="32">
      <c r="U32" s="10" t="n"/>
      <c r="AM32" s="10" t="n"/>
      <c r="AN32" s="10" t="n"/>
    </row>
    <row r="33">
      <c r="U33" s="10" t="n"/>
      <c r="AM33" s="10" t="n"/>
      <c r="AN33" s="10" t="n"/>
    </row>
    <row r="34">
      <c r="U34" s="10" t="n"/>
      <c r="AM34" s="10" t="n"/>
      <c r="AN34" s="10" t="n"/>
    </row>
    <row r="35">
      <c r="U35" s="10" t="n"/>
      <c r="AM35" s="10" t="n"/>
      <c r="AN35" s="10" t="n"/>
    </row>
    <row r="36">
      <c r="U36" s="10" t="n"/>
      <c r="AM36" s="10" t="n"/>
      <c r="AN36" s="10" t="n"/>
    </row>
    <row r="37">
      <c r="U37" s="10" t="n"/>
      <c r="AM37" s="10" t="n"/>
      <c r="AN37" s="10" t="n"/>
    </row>
    <row r="38">
      <c r="U38" s="10" t="n"/>
      <c r="AM38" s="10" t="n"/>
      <c r="AN38" s="10" t="n"/>
    </row>
    <row r="39">
      <c r="U39" s="10" t="n"/>
      <c r="AM39" s="10" t="n"/>
      <c r="AN39" s="10" t="n"/>
    </row>
    <row r="40">
      <c r="U40" s="10" t="n"/>
      <c r="AM40" s="10" t="n"/>
      <c r="AN40" s="10" t="n"/>
    </row>
    <row r="41">
      <c r="U41" s="10" t="n"/>
      <c r="AM41" s="10" t="n"/>
      <c r="AN41" s="10" t="n"/>
    </row>
    <row r="42">
      <c r="U42" s="10" t="n"/>
      <c r="AM42" s="10" t="n"/>
      <c r="AN42" s="10" t="n"/>
    </row>
    <row r="43">
      <c r="U43" s="10" t="n"/>
      <c r="AM43" s="10" t="n"/>
      <c r="AN43" s="10" t="n"/>
    </row>
    <row r="44">
      <c r="U44" s="10" t="n"/>
      <c r="AM44" s="10" t="n"/>
      <c r="AN44" s="10" t="n"/>
    </row>
    <row r="45">
      <c r="U45" s="10" t="n"/>
      <c r="AM45" s="10" t="n"/>
      <c r="AN45" s="10" t="n"/>
    </row>
    <row r="46">
      <c r="U46" s="10" t="n"/>
      <c r="AM46" s="10" t="n"/>
      <c r="AN46" s="10" t="n"/>
    </row>
    <row r="47">
      <c r="U47" s="10" t="n"/>
      <c r="AM47" s="10" t="n"/>
      <c r="AN47" s="10" t="n"/>
    </row>
    <row r="48">
      <c r="U48" s="10" t="n"/>
      <c r="AM48" s="10" t="n"/>
      <c r="AN48" s="10" t="n"/>
    </row>
    <row r="49">
      <c r="U49" s="10" t="n"/>
      <c r="AM49" s="10" t="n"/>
      <c r="AN49" s="10" t="n"/>
    </row>
    <row r="50">
      <c r="U50" s="10" t="n"/>
      <c r="AM50" s="10" t="n"/>
      <c r="AN50" s="10" t="n"/>
    </row>
    <row r="51">
      <c r="U51" s="10" t="n"/>
      <c r="AM51" s="10" t="n"/>
      <c r="AN51" s="10" t="n"/>
    </row>
    <row r="52">
      <c r="U52" s="10" t="n"/>
      <c r="AM52" s="10" t="n"/>
      <c r="AN52" s="10" t="n"/>
    </row>
    <row r="53">
      <c r="U53" s="10" t="n"/>
      <c r="AM53" s="10" t="n"/>
      <c r="AN53" s="10" t="n"/>
    </row>
    <row r="54">
      <c r="U54" s="10" t="n"/>
      <c r="AM54" s="10" t="n"/>
      <c r="AN54" s="10" t="n"/>
    </row>
    <row r="55">
      <c r="U55" s="10" t="n"/>
      <c r="AM55" s="10" t="n"/>
      <c r="AN55" s="10" t="n"/>
    </row>
    <row r="56">
      <c r="U56" s="10" t="n"/>
      <c r="AM56" s="10" t="n"/>
      <c r="AN56" s="10" t="n"/>
    </row>
    <row r="57">
      <c r="U57" s="10" t="n"/>
      <c r="AM57" s="10" t="n"/>
      <c r="AN57" s="10" t="n"/>
    </row>
    <row r="58">
      <c r="U58" s="10" t="n"/>
      <c r="AM58" s="10" t="n"/>
      <c r="AN58" s="10" t="n"/>
    </row>
    <row r="59">
      <c r="U59" s="10" t="n"/>
      <c r="AM59" s="10" t="n"/>
      <c r="AN59" s="10" t="n"/>
    </row>
    <row r="60">
      <c r="U60" s="10" t="n"/>
      <c r="AM60" s="10" t="n"/>
      <c r="AN60" s="10" t="n"/>
    </row>
    <row r="61">
      <c r="U61" s="10" t="n"/>
      <c r="AM61" s="10" t="n"/>
      <c r="AN61" s="10" t="n"/>
    </row>
    <row r="62">
      <c r="U62" s="10" t="n"/>
      <c r="AM62" s="10" t="n"/>
      <c r="AN62" s="10" t="n"/>
    </row>
    <row r="63">
      <c r="U63" s="10" t="n"/>
      <c r="AM63" s="10" t="n"/>
      <c r="AN63" s="10" t="n"/>
    </row>
    <row r="64">
      <c r="U64" s="10" t="n"/>
      <c r="AM64" s="10" t="n"/>
      <c r="AN64" s="10" t="n"/>
    </row>
    <row r="65">
      <c r="U65" s="10" t="n"/>
      <c r="AM65" s="10" t="n"/>
      <c r="AN65" s="10" t="n"/>
    </row>
    <row r="66">
      <c r="U66" s="10" t="n"/>
      <c r="AM66" s="10" t="n"/>
      <c r="AN66" s="10" t="n"/>
    </row>
    <row r="67">
      <c r="U67" s="10" t="n"/>
      <c r="AM67" s="10" t="n"/>
      <c r="AN67" s="10" t="n"/>
    </row>
    <row r="68">
      <c r="U68" s="10" t="n"/>
      <c r="AM68" s="10" t="n"/>
      <c r="AN68" s="10" t="n"/>
    </row>
    <row r="69">
      <c r="U69" s="10" t="n"/>
      <c r="AM69" s="10" t="n"/>
      <c r="AN69" s="10" t="n"/>
    </row>
    <row r="70">
      <c r="U70" s="10" t="n"/>
      <c r="AM70" s="10" t="n"/>
      <c r="AN70" s="10" t="n"/>
    </row>
    <row r="71">
      <c r="U71" s="10" t="n"/>
      <c r="AM71" s="10" t="n"/>
      <c r="AN71" s="10" t="n"/>
    </row>
    <row r="72">
      <c r="U72" s="10" t="n"/>
      <c r="AM72" s="10" t="n"/>
      <c r="AN72" s="10" t="n"/>
    </row>
    <row r="73">
      <c r="U73" s="10" t="n"/>
      <c r="AM73" s="10" t="n"/>
      <c r="AN73" s="10" t="n"/>
    </row>
    <row r="74">
      <c r="U74" s="10" t="n"/>
      <c r="AM74" s="10" t="n"/>
      <c r="AN74" s="10" t="n"/>
    </row>
    <row r="75">
      <c r="U75" s="10" t="n"/>
      <c r="AM75" s="10" t="n"/>
      <c r="AN75" s="10" t="n"/>
    </row>
    <row r="76">
      <c r="U76" s="10" t="n"/>
      <c r="AM76" s="10" t="n"/>
      <c r="AN76" s="10" t="n"/>
    </row>
    <row r="77">
      <c r="U77" s="10" t="n"/>
      <c r="AM77" s="10" t="n"/>
      <c r="AN77" s="10" t="n"/>
    </row>
    <row r="78">
      <c r="U78" s="10" t="n"/>
      <c r="AM78" s="10" t="n"/>
      <c r="AN78" s="10" t="n"/>
    </row>
    <row r="79">
      <c r="U79" s="10" t="n"/>
      <c r="AM79" s="10" t="n"/>
      <c r="AN79" s="10" t="n"/>
    </row>
    <row r="80">
      <c r="U80" s="10" t="n"/>
      <c r="AM80" s="10" t="n"/>
      <c r="AN80" s="10" t="n"/>
    </row>
    <row r="81">
      <c r="U81" s="10" t="n"/>
      <c r="AM81" s="10" t="n"/>
      <c r="AN81" s="10" t="n"/>
    </row>
    <row r="82">
      <c r="U82" s="10" t="n"/>
      <c r="AM82" s="10" t="n"/>
      <c r="AN82" s="10" t="n"/>
    </row>
    <row r="83">
      <c r="U83" s="10" t="n"/>
      <c r="AM83" s="10" t="n"/>
      <c r="AN83" s="10" t="n"/>
    </row>
    <row r="84">
      <c r="U84" s="10" t="n"/>
      <c r="AM84" s="10" t="n"/>
      <c r="AN84" s="10" t="n"/>
    </row>
    <row r="85">
      <c r="U85" s="10" t="n"/>
      <c r="AM85" s="10" t="n"/>
      <c r="AN85" s="10" t="n"/>
    </row>
    <row r="86">
      <c r="U86" s="10" t="n"/>
      <c r="AM86" s="10" t="n"/>
      <c r="AN86" s="10" t="n"/>
    </row>
    <row r="87">
      <c r="U87" s="10" t="n"/>
      <c r="AM87" s="10" t="n"/>
      <c r="AN87" s="10" t="n"/>
    </row>
    <row r="88">
      <c r="U88" s="10" t="n"/>
      <c r="AM88" s="10" t="n"/>
      <c r="AN88" s="10" t="n"/>
    </row>
    <row r="89">
      <c r="U89" s="10" t="n"/>
      <c r="AM89" s="10" t="n"/>
      <c r="AN89" s="10" t="n"/>
    </row>
    <row r="90">
      <c r="U90" s="10" t="n"/>
      <c r="AM90" s="10" t="n"/>
      <c r="AN90" s="10" t="n"/>
    </row>
    <row r="91">
      <c r="U91" s="10" t="n"/>
      <c r="AM91" s="10" t="n"/>
      <c r="AN91" s="10" t="n"/>
    </row>
    <row r="92">
      <c r="U92" s="10" t="n"/>
      <c r="AM92" s="10" t="n"/>
      <c r="AN92" s="10" t="n"/>
    </row>
    <row r="93">
      <c r="U93" s="10" t="n"/>
      <c r="AM93" s="10" t="n"/>
      <c r="AN93" s="10" t="n"/>
    </row>
    <row r="94">
      <c r="U94" s="10" t="n"/>
      <c r="AM94" s="10" t="n"/>
      <c r="AN94" s="10" t="n"/>
    </row>
    <row r="95">
      <c r="U95" s="10" t="n"/>
      <c r="AM95" s="10" t="n"/>
      <c r="AN95" s="10" t="n"/>
    </row>
    <row r="96">
      <c r="U96" s="10" t="n"/>
      <c r="AM96" s="10" t="n"/>
      <c r="AN96" s="10" t="n"/>
    </row>
    <row r="97">
      <c r="U97" s="10" t="n"/>
      <c r="AM97" s="10" t="n"/>
      <c r="AN97" s="10" t="n"/>
    </row>
    <row r="98">
      <c r="U98" s="10" t="n"/>
      <c r="AM98" s="10" t="n"/>
      <c r="AN98" s="10" t="n"/>
    </row>
    <row r="99">
      <c r="U99" s="10" t="n"/>
      <c r="AM99" s="10" t="n"/>
      <c r="AN99" s="10" t="n"/>
    </row>
    <row r="100">
      <c r="U100" s="10" t="n"/>
      <c r="AM100" s="10" t="n"/>
      <c r="AN100" s="10" t="n"/>
    </row>
    <row r="101">
      <c r="U101" s="10" t="n"/>
      <c r="AM101" s="10" t="n"/>
      <c r="AN101" s="10" t="n"/>
    </row>
    <row r="102">
      <c r="U102" s="10" t="n"/>
      <c r="AM102" s="10" t="n"/>
      <c r="AN102" s="10" t="n"/>
    </row>
    <row r="103">
      <c r="U103" s="10" t="n"/>
      <c r="AM103" s="10" t="n"/>
      <c r="AN103" s="10" t="n"/>
    </row>
    <row r="104">
      <c r="U104" s="10" t="n"/>
      <c r="AM104" s="10" t="n"/>
      <c r="AN104" s="10" t="n"/>
    </row>
    <row r="105">
      <c r="U105" s="10" t="n"/>
      <c r="AM105" s="10" t="n"/>
      <c r="AN105" s="10" t="n"/>
    </row>
    <row r="106">
      <c r="U106" s="10" t="n"/>
      <c r="AM106" s="10" t="n"/>
      <c r="AN106" s="10" t="n"/>
    </row>
    <row r="107">
      <c r="U107" s="10" t="n"/>
      <c r="AM107" s="10" t="n"/>
      <c r="AN107" s="10" t="n"/>
    </row>
    <row r="108">
      <c r="U108" s="10" t="n"/>
      <c r="AM108" s="10" t="n"/>
      <c r="AN108" s="10" t="n"/>
    </row>
    <row r="109">
      <c r="U109" s="10" t="n"/>
      <c r="AM109" s="10" t="n"/>
      <c r="AN109" s="10" t="n"/>
    </row>
    <row r="110">
      <c r="U110" s="10" t="n"/>
      <c r="AM110" s="10" t="n"/>
      <c r="AN110" s="10" t="n"/>
    </row>
    <row r="111">
      <c r="U111" s="10" t="n"/>
      <c r="AM111" s="10" t="n"/>
      <c r="AN111" s="10" t="n"/>
    </row>
    <row r="112">
      <c r="U112" s="10" t="n"/>
      <c r="AM112" s="10" t="n"/>
      <c r="AN112" s="10" t="n"/>
    </row>
    <row r="113">
      <c r="U113" s="10" t="n"/>
      <c r="AM113" s="10" t="n"/>
      <c r="AN113" s="10" t="n"/>
    </row>
    <row r="114">
      <c r="U114" s="10" t="n"/>
      <c r="AM114" s="10" t="n"/>
      <c r="AN114" s="10" t="n"/>
    </row>
    <row r="115">
      <c r="U115" s="10" t="n"/>
      <c r="AM115" s="10" t="n"/>
      <c r="AN115" s="10" t="n"/>
    </row>
    <row r="116">
      <c r="U116" s="10" t="n"/>
      <c r="AM116" s="10" t="n"/>
      <c r="AN116" s="10" t="n"/>
    </row>
    <row r="117">
      <c r="U117" s="10" t="n"/>
      <c r="AM117" s="10" t="n"/>
      <c r="AN117" s="10" t="n"/>
    </row>
    <row r="118">
      <c r="U118" s="10" t="n"/>
      <c r="AM118" s="10" t="n"/>
      <c r="AN118" s="10" t="n"/>
    </row>
    <row r="119">
      <c r="U119" s="10" t="n"/>
      <c r="AM119" s="10" t="n"/>
      <c r="AN119" s="10" t="n"/>
    </row>
    <row r="120">
      <c r="U120" s="10" t="n"/>
      <c r="AM120" s="10" t="n"/>
      <c r="AN120" s="10" t="n"/>
    </row>
    <row r="121">
      <c r="U121" s="10" t="n"/>
      <c r="AM121" s="10" t="n"/>
      <c r="AN121" s="10" t="n"/>
    </row>
    <row r="122">
      <c r="U122" s="10" t="n"/>
      <c r="AM122" s="10" t="n"/>
      <c r="AN122" s="10" t="n"/>
    </row>
    <row r="123">
      <c r="U123" s="10" t="n"/>
      <c r="AM123" s="10" t="n"/>
      <c r="AN123" s="10" t="n"/>
    </row>
    <row r="124">
      <c r="U124" s="10" t="n"/>
      <c r="AM124" s="10" t="n"/>
      <c r="AN124" s="10" t="n"/>
    </row>
    <row r="125">
      <c r="U125" s="10" t="n"/>
      <c r="AM125" s="10" t="n"/>
      <c r="AN125" s="10" t="n"/>
    </row>
    <row r="126">
      <c r="U126" s="10" t="n"/>
      <c r="AM126" s="10" t="n"/>
      <c r="AN126" s="10" t="n"/>
    </row>
    <row r="127">
      <c r="U127" s="10" t="n"/>
      <c r="AM127" s="10" t="n"/>
      <c r="AN127" s="10" t="n"/>
    </row>
    <row r="128">
      <c r="U128" s="10" t="n"/>
      <c r="AM128" s="10" t="n"/>
      <c r="AN128" s="10" t="n"/>
    </row>
    <row r="129">
      <c r="U129" s="10" t="n"/>
      <c r="AM129" s="10" t="n"/>
      <c r="AN129" s="10" t="n"/>
    </row>
    <row r="130">
      <c r="U130" s="10" t="n"/>
      <c r="AM130" s="10" t="n"/>
      <c r="AN130" s="10" t="n"/>
    </row>
    <row r="131">
      <c r="U131" s="10" t="n"/>
      <c r="AM131" s="10" t="n"/>
      <c r="AN131" s="10" t="n"/>
    </row>
    <row r="132">
      <c r="U132" s="10" t="n"/>
      <c r="AM132" s="10" t="n"/>
      <c r="AN132" s="10" t="n"/>
    </row>
    <row r="133">
      <c r="U133" s="10" t="n"/>
      <c r="AM133" s="10" t="n"/>
      <c r="AN133" s="10" t="n"/>
    </row>
    <row r="134">
      <c r="U134" s="10" t="n"/>
      <c r="AM134" s="10" t="n"/>
      <c r="AN134" s="10" t="n"/>
    </row>
    <row r="135">
      <c r="U135" s="10" t="n"/>
      <c r="AM135" s="10" t="n"/>
      <c r="AN135" s="10" t="n"/>
    </row>
    <row r="136">
      <c r="U136" s="10" t="n"/>
      <c r="AM136" s="10" t="n"/>
      <c r="AN136" s="10" t="n"/>
    </row>
    <row r="137">
      <c r="U137" s="10" t="n"/>
      <c r="AM137" s="10" t="n"/>
      <c r="AN137" s="10" t="n"/>
    </row>
    <row r="138">
      <c r="U138" s="10" t="n"/>
      <c r="AM138" s="10" t="n"/>
      <c r="AN138" s="10" t="n"/>
    </row>
    <row r="139">
      <c r="U139" s="10" t="n"/>
      <c r="AM139" s="10" t="n"/>
      <c r="AN139" s="10" t="n"/>
    </row>
    <row r="140">
      <c r="U140" s="10" t="n"/>
      <c r="AM140" s="10" t="n"/>
      <c r="AN140" s="10" t="n"/>
    </row>
    <row r="141">
      <c r="U141" s="10" t="n"/>
      <c r="AM141" s="10" t="n"/>
      <c r="AN141" s="10" t="n"/>
    </row>
    <row r="142">
      <c r="U142" s="10" t="n"/>
      <c r="AM142" s="10" t="n"/>
      <c r="AN142" s="10" t="n"/>
    </row>
    <row r="143">
      <c r="U143" s="10" t="n"/>
      <c r="AM143" s="10" t="n"/>
      <c r="AN143" s="10" t="n"/>
    </row>
    <row r="144">
      <c r="U144" s="10" t="n"/>
      <c r="AM144" s="10" t="n"/>
      <c r="AN144" s="10" t="n"/>
    </row>
    <row r="145">
      <c r="U145" s="10" t="n"/>
      <c r="AM145" s="10" t="n"/>
      <c r="AN145" s="10" t="n"/>
    </row>
    <row r="146">
      <c r="U146" s="10" t="n"/>
      <c r="AM146" s="10" t="n"/>
      <c r="AN146" s="10" t="n"/>
    </row>
    <row r="147">
      <c r="U147" s="10" t="n"/>
      <c r="AM147" s="10" t="n"/>
      <c r="AN147" s="10" t="n"/>
    </row>
    <row r="148">
      <c r="U148" s="10" t="n"/>
      <c r="AM148" s="10" t="n"/>
      <c r="AN148" s="10" t="n"/>
    </row>
    <row r="149">
      <c r="U149" s="10" t="n"/>
      <c r="AM149" s="10" t="n"/>
      <c r="AN149" s="10" t="n"/>
    </row>
    <row r="150">
      <c r="U150" s="10" t="n"/>
      <c r="AM150" s="10" t="n"/>
      <c r="AN150" s="10" t="n"/>
    </row>
    <row r="151">
      <c r="U151" s="10" t="n"/>
      <c r="AM151" s="10" t="n"/>
      <c r="AN151" s="10" t="n"/>
    </row>
    <row r="152">
      <c r="U152" s="10" t="n"/>
      <c r="AM152" s="10" t="n"/>
      <c r="AN152" s="10" t="n"/>
    </row>
    <row r="153">
      <c r="U153" s="10" t="n"/>
      <c r="AM153" s="10" t="n"/>
      <c r="AN153" s="10" t="n"/>
    </row>
    <row r="154">
      <c r="U154" s="10" t="n"/>
      <c r="AM154" s="10" t="n"/>
      <c r="AN154" s="10" t="n"/>
    </row>
    <row r="155">
      <c r="U155" s="10" t="n"/>
      <c r="AM155" s="10" t="n"/>
      <c r="AN155" s="10" t="n"/>
    </row>
    <row r="156">
      <c r="U156" s="10" t="n"/>
      <c r="AM156" s="10" t="n"/>
      <c r="AN156" s="10" t="n"/>
    </row>
    <row r="157">
      <c r="U157" s="10" t="n"/>
      <c r="AM157" s="10" t="n"/>
      <c r="AN157" s="10" t="n"/>
    </row>
    <row r="158">
      <c r="U158" s="10" t="n"/>
      <c r="AM158" s="10" t="n"/>
      <c r="AN158" s="10" t="n"/>
    </row>
    <row r="159">
      <c r="U159" s="10" t="n"/>
      <c r="AM159" s="10" t="n"/>
      <c r="AN159" s="10" t="n"/>
    </row>
    <row r="160">
      <c r="U160" s="10" t="n"/>
      <c r="AM160" s="10" t="n"/>
      <c r="AN160" s="10" t="n"/>
    </row>
    <row r="161">
      <c r="U161" s="10" t="n"/>
      <c r="AM161" s="10" t="n"/>
      <c r="AN161" s="10" t="n"/>
    </row>
    <row r="162">
      <c r="U162" s="10" t="n"/>
      <c r="AM162" s="10" t="n"/>
      <c r="AN162" s="10" t="n"/>
    </row>
    <row r="163">
      <c r="U163" s="10" t="n"/>
      <c r="AM163" s="10" t="n"/>
      <c r="AN163" s="10" t="n"/>
    </row>
    <row r="164">
      <c r="U164" s="10" t="n"/>
      <c r="AM164" s="10" t="n"/>
      <c r="AN164" s="10" t="n"/>
    </row>
    <row r="165">
      <c r="U165" s="10" t="n"/>
      <c r="AM165" s="10" t="n"/>
      <c r="AN165" s="10" t="n"/>
    </row>
    <row r="166">
      <c r="U166" s="10" t="n"/>
      <c r="AM166" s="10" t="n"/>
      <c r="AN166" s="10" t="n"/>
    </row>
    <row r="167">
      <c r="U167" s="10" t="n"/>
      <c r="AM167" s="10" t="n"/>
      <c r="AN167" s="10" t="n"/>
    </row>
    <row r="168">
      <c r="U168" s="10" t="n"/>
      <c r="AM168" s="10" t="n"/>
      <c r="AN168" s="10" t="n"/>
    </row>
    <row r="169">
      <c r="U169" s="10" t="n"/>
      <c r="AM169" s="10" t="n"/>
      <c r="AN169" s="10" t="n"/>
    </row>
    <row r="170">
      <c r="U170" s="10" t="n"/>
      <c r="AM170" s="10" t="n"/>
      <c r="AN170" s="10" t="n"/>
    </row>
    <row r="171">
      <c r="U171" s="10" t="n"/>
      <c r="AM171" s="10" t="n"/>
      <c r="AN171" s="10" t="n"/>
    </row>
    <row r="172">
      <c r="U172" s="10" t="n"/>
      <c r="AM172" s="10" t="n"/>
      <c r="AN172" s="10" t="n"/>
    </row>
    <row r="173">
      <c r="U173" s="10" t="n"/>
      <c r="AM173" s="10" t="n"/>
      <c r="AN173" s="10" t="n"/>
    </row>
    <row r="174">
      <c r="U174" s="10" t="n"/>
      <c r="AM174" s="10" t="n"/>
      <c r="AN174" s="10" t="n"/>
    </row>
    <row r="175">
      <c r="U175" s="10" t="n"/>
      <c r="AM175" s="10" t="n"/>
      <c r="AN175" s="10" t="n"/>
    </row>
    <row r="176">
      <c r="U176" s="10" t="n"/>
      <c r="AM176" s="10" t="n"/>
      <c r="AN176" s="10" t="n"/>
    </row>
    <row r="177">
      <c r="U177" s="10" t="n"/>
      <c r="AM177" s="10" t="n"/>
      <c r="AN177" s="10" t="n"/>
    </row>
    <row r="178">
      <c r="U178" s="10" t="n"/>
      <c r="AM178" s="10" t="n"/>
      <c r="AN178" s="10" t="n"/>
    </row>
    <row r="179">
      <c r="U179" s="10" t="n"/>
      <c r="AM179" s="10" t="n"/>
      <c r="AN179" s="10" t="n"/>
    </row>
    <row r="180">
      <c r="U180" s="10" t="n"/>
      <c r="AM180" s="10" t="n"/>
      <c r="AN180" s="10" t="n"/>
    </row>
    <row r="181">
      <c r="U181" s="10" t="n"/>
      <c r="AM181" s="10" t="n"/>
      <c r="AN181" s="10" t="n"/>
    </row>
    <row r="182">
      <c r="U182" s="10" t="n"/>
      <c r="AM182" s="10" t="n"/>
      <c r="AN182" s="10" t="n"/>
    </row>
    <row r="183">
      <c r="U183" s="10" t="n"/>
      <c r="AM183" s="10" t="n"/>
      <c r="AN183" s="10" t="n"/>
    </row>
    <row r="184">
      <c r="U184" s="10" t="n"/>
      <c r="AM184" s="10" t="n"/>
      <c r="AN184" s="10" t="n"/>
    </row>
    <row r="185">
      <c r="U185" s="10" t="n"/>
      <c r="AM185" s="10" t="n"/>
      <c r="AN185" s="10" t="n"/>
    </row>
    <row r="186">
      <c r="U186" s="10" t="n"/>
      <c r="AM186" s="10" t="n"/>
      <c r="AN186" s="10" t="n"/>
    </row>
    <row r="187">
      <c r="U187" s="10" t="n"/>
      <c r="AM187" s="10" t="n"/>
      <c r="AN187" s="10" t="n"/>
    </row>
    <row r="188">
      <c r="U188" s="10" t="n"/>
      <c r="AM188" s="10" t="n"/>
      <c r="AN188" s="10" t="n"/>
    </row>
    <row r="189">
      <c r="U189" s="10" t="n"/>
      <c r="AM189" s="10" t="n"/>
      <c r="AN189" s="10" t="n"/>
    </row>
    <row r="190">
      <c r="U190" s="10" t="n"/>
      <c r="AM190" s="10" t="n"/>
      <c r="AN190" s="10" t="n"/>
    </row>
    <row r="191">
      <c r="U191" s="10" t="n"/>
      <c r="AM191" s="10" t="n"/>
      <c r="AN191" s="10" t="n"/>
    </row>
    <row r="192">
      <c r="U192" s="10" t="n"/>
      <c r="AM192" s="10" t="n"/>
      <c r="AN192" s="10" t="n"/>
    </row>
    <row r="193">
      <c r="U193" s="10" t="n"/>
      <c r="AM193" s="10" t="n"/>
      <c r="AN193" s="10" t="n"/>
    </row>
    <row r="194">
      <c r="U194" s="10" t="n"/>
      <c r="AM194" s="10" t="n"/>
      <c r="AN194" s="10" t="n"/>
    </row>
    <row r="195">
      <c r="U195" s="10" t="n"/>
      <c r="AM195" s="10" t="n"/>
      <c r="AN195" s="10" t="n"/>
    </row>
    <row r="196">
      <c r="U196" s="10" t="n"/>
      <c r="AM196" s="10" t="n"/>
      <c r="AN196" s="10" t="n"/>
    </row>
    <row r="197">
      <c r="U197" s="10" t="n"/>
      <c r="AM197" s="10" t="n"/>
      <c r="AN197" s="10" t="n"/>
    </row>
    <row r="198">
      <c r="U198" s="10" t="n"/>
      <c r="AM198" s="10" t="n"/>
      <c r="AN198" s="10" t="n"/>
    </row>
    <row r="199">
      <c r="U199" s="10" t="n"/>
      <c r="AM199" s="10" t="n"/>
      <c r="AN199" s="10" t="n"/>
    </row>
    <row r="200">
      <c r="U200" s="10" t="n"/>
      <c r="AM200" s="10" t="n"/>
      <c r="AN200" s="10" t="n"/>
    </row>
    <row r="201">
      <c r="U201" s="10" t="n"/>
      <c r="AM201" s="10" t="n"/>
      <c r="AN201" s="10" t="n"/>
    </row>
  </sheetData>
  <dataValidations count="7">
    <dataValidation sqref="AI2:AI201 AJ2:AJ201" showDropDown="0" showInputMessage="0" showErrorMessage="1" allowBlank="1" type="list">
      <formula1>"igen,nem"</formula1>
    </dataValidation>
    <dataValidation sqref="C2:C201 D2:D201 E2:E201 F2:F201 G2:G201 H2:H201 I2:I201 J2:J201 K2:K201 L2:L201 M2:M201 N2:N201 O2:O201 P2:P201 Q2:Q201 R2:R201 S2:S201 V2:V201 X2:X201 AB2:AB201 AC2:AC201 AD2:AD201 AE2:AE201 AF2:AF201 AG2:AG201" showDropDown="0" showInputMessage="0" showErrorMessage="1" allowBlank="1" error="1 és 10 közötti egész számot adj meg." type="whole" operator="between">
      <formula1>1</formula1>
      <formula2>10</formula2>
    </dataValidation>
    <dataValidation sqref="T2:T201 W2:W201 Z2:Z201 AA2:AA201 AK2:AK201 AL2:AL201" showDropDown="0" showInputMessage="0" showErrorMessage="1" allowBlank="1" type="decimal" operator="greaterThanOrEqual">
      <formula1>0</formula1>
    </dataValidation>
    <dataValidation sqref="U2:U201 AM2:AM201 AN2:AN201" showDropDown="0" showInputMessage="0" showErrorMessage="1" allowBlank="1" type="decimal" operator="greaterThanOrEqual">
      <formula1>0</formula1>
    </dataValidation>
    <dataValidation sqref="B2:B201" showDropDown="0" showInputMessage="0" showErrorMessage="1" allowBlank="1" type="list">
      <formula1>'Beállítások'!$A$51:$A$59</formula1>
    </dataValidation>
    <dataValidation sqref="Y2:Y201" showDropDown="0" showInputMessage="0" showErrorMessage="1" allowBlank="1" type="list">
      <formula1>'Beállítások'!$A$63:$A$69</formula1>
    </dataValidation>
    <dataValidation sqref="AH2:AH201" showDropDown="0" showInputMessage="0" showErrorMessage="1" allowBlank="1" type="list">
      <formula1>'Beállítások'!$A$73:$A$79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981B"/>
    <outlinePr summaryBelow="1" summaryRight="1"/>
    <pageSetUpPr/>
  </sheetPr>
  <dimension ref="A1:W2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12" customWidth="1" min="4" max="4"/>
    <col width="8" customWidth="1" min="5" max="5"/>
    <col width="30" customWidth="1" min="6" max="6"/>
    <col width="18" customWidth="1" min="7" max="7"/>
    <col width="17" customWidth="1" min="8" max="8"/>
    <col width="17" customWidth="1" min="9" max="9"/>
    <col width="17" customWidth="1" min="10" max="10"/>
    <col width="17" customWidth="1" min="11" max="11"/>
    <col width="16" customWidth="1" min="12" max="12"/>
    <col width="15" customWidth="1" min="13" max="13"/>
    <col width="14" customWidth="1" min="14" max="14"/>
    <col width="10" customWidth="1" min="15" max="15"/>
    <col width="11" customWidth="1" min="16" max="16"/>
    <col width="15" customWidth="1" min="17" max="17"/>
    <col width="11" customWidth="1" min="18" max="18"/>
    <col width="34" customWidth="1" min="19" max="19"/>
    <col width="26" customWidth="1" min="20" max="20"/>
    <col width="10" customWidth="1" min="21" max="21"/>
    <col hidden="1" width="13" customWidth="1" min="23" max="23"/>
  </cols>
  <sheetData>
    <row r="1">
      <c r="A1" s="11" t="inlineStr">
        <is>
          <t>ICP-rangsor – pontszám szerint csökkenő sorrendben</t>
        </is>
      </c>
    </row>
    <row r="2">
      <c r="A2" t="inlineStr">
        <is>
          <t>Automatikusan frissül az Ügyfelek lap alapján. A csoportoszlopok 0–100 között mutatják, hol erős az ügyfél. Holtversenynél a korábban felvett ügyfél áll elöl.</t>
        </is>
      </c>
    </row>
    <row r="4" ht="60" customHeight="1">
      <c r="A4" s="4" t="inlineStr">
        <is>
          <t>Rang</t>
        </is>
      </c>
      <c r="B4" s="4" t="inlineStr">
        <is>
          <t>Ügyfél</t>
        </is>
      </c>
      <c r="C4" s="4" t="inlineStr">
        <is>
          <t>ICP pontszám</t>
        </is>
      </c>
      <c r="D4" s="4" t="inlineStr">
        <is>
          <t>Rendszerpontszám</t>
        </is>
      </c>
      <c r="E4" s="4" t="inlineStr">
        <is>
          <t>Státusz</t>
        </is>
      </c>
      <c r="F4" s="4" t="inlineStr">
        <is>
          <t>Státusz megnevezése</t>
        </is>
      </c>
      <c r="G4" s="4" t="inlineStr">
        <is>
          <t>Döntés</t>
        </is>
      </c>
      <c r="H4" s="5" t="inlineStr">
        <is>
          <t>Értékek</t>
        </is>
      </c>
      <c r="I4" s="6" t="inlineStr">
        <is>
          <t>Marketingezhetőség</t>
        </is>
      </c>
      <c r="J4" s="7" t="inlineStr">
        <is>
          <t>Üzleti illeszkedés</t>
        </is>
      </c>
      <c r="K4" s="8" t="inlineStr">
        <is>
          <t>Kapcsolat</t>
        </is>
      </c>
      <c r="L4" s="4" t="inlineStr">
        <is>
          <t>Javasolt fix havi díj</t>
        </is>
      </c>
      <c r="M4" s="4" t="inlineStr">
        <is>
          <t>Jelenlegi díj</t>
        </is>
      </c>
      <c r="N4" s="4" t="inlineStr">
        <is>
          <t>Eltérés (Ft)</t>
        </is>
      </c>
      <c r="O4" s="4" t="inlineStr">
        <is>
          <t>Eltérés (%)</t>
        </is>
      </c>
      <c r="P4" s="4" t="inlineStr">
        <is>
          <t>Jutalékos modell</t>
        </is>
      </c>
      <c r="Q4" s="4" t="inlineStr">
        <is>
          <t>Jutalékos: fix díj</t>
        </is>
      </c>
      <c r="R4" s="4" t="inlineStr">
        <is>
          <t>Jutalékos: jutalék %</t>
        </is>
      </c>
      <c r="S4" s="4" t="inlineStr">
        <is>
          <t>Díjmodell</t>
        </is>
      </c>
      <c r="T4" s="4" t="inlineStr">
        <is>
          <t>Leggyengébb terület</t>
        </is>
      </c>
      <c r="U4" s="4" t="inlineStr">
        <is>
          <t>Hiányzó adatok</t>
        </is>
      </c>
      <c r="W4" t="inlineStr">
        <is>
          <t>sor</t>
        </is>
      </c>
    </row>
    <row r="5">
      <c r="A5" s="12">
        <f>IF($W5="","",INDEX('Eredmény'!$AO$2:$AO$201,$W5))</f>
        <v/>
      </c>
      <c r="B5" s="13">
        <f>IF($W5="","",INDEX('Eredmény'!$A$2:$A$201,$W5))</f>
        <v/>
      </c>
      <c r="C5" s="14">
        <f>IF($W5="","",INDEX('Eredmény'!$AM$2:$AM$201,$W5))</f>
        <v/>
      </c>
      <c r="D5" s="14">
        <f>IF($W5="","",INDEX('Eredmény'!$AN$2:$AN$201,$W5))</f>
        <v/>
      </c>
      <c r="E5" s="12">
        <f>IF($W5="","",INDEX('Eredmény'!$AQ$2:$AQ$201,$W5))</f>
        <v/>
      </c>
      <c r="F5" s="13">
        <f>IF($W5="","",INDEX('Eredmény'!$AR$2:$AR$201,$W5))</f>
        <v/>
      </c>
      <c r="G5" s="13">
        <f>IF($W5="","",INDEX('Eredmény'!$AS$2:$AS$201,$W5))</f>
        <v/>
      </c>
      <c r="H5" s="14">
        <f>IF($W5="","",INDEX('Eredmény'!$AI$2:$AI$201,$W5))</f>
        <v/>
      </c>
      <c r="I5" s="14">
        <f>IF($W5="","",INDEX('Eredmény'!$AJ$2:$AJ$201,$W5))</f>
        <v/>
      </c>
      <c r="J5" s="14">
        <f>IF($W5="","",INDEX('Eredmény'!$AK$2:$AK$201,$W5))</f>
        <v/>
      </c>
      <c r="K5" s="14">
        <f>IF($W5="","",INDEX('Eredmény'!$AL$2:$AL$201,$W5))</f>
        <v/>
      </c>
      <c r="L5" s="15">
        <f>IF($W5="","",INDEX('Eredmény'!$AZ$2:$AZ$201,$W5))</f>
        <v/>
      </c>
      <c r="M5" s="15">
        <f>IF($W5="","",INDEX('Eredmény'!$BB$2:$BB$201,$W5))</f>
        <v/>
      </c>
      <c r="N5" s="15">
        <f>IF($W5="","",INDEX('Eredmény'!$BC$2:$BC$201,$W5))</f>
        <v/>
      </c>
      <c r="O5" s="16">
        <f>IF($W5="","",INDEX('Eredmény'!$BD$2:$BD$201,$W5))</f>
        <v/>
      </c>
      <c r="P5" s="13">
        <f>IF($W5="","",INDEX('Eredmény'!$BE$2:$BE$201,$W5))</f>
        <v/>
      </c>
      <c r="Q5" s="15">
        <f>IF($W5="","",INDEX('Eredmény'!$BF$2:$BF$201,$W5))</f>
        <v/>
      </c>
      <c r="R5" s="17">
        <f>IF($W5="","",INDEX('Eredmény'!$BG$2:$BG$201,$W5))</f>
        <v/>
      </c>
      <c r="S5" s="13">
        <f>IF($W5="","",INDEX('Eredmény'!$AT$2:$AT$201,$W5))</f>
        <v/>
      </c>
      <c r="T5" s="13">
        <f>IF($W5="","",INDEX('Eredmény'!$AV$2:$AV$201,$W5))</f>
        <v/>
      </c>
      <c r="U5" s="12">
        <f>IF($W5="","",INDEX('Eredmény'!$BI$2:$BI$201,$W5))</f>
        <v/>
      </c>
      <c r="W5">
        <f>IFERROR(MATCH(LARGE('Eredmény'!$DY$2:$DY$201,1),'Eredmény'!$DY$2:$DY$201,0),"")</f>
        <v/>
      </c>
    </row>
    <row r="6">
      <c r="A6" s="12">
        <f>IF($W6="","",INDEX('Eredmény'!$AO$2:$AO$201,$W6))</f>
        <v/>
      </c>
      <c r="B6" s="13">
        <f>IF($W6="","",INDEX('Eredmény'!$A$2:$A$201,$W6))</f>
        <v/>
      </c>
      <c r="C6" s="14">
        <f>IF($W6="","",INDEX('Eredmény'!$AM$2:$AM$201,$W6))</f>
        <v/>
      </c>
      <c r="D6" s="14">
        <f>IF($W6="","",INDEX('Eredmény'!$AN$2:$AN$201,$W6))</f>
        <v/>
      </c>
      <c r="E6" s="12">
        <f>IF($W6="","",INDEX('Eredmény'!$AQ$2:$AQ$201,$W6))</f>
        <v/>
      </c>
      <c r="F6" s="13">
        <f>IF($W6="","",INDEX('Eredmény'!$AR$2:$AR$201,$W6))</f>
        <v/>
      </c>
      <c r="G6" s="13">
        <f>IF($W6="","",INDEX('Eredmény'!$AS$2:$AS$201,$W6))</f>
        <v/>
      </c>
      <c r="H6" s="14">
        <f>IF($W6="","",INDEX('Eredmény'!$AI$2:$AI$201,$W6))</f>
        <v/>
      </c>
      <c r="I6" s="14">
        <f>IF($W6="","",INDEX('Eredmény'!$AJ$2:$AJ$201,$W6))</f>
        <v/>
      </c>
      <c r="J6" s="14">
        <f>IF($W6="","",INDEX('Eredmény'!$AK$2:$AK$201,$W6))</f>
        <v/>
      </c>
      <c r="K6" s="14">
        <f>IF($W6="","",INDEX('Eredmény'!$AL$2:$AL$201,$W6))</f>
        <v/>
      </c>
      <c r="L6" s="15">
        <f>IF($W6="","",INDEX('Eredmény'!$AZ$2:$AZ$201,$W6))</f>
        <v/>
      </c>
      <c r="M6" s="15">
        <f>IF($W6="","",INDEX('Eredmény'!$BB$2:$BB$201,$W6))</f>
        <v/>
      </c>
      <c r="N6" s="15">
        <f>IF($W6="","",INDEX('Eredmény'!$BC$2:$BC$201,$W6))</f>
        <v/>
      </c>
      <c r="O6" s="16">
        <f>IF($W6="","",INDEX('Eredmény'!$BD$2:$BD$201,$W6))</f>
        <v/>
      </c>
      <c r="P6" s="13">
        <f>IF($W6="","",INDEX('Eredmény'!$BE$2:$BE$201,$W6))</f>
        <v/>
      </c>
      <c r="Q6" s="15">
        <f>IF($W6="","",INDEX('Eredmény'!$BF$2:$BF$201,$W6))</f>
        <v/>
      </c>
      <c r="R6" s="17">
        <f>IF($W6="","",INDEX('Eredmény'!$BG$2:$BG$201,$W6))</f>
        <v/>
      </c>
      <c r="S6" s="13">
        <f>IF($W6="","",INDEX('Eredmény'!$AT$2:$AT$201,$W6))</f>
        <v/>
      </c>
      <c r="T6" s="13">
        <f>IF($W6="","",INDEX('Eredmény'!$AV$2:$AV$201,$W6))</f>
        <v/>
      </c>
      <c r="U6" s="12">
        <f>IF($W6="","",INDEX('Eredmény'!$BI$2:$BI$201,$W6))</f>
        <v/>
      </c>
      <c r="W6">
        <f>IFERROR(MATCH(LARGE('Eredmény'!$DY$2:$DY$201,2),'Eredmény'!$DY$2:$DY$201,0),"")</f>
        <v/>
      </c>
    </row>
    <row r="7">
      <c r="A7" s="12">
        <f>IF($W7="","",INDEX('Eredmény'!$AO$2:$AO$201,$W7))</f>
        <v/>
      </c>
      <c r="B7" s="13">
        <f>IF($W7="","",INDEX('Eredmény'!$A$2:$A$201,$W7))</f>
        <v/>
      </c>
      <c r="C7" s="14">
        <f>IF($W7="","",INDEX('Eredmény'!$AM$2:$AM$201,$W7))</f>
        <v/>
      </c>
      <c r="D7" s="14">
        <f>IF($W7="","",INDEX('Eredmény'!$AN$2:$AN$201,$W7))</f>
        <v/>
      </c>
      <c r="E7" s="12">
        <f>IF($W7="","",INDEX('Eredmény'!$AQ$2:$AQ$201,$W7))</f>
        <v/>
      </c>
      <c r="F7" s="13">
        <f>IF($W7="","",INDEX('Eredmény'!$AR$2:$AR$201,$W7))</f>
        <v/>
      </c>
      <c r="G7" s="13">
        <f>IF($W7="","",INDEX('Eredmény'!$AS$2:$AS$201,$W7))</f>
        <v/>
      </c>
      <c r="H7" s="14">
        <f>IF($W7="","",INDEX('Eredmény'!$AI$2:$AI$201,$W7))</f>
        <v/>
      </c>
      <c r="I7" s="14">
        <f>IF($W7="","",INDEX('Eredmény'!$AJ$2:$AJ$201,$W7))</f>
        <v/>
      </c>
      <c r="J7" s="14">
        <f>IF($W7="","",INDEX('Eredmény'!$AK$2:$AK$201,$W7))</f>
        <v/>
      </c>
      <c r="K7" s="14">
        <f>IF($W7="","",INDEX('Eredmény'!$AL$2:$AL$201,$W7))</f>
        <v/>
      </c>
      <c r="L7" s="15">
        <f>IF($W7="","",INDEX('Eredmény'!$AZ$2:$AZ$201,$W7))</f>
        <v/>
      </c>
      <c r="M7" s="15">
        <f>IF($W7="","",INDEX('Eredmény'!$BB$2:$BB$201,$W7))</f>
        <v/>
      </c>
      <c r="N7" s="15">
        <f>IF($W7="","",INDEX('Eredmény'!$BC$2:$BC$201,$W7))</f>
        <v/>
      </c>
      <c r="O7" s="16">
        <f>IF($W7="","",INDEX('Eredmény'!$BD$2:$BD$201,$W7))</f>
        <v/>
      </c>
      <c r="P7" s="13">
        <f>IF($W7="","",INDEX('Eredmény'!$BE$2:$BE$201,$W7))</f>
        <v/>
      </c>
      <c r="Q7" s="15">
        <f>IF($W7="","",INDEX('Eredmény'!$BF$2:$BF$201,$W7))</f>
        <v/>
      </c>
      <c r="R7" s="17">
        <f>IF($W7="","",INDEX('Eredmény'!$BG$2:$BG$201,$W7))</f>
        <v/>
      </c>
      <c r="S7" s="13">
        <f>IF($W7="","",INDEX('Eredmény'!$AT$2:$AT$201,$W7))</f>
        <v/>
      </c>
      <c r="T7" s="13">
        <f>IF($W7="","",INDEX('Eredmény'!$AV$2:$AV$201,$W7))</f>
        <v/>
      </c>
      <c r="U7" s="12">
        <f>IF($W7="","",INDEX('Eredmény'!$BI$2:$BI$201,$W7))</f>
        <v/>
      </c>
      <c r="W7">
        <f>IFERROR(MATCH(LARGE('Eredmény'!$DY$2:$DY$201,3),'Eredmény'!$DY$2:$DY$201,0),"")</f>
        <v/>
      </c>
    </row>
    <row r="8">
      <c r="A8" s="12">
        <f>IF($W8="","",INDEX('Eredmény'!$AO$2:$AO$201,$W8))</f>
        <v/>
      </c>
      <c r="B8" s="13">
        <f>IF($W8="","",INDEX('Eredmény'!$A$2:$A$201,$W8))</f>
        <v/>
      </c>
      <c r="C8" s="14">
        <f>IF($W8="","",INDEX('Eredmény'!$AM$2:$AM$201,$W8))</f>
        <v/>
      </c>
      <c r="D8" s="14">
        <f>IF($W8="","",INDEX('Eredmény'!$AN$2:$AN$201,$W8))</f>
        <v/>
      </c>
      <c r="E8" s="12">
        <f>IF($W8="","",INDEX('Eredmény'!$AQ$2:$AQ$201,$W8))</f>
        <v/>
      </c>
      <c r="F8" s="13">
        <f>IF($W8="","",INDEX('Eredmény'!$AR$2:$AR$201,$W8))</f>
        <v/>
      </c>
      <c r="G8" s="13">
        <f>IF($W8="","",INDEX('Eredmény'!$AS$2:$AS$201,$W8))</f>
        <v/>
      </c>
      <c r="H8" s="14">
        <f>IF($W8="","",INDEX('Eredmény'!$AI$2:$AI$201,$W8))</f>
        <v/>
      </c>
      <c r="I8" s="14">
        <f>IF($W8="","",INDEX('Eredmény'!$AJ$2:$AJ$201,$W8))</f>
        <v/>
      </c>
      <c r="J8" s="14">
        <f>IF($W8="","",INDEX('Eredmény'!$AK$2:$AK$201,$W8))</f>
        <v/>
      </c>
      <c r="K8" s="14">
        <f>IF($W8="","",INDEX('Eredmény'!$AL$2:$AL$201,$W8))</f>
        <v/>
      </c>
      <c r="L8" s="15">
        <f>IF($W8="","",INDEX('Eredmény'!$AZ$2:$AZ$201,$W8))</f>
        <v/>
      </c>
      <c r="M8" s="15">
        <f>IF($W8="","",INDEX('Eredmény'!$BB$2:$BB$201,$W8))</f>
        <v/>
      </c>
      <c r="N8" s="15">
        <f>IF($W8="","",INDEX('Eredmény'!$BC$2:$BC$201,$W8))</f>
        <v/>
      </c>
      <c r="O8" s="16">
        <f>IF($W8="","",INDEX('Eredmény'!$BD$2:$BD$201,$W8))</f>
        <v/>
      </c>
      <c r="P8" s="13">
        <f>IF($W8="","",INDEX('Eredmény'!$BE$2:$BE$201,$W8))</f>
        <v/>
      </c>
      <c r="Q8" s="15">
        <f>IF($W8="","",INDEX('Eredmény'!$BF$2:$BF$201,$W8))</f>
        <v/>
      </c>
      <c r="R8" s="17">
        <f>IF($W8="","",INDEX('Eredmény'!$BG$2:$BG$201,$W8))</f>
        <v/>
      </c>
      <c r="S8" s="13">
        <f>IF($W8="","",INDEX('Eredmény'!$AT$2:$AT$201,$W8))</f>
        <v/>
      </c>
      <c r="T8" s="13">
        <f>IF($W8="","",INDEX('Eredmény'!$AV$2:$AV$201,$W8))</f>
        <v/>
      </c>
      <c r="U8" s="12">
        <f>IF($W8="","",INDEX('Eredmény'!$BI$2:$BI$201,$W8))</f>
        <v/>
      </c>
      <c r="W8">
        <f>IFERROR(MATCH(LARGE('Eredmény'!$DY$2:$DY$201,4),'Eredmény'!$DY$2:$DY$201,0),"")</f>
        <v/>
      </c>
    </row>
    <row r="9">
      <c r="A9" s="12">
        <f>IF($W9="","",INDEX('Eredmény'!$AO$2:$AO$201,$W9))</f>
        <v/>
      </c>
      <c r="B9" s="13">
        <f>IF($W9="","",INDEX('Eredmény'!$A$2:$A$201,$W9))</f>
        <v/>
      </c>
      <c r="C9" s="14">
        <f>IF($W9="","",INDEX('Eredmény'!$AM$2:$AM$201,$W9))</f>
        <v/>
      </c>
      <c r="D9" s="14">
        <f>IF($W9="","",INDEX('Eredmény'!$AN$2:$AN$201,$W9))</f>
        <v/>
      </c>
      <c r="E9" s="12">
        <f>IF($W9="","",INDEX('Eredmény'!$AQ$2:$AQ$201,$W9))</f>
        <v/>
      </c>
      <c r="F9" s="13">
        <f>IF($W9="","",INDEX('Eredmény'!$AR$2:$AR$201,$W9))</f>
        <v/>
      </c>
      <c r="G9" s="13">
        <f>IF($W9="","",INDEX('Eredmény'!$AS$2:$AS$201,$W9))</f>
        <v/>
      </c>
      <c r="H9" s="14">
        <f>IF($W9="","",INDEX('Eredmény'!$AI$2:$AI$201,$W9))</f>
        <v/>
      </c>
      <c r="I9" s="14">
        <f>IF($W9="","",INDEX('Eredmény'!$AJ$2:$AJ$201,$W9))</f>
        <v/>
      </c>
      <c r="J9" s="14">
        <f>IF($W9="","",INDEX('Eredmény'!$AK$2:$AK$201,$W9))</f>
        <v/>
      </c>
      <c r="K9" s="14">
        <f>IF($W9="","",INDEX('Eredmény'!$AL$2:$AL$201,$W9))</f>
        <v/>
      </c>
      <c r="L9" s="15">
        <f>IF($W9="","",INDEX('Eredmény'!$AZ$2:$AZ$201,$W9))</f>
        <v/>
      </c>
      <c r="M9" s="15">
        <f>IF($W9="","",INDEX('Eredmény'!$BB$2:$BB$201,$W9))</f>
        <v/>
      </c>
      <c r="N9" s="15">
        <f>IF($W9="","",INDEX('Eredmény'!$BC$2:$BC$201,$W9))</f>
        <v/>
      </c>
      <c r="O9" s="16">
        <f>IF($W9="","",INDEX('Eredmény'!$BD$2:$BD$201,$W9))</f>
        <v/>
      </c>
      <c r="P9" s="13">
        <f>IF($W9="","",INDEX('Eredmény'!$BE$2:$BE$201,$W9))</f>
        <v/>
      </c>
      <c r="Q9" s="15">
        <f>IF($W9="","",INDEX('Eredmény'!$BF$2:$BF$201,$W9))</f>
        <v/>
      </c>
      <c r="R9" s="17">
        <f>IF($W9="","",INDEX('Eredmény'!$BG$2:$BG$201,$W9))</f>
        <v/>
      </c>
      <c r="S9" s="13">
        <f>IF($W9="","",INDEX('Eredmény'!$AT$2:$AT$201,$W9))</f>
        <v/>
      </c>
      <c r="T9" s="13">
        <f>IF($W9="","",INDEX('Eredmény'!$AV$2:$AV$201,$W9))</f>
        <v/>
      </c>
      <c r="U9" s="12">
        <f>IF($W9="","",INDEX('Eredmény'!$BI$2:$BI$201,$W9))</f>
        <v/>
      </c>
      <c r="W9">
        <f>IFERROR(MATCH(LARGE('Eredmény'!$DY$2:$DY$201,5),'Eredmény'!$DY$2:$DY$201,0),"")</f>
        <v/>
      </c>
    </row>
    <row r="10">
      <c r="A10" s="12">
        <f>IF($W10="","",INDEX('Eredmény'!$AO$2:$AO$201,$W10))</f>
        <v/>
      </c>
      <c r="B10" s="13">
        <f>IF($W10="","",INDEX('Eredmény'!$A$2:$A$201,$W10))</f>
        <v/>
      </c>
      <c r="C10" s="14">
        <f>IF($W10="","",INDEX('Eredmény'!$AM$2:$AM$201,$W10))</f>
        <v/>
      </c>
      <c r="D10" s="14">
        <f>IF($W10="","",INDEX('Eredmény'!$AN$2:$AN$201,$W10))</f>
        <v/>
      </c>
      <c r="E10" s="12">
        <f>IF($W10="","",INDEX('Eredmény'!$AQ$2:$AQ$201,$W10))</f>
        <v/>
      </c>
      <c r="F10" s="13">
        <f>IF($W10="","",INDEX('Eredmény'!$AR$2:$AR$201,$W10))</f>
        <v/>
      </c>
      <c r="G10" s="13">
        <f>IF($W10="","",INDEX('Eredmény'!$AS$2:$AS$201,$W10))</f>
        <v/>
      </c>
      <c r="H10" s="14">
        <f>IF($W10="","",INDEX('Eredmény'!$AI$2:$AI$201,$W10))</f>
        <v/>
      </c>
      <c r="I10" s="14">
        <f>IF($W10="","",INDEX('Eredmény'!$AJ$2:$AJ$201,$W10))</f>
        <v/>
      </c>
      <c r="J10" s="14">
        <f>IF($W10="","",INDEX('Eredmény'!$AK$2:$AK$201,$W10))</f>
        <v/>
      </c>
      <c r="K10" s="14">
        <f>IF($W10="","",INDEX('Eredmény'!$AL$2:$AL$201,$W10))</f>
        <v/>
      </c>
      <c r="L10" s="15">
        <f>IF($W10="","",INDEX('Eredmény'!$AZ$2:$AZ$201,$W10))</f>
        <v/>
      </c>
      <c r="M10" s="15">
        <f>IF($W10="","",INDEX('Eredmény'!$BB$2:$BB$201,$W10))</f>
        <v/>
      </c>
      <c r="N10" s="15">
        <f>IF($W10="","",INDEX('Eredmény'!$BC$2:$BC$201,$W10))</f>
        <v/>
      </c>
      <c r="O10" s="16">
        <f>IF($W10="","",INDEX('Eredmény'!$BD$2:$BD$201,$W10))</f>
        <v/>
      </c>
      <c r="P10" s="13">
        <f>IF($W10="","",INDEX('Eredmény'!$BE$2:$BE$201,$W10))</f>
        <v/>
      </c>
      <c r="Q10" s="15">
        <f>IF($W10="","",INDEX('Eredmény'!$BF$2:$BF$201,$W10))</f>
        <v/>
      </c>
      <c r="R10" s="17">
        <f>IF($W10="","",INDEX('Eredmény'!$BG$2:$BG$201,$W10))</f>
        <v/>
      </c>
      <c r="S10" s="13">
        <f>IF($W10="","",INDEX('Eredmény'!$AT$2:$AT$201,$W10))</f>
        <v/>
      </c>
      <c r="T10" s="13">
        <f>IF($W10="","",INDEX('Eredmény'!$AV$2:$AV$201,$W10))</f>
        <v/>
      </c>
      <c r="U10" s="12">
        <f>IF($W10="","",INDEX('Eredmény'!$BI$2:$BI$201,$W10))</f>
        <v/>
      </c>
      <c r="W10">
        <f>IFERROR(MATCH(LARGE('Eredmény'!$DY$2:$DY$201,6),'Eredmény'!$DY$2:$DY$201,0),"")</f>
        <v/>
      </c>
    </row>
    <row r="11">
      <c r="A11" s="12">
        <f>IF($W11="","",INDEX('Eredmény'!$AO$2:$AO$201,$W11))</f>
        <v/>
      </c>
      <c r="B11" s="13">
        <f>IF($W11="","",INDEX('Eredmény'!$A$2:$A$201,$W11))</f>
        <v/>
      </c>
      <c r="C11" s="14">
        <f>IF($W11="","",INDEX('Eredmény'!$AM$2:$AM$201,$W11))</f>
        <v/>
      </c>
      <c r="D11" s="14">
        <f>IF($W11="","",INDEX('Eredmény'!$AN$2:$AN$201,$W11))</f>
        <v/>
      </c>
      <c r="E11" s="12">
        <f>IF($W11="","",INDEX('Eredmény'!$AQ$2:$AQ$201,$W11))</f>
        <v/>
      </c>
      <c r="F11" s="13">
        <f>IF($W11="","",INDEX('Eredmény'!$AR$2:$AR$201,$W11))</f>
        <v/>
      </c>
      <c r="G11" s="13">
        <f>IF($W11="","",INDEX('Eredmény'!$AS$2:$AS$201,$W11))</f>
        <v/>
      </c>
      <c r="H11" s="14">
        <f>IF($W11="","",INDEX('Eredmény'!$AI$2:$AI$201,$W11))</f>
        <v/>
      </c>
      <c r="I11" s="14">
        <f>IF($W11="","",INDEX('Eredmény'!$AJ$2:$AJ$201,$W11))</f>
        <v/>
      </c>
      <c r="J11" s="14">
        <f>IF($W11="","",INDEX('Eredmény'!$AK$2:$AK$201,$W11))</f>
        <v/>
      </c>
      <c r="K11" s="14">
        <f>IF($W11="","",INDEX('Eredmény'!$AL$2:$AL$201,$W11))</f>
        <v/>
      </c>
      <c r="L11" s="15">
        <f>IF($W11="","",INDEX('Eredmény'!$AZ$2:$AZ$201,$W11))</f>
        <v/>
      </c>
      <c r="M11" s="15">
        <f>IF($W11="","",INDEX('Eredmény'!$BB$2:$BB$201,$W11))</f>
        <v/>
      </c>
      <c r="N11" s="15">
        <f>IF($W11="","",INDEX('Eredmény'!$BC$2:$BC$201,$W11))</f>
        <v/>
      </c>
      <c r="O11" s="16">
        <f>IF($W11="","",INDEX('Eredmény'!$BD$2:$BD$201,$W11))</f>
        <v/>
      </c>
      <c r="P11" s="13">
        <f>IF($W11="","",INDEX('Eredmény'!$BE$2:$BE$201,$W11))</f>
        <v/>
      </c>
      <c r="Q11" s="15">
        <f>IF($W11="","",INDEX('Eredmény'!$BF$2:$BF$201,$W11))</f>
        <v/>
      </c>
      <c r="R11" s="17">
        <f>IF($W11="","",INDEX('Eredmény'!$BG$2:$BG$201,$W11))</f>
        <v/>
      </c>
      <c r="S11" s="13">
        <f>IF($W11="","",INDEX('Eredmény'!$AT$2:$AT$201,$W11))</f>
        <v/>
      </c>
      <c r="T11" s="13">
        <f>IF($W11="","",INDEX('Eredmény'!$AV$2:$AV$201,$W11))</f>
        <v/>
      </c>
      <c r="U11" s="12">
        <f>IF($W11="","",INDEX('Eredmény'!$BI$2:$BI$201,$W11))</f>
        <v/>
      </c>
      <c r="W11">
        <f>IFERROR(MATCH(LARGE('Eredmény'!$DY$2:$DY$201,7),'Eredmény'!$DY$2:$DY$201,0),"")</f>
        <v/>
      </c>
    </row>
    <row r="12">
      <c r="A12" s="12">
        <f>IF($W12="","",INDEX('Eredmény'!$AO$2:$AO$201,$W12))</f>
        <v/>
      </c>
      <c r="B12" s="13">
        <f>IF($W12="","",INDEX('Eredmény'!$A$2:$A$201,$W12))</f>
        <v/>
      </c>
      <c r="C12" s="14">
        <f>IF($W12="","",INDEX('Eredmény'!$AM$2:$AM$201,$W12))</f>
        <v/>
      </c>
      <c r="D12" s="14">
        <f>IF($W12="","",INDEX('Eredmény'!$AN$2:$AN$201,$W12))</f>
        <v/>
      </c>
      <c r="E12" s="12">
        <f>IF($W12="","",INDEX('Eredmény'!$AQ$2:$AQ$201,$W12))</f>
        <v/>
      </c>
      <c r="F12" s="13">
        <f>IF($W12="","",INDEX('Eredmény'!$AR$2:$AR$201,$W12))</f>
        <v/>
      </c>
      <c r="G12" s="13">
        <f>IF($W12="","",INDEX('Eredmény'!$AS$2:$AS$201,$W12))</f>
        <v/>
      </c>
      <c r="H12" s="14">
        <f>IF($W12="","",INDEX('Eredmény'!$AI$2:$AI$201,$W12))</f>
        <v/>
      </c>
      <c r="I12" s="14">
        <f>IF($W12="","",INDEX('Eredmény'!$AJ$2:$AJ$201,$W12))</f>
        <v/>
      </c>
      <c r="J12" s="14">
        <f>IF($W12="","",INDEX('Eredmény'!$AK$2:$AK$201,$W12))</f>
        <v/>
      </c>
      <c r="K12" s="14">
        <f>IF($W12="","",INDEX('Eredmény'!$AL$2:$AL$201,$W12))</f>
        <v/>
      </c>
      <c r="L12" s="15">
        <f>IF($W12="","",INDEX('Eredmény'!$AZ$2:$AZ$201,$W12))</f>
        <v/>
      </c>
      <c r="M12" s="15">
        <f>IF($W12="","",INDEX('Eredmény'!$BB$2:$BB$201,$W12))</f>
        <v/>
      </c>
      <c r="N12" s="15">
        <f>IF($W12="","",INDEX('Eredmény'!$BC$2:$BC$201,$W12))</f>
        <v/>
      </c>
      <c r="O12" s="16">
        <f>IF($W12="","",INDEX('Eredmény'!$BD$2:$BD$201,$W12))</f>
        <v/>
      </c>
      <c r="P12" s="13">
        <f>IF($W12="","",INDEX('Eredmény'!$BE$2:$BE$201,$W12))</f>
        <v/>
      </c>
      <c r="Q12" s="15">
        <f>IF($W12="","",INDEX('Eredmény'!$BF$2:$BF$201,$W12))</f>
        <v/>
      </c>
      <c r="R12" s="17">
        <f>IF($W12="","",INDEX('Eredmény'!$BG$2:$BG$201,$W12))</f>
        <v/>
      </c>
      <c r="S12" s="13">
        <f>IF($W12="","",INDEX('Eredmény'!$AT$2:$AT$201,$W12))</f>
        <v/>
      </c>
      <c r="T12" s="13">
        <f>IF($W12="","",INDEX('Eredmény'!$AV$2:$AV$201,$W12))</f>
        <v/>
      </c>
      <c r="U12" s="12">
        <f>IF($W12="","",INDEX('Eredmény'!$BI$2:$BI$201,$W12))</f>
        <v/>
      </c>
      <c r="W12">
        <f>IFERROR(MATCH(LARGE('Eredmény'!$DY$2:$DY$201,8),'Eredmény'!$DY$2:$DY$201,0),"")</f>
        <v/>
      </c>
    </row>
    <row r="13">
      <c r="A13" s="12">
        <f>IF($W13="","",INDEX('Eredmény'!$AO$2:$AO$201,$W13))</f>
        <v/>
      </c>
      <c r="B13" s="13">
        <f>IF($W13="","",INDEX('Eredmény'!$A$2:$A$201,$W13))</f>
        <v/>
      </c>
      <c r="C13" s="14">
        <f>IF($W13="","",INDEX('Eredmény'!$AM$2:$AM$201,$W13))</f>
        <v/>
      </c>
      <c r="D13" s="14">
        <f>IF($W13="","",INDEX('Eredmény'!$AN$2:$AN$201,$W13))</f>
        <v/>
      </c>
      <c r="E13" s="12">
        <f>IF($W13="","",INDEX('Eredmény'!$AQ$2:$AQ$201,$W13))</f>
        <v/>
      </c>
      <c r="F13" s="13">
        <f>IF($W13="","",INDEX('Eredmény'!$AR$2:$AR$201,$W13))</f>
        <v/>
      </c>
      <c r="G13" s="13">
        <f>IF($W13="","",INDEX('Eredmény'!$AS$2:$AS$201,$W13))</f>
        <v/>
      </c>
      <c r="H13" s="14">
        <f>IF($W13="","",INDEX('Eredmény'!$AI$2:$AI$201,$W13))</f>
        <v/>
      </c>
      <c r="I13" s="14">
        <f>IF($W13="","",INDEX('Eredmény'!$AJ$2:$AJ$201,$W13))</f>
        <v/>
      </c>
      <c r="J13" s="14">
        <f>IF($W13="","",INDEX('Eredmény'!$AK$2:$AK$201,$W13))</f>
        <v/>
      </c>
      <c r="K13" s="14">
        <f>IF($W13="","",INDEX('Eredmény'!$AL$2:$AL$201,$W13))</f>
        <v/>
      </c>
      <c r="L13" s="15">
        <f>IF($W13="","",INDEX('Eredmény'!$AZ$2:$AZ$201,$W13))</f>
        <v/>
      </c>
      <c r="M13" s="15">
        <f>IF($W13="","",INDEX('Eredmény'!$BB$2:$BB$201,$W13))</f>
        <v/>
      </c>
      <c r="N13" s="15">
        <f>IF($W13="","",INDEX('Eredmény'!$BC$2:$BC$201,$W13))</f>
        <v/>
      </c>
      <c r="O13" s="16">
        <f>IF($W13="","",INDEX('Eredmény'!$BD$2:$BD$201,$W13))</f>
        <v/>
      </c>
      <c r="P13" s="13">
        <f>IF($W13="","",INDEX('Eredmény'!$BE$2:$BE$201,$W13))</f>
        <v/>
      </c>
      <c r="Q13" s="15">
        <f>IF($W13="","",INDEX('Eredmény'!$BF$2:$BF$201,$W13))</f>
        <v/>
      </c>
      <c r="R13" s="17">
        <f>IF($W13="","",INDEX('Eredmény'!$BG$2:$BG$201,$W13))</f>
        <v/>
      </c>
      <c r="S13" s="13">
        <f>IF($W13="","",INDEX('Eredmény'!$AT$2:$AT$201,$W13))</f>
        <v/>
      </c>
      <c r="T13" s="13">
        <f>IF($W13="","",INDEX('Eredmény'!$AV$2:$AV$201,$W13))</f>
        <v/>
      </c>
      <c r="U13" s="12">
        <f>IF($W13="","",INDEX('Eredmény'!$BI$2:$BI$201,$W13))</f>
        <v/>
      </c>
      <c r="W13">
        <f>IFERROR(MATCH(LARGE('Eredmény'!$DY$2:$DY$201,9),'Eredmény'!$DY$2:$DY$201,0),"")</f>
        <v/>
      </c>
    </row>
    <row r="14">
      <c r="A14" s="12">
        <f>IF($W14="","",INDEX('Eredmény'!$AO$2:$AO$201,$W14))</f>
        <v/>
      </c>
      <c r="B14" s="13">
        <f>IF($W14="","",INDEX('Eredmény'!$A$2:$A$201,$W14))</f>
        <v/>
      </c>
      <c r="C14" s="14">
        <f>IF($W14="","",INDEX('Eredmény'!$AM$2:$AM$201,$W14))</f>
        <v/>
      </c>
      <c r="D14" s="14">
        <f>IF($W14="","",INDEX('Eredmény'!$AN$2:$AN$201,$W14))</f>
        <v/>
      </c>
      <c r="E14" s="12">
        <f>IF($W14="","",INDEX('Eredmény'!$AQ$2:$AQ$201,$W14))</f>
        <v/>
      </c>
      <c r="F14" s="13">
        <f>IF($W14="","",INDEX('Eredmény'!$AR$2:$AR$201,$W14))</f>
        <v/>
      </c>
      <c r="G14" s="13">
        <f>IF($W14="","",INDEX('Eredmény'!$AS$2:$AS$201,$W14))</f>
        <v/>
      </c>
      <c r="H14" s="14">
        <f>IF($W14="","",INDEX('Eredmény'!$AI$2:$AI$201,$W14))</f>
        <v/>
      </c>
      <c r="I14" s="14">
        <f>IF($W14="","",INDEX('Eredmény'!$AJ$2:$AJ$201,$W14))</f>
        <v/>
      </c>
      <c r="J14" s="14">
        <f>IF($W14="","",INDEX('Eredmény'!$AK$2:$AK$201,$W14))</f>
        <v/>
      </c>
      <c r="K14" s="14">
        <f>IF($W14="","",INDEX('Eredmény'!$AL$2:$AL$201,$W14))</f>
        <v/>
      </c>
      <c r="L14" s="15">
        <f>IF($W14="","",INDEX('Eredmény'!$AZ$2:$AZ$201,$W14))</f>
        <v/>
      </c>
      <c r="M14" s="15">
        <f>IF($W14="","",INDEX('Eredmény'!$BB$2:$BB$201,$W14))</f>
        <v/>
      </c>
      <c r="N14" s="15">
        <f>IF($W14="","",INDEX('Eredmény'!$BC$2:$BC$201,$W14))</f>
        <v/>
      </c>
      <c r="O14" s="16">
        <f>IF($W14="","",INDEX('Eredmény'!$BD$2:$BD$201,$W14))</f>
        <v/>
      </c>
      <c r="P14" s="13">
        <f>IF($W14="","",INDEX('Eredmény'!$BE$2:$BE$201,$W14))</f>
        <v/>
      </c>
      <c r="Q14" s="15">
        <f>IF($W14="","",INDEX('Eredmény'!$BF$2:$BF$201,$W14))</f>
        <v/>
      </c>
      <c r="R14" s="17">
        <f>IF($W14="","",INDEX('Eredmény'!$BG$2:$BG$201,$W14))</f>
        <v/>
      </c>
      <c r="S14" s="13">
        <f>IF($W14="","",INDEX('Eredmény'!$AT$2:$AT$201,$W14))</f>
        <v/>
      </c>
      <c r="T14" s="13">
        <f>IF($W14="","",INDEX('Eredmény'!$AV$2:$AV$201,$W14))</f>
        <v/>
      </c>
      <c r="U14" s="12">
        <f>IF($W14="","",INDEX('Eredmény'!$BI$2:$BI$201,$W14))</f>
        <v/>
      </c>
      <c r="W14">
        <f>IFERROR(MATCH(LARGE('Eredmény'!$DY$2:$DY$201,10),'Eredmény'!$DY$2:$DY$201,0),"")</f>
        <v/>
      </c>
    </row>
    <row r="15">
      <c r="A15" s="12">
        <f>IF($W15="","",INDEX('Eredmény'!$AO$2:$AO$201,$W15))</f>
        <v/>
      </c>
      <c r="B15" s="13">
        <f>IF($W15="","",INDEX('Eredmény'!$A$2:$A$201,$W15))</f>
        <v/>
      </c>
      <c r="C15" s="14">
        <f>IF($W15="","",INDEX('Eredmény'!$AM$2:$AM$201,$W15))</f>
        <v/>
      </c>
      <c r="D15" s="14">
        <f>IF($W15="","",INDEX('Eredmény'!$AN$2:$AN$201,$W15))</f>
        <v/>
      </c>
      <c r="E15" s="12">
        <f>IF($W15="","",INDEX('Eredmény'!$AQ$2:$AQ$201,$W15))</f>
        <v/>
      </c>
      <c r="F15" s="13">
        <f>IF($W15="","",INDEX('Eredmény'!$AR$2:$AR$201,$W15))</f>
        <v/>
      </c>
      <c r="G15" s="13">
        <f>IF($W15="","",INDEX('Eredmény'!$AS$2:$AS$201,$W15))</f>
        <v/>
      </c>
      <c r="H15" s="14">
        <f>IF($W15="","",INDEX('Eredmény'!$AI$2:$AI$201,$W15))</f>
        <v/>
      </c>
      <c r="I15" s="14">
        <f>IF($W15="","",INDEX('Eredmény'!$AJ$2:$AJ$201,$W15))</f>
        <v/>
      </c>
      <c r="J15" s="14">
        <f>IF($W15="","",INDEX('Eredmény'!$AK$2:$AK$201,$W15))</f>
        <v/>
      </c>
      <c r="K15" s="14">
        <f>IF($W15="","",INDEX('Eredmény'!$AL$2:$AL$201,$W15))</f>
        <v/>
      </c>
      <c r="L15" s="15">
        <f>IF($W15="","",INDEX('Eredmény'!$AZ$2:$AZ$201,$W15))</f>
        <v/>
      </c>
      <c r="M15" s="15">
        <f>IF($W15="","",INDEX('Eredmény'!$BB$2:$BB$201,$W15))</f>
        <v/>
      </c>
      <c r="N15" s="15">
        <f>IF($W15="","",INDEX('Eredmény'!$BC$2:$BC$201,$W15))</f>
        <v/>
      </c>
      <c r="O15" s="16">
        <f>IF($W15="","",INDEX('Eredmény'!$BD$2:$BD$201,$W15))</f>
        <v/>
      </c>
      <c r="P15" s="13">
        <f>IF($W15="","",INDEX('Eredmény'!$BE$2:$BE$201,$W15))</f>
        <v/>
      </c>
      <c r="Q15" s="15">
        <f>IF($W15="","",INDEX('Eredmény'!$BF$2:$BF$201,$W15))</f>
        <v/>
      </c>
      <c r="R15" s="17">
        <f>IF($W15="","",INDEX('Eredmény'!$BG$2:$BG$201,$W15))</f>
        <v/>
      </c>
      <c r="S15" s="13">
        <f>IF($W15="","",INDEX('Eredmény'!$AT$2:$AT$201,$W15))</f>
        <v/>
      </c>
      <c r="T15" s="13">
        <f>IF($W15="","",INDEX('Eredmény'!$AV$2:$AV$201,$W15))</f>
        <v/>
      </c>
      <c r="U15" s="12">
        <f>IF($W15="","",INDEX('Eredmény'!$BI$2:$BI$201,$W15))</f>
        <v/>
      </c>
      <c r="W15">
        <f>IFERROR(MATCH(LARGE('Eredmény'!$DY$2:$DY$201,11),'Eredmény'!$DY$2:$DY$201,0),"")</f>
        <v/>
      </c>
    </row>
    <row r="16">
      <c r="A16" s="12">
        <f>IF($W16="","",INDEX('Eredmény'!$AO$2:$AO$201,$W16))</f>
        <v/>
      </c>
      <c r="B16" s="13">
        <f>IF($W16="","",INDEX('Eredmény'!$A$2:$A$201,$W16))</f>
        <v/>
      </c>
      <c r="C16" s="14">
        <f>IF($W16="","",INDEX('Eredmény'!$AM$2:$AM$201,$W16))</f>
        <v/>
      </c>
      <c r="D16" s="14">
        <f>IF($W16="","",INDEX('Eredmény'!$AN$2:$AN$201,$W16))</f>
        <v/>
      </c>
      <c r="E16" s="12">
        <f>IF($W16="","",INDEX('Eredmény'!$AQ$2:$AQ$201,$W16))</f>
        <v/>
      </c>
      <c r="F16" s="13">
        <f>IF($W16="","",INDEX('Eredmény'!$AR$2:$AR$201,$W16))</f>
        <v/>
      </c>
      <c r="G16" s="13">
        <f>IF($W16="","",INDEX('Eredmény'!$AS$2:$AS$201,$W16))</f>
        <v/>
      </c>
      <c r="H16" s="14">
        <f>IF($W16="","",INDEX('Eredmény'!$AI$2:$AI$201,$W16))</f>
        <v/>
      </c>
      <c r="I16" s="14">
        <f>IF($W16="","",INDEX('Eredmény'!$AJ$2:$AJ$201,$W16))</f>
        <v/>
      </c>
      <c r="J16" s="14">
        <f>IF($W16="","",INDEX('Eredmény'!$AK$2:$AK$201,$W16))</f>
        <v/>
      </c>
      <c r="K16" s="14">
        <f>IF($W16="","",INDEX('Eredmény'!$AL$2:$AL$201,$W16))</f>
        <v/>
      </c>
      <c r="L16" s="15">
        <f>IF($W16="","",INDEX('Eredmény'!$AZ$2:$AZ$201,$W16))</f>
        <v/>
      </c>
      <c r="M16" s="15">
        <f>IF($W16="","",INDEX('Eredmény'!$BB$2:$BB$201,$W16))</f>
        <v/>
      </c>
      <c r="N16" s="15">
        <f>IF($W16="","",INDEX('Eredmény'!$BC$2:$BC$201,$W16))</f>
        <v/>
      </c>
      <c r="O16" s="16">
        <f>IF($W16="","",INDEX('Eredmény'!$BD$2:$BD$201,$W16))</f>
        <v/>
      </c>
      <c r="P16" s="13">
        <f>IF($W16="","",INDEX('Eredmény'!$BE$2:$BE$201,$W16))</f>
        <v/>
      </c>
      <c r="Q16" s="15">
        <f>IF($W16="","",INDEX('Eredmény'!$BF$2:$BF$201,$W16))</f>
        <v/>
      </c>
      <c r="R16" s="17">
        <f>IF($W16="","",INDEX('Eredmény'!$BG$2:$BG$201,$W16))</f>
        <v/>
      </c>
      <c r="S16" s="13">
        <f>IF($W16="","",INDEX('Eredmény'!$AT$2:$AT$201,$W16))</f>
        <v/>
      </c>
      <c r="T16" s="13">
        <f>IF($W16="","",INDEX('Eredmény'!$AV$2:$AV$201,$W16))</f>
        <v/>
      </c>
      <c r="U16" s="12">
        <f>IF($W16="","",INDEX('Eredmény'!$BI$2:$BI$201,$W16))</f>
        <v/>
      </c>
      <c r="W16">
        <f>IFERROR(MATCH(LARGE('Eredmény'!$DY$2:$DY$201,12),'Eredmény'!$DY$2:$DY$201,0),"")</f>
        <v/>
      </c>
    </row>
    <row r="17">
      <c r="A17" s="12">
        <f>IF($W17="","",INDEX('Eredmény'!$AO$2:$AO$201,$W17))</f>
        <v/>
      </c>
      <c r="B17" s="13">
        <f>IF($W17="","",INDEX('Eredmény'!$A$2:$A$201,$W17))</f>
        <v/>
      </c>
      <c r="C17" s="14">
        <f>IF($W17="","",INDEX('Eredmény'!$AM$2:$AM$201,$W17))</f>
        <v/>
      </c>
      <c r="D17" s="14">
        <f>IF($W17="","",INDEX('Eredmény'!$AN$2:$AN$201,$W17))</f>
        <v/>
      </c>
      <c r="E17" s="12">
        <f>IF($W17="","",INDEX('Eredmény'!$AQ$2:$AQ$201,$W17))</f>
        <v/>
      </c>
      <c r="F17" s="13">
        <f>IF($W17="","",INDEX('Eredmény'!$AR$2:$AR$201,$W17))</f>
        <v/>
      </c>
      <c r="G17" s="13">
        <f>IF($W17="","",INDEX('Eredmény'!$AS$2:$AS$201,$W17))</f>
        <v/>
      </c>
      <c r="H17" s="14">
        <f>IF($W17="","",INDEX('Eredmény'!$AI$2:$AI$201,$W17))</f>
        <v/>
      </c>
      <c r="I17" s="14">
        <f>IF($W17="","",INDEX('Eredmény'!$AJ$2:$AJ$201,$W17))</f>
        <v/>
      </c>
      <c r="J17" s="14">
        <f>IF($W17="","",INDEX('Eredmény'!$AK$2:$AK$201,$W17))</f>
        <v/>
      </c>
      <c r="K17" s="14">
        <f>IF($W17="","",INDEX('Eredmény'!$AL$2:$AL$201,$W17))</f>
        <v/>
      </c>
      <c r="L17" s="15">
        <f>IF($W17="","",INDEX('Eredmény'!$AZ$2:$AZ$201,$W17))</f>
        <v/>
      </c>
      <c r="M17" s="15">
        <f>IF($W17="","",INDEX('Eredmény'!$BB$2:$BB$201,$W17))</f>
        <v/>
      </c>
      <c r="N17" s="15">
        <f>IF($W17="","",INDEX('Eredmény'!$BC$2:$BC$201,$W17))</f>
        <v/>
      </c>
      <c r="O17" s="16">
        <f>IF($W17="","",INDEX('Eredmény'!$BD$2:$BD$201,$W17))</f>
        <v/>
      </c>
      <c r="P17" s="13">
        <f>IF($W17="","",INDEX('Eredmény'!$BE$2:$BE$201,$W17))</f>
        <v/>
      </c>
      <c r="Q17" s="15">
        <f>IF($W17="","",INDEX('Eredmény'!$BF$2:$BF$201,$W17))</f>
        <v/>
      </c>
      <c r="R17" s="17">
        <f>IF($W17="","",INDEX('Eredmény'!$BG$2:$BG$201,$W17))</f>
        <v/>
      </c>
      <c r="S17" s="13">
        <f>IF($W17="","",INDEX('Eredmény'!$AT$2:$AT$201,$W17))</f>
        <v/>
      </c>
      <c r="T17" s="13">
        <f>IF($W17="","",INDEX('Eredmény'!$AV$2:$AV$201,$W17))</f>
        <v/>
      </c>
      <c r="U17" s="12">
        <f>IF($W17="","",INDEX('Eredmény'!$BI$2:$BI$201,$W17))</f>
        <v/>
      </c>
      <c r="W17">
        <f>IFERROR(MATCH(LARGE('Eredmény'!$DY$2:$DY$201,13),'Eredmény'!$DY$2:$DY$201,0),"")</f>
        <v/>
      </c>
    </row>
    <row r="18">
      <c r="A18" s="12">
        <f>IF($W18="","",INDEX('Eredmény'!$AO$2:$AO$201,$W18))</f>
        <v/>
      </c>
      <c r="B18" s="13">
        <f>IF($W18="","",INDEX('Eredmény'!$A$2:$A$201,$W18))</f>
        <v/>
      </c>
      <c r="C18" s="14">
        <f>IF($W18="","",INDEX('Eredmény'!$AM$2:$AM$201,$W18))</f>
        <v/>
      </c>
      <c r="D18" s="14">
        <f>IF($W18="","",INDEX('Eredmény'!$AN$2:$AN$201,$W18))</f>
        <v/>
      </c>
      <c r="E18" s="12">
        <f>IF($W18="","",INDEX('Eredmény'!$AQ$2:$AQ$201,$W18))</f>
        <v/>
      </c>
      <c r="F18" s="13">
        <f>IF($W18="","",INDEX('Eredmény'!$AR$2:$AR$201,$W18))</f>
        <v/>
      </c>
      <c r="G18" s="13">
        <f>IF($W18="","",INDEX('Eredmény'!$AS$2:$AS$201,$W18))</f>
        <v/>
      </c>
      <c r="H18" s="14">
        <f>IF($W18="","",INDEX('Eredmény'!$AI$2:$AI$201,$W18))</f>
        <v/>
      </c>
      <c r="I18" s="14">
        <f>IF($W18="","",INDEX('Eredmény'!$AJ$2:$AJ$201,$W18))</f>
        <v/>
      </c>
      <c r="J18" s="14">
        <f>IF($W18="","",INDEX('Eredmény'!$AK$2:$AK$201,$W18))</f>
        <v/>
      </c>
      <c r="K18" s="14">
        <f>IF($W18="","",INDEX('Eredmény'!$AL$2:$AL$201,$W18))</f>
        <v/>
      </c>
      <c r="L18" s="15">
        <f>IF($W18="","",INDEX('Eredmény'!$AZ$2:$AZ$201,$W18))</f>
        <v/>
      </c>
      <c r="M18" s="15">
        <f>IF($W18="","",INDEX('Eredmény'!$BB$2:$BB$201,$W18))</f>
        <v/>
      </c>
      <c r="N18" s="15">
        <f>IF($W18="","",INDEX('Eredmény'!$BC$2:$BC$201,$W18))</f>
        <v/>
      </c>
      <c r="O18" s="16">
        <f>IF($W18="","",INDEX('Eredmény'!$BD$2:$BD$201,$W18))</f>
        <v/>
      </c>
      <c r="P18" s="13">
        <f>IF($W18="","",INDEX('Eredmény'!$BE$2:$BE$201,$W18))</f>
        <v/>
      </c>
      <c r="Q18" s="15">
        <f>IF($W18="","",INDEX('Eredmény'!$BF$2:$BF$201,$W18))</f>
        <v/>
      </c>
      <c r="R18" s="17">
        <f>IF($W18="","",INDEX('Eredmény'!$BG$2:$BG$201,$W18))</f>
        <v/>
      </c>
      <c r="S18" s="13">
        <f>IF($W18="","",INDEX('Eredmény'!$AT$2:$AT$201,$W18))</f>
        <v/>
      </c>
      <c r="T18" s="13">
        <f>IF($W18="","",INDEX('Eredmény'!$AV$2:$AV$201,$W18))</f>
        <v/>
      </c>
      <c r="U18" s="12">
        <f>IF($W18="","",INDEX('Eredmény'!$BI$2:$BI$201,$W18))</f>
        <v/>
      </c>
      <c r="W18">
        <f>IFERROR(MATCH(LARGE('Eredmény'!$DY$2:$DY$201,14),'Eredmény'!$DY$2:$DY$201,0),"")</f>
        <v/>
      </c>
    </row>
    <row r="19">
      <c r="A19" s="12">
        <f>IF($W19="","",INDEX('Eredmény'!$AO$2:$AO$201,$W19))</f>
        <v/>
      </c>
      <c r="B19" s="13">
        <f>IF($W19="","",INDEX('Eredmény'!$A$2:$A$201,$W19))</f>
        <v/>
      </c>
      <c r="C19" s="14">
        <f>IF($W19="","",INDEX('Eredmény'!$AM$2:$AM$201,$W19))</f>
        <v/>
      </c>
      <c r="D19" s="14">
        <f>IF($W19="","",INDEX('Eredmény'!$AN$2:$AN$201,$W19))</f>
        <v/>
      </c>
      <c r="E19" s="12">
        <f>IF($W19="","",INDEX('Eredmény'!$AQ$2:$AQ$201,$W19))</f>
        <v/>
      </c>
      <c r="F19" s="13">
        <f>IF($W19="","",INDEX('Eredmény'!$AR$2:$AR$201,$W19))</f>
        <v/>
      </c>
      <c r="G19" s="13">
        <f>IF($W19="","",INDEX('Eredmény'!$AS$2:$AS$201,$W19))</f>
        <v/>
      </c>
      <c r="H19" s="14">
        <f>IF($W19="","",INDEX('Eredmény'!$AI$2:$AI$201,$W19))</f>
        <v/>
      </c>
      <c r="I19" s="14">
        <f>IF($W19="","",INDEX('Eredmény'!$AJ$2:$AJ$201,$W19))</f>
        <v/>
      </c>
      <c r="J19" s="14">
        <f>IF($W19="","",INDEX('Eredmény'!$AK$2:$AK$201,$W19))</f>
        <v/>
      </c>
      <c r="K19" s="14">
        <f>IF($W19="","",INDEX('Eredmény'!$AL$2:$AL$201,$W19))</f>
        <v/>
      </c>
      <c r="L19" s="15">
        <f>IF($W19="","",INDEX('Eredmény'!$AZ$2:$AZ$201,$W19))</f>
        <v/>
      </c>
      <c r="M19" s="15">
        <f>IF($W19="","",INDEX('Eredmény'!$BB$2:$BB$201,$W19))</f>
        <v/>
      </c>
      <c r="N19" s="15">
        <f>IF($W19="","",INDEX('Eredmény'!$BC$2:$BC$201,$W19))</f>
        <v/>
      </c>
      <c r="O19" s="16">
        <f>IF($W19="","",INDEX('Eredmény'!$BD$2:$BD$201,$W19))</f>
        <v/>
      </c>
      <c r="P19" s="13">
        <f>IF($W19="","",INDEX('Eredmény'!$BE$2:$BE$201,$W19))</f>
        <v/>
      </c>
      <c r="Q19" s="15">
        <f>IF($W19="","",INDEX('Eredmény'!$BF$2:$BF$201,$W19))</f>
        <v/>
      </c>
      <c r="R19" s="17">
        <f>IF($W19="","",INDEX('Eredmény'!$BG$2:$BG$201,$W19))</f>
        <v/>
      </c>
      <c r="S19" s="13">
        <f>IF($W19="","",INDEX('Eredmény'!$AT$2:$AT$201,$W19))</f>
        <v/>
      </c>
      <c r="T19" s="13">
        <f>IF($W19="","",INDEX('Eredmény'!$AV$2:$AV$201,$W19))</f>
        <v/>
      </c>
      <c r="U19" s="12">
        <f>IF($W19="","",INDEX('Eredmény'!$BI$2:$BI$201,$W19))</f>
        <v/>
      </c>
      <c r="W19">
        <f>IFERROR(MATCH(LARGE('Eredmény'!$DY$2:$DY$201,15),'Eredmény'!$DY$2:$DY$201,0),"")</f>
        <v/>
      </c>
    </row>
    <row r="20">
      <c r="A20" s="12">
        <f>IF($W20="","",INDEX('Eredmény'!$AO$2:$AO$201,$W20))</f>
        <v/>
      </c>
      <c r="B20" s="13">
        <f>IF($W20="","",INDEX('Eredmény'!$A$2:$A$201,$W20))</f>
        <v/>
      </c>
      <c r="C20" s="14">
        <f>IF($W20="","",INDEX('Eredmény'!$AM$2:$AM$201,$W20))</f>
        <v/>
      </c>
      <c r="D20" s="14">
        <f>IF($W20="","",INDEX('Eredmény'!$AN$2:$AN$201,$W20))</f>
        <v/>
      </c>
      <c r="E20" s="12">
        <f>IF($W20="","",INDEX('Eredmény'!$AQ$2:$AQ$201,$W20))</f>
        <v/>
      </c>
      <c r="F20" s="13">
        <f>IF($W20="","",INDEX('Eredmény'!$AR$2:$AR$201,$W20))</f>
        <v/>
      </c>
      <c r="G20" s="13">
        <f>IF($W20="","",INDEX('Eredmény'!$AS$2:$AS$201,$W20))</f>
        <v/>
      </c>
      <c r="H20" s="14">
        <f>IF($W20="","",INDEX('Eredmény'!$AI$2:$AI$201,$W20))</f>
        <v/>
      </c>
      <c r="I20" s="14">
        <f>IF($W20="","",INDEX('Eredmény'!$AJ$2:$AJ$201,$W20))</f>
        <v/>
      </c>
      <c r="J20" s="14">
        <f>IF($W20="","",INDEX('Eredmény'!$AK$2:$AK$201,$W20))</f>
        <v/>
      </c>
      <c r="K20" s="14">
        <f>IF($W20="","",INDEX('Eredmény'!$AL$2:$AL$201,$W20))</f>
        <v/>
      </c>
      <c r="L20" s="15">
        <f>IF($W20="","",INDEX('Eredmény'!$AZ$2:$AZ$201,$W20))</f>
        <v/>
      </c>
      <c r="M20" s="15">
        <f>IF($W20="","",INDEX('Eredmény'!$BB$2:$BB$201,$W20))</f>
        <v/>
      </c>
      <c r="N20" s="15">
        <f>IF($W20="","",INDEX('Eredmény'!$BC$2:$BC$201,$W20))</f>
        <v/>
      </c>
      <c r="O20" s="16">
        <f>IF($W20="","",INDEX('Eredmény'!$BD$2:$BD$201,$W20))</f>
        <v/>
      </c>
      <c r="P20" s="13">
        <f>IF($W20="","",INDEX('Eredmény'!$BE$2:$BE$201,$W20))</f>
        <v/>
      </c>
      <c r="Q20" s="15">
        <f>IF($W20="","",INDEX('Eredmény'!$BF$2:$BF$201,$W20))</f>
        <v/>
      </c>
      <c r="R20" s="17">
        <f>IF($W20="","",INDEX('Eredmény'!$BG$2:$BG$201,$W20))</f>
        <v/>
      </c>
      <c r="S20" s="13">
        <f>IF($W20="","",INDEX('Eredmény'!$AT$2:$AT$201,$W20))</f>
        <v/>
      </c>
      <c r="T20" s="13">
        <f>IF($W20="","",INDEX('Eredmény'!$AV$2:$AV$201,$W20))</f>
        <v/>
      </c>
      <c r="U20" s="12">
        <f>IF($W20="","",INDEX('Eredmény'!$BI$2:$BI$201,$W20))</f>
        <v/>
      </c>
      <c r="W20">
        <f>IFERROR(MATCH(LARGE('Eredmény'!$DY$2:$DY$201,16),'Eredmény'!$DY$2:$DY$201,0),"")</f>
        <v/>
      </c>
    </row>
    <row r="21">
      <c r="A21" s="12">
        <f>IF($W21="","",INDEX('Eredmény'!$AO$2:$AO$201,$W21))</f>
        <v/>
      </c>
      <c r="B21" s="13">
        <f>IF($W21="","",INDEX('Eredmény'!$A$2:$A$201,$W21))</f>
        <v/>
      </c>
      <c r="C21" s="14">
        <f>IF($W21="","",INDEX('Eredmény'!$AM$2:$AM$201,$W21))</f>
        <v/>
      </c>
      <c r="D21" s="14">
        <f>IF($W21="","",INDEX('Eredmény'!$AN$2:$AN$201,$W21))</f>
        <v/>
      </c>
      <c r="E21" s="12">
        <f>IF($W21="","",INDEX('Eredmény'!$AQ$2:$AQ$201,$W21))</f>
        <v/>
      </c>
      <c r="F21" s="13">
        <f>IF($W21="","",INDEX('Eredmény'!$AR$2:$AR$201,$W21))</f>
        <v/>
      </c>
      <c r="G21" s="13">
        <f>IF($W21="","",INDEX('Eredmény'!$AS$2:$AS$201,$W21))</f>
        <v/>
      </c>
      <c r="H21" s="14">
        <f>IF($W21="","",INDEX('Eredmény'!$AI$2:$AI$201,$W21))</f>
        <v/>
      </c>
      <c r="I21" s="14">
        <f>IF($W21="","",INDEX('Eredmény'!$AJ$2:$AJ$201,$W21))</f>
        <v/>
      </c>
      <c r="J21" s="14">
        <f>IF($W21="","",INDEX('Eredmény'!$AK$2:$AK$201,$W21))</f>
        <v/>
      </c>
      <c r="K21" s="14">
        <f>IF($W21="","",INDEX('Eredmény'!$AL$2:$AL$201,$W21))</f>
        <v/>
      </c>
      <c r="L21" s="15">
        <f>IF($W21="","",INDEX('Eredmény'!$AZ$2:$AZ$201,$W21))</f>
        <v/>
      </c>
      <c r="M21" s="15">
        <f>IF($W21="","",INDEX('Eredmény'!$BB$2:$BB$201,$W21))</f>
        <v/>
      </c>
      <c r="N21" s="15">
        <f>IF($W21="","",INDEX('Eredmény'!$BC$2:$BC$201,$W21))</f>
        <v/>
      </c>
      <c r="O21" s="16">
        <f>IF($W21="","",INDEX('Eredmény'!$BD$2:$BD$201,$W21))</f>
        <v/>
      </c>
      <c r="P21" s="13">
        <f>IF($W21="","",INDEX('Eredmény'!$BE$2:$BE$201,$W21))</f>
        <v/>
      </c>
      <c r="Q21" s="15">
        <f>IF($W21="","",INDEX('Eredmény'!$BF$2:$BF$201,$W21))</f>
        <v/>
      </c>
      <c r="R21" s="17">
        <f>IF($W21="","",INDEX('Eredmény'!$BG$2:$BG$201,$W21))</f>
        <v/>
      </c>
      <c r="S21" s="13">
        <f>IF($W21="","",INDEX('Eredmény'!$AT$2:$AT$201,$W21))</f>
        <v/>
      </c>
      <c r="T21" s="13">
        <f>IF($W21="","",INDEX('Eredmény'!$AV$2:$AV$201,$W21))</f>
        <v/>
      </c>
      <c r="U21" s="12">
        <f>IF($W21="","",INDEX('Eredmény'!$BI$2:$BI$201,$W21))</f>
        <v/>
      </c>
      <c r="W21">
        <f>IFERROR(MATCH(LARGE('Eredmény'!$DY$2:$DY$201,17),'Eredmény'!$DY$2:$DY$201,0),"")</f>
        <v/>
      </c>
    </row>
    <row r="22">
      <c r="A22" s="12">
        <f>IF($W22="","",INDEX('Eredmény'!$AO$2:$AO$201,$W22))</f>
        <v/>
      </c>
      <c r="B22" s="13">
        <f>IF($W22="","",INDEX('Eredmény'!$A$2:$A$201,$W22))</f>
        <v/>
      </c>
      <c r="C22" s="14">
        <f>IF($W22="","",INDEX('Eredmény'!$AM$2:$AM$201,$W22))</f>
        <v/>
      </c>
      <c r="D22" s="14">
        <f>IF($W22="","",INDEX('Eredmény'!$AN$2:$AN$201,$W22))</f>
        <v/>
      </c>
      <c r="E22" s="12">
        <f>IF($W22="","",INDEX('Eredmény'!$AQ$2:$AQ$201,$W22))</f>
        <v/>
      </c>
      <c r="F22" s="13">
        <f>IF($W22="","",INDEX('Eredmény'!$AR$2:$AR$201,$W22))</f>
        <v/>
      </c>
      <c r="G22" s="13">
        <f>IF($W22="","",INDEX('Eredmény'!$AS$2:$AS$201,$W22))</f>
        <v/>
      </c>
      <c r="H22" s="14">
        <f>IF($W22="","",INDEX('Eredmény'!$AI$2:$AI$201,$W22))</f>
        <v/>
      </c>
      <c r="I22" s="14">
        <f>IF($W22="","",INDEX('Eredmény'!$AJ$2:$AJ$201,$W22))</f>
        <v/>
      </c>
      <c r="J22" s="14">
        <f>IF($W22="","",INDEX('Eredmény'!$AK$2:$AK$201,$W22))</f>
        <v/>
      </c>
      <c r="K22" s="14">
        <f>IF($W22="","",INDEX('Eredmény'!$AL$2:$AL$201,$W22))</f>
        <v/>
      </c>
      <c r="L22" s="15">
        <f>IF($W22="","",INDEX('Eredmény'!$AZ$2:$AZ$201,$W22))</f>
        <v/>
      </c>
      <c r="M22" s="15">
        <f>IF($W22="","",INDEX('Eredmény'!$BB$2:$BB$201,$W22))</f>
        <v/>
      </c>
      <c r="N22" s="15">
        <f>IF($W22="","",INDEX('Eredmény'!$BC$2:$BC$201,$W22))</f>
        <v/>
      </c>
      <c r="O22" s="16">
        <f>IF($W22="","",INDEX('Eredmény'!$BD$2:$BD$201,$W22))</f>
        <v/>
      </c>
      <c r="P22" s="13">
        <f>IF($W22="","",INDEX('Eredmény'!$BE$2:$BE$201,$W22))</f>
        <v/>
      </c>
      <c r="Q22" s="15">
        <f>IF($W22="","",INDEX('Eredmény'!$BF$2:$BF$201,$W22))</f>
        <v/>
      </c>
      <c r="R22" s="17">
        <f>IF($W22="","",INDEX('Eredmény'!$BG$2:$BG$201,$W22))</f>
        <v/>
      </c>
      <c r="S22" s="13">
        <f>IF($W22="","",INDEX('Eredmény'!$AT$2:$AT$201,$W22))</f>
        <v/>
      </c>
      <c r="T22" s="13">
        <f>IF($W22="","",INDEX('Eredmény'!$AV$2:$AV$201,$W22))</f>
        <v/>
      </c>
      <c r="U22" s="12">
        <f>IF($W22="","",INDEX('Eredmény'!$BI$2:$BI$201,$W22))</f>
        <v/>
      </c>
      <c r="W22">
        <f>IFERROR(MATCH(LARGE('Eredmény'!$DY$2:$DY$201,18),'Eredmény'!$DY$2:$DY$201,0),"")</f>
        <v/>
      </c>
    </row>
    <row r="23">
      <c r="A23" s="12">
        <f>IF($W23="","",INDEX('Eredmény'!$AO$2:$AO$201,$W23))</f>
        <v/>
      </c>
      <c r="B23" s="13">
        <f>IF($W23="","",INDEX('Eredmény'!$A$2:$A$201,$W23))</f>
        <v/>
      </c>
      <c r="C23" s="14">
        <f>IF($W23="","",INDEX('Eredmény'!$AM$2:$AM$201,$W23))</f>
        <v/>
      </c>
      <c r="D23" s="14">
        <f>IF($W23="","",INDEX('Eredmény'!$AN$2:$AN$201,$W23))</f>
        <v/>
      </c>
      <c r="E23" s="12">
        <f>IF($W23="","",INDEX('Eredmény'!$AQ$2:$AQ$201,$W23))</f>
        <v/>
      </c>
      <c r="F23" s="13">
        <f>IF($W23="","",INDEX('Eredmény'!$AR$2:$AR$201,$W23))</f>
        <v/>
      </c>
      <c r="G23" s="13">
        <f>IF($W23="","",INDEX('Eredmény'!$AS$2:$AS$201,$W23))</f>
        <v/>
      </c>
      <c r="H23" s="14">
        <f>IF($W23="","",INDEX('Eredmény'!$AI$2:$AI$201,$W23))</f>
        <v/>
      </c>
      <c r="I23" s="14">
        <f>IF($W23="","",INDEX('Eredmény'!$AJ$2:$AJ$201,$W23))</f>
        <v/>
      </c>
      <c r="J23" s="14">
        <f>IF($W23="","",INDEX('Eredmény'!$AK$2:$AK$201,$W23))</f>
        <v/>
      </c>
      <c r="K23" s="14">
        <f>IF($W23="","",INDEX('Eredmény'!$AL$2:$AL$201,$W23))</f>
        <v/>
      </c>
      <c r="L23" s="15">
        <f>IF($W23="","",INDEX('Eredmény'!$AZ$2:$AZ$201,$W23))</f>
        <v/>
      </c>
      <c r="M23" s="15">
        <f>IF($W23="","",INDEX('Eredmény'!$BB$2:$BB$201,$W23))</f>
        <v/>
      </c>
      <c r="N23" s="15">
        <f>IF($W23="","",INDEX('Eredmény'!$BC$2:$BC$201,$W23))</f>
        <v/>
      </c>
      <c r="O23" s="16">
        <f>IF($W23="","",INDEX('Eredmény'!$BD$2:$BD$201,$W23))</f>
        <v/>
      </c>
      <c r="P23" s="13">
        <f>IF($W23="","",INDEX('Eredmény'!$BE$2:$BE$201,$W23))</f>
        <v/>
      </c>
      <c r="Q23" s="15">
        <f>IF($W23="","",INDEX('Eredmény'!$BF$2:$BF$201,$W23))</f>
        <v/>
      </c>
      <c r="R23" s="17">
        <f>IF($W23="","",INDEX('Eredmény'!$BG$2:$BG$201,$W23))</f>
        <v/>
      </c>
      <c r="S23" s="13">
        <f>IF($W23="","",INDEX('Eredmény'!$AT$2:$AT$201,$W23))</f>
        <v/>
      </c>
      <c r="T23" s="13">
        <f>IF($W23="","",INDEX('Eredmény'!$AV$2:$AV$201,$W23))</f>
        <v/>
      </c>
      <c r="U23" s="12">
        <f>IF($W23="","",INDEX('Eredmény'!$BI$2:$BI$201,$W23))</f>
        <v/>
      </c>
      <c r="W23">
        <f>IFERROR(MATCH(LARGE('Eredmény'!$DY$2:$DY$201,19),'Eredmény'!$DY$2:$DY$201,0),"")</f>
        <v/>
      </c>
    </row>
    <row r="24">
      <c r="A24" s="12">
        <f>IF($W24="","",INDEX('Eredmény'!$AO$2:$AO$201,$W24))</f>
        <v/>
      </c>
      <c r="B24" s="13">
        <f>IF($W24="","",INDEX('Eredmény'!$A$2:$A$201,$W24))</f>
        <v/>
      </c>
      <c r="C24" s="14">
        <f>IF($W24="","",INDEX('Eredmény'!$AM$2:$AM$201,$W24))</f>
        <v/>
      </c>
      <c r="D24" s="14">
        <f>IF($W24="","",INDEX('Eredmény'!$AN$2:$AN$201,$W24))</f>
        <v/>
      </c>
      <c r="E24" s="12">
        <f>IF($W24="","",INDEX('Eredmény'!$AQ$2:$AQ$201,$W24))</f>
        <v/>
      </c>
      <c r="F24" s="13">
        <f>IF($W24="","",INDEX('Eredmény'!$AR$2:$AR$201,$W24))</f>
        <v/>
      </c>
      <c r="G24" s="13">
        <f>IF($W24="","",INDEX('Eredmény'!$AS$2:$AS$201,$W24))</f>
        <v/>
      </c>
      <c r="H24" s="14">
        <f>IF($W24="","",INDEX('Eredmény'!$AI$2:$AI$201,$W24))</f>
        <v/>
      </c>
      <c r="I24" s="14">
        <f>IF($W24="","",INDEX('Eredmény'!$AJ$2:$AJ$201,$W24))</f>
        <v/>
      </c>
      <c r="J24" s="14">
        <f>IF($W24="","",INDEX('Eredmény'!$AK$2:$AK$201,$W24))</f>
        <v/>
      </c>
      <c r="K24" s="14">
        <f>IF($W24="","",INDEX('Eredmény'!$AL$2:$AL$201,$W24))</f>
        <v/>
      </c>
      <c r="L24" s="15">
        <f>IF($W24="","",INDEX('Eredmény'!$AZ$2:$AZ$201,$W24))</f>
        <v/>
      </c>
      <c r="M24" s="15">
        <f>IF($W24="","",INDEX('Eredmény'!$BB$2:$BB$201,$W24))</f>
        <v/>
      </c>
      <c r="N24" s="15">
        <f>IF($W24="","",INDEX('Eredmény'!$BC$2:$BC$201,$W24))</f>
        <v/>
      </c>
      <c r="O24" s="16">
        <f>IF($W24="","",INDEX('Eredmény'!$BD$2:$BD$201,$W24))</f>
        <v/>
      </c>
      <c r="P24" s="13">
        <f>IF($W24="","",INDEX('Eredmény'!$BE$2:$BE$201,$W24))</f>
        <v/>
      </c>
      <c r="Q24" s="15">
        <f>IF($W24="","",INDEX('Eredmény'!$BF$2:$BF$201,$W24))</f>
        <v/>
      </c>
      <c r="R24" s="17">
        <f>IF($W24="","",INDEX('Eredmény'!$BG$2:$BG$201,$W24))</f>
        <v/>
      </c>
      <c r="S24" s="13">
        <f>IF($W24="","",INDEX('Eredmény'!$AT$2:$AT$201,$W24))</f>
        <v/>
      </c>
      <c r="T24" s="13">
        <f>IF($W24="","",INDEX('Eredmény'!$AV$2:$AV$201,$W24))</f>
        <v/>
      </c>
      <c r="U24" s="12">
        <f>IF($W24="","",INDEX('Eredmény'!$BI$2:$BI$201,$W24))</f>
        <v/>
      </c>
      <c r="W24">
        <f>IFERROR(MATCH(LARGE('Eredmény'!$DY$2:$DY$201,20),'Eredmény'!$DY$2:$DY$201,0),"")</f>
        <v/>
      </c>
    </row>
    <row r="25">
      <c r="A25" s="12">
        <f>IF($W25="","",INDEX('Eredmény'!$AO$2:$AO$201,$W25))</f>
        <v/>
      </c>
      <c r="B25" s="13">
        <f>IF($W25="","",INDEX('Eredmény'!$A$2:$A$201,$W25))</f>
        <v/>
      </c>
      <c r="C25" s="14">
        <f>IF($W25="","",INDEX('Eredmény'!$AM$2:$AM$201,$W25))</f>
        <v/>
      </c>
      <c r="D25" s="14">
        <f>IF($W25="","",INDEX('Eredmény'!$AN$2:$AN$201,$W25))</f>
        <v/>
      </c>
      <c r="E25" s="12">
        <f>IF($W25="","",INDEX('Eredmény'!$AQ$2:$AQ$201,$W25))</f>
        <v/>
      </c>
      <c r="F25" s="13">
        <f>IF($W25="","",INDEX('Eredmény'!$AR$2:$AR$201,$W25))</f>
        <v/>
      </c>
      <c r="G25" s="13">
        <f>IF($W25="","",INDEX('Eredmény'!$AS$2:$AS$201,$W25))</f>
        <v/>
      </c>
      <c r="H25" s="14">
        <f>IF($W25="","",INDEX('Eredmény'!$AI$2:$AI$201,$W25))</f>
        <v/>
      </c>
      <c r="I25" s="14">
        <f>IF($W25="","",INDEX('Eredmény'!$AJ$2:$AJ$201,$W25))</f>
        <v/>
      </c>
      <c r="J25" s="14">
        <f>IF($W25="","",INDEX('Eredmény'!$AK$2:$AK$201,$W25))</f>
        <v/>
      </c>
      <c r="K25" s="14">
        <f>IF($W25="","",INDEX('Eredmény'!$AL$2:$AL$201,$W25))</f>
        <v/>
      </c>
      <c r="L25" s="15">
        <f>IF($W25="","",INDEX('Eredmény'!$AZ$2:$AZ$201,$W25))</f>
        <v/>
      </c>
      <c r="M25" s="15">
        <f>IF($W25="","",INDEX('Eredmény'!$BB$2:$BB$201,$W25))</f>
        <v/>
      </c>
      <c r="N25" s="15">
        <f>IF($W25="","",INDEX('Eredmény'!$BC$2:$BC$201,$W25))</f>
        <v/>
      </c>
      <c r="O25" s="16">
        <f>IF($W25="","",INDEX('Eredmény'!$BD$2:$BD$201,$W25))</f>
        <v/>
      </c>
      <c r="P25" s="13">
        <f>IF($W25="","",INDEX('Eredmény'!$BE$2:$BE$201,$W25))</f>
        <v/>
      </c>
      <c r="Q25" s="15">
        <f>IF($W25="","",INDEX('Eredmény'!$BF$2:$BF$201,$W25))</f>
        <v/>
      </c>
      <c r="R25" s="17">
        <f>IF($W25="","",INDEX('Eredmény'!$BG$2:$BG$201,$W25))</f>
        <v/>
      </c>
      <c r="S25" s="13">
        <f>IF($W25="","",INDEX('Eredmény'!$AT$2:$AT$201,$W25))</f>
        <v/>
      </c>
      <c r="T25" s="13">
        <f>IF($W25="","",INDEX('Eredmény'!$AV$2:$AV$201,$W25))</f>
        <v/>
      </c>
      <c r="U25" s="12">
        <f>IF($W25="","",INDEX('Eredmény'!$BI$2:$BI$201,$W25))</f>
        <v/>
      </c>
      <c r="W25">
        <f>IFERROR(MATCH(LARGE('Eredmény'!$DY$2:$DY$201,21),'Eredmény'!$DY$2:$DY$201,0),"")</f>
        <v/>
      </c>
    </row>
    <row r="26">
      <c r="A26" s="12">
        <f>IF($W26="","",INDEX('Eredmény'!$AO$2:$AO$201,$W26))</f>
        <v/>
      </c>
      <c r="B26" s="13">
        <f>IF($W26="","",INDEX('Eredmény'!$A$2:$A$201,$W26))</f>
        <v/>
      </c>
      <c r="C26" s="14">
        <f>IF($W26="","",INDEX('Eredmény'!$AM$2:$AM$201,$W26))</f>
        <v/>
      </c>
      <c r="D26" s="14">
        <f>IF($W26="","",INDEX('Eredmény'!$AN$2:$AN$201,$W26))</f>
        <v/>
      </c>
      <c r="E26" s="12">
        <f>IF($W26="","",INDEX('Eredmény'!$AQ$2:$AQ$201,$W26))</f>
        <v/>
      </c>
      <c r="F26" s="13">
        <f>IF($W26="","",INDEX('Eredmény'!$AR$2:$AR$201,$W26))</f>
        <v/>
      </c>
      <c r="G26" s="13">
        <f>IF($W26="","",INDEX('Eredmény'!$AS$2:$AS$201,$W26))</f>
        <v/>
      </c>
      <c r="H26" s="14">
        <f>IF($W26="","",INDEX('Eredmény'!$AI$2:$AI$201,$W26))</f>
        <v/>
      </c>
      <c r="I26" s="14">
        <f>IF($W26="","",INDEX('Eredmény'!$AJ$2:$AJ$201,$W26))</f>
        <v/>
      </c>
      <c r="J26" s="14">
        <f>IF($W26="","",INDEX('Eredmény'!$AK$2:$AK$201,$W26))</f>
        <v/>
      </c>
      <c r="K26" s="14">
        <f>IF($W26="","",INDEX('Eredmény'!$AL$2:$AL$201,$W26))</f>
        <v/>
      </c>
      <c r="L26" s="15">
        <f>IF($W26="","",INDEX('Eredmény'!$AZ$2:$AZ$201,$W26))</f>
        <v/>
      </c>
      <c r="M26" s="15">
        <f>IF($W26="","",INDEX('Eredmény'!$BB$2:$BB$201,$W26))</f>
        <v/>
      </c>
      <c r="N26" s="15">
        <f>IF($W26="","",INDEX('Eredmény'!$BC$2:$BC$201,$W26))</f>
        <v/>
      </c>
      <c r="O26" s="16">
        <f>IF($W26="","",INDEX('Eredmény'!$BD$2:$BD$201,$W26))</f>
        <v/>
      </c>
      <c r="P26" s="13">
        <f>IF($W26="","",INDEX('Eredmény'!$BE$2:$BE$201,$W26))</f>
        <v/>
      </c>
      <c r="Q26" s="15">
        <f>IF($W26="","",INDEX('Eredmény'!$BF$2:$BF$201,$W26))</f>
        <v/>
      </c>
      <c r="R26" s="17">
        <f>IF($W26="","",INDEX('Eredmény'!$BG$2:$BG$201,$W26))</f>
        <v/>
      </c>
      <c r="S26" s="13">
        <f>IF($W26="","",INDEX('Eredmény'!$AT$2:$AT$201,$W26))</f>
        <v/>
      </c>
      <c r="T26" s="13">
        <f>IF($W26="","",INDEX('Eredmény'!$AV$2:$AV$201,$W26))</f>
        <v/>
      </c>
      <c r="U26" s="12">
        <f>IF($W26="","",INDEX('Eredmény'!$BI$2:$BI$201,$W26))</f>
        <v/>
      </c>
      <c r="W26">
        <f>IFERROR(MATCH(LARGE('Eredmény'!$DY$2:$DY$201,22),'Eredmény'!$DY$2:$DY$201,0),"")</f>
        <v/>
      </c>
    </row>
    <row r="27">
      <c r="A27" s="12">
        <f>IF($W27="","",INDEX('Eredmény'!$AO$2:$AO$201,$W27))</f>
        <v/>
      </c>
      <c r="B27" s="13">
        <f>IF($W27="","",INDEX('Eredmény'!$A$2:$A$201,$W27))</f>
        <v/>
      </c>
      <c r="C27" s="14">
        <f>IF($W27="","",INDEX('Eredmény'!$AM$2:$AM$201,$W27))</f>
        <v/>
      </c>
      <c r="D27" s="14">
        <f>IF($W27="","",INDEX('Eredmény'!$AN$2:$AN$201,$W27))</f>
        <v/>
      </c>
      <c r="E27" s="12">
        <f>IF($W27="","",INDEX('Eredmény'!$AQ$2:$AQ$201,$W27))</f>
        <v/>
      </c>
      <c r="F27" s="13">
        <f>IF($W27="","",INDEX('Eredmény'!$AR$2:$AR$201,$W27))</f>
        <v/>
      </c>
      <c r="G27" s="13">
        <f>IF($W27="","",INDEX('Eredmény'!$AS$2:$AS$201,$W27))</f>
        <v/>
      </c>
      <c r="H27" s="14">
        <f>IF($W27="","",INDEX('Eredmény'!$AI$2:$AI$201,$W27))</f>
        <v/>
      </c>
      <c r="I27" s="14">
        <f>IF($W27="","",INDEX('Eredmény'!$AJ$2:$AJ$201,$W27))</f>
        <v/>
      </c>
      <c r="J27" s="14">
        <f>IF($W27="","",INDEX('Eredmény'!$AK$2:$AK$201,$W27))</f>
        <v/>
      </c>
      <c r="K27" s="14">
        <f>IF($W27="","",INDEX('Eredmény'!$AL$2:$AL$201,$W27))</f>
        <v/>
      </c>
      <c r="L27" s="15">
        <f>IF($W27="","",INDEX('Eredmény'!$AZ$2:$AZ$201,$W27))</f>
        <v/>
      </c>
      <c r="M27" s="15">
        <f>IF($W27="","",INDEX('Eredmény'!$BB$2:$BB$201,$W27))</f>
        <v/>
      </c>
      <c r="N27" s="15">
        <f>IF($W27="","",INDEX('Eredmény'!$BC$2:$BC$201,$W27))</f>
        <v/>
      </c>
      <c r="O27" s="16">
        <f>IF($W27="","",INDEX('Eredmény'!$BD$2:$BD$201,$W27))</f>
        <v/>
      </c>
      <c r="P27" s="13">
        <f>IF($W27="","",INDEX('Eredmény'!$BE$2:$BE$201,$W27))</f>
        <v/>
      </c>
      <c r="Q27" s="15">
        <f>IF($W27="","",INDEX('Eredmény'!$BF$2:$BF$201,$W27))</f>
        <v/>
      </c>
      <c r="R27" s="17">
        <f>IF($W27="","",INDEX('Eredmény'!$BG$2:$BG$201,$W27))</f>
        <v/>
      </c>
      <c r="S27" s="13">
        <f>IF($W27="","",INDEX('Eredmény'!$AT$2:$AT$201,$W27))</f>
        <v/>
      </c>
      <c r="T27" s="13">
        <f>IF($W27="","",INDEX('Eredmény'!$AV$2:$AV$201,$W27))</f>
        <v/>
      </c>
      <c r="U27" s="12">
        <f>IF($W27="","",INDEX('Eredmény'!$BI$2:$BI$201,$W27))</f>
        <v/>
      </c>
      <c r="W27">
        <f>IFERROR(MATCH(LARGE('Eredmény'!$DY$2:$DY$201,23),'Eredmény'!$DY$2:$DY$201,0),"")</f>
        <v/>
      </c>
    </row>
    <row r="28">
      <c r="A28" s="12">
        <f>IF($W28="","",INDEX('Eredmény'!$AO$2:$AO$201,$W28))</f>
        <v/>
      </c>
      <c r="B28" s="13">
        <f>IF($W28="","",INDEX('Eredmény'!$A$2:$A$201,$W28))</f>
        <v/>
      </c>
      <c r="C28" s="14">
        <f>IF($W28="","",INDEX('Eredmény'!$AM$2:$AM$201,$W28))</f>
        <v/>
      </c>
      <c r="D28" s="14">
        <f>IF($W28="","",INDEX('Eredmény'!$AN$2:$AN$201,$W28))</f>
        <v/>
      </c>
      <c r="E28" s="12">
        <f>IF($W28="","",INDEX('Eredmény'!$AQ$2:$AQ$201,$W28))</f>
        <v/>
      </c>
      <c r="F28" s="13">
        <f>IF($W28="","",INDEX('Eredmény'!$AR$2:$AR$201,$W28))</f>
        <v/>
      </c>
      <c r="G28" s="13">
        <f>IF($W28="","",INDEX('Eredmény'!$AS$2:$AS$201,$W28))</f>
        <v/>
      </c>
      <c r="H28" s="14">
        <f>IF($W28="","",INDEX('Eredmény'!$AI$2:$AI$201,$W28))</f>
        <v/>
      </c>
      <c r="I28" s="14">
        <f>IF($W28="","",INDEX('Eredmény'!$AJ$2:$AJ$201,$W28))</f>
        <v/>
      </c>
      <c r="J28" s="14">
        <f>IF($W28="","",INDEX('Eredmény'!$AK$2:$AK$201,$W28))</f>
        <v/>
      </c>
      <c r="K28" s="14">
        <f>IF($W28="","",INDEX('Eredmény'!$AL$2:$AL$201,$W28))</f>
        <v/>
      </c>
      <c r="L28" s="15">
        <f>IF($W28="","",INDEX('Eredmény'!$AZ$2:$AZ$201,$W28))</f>
        <v/>
      </c>
      <c r="M28" s="15">
        <f>IF($W28="","",INDEX('Eredmény'!$BB$2:$BB$201,$W28))</f>
        <v/>
      </c>
      <c r="N28" s="15">
        <f>IF($W28="","",INDEX('Eredmény'!$BC$2:$BC$201,$W28))</f>
        <v/>
      </c>
      <c r="O28" s="16">
        <f>IF($W28="","",INDEX('Eredmény'!$BD$2:$BD$201,$W28))</f>
        <v/>
      </c>
      <c r="P28" s="13">
        <f>IF($W28="","",INDEX('Eredmény'!$BE$2:$BE$201,$W28))</f>
        <v/>
      </c>
      <c r="Q28" s="15">
        <f>IF($W28="","",INDEX('Eredmény'!$BF$2:$BF$201,$W28))</f>
        <v/>
      </c>
      <c r="R28" s="17">
        <f>IF($W28="","",INDEX('Eredmény'!$BG$2:$BG$201,$W28))</f>
        <v/>
      </c>
      <c r="S28" s="13">
        <f>IF($W28="","",INDEX('Eredmény'!$AT$2:$AT$201,$W28))</f>
        <v/>
      </c>
      <c r="T28" s="13">
        <f>IF($W28="","",INDEX('Eredmény'!$AV$2:$AV$201,$W28))</f>
        <v/>
      </c>
      <c r="U28" s="12">
        <f>IF($W28="","",INDEX('Eredmény'!$BI$2:$BI$201,$W28))</f>
        <v/>
      </c>
      <c r="W28">
        <f>IFERROR(MATCH(LARGE('Eredmény'!$DY$2:$DY$201,24),'Eredmény'!$DY$2:$DY$201,0),"")</f>
        <v/>
      </c>
    </row>
    <row r="29">
      <c r="A29" s="12">
        <f>IF($W29="","",INDEX('Eredmény'!$AO$2:$AO$201,$W29))</f>
        <v/>
      </c>
      <c r="B29" s="13">
        <f>IF($W29="","",INDEX('Eredmény'!$A$2:$A$201,$W29))</f>
        <v/>
      </c>
      <c r="C29" s="14">
        <f>IF($W29="","",INDEX('Eredmény'!$AM$2:$AM$201,$W29))</f>
        <v/>
      </c>
      <c r="D29" s="14">
        <f>IF($W29="","",INDEX('Eredmény'!$AN$2:$AN$201,$W29))</f>
        <v/>
      </c>
      <c r="E29" s="12">
        <f>IF($W29="","",INDEX('Eredmény'!$AQ$2:$AQ$201,$W29))</f>
        <v/>
      </c>
      <c r="F29" s="13">
        <f>IF($W29="","",INDEX('Eredmény'!$AR$2:$AR$201,$W29))</f>
        <v/>
      </c>
      <c r="G29" s="13">
        <f>IF($W29="","",INDEX('Eredmény'!$AS$2:$AS$201,$W29))</f>
        <v/>
      </c>
      <c r="H29" s="14">
        <f>IF($W29="","",INDEX('Eredmény'!$AI$2:$AI$201,$W29))</f>
        <v/>
      </c>
      <c r="I29" s="14">
        <f>IF($W29="","",INDEX('Eredmény'!$AJ$2:$AJ$201,$W29))</f>
        <v/>
      </c>
      <c r="J29" s="14">
        <f>IF($W29="","",INDEX('Eredmény'!$AK$2:$AK$201,$W29))</f>
        <v/>
      </c>
      <c r="K29" s="14">
        <f>IF($W29="","",INDEX('Eredmény'!$AL$2:$AL$201,$W29))</f>
        <v/>
      </c>
      <c r="L29" s="15">
        <f>IF($W29="","",INDEX('Eredmény'!$AZ$2:$AZ$201,$W29))</f>
        <v/>
      </c>
      <c r="M29" s="15">
        <f>IF($W29="","",INDEX('Eredmény'!$BB$2:$BB$201,$W29))</f>
        <v/>
      </c>
      <c r="N29" s="15">
        <f>IF($W29="","",INDEX('Eredmény'!$BC$2:$BC$201,$W29))</f>
        <v/>
      </c>
      <c r="O29" s="16">
        <f>IF($W29="","",INDEX('Eredmény'!$BD$2:$BD$201,$W29))</f>
        <v/>
      </c>
      <c r="P29" s="13">
        <f>IF($W29="","",INDEX('Eredmény'!$BE$2:$BE$201,$W29))</f>
        <v/>
      </c>
      <c r="Q29" s="15">
        <f>IF($W29="","",INDEX('Eredmény'!$BF$2:$BF$201,$W29))</f>
        <v/>
      </c>
      <c r="R29" s="17">
        <f>IF($W29="","",INDEX('Eredmény'!$BG$2:$BG$201,$W29))</f>
        <v/>
      </c>
      <c r="S29" s="13">
        <f>IF($W29="","",INDEX('Eredmény'!$AT$2:$AT$201,$W29))</f>
        <v/>
      </c>
      <c r="T29" s="13">
        <f>IF($W29="","",INDEX('Eredmény'!$AV$2:$AV$201,$W29))</f>
        <v/>
      </c>
      <c r="U29" s="12">
        <f>IF($W29="","",INDEX('Eredmény'!$BI$2:$BI$201,$W29))</f>
        <v/>
      </c>
      <c r="W29">
        <f>IFERROR(MATCH(LARGE('Eredmény'!$DY$2:$DY$201,25),'Eredmény'!$DY$2:$DY$201,0),"")</f>
        <v/>
      </c>
    </row>
    <row r="30">
      <c r="A30" s="12">
        <f>IF($W30="","",INDEX('Eredmény'!$AO$2:$AO$201,$W30))</f>
        <v/>
      </c>
      <c r="B30" s="13">
        <f>IF($W30="","",INDEX('Eredmény'!$A$2:$A$201,$W30))</f>
        <v/>
      </c>
      <c r="C30" s="14">
        <f>IF($W30="","",INDEX('Eredmény'!$AM$2:$AM$201,$W30))</f>
        <v/>
      </c>
      <c r="D30" s="14">
        <f>IF($W30="","",INDEX('Eredmény'!$AN$2:$AN$201,$W30))</f>
        <v/>
      </c>
      <c r="E30" s="12">
        <f>IF($W30="","",INDEX('Eredmény'!$AQ$2:$AQ$201,$W30))</f>
        <v/>
      </c>
      <c r="F30" s="13">
        <f>IF($W30="","",INDEX('Eredmény'!$AR$2:$AR$201,$W30))</f>
        <v/>
      </c>
      <c r="G30" s="13">
        <f>IF($W30="","",INDEX('Eredmény'!$AS$2:$AS$201,$W30))</f>
        <v/>
      </c>
      <c r="H30" s="14">
        <f>IF($W30="","",INDEX('Eredmény'!$AI$2:$AI$201,$W30))</f>
        <v/>
      </c>
      <c r="I30" s="14">
        <f>IF($W30="","",INDEX('Eredmény'!$AJ$2:$AJ$201,$W30))</f>
        <v/>
      </c>
      <c r="J30" s="14">
        <f>IF($W30="","",INDEX('Eredmény'!$AK$2:$AK$201,$W30))</f>
        <v/>
      </c>
      <c r="K30" s="14">
        <f>IF($W30="","",INDEX('Eredmény'!$AL$2:$AL$201,$W30))</f>
        <v/>
      </c>
      <c r="L30" s="15">
        <f>IF($W30="","",INDEX('Eredmény'!$AZ$2:$AZ$201,$W30))</f>
        <v/>
      </c>
      <c r="M30" s="15">
        <f>IF($W30="","",INDEX('Eredmény'!$BB$2:$BB$201,$W30))</f>
        <v/>
      </c>
      <c r="N30" s="15">
        <f>IF($W30="","",INDEX('Eredmény'!$BC$2:$BC$201,$W30))</f>
        <v/>
      </c>
      <c r="O30" s="16">
        <f>IF($W30="","",INDEX('Eredmény'!$BD$2:$BD$201,$W30))</f>
        <v/>
      </c>
      <c r="P30" s="13">
        <f>IF($W30="","",INDEX('Eredmény'!$BE$2:$BE$201,$W30))</f>
        <v/>
      </c>
      <c r="Q30" s="15">
        <f>IF($W30="","",INDEX('Eredmény'!$BF$2:$BF$201,$W30))</f>
        <v/>
      </c>
      <c r="R30" s="17">
        <f>IF($W30="","",INDEX('Eredmény'!$BG$2:$BG$201,$W30))</f>
        <v/>
      </c>
      <c r="S30" s="13">
        <f>IF($W30="","",INDEX('Eredmény'!$AT$2:$AT$201,$W30))</f>
        <v/>
      </c>
      <c r="T30" s="13">
        <f>IF($W30="","",INDEX('Eredmény'!$AV$2:$AV$201,$W30))</f>
        <v/>
      </c>
      <c r="U30" s="12">
        <f>IF($W30="","",INDEX('Eredmény'!$BI$2:$BI$201,$W30))</f>
        <v/>
      </c>
      <c r="W30">
        <f>IFERROR(MATCH(LARGE('Eredmény'!$DY$2:$DY$201,26),'Eredmény'!$DY$2:$DY$201,0),"")</f>
        <v/>
      </c>
    </row>
    <row r="31">
      <c r="A31" s="12">
        <f>IF($W31="","",INDEX('Eredmény'!$AO$2:$AO$201,$W31))</f>
        <v/>
      </c>
      <c r="B31" s="13">
        <f>IF($W31="","",INDEX('Eredmény'!$A$2:$A$201,$W31))</f>
        <v/>
      </c>
      <c r="C31" s="14">
        <f>IF($W31="","",INDEX('Eredmény'!$AM$2:$AM$201,$W31))</f>
        <v/>
      </c>
      <c r="D31" s="14">
        <f>IF($W31="","",INDEX('Eredmény'!$AN$2:$AN$201,$W31))</f>
        <v/>
      </c>
      <c r="E31" s="12">
        <f>IF($W31="","",INDEX('Eredmény'!$AQ$2:$AQ$201,$W31))</f>
        <v/>
      </c>
      <c r="F31" s="13">
        <f>IF($W31="","",INDEX('Eredmény'!$AR$2:$AR$201,$W31))</f>
        <v/>
      </c>
      <c r="G31" s="13">
        <f>IF($W31="","",INDEX('Eredmény'!$AS$2:$AS$201,$W31))</f>
        <v/>
      </c>
      <c r="H31" s="14">
        <f>IF($W31="","",INDEX('Eredmény'!$AI$2:$AI$201,$W31))</f>
        <v/>
      </c>
      <c r="I31" s="14">
        <f>IF($W31="","",INDEX('Eredmény'!$AJ$2:$AJ$201,$W31))</f>
        <v/>
      </c>
      <c r="J31" s="14">
        <f>IF($W31="","",INDEX('Eredmény'!$AK$2:$AK$201,$W31))</f>
        <v/>
      </c>
      <c r="K31" s="14">
        <f>IF($W31="","",INDEX('Eredmény'!$AL$2:$AL$201,$W31))</f>
        <v/>
      </c>
      <c r="L31" s="15">
        <f>IF($W31="","",INDEX('Eredmény'!$AZ$2:$AZ$201,$W31))</f>
        <v/>
      </c>
      <c r="M31" s="15">
        <f>IF($W31="","",INDEX('Eredmény'!$BB$2:$BB$201,$W31))</f>
        <v/>
      </c>
      <c r="N31" s="15">
        <f>IF($W31="","",INDEX('Eredmény'!$BC$2:$BC$201,$W31))</f>
        <v/>
      </c>
      <c r="O31" s="16">
        <f>IF($W31="","",INDEX('Eredmény'!$BD$2:$BD$201,$W31))</f>
        <v/>
      </c>
      <c r="P31" s="13">
        <f>IF($W31="","",INDEX('Eredmény'!$BE$2:$BE$201,$W31))</f>
        <v/>
      </c>
      <c r="Q31" s="15">
        <f>IF($W31="","",INDEX('Eredmény'!$BF$2:$BF$201,$W31))</f>
        <v/>
      </c>
      <c r="R31" s="17">
        <f>IF($W31="","",INDEX('Eredmény'!$BG$2:$BG$201,$W31))</f>
        <v/>
      </c>
      <c r="S31" s="13">
        <f>IF($W31="","",INDEX('Eredmény'!$AT$2:$AT$201,$W31))</f>
        <v/>
      </c>
      <c r="T31" s="13">
        <f>IF($W31="","",INDEX('Eredmény'!$AV$2:$AV$201,$W31))</f>
        <v/>
      </c>
      <c r="U31" s="12">
        <f>IF($W31="","",INDEX('Eredmény'!$BI$2:$BI$201,$W31))</f>
        <v/>
      </c>
      <c r="W31">
        <f>IFERROR(MATCH(LARGE('Eredmény'!$DY$2:$DY$201,27),'Eredmény'!$DY$2:$DY$201,0),"")</f>
        <v/>
      </c>
    </row>
    <row r="32">
      <c r="A32" s="12">
        <f>IF($W32="","",INDEX('Eredmény'!$AO$2:$AO$201,$W32))</f>
        <v/>
      </c>
      <c r="B32" s="13">
        <f>IF($W32="","",INDEX('Eredmény'!$A$2:$A$201,$W32))</f>
        <v/>
      </c>
      <c r="C32" s="14">
        <f>IF($W32="","",INDEX('Eredmény'!$AM$2:$AM$201,$W32))</f>
        <v/>
      </c>
      <c r="D32" s="14">
        <f>IF($W32="","",INDEX('Eredmény'!$AN$2:$AN$201,$W32))</f>
        <v/>
      </c>
      <c r="E32" s="12">
        <f>IF($W32="","",INDEX('Eredmény'!$AQ$2:$AQ$201,$W32))</f>
        <v/>
      </c>
      <c r="F32" s="13">
        <f>IF($W32="","",INDEX('Eredmény'!$AR$2:$AR$201,$W32))</f>
        <v/>
      </c>
      <c r="G32" s="13">
        <f>IF($W32="","",INDEX('Eredmény'!$AS$2:$AS$201,$W32))</f>
        <v/>
      </c>
      <c r="H32" s="14">
        <f>IF($W32="","",INDEX('Eredmény'!$AI$2:$AI$201,$W32))</f>
        <v/>
      </c>
      <c r="I32" s="14">
        <f>IF($W32="","",INDEX('Eredmény'!$AJ$2:$AJ$201,$W32))</f>
        <v/>
      </c>
      <c r="J32" s="14">
        <f>IF($W32="","",INDEX('Eredmény'!$AK$2:$AK$201,$W32))</f>
        <v/>
      </c>
      <c r="K32" s="14">
        <f>IF($W32="","",INDEX('Eredmény'!$AL$2:$AL$201,$W32))</f>
        <v/>
      </c>
      <c r="L32" s="15">
        <f>IF($W32="","",INDEX('Eredmény'!$AZ$2:$AZ$201,$W32))</f>
        <v/>
      </c>
      <c r="M32" s="15">
        <f>IF($W32="","",INDEX('Eredmény'!$BB$2:$BB$201,$W32))</f>
        <v/>
      </c>
      <c r="N32" s="15">
        <f>IF($W32="","",INDEX('Eredmény'!$BC$2:$BC$201,$W32))</f>
        <v/>
      </c>
      <c r="O32" s="16">
        <f>IF($W32="","",INDEX('Eredmény'!$BD$2:$BD$201,$W32))</f>
        <v/>
      </c>
      <c r="P32" s="13">
        <f>IF($W32="","",INDEX('Eredmény'!$BE$2:$BE$201,$W32))</f>
        <v/>
      </c>
      <c r="Q32" s="15">
        <f>IF($W32="","",INDEX('Eredmény'!$BF$2:$BF$201,$W32))</f>
        <v/>
      </c>
      <c r="R32" s="17">
        <f>IF($W32="","",INDEX('Eredmény'!$BG$2:$BG$201,$W32))</f>
        <v/>
      </c>
      <c r="S32" s="13">
        <f>IF($W32="","",INDEX('Eredmény'!$AT$2:$AT$201,$W32))</f>
        <v/>
      </c>
      <c r="T32" s="13">
        <f>IF($W32="","",INDEX('Eredmény'!$AV$2:$AV$201,$W32))</f>
        <v/>
      </c>
      <c r="U32" s="12">
        <f>IF($W32="","",INDEX('Eredmény'!$BI$2:$BI$201,$W32))</f>
        <v/>
      </c>
      <c r="W32">
        <f>IFERROR(MATCH(LARGE('Eredmény'!$DY$2:$DY$201,28),'Eredmény'!$DY$2:$DY$201,0),"")</f>
        <v/>
      </c>
    </row>
    <row r="33">
      <c r="A33" s="12">
        <f>IF($W33="","",INDEX('Eredmény'!$AO$2:$AO$201,$W33))</f>
        <v/>
      </c>
      <c r="B33" s="13">
        <f>IF($W33="","",INDEX('Eredmény'!$A$2:$A$201,$W33))</f>
        <v/>
      </c>
      <c r="C33" s="14">
        <f>IF($W33="","",INDEX('Eredmény'!$AM$2:$AM$201,$W33))</f>
        <v/>
      </c>
      <c r="D33" s="14">
        <f>IF($W33="","",INDEX('Eredmény'!$AN$2:$AN$201,$W33))</f>
        <v/>
      </c>
      <c r="E33" s="12">
        <f>IF($W33="","",INDEX('Eredmény'!$AQ$2:$AQ$201,$W33))</f>
        <v/>
      </c>
      <c r="F33" s="13">
        <f>IF($W33="","",INDEX('Eredmény'!$AR$2:$AR$201,$W33))</f>
        <v/>
      </c>
      <c r="G33" s="13">
        <f>IF($W33="","",INDEX('Eredmény'!$AS$2:$AS$201,$W33))</f>
        <v/>
      </c>
      <c r="H33" s="14">
        <f>IF($W33="","",INDEX('Eredmény'!$AI$2:$AI$201,$W33))</f>
        <v/>
      </c>
      <c r="I33" s="14">
        <f>IF($W33="","",INDEX('Eredmény'!$AJ$2:$AJ$201,$W33))</f>
        <v/>
      </c>
      <c r="J33" s="14">
        <f>IF($W33="","",INDEX('Eredmény'!$AK$2:$AK$201,$W33))</f>
        <v/>
      </c>
      <c r="K33" s="14">
        <f>IF($W33="","",INDEX('Eredmény'!$AL$2:$AL$201,$W33))</f>
        <v/>
      </c>
      <c r="L33" s="15">
        <f>IF($W33="","",INDEX('Eredmény'!$AZ$2:$AZ$201,$W33))</f>
        <v/>
      </c>
      <c r="M33" s="15">
        <f>IF($W33="","",INDEX('Eredmény'!$BB$2:$BB$201,$W33))</f>
        <v/>
      </c>
      <c r="N33" s="15">
        <f>IF($W33="","",INDEX('Eredmény'!$BC$2:$BC$201,$W33))</f>
        <v/>
      </c>
      <c r="O33" s="16">
        <f>IF($W33="","",INDEX('Eredmény'!$BD$2:$BD$201,$W33))</f>
        <v/>
      </c>
      <c r="P33" s="13">
        <f>IF($W33="","",INDEX('Eredmény'!$BE$2:$BE$201,$W33))</f>
        <v/>
      </c>
      <c r="Q33" s="15">
        <f>IF($W33="","",INDEX('Eredmény'!$BF$2:$BF$201,$W33))</f>
        <v/>
      </c>
      <c r="R33" s="17">
        <f>IF($W33="","",INDEX('Eredmény'!$BG$2:$BG$201,$W33))</f>
        <v/>
      </c>
      <c r="S33" s="13">
        <f>IF($W33="","",INDEX('Eredmény'!$AT$2:$AT$201,$W33))</f>
        <v/>
      </c>
      <c r="T33" s="13">
        <f>IF($W33="","",INDEX('Eredmény'!$AV$2:$AV$201,$W33))</f>
        <v/>
      </c>
      <c r="U33" s="12">
        <f>IF($W33="","",INDEX('Eredmény'!$BI$2:$BI$201,$W33))</f>
        <v/>
      </c>
      <c r="W33">
        <f>IFERROR(MATCH(LARGE('Eredmény'!$DY$2:$DY$201,29),'Eredmény'!$DY$2:$DY$201,0),"")</f>
        <v/>
      </c>
    </row>
    <row r="34">
      <c r="A34" s="12">
        <f>IF($W34="","",INDEX('Eredmény'!$AO$2:$AO$201,$W34))</f>
        <v/>
      </c>
      <c r="B34" s="13">
        <f>IF($W34="","",INDEX('Eredmény'!$A$2:$A$201,$W34))</f>
        <v/>
      </c>
      <c r="C34" s="14">
        <f>IF($W34="","",INDEX('Eredmény'!$AM$2:$AM$201,$W34))</f>
        <v/>
      </c>
      <c r="D34" s="14">
        <f>IF($W34="","",INDEX('Eredmény'!$AN$2:$AN$201,$W34))</f>
        <v/>
      </c>
      <c r="E34" s="12">
        <f>IF($W34="","",INDEX('Eredmény'!$AQ$2:$AQ$201,$W34))</f>
        <v/>
      </c>
      <c r="F34" s="13">
        <f>IF($W34="","",INDEX('Eredmény'!$AR$2:$AR$201,$W34))</f>
        <v/>
      </c>
      <c r="G34" s="13">
        <f>IF($W34="","",INDEX('Eredmény'!$AS$2:$AS$201,$W34))</f>
        <v/>
      </c>
      <c r="H34" s="14">
        <f>IF($W34="","",INDEX('Eredmény'!$AI$2:$AI$201,$W34))</f>
        <v/>
      </c>
      <c r="I34" s="14">
        <f>IF($W34="","",INDEX('Eredmény'!$AJ$2:$AJ$201,$W34))</f>
        <v/>
      </c>
      <c r="J34" s="14">
        <f>IF($W34="","",INDEX('Eredmény'!$AK$2:$AK$201,$W34))</f>
        <v/>
      </c>
      <c r="K34" s="14">
        <f>IF($W34="","",INDEX('Eredmény'!$AL$2:$AL$201,$W34))</f>
        <v/>
      </c>
      <c r="L34" s="15">
        <f>IF($W34="","",INDEX('Eredmény'!$AZ$2:$AZ$201,$W34))</f>
        <v/>
      </c>
      <c r="M34" s="15">
        <f>IF($W34="","",INDEX('Eredmény'!$BB$2:$BB$201,$W34))</f>
        <v/>
      </c>
      <c r="N34" s="15">
        <f>IF($W34="","",INDEX('Eredmény'!$BC$2:$BC$201,$W34))</f>
        <v/>
      </c>
      <c r="O34" s="16">
        <f>IF($W34="","",INDEX('Eredmény'!$BD$2:$BD$201,$W34))</f>
        <v/>
      </c>
      <c r="P34" s="13">
        <f>IF($W34="","",INDEX('Eredmény'!$BE$2:$BE$201,$W34))</f>
        <v/>
      </c>
      <c r="Q34" s="15">
        <f>IF($W34="","",INDEX('Eredmény'!$BF$2:$BF$201,$W34))</f>
        <v/>
      </c>
      <c r="R34" s="17">
        <f>IF($W34="","",INDEX('Eredmény'!$BG$2:$BG$201,$W34))</f>
        <v/>
      </c>
      <c r="S34" s="13">
        <f>IF($W34="","",INDEX('Eredmény'!$AT$2:$AT$201,$W34))</f>
        <v/>
      </c>
      <c r="T34" s="13">
        <f>IF($W34="","",INDEX('Eredmény'!$AV$2:$AV$201,$W34))</f>
        <v/>
      </c>
      <c r="U34" s="12">
        <f>IF($W34="","",INDEX('Eredmény'!$BI$2:$BI$201,$W34))</f>
        <v/>
      </c>
      <c r="W34">
        <f>IFERROR(MATCH(LARGE('Eredmény'!$DY$2:$DY$201,30),'Eredmény'!$DY$2:$DY$201,0),"")</f>
        <v/>
      </c>
    </row>
    <row r="35">
      <c r="A35" s="12">
        <f>IF($W35="","",INDEX('Eredmény'!$AO$2:$AO$201,$W35))</f>
        <v/>
      </c>
      <c r="B35" s="13">
        <f>IF($W35="","",INDEX('Eredmény'!$A$2:$A$201,$W35))</f>
        <v/>
      </c>
      <c r="C35" s="14">
        <f>IF($W35="","",INDEX('Eredmény'!$AM$2:$AM$201,$W35))</f>
        <v/>
      </c>
      <c r="D35" s="14">
        <f>IF($W35="","",INDEX('Eredmény'!$AN$2:$AN$201,$W35))</f>
        <v/>
      </c>
      <c r="E35" s="12">
        <f>IF($W35="","",INDEX('Eredmény'!$AQ$2:$AQ$201,$W35))</f>
        <v/>
      </c>
      <c r="F35" s="13">
        <f>IF($W35="","",INDEX('Eredmény'!$AR$2:$AR$201,$W35))</f>
        <v/>
      </c>
      <c r="G35" s="13">
        <f>IF($W35="","",INDEX('Eredmény'!$AS$2:$AS$201,$W35))</f>
        <v/>
      </c>
      <c r="H35" s="14">
        <f>IF($W35="","",INDEX('Eredmény'!$AI$2:$AI$201,$W35))</f>
        <v/>
      </c>
      <c r="I35" s="14">
        <f>IF($W35="","",INDEX('Eredmény'!$AJ$2:$AJ$201,$W35))</f>
        <v/>
      </c>
      <c r="J35" s="14">
        <f>IF($W35="","",INDEX('Eredmény'!$AK$2:$AK$201,$W35))</f>
        <v/>
      </c>
      <c r="K35" s="14">
        <f>IF($W35="","",INDEX('Eredmény'!$AL$2:$AL$201,$W35))</f>
        <v/>
      </c>
      <c r="L35" s="15">
        <f>IF($W35="","",INDEX('Eredmény'!$AZ$2:$AZ$201,$W35))</f>
        <v/>
      </c>
      <c r="M35" s="15">
        <f>IF($W35="","",INDEX('Eredmény'!$BB$2:$BB$201,$W35))</f>
        <v/>
      </c>
      <c r="N35" s="15">
        <f>IF($W35="","",INDEX('Eredmény'!$BC$2:$BC$201,$W35))</f>
        <v/>
      </c>
      <c r="O35" s="16">
        <f>IF($W35="","",INDEX('Eredmény'!$BD$2:$BD$201,$W35))</f>
        <v/>
      </c>
      <c r="P35" s="13">
        <f>IF($W35="","",INDEX('Eredmény'!$BE$2:$BE$201,$W35))</f>
        <v/>
      </c>
      <c r="Q35" s="15">
        <f>IF($W35="","",INDEX('Eredmény'!$BF$2:$BF$201,$W35))</f>
        <v/>
      </c>
      <c r="R35" s="17">
        <f>IF($W35="","",INDEX('Eredmény'!$BG$2:$BG$201,$W35))</f>
        <v/>
      </c>
      <c r="S35" s="13">
        <f>IF($W35="","",INDEX('Eredmény'!$AT$2:$AT$201,$W35))</f>
        <v/>
      </c>
      <c r="T35" s="13">
        <f>IF($W35="","",INDEX('Eredmény'!$AV$2:$AV$201,$W35))</f>
        <v/>
      </c>
      <c r="U35" s="12">
        <f>IF($W35="","",INDEX('Eredmény'!$BI$2:$BI$201,$W35))</f>
        <v/>
      </c>
      <c r="W35">
        <f>IFERROR(MATCH(LARGE('Eredmény'!$DY$2:$DY$201,31),'Eredmény'!$DY$2:$DY$201,0),"")</f>
        <v/>
      </c>
    </row>
    <row r="36">
      <c r="A36" s="12">
        <f>IF($W36="","",INDEX('Eredmény'!$AO$2:$AO$201,$W36))</f>
        <v/>
      </c>
      <c r="B36" s="13">
        <f>IF($W36="","",INDEX('Eredmény'!$A$2:$A$201,$W36))</f>
        <v/>
      </c>
      <c r="C36" s="14">
        <f>IF($W36="","",INDEX('Eredmény'!$AM$2:$AM$201,$W36))</f>
        <v/>
      </c>
      <c r="D36" s="14">
        <f>IF($W36="","",INDEX('Eredmény'!$AN$2:$AN$201,$W36))</f>
        <v/>
      </c>
      <c r="E36" s="12">
        <f>IF($W36="","",INDEX('Eredmény'!$AQ$2:$AQ$201,$W36))</f>
        <v/>
      </c>
      <c r="F36" s="13">
        <f>IF($W36="","",INDEX('Eredmény'!$AR$2:$AR$201,$W36))</f>
        <v/>
      </c>
      <c r="G36" s="13">
        <f>IF($W36="","",INDEX('Eredmény'!$AS$2:$AS$201,$W36))</f>
        <v/>
      </c>
      <c r="H36" s="14">
        <f>IF($W36="","",INDEX('Eredmény'!$AI$2:$AI$201,$W36))</f>
        <v/>
      </c>
      <c r="I36" s="14">
        <f>IF($W36="","",INDEX('Eredmény'!$AJ$2:$AJ$201,$W36))</f>
        <v/>
      </c>
      <c r="J36" s="14">
        <f>IF($W36="","",INDEX('Eredmény'!$AK$2:$AK$201,$W36))</f>
        <v/>
      </c>
      <c r="K36" s="14">
        <f>IF($W36="","",INDEX('Eredmény'!$AL$2:$AL$201,$W36))</f>
        <v/>
      </c>
      <c r="L36" s="15">
        <f>IF($W36="","",INDEX('Eredmény'!$AZ$2:$AZ$201,$W36))</f>
        <v/>
      </c>
      <c r="M36" s="15">
        <f>IF($W36="","",INDEX('Eredmény'!$BB$2:$BB$201,$W36))</f>
        <v/>
      </c>
      <c r="N36" s="15">
        <f>IF($W36="","",INDEX('Eredmény'!$BC$2:$BC$201,$W36))</f>
        <v/>
      </c>
      <c r="O36" s="16">
        <f>IF($W36="","",INDEX('Eredmény'!$BD$2:$BD$201,$W36))</f>
        <v/>
      </c>
      <c r="P36" s="13">
        <f>IF($W36="","",INDEX('Eredmény'!$BE$2:$BE$201,$W36))</f>
        <v/>
      </c>
      <c r="Q36" s="15">
        <f>IF($W36="","",INDEX('Eredmény'!$BF$2:$BF$201,$W36))</f>
        <v/>
      </c>
      <c r="R36" s="17">
        <f>IF($W36="","",INDEX('Eredmény'!$BG$2:$BG$201,$W36))</f>
        <v/>
      </c>
      <c r="S36" s="13">
        <f>IF($W36="","",INDEX('Eredmény'!$AT$2:$AT$201,$W36))</f>
        <v/>
      </c>
      <c r="T36" s="13">
        <f>IF($W36="","",INDEX('Eredmény'!$AV$2:$AV$201,$W36))</f>
        <v/>
      </c>
      <c r="U36" s="12">
        <f>IF($W36="","",INDEX('Eredmény'!$BI$2:$BI$201,$W36))</f>
        <v/>
      </c>
      <c r="W36">
        <f>IFERROR(MATCH(LARGE('Eredmény'!$DY$2:$DY$201,32),'Eredmény'!$DY$2:$DY$201,0),"")</f>
        <v/>
      </c>
    </row>
    <row r="37">
      <c r="A37" s="12">
        <f>IF($W37="","",INDEX('Eredmény'!$AO$2:$AO$201,$W37))</f>
        <v/>
      </c>
      <c r="B37" s="13">
        <f>IF($W37="","",INDEX('Eredmény'!$A$2:$A$201,$W37))</f>
        <v/>
      </c>
      <c r="C37" s="14">
        <f>IF($W37="","",INDEX('Eredmény'!$AM$2:$AM$201,$W37))</f>
        <v/>
      </c>
      <c r="D37" s="14">
        <f>IF($W37="","",INDEX('Eredmény'!$AN$2:$AN$201,$W37))</f>
        <v/>
      </c>
      <c r="E37" s="12">
        <f>IF($W37="","",INDEX('Eredmény'!$AQ$2:$AQ$201,$W37))</f>
        <v/>
      </c>
      <c r="F37" s="13">
        <f>IF($W37="","",INDEX('Eredmény'!$AR$2:$AR$201,$W37))</f>
        <v/>
      </c>
      <c r="G37" s="13">
        <f>IF($W37="","",INDEX('Eredmény'!$AS$2:$AS$201,$W37))</f>
        <v/>
      </c>
      <c r="H37" s="14">
        <f>IF($W37="","",INDEX('Eredmény'!$AI$2:$AI$201,$W37))</f>
        <v/>
      </c>
      <c r="I37" s="14">
        <f>IF($W37="","",INDEX('Eredmény'!$AJ$2:$AJ$201,$W37))</f>
        <v/>
      </c>
      <c r="J37" s="14">
        <f>IF($W37="","",INDEX('Eredmény'!$AK$2:$AK$201,$W37))</f>
        <v/>
      </c>
      <c r="K37" s="14">
        <f>IF($W37="","",INDEX('Eredmény'!$AL$2:$AL$201,$W37))</f>
        <v/>
      </c>
      <c r="L37" s="15">
        <f>IF($W37="","",INDEX('Eredmény'!$AZ$2:$AZ$201,$W37))</f>
        <v/>
      </c>
      <c r="M37" s="15">
        <f>IF($W37="","",INDEX('Eredmény'!$BB$2:$BB$201,$W37))</f>
        <v/>
      </c>
      <c r="N37" s="15">
        <f>IF($W37="","",INDEX('Eredmény'!$BC$2:$BC$201,$W37))</f>
        <v/>
      </c>
      <c r="O37" s="16">
        <f>IF($W37="","",INDEX('Eredmény'!$BD$2:$BD$201,$W37))</f>
        <v/>
      </c>
      <c r="P37" s="13">
        <f>IF($W37="","",INDEX('Eredmény'!$BE$2:$BE$201,$W37))</f>
        <v/>
      </c>
      <c r="Q37" s="15">
        <f>IF($W37="","",INDEX('Eredmény'!$BF$2:$BF$201,$W37))</f>
        <v/>
      </c>
      <c r="R37" s="17">
        <f>IF($W37="","",INDEX('Eredmény'!$BG$2:$BG$201,$W37))</f>
        <v/>
      </c>
      <c r="S37" s="13">
        <f>IF($W37="","",INDEX('Eredmény'!$AT$2:$AT$201,$W37))</f>
        <v/>
      </c>
      <c r="T37" s="13">
        <f>IF($W37="","",INDEX('Eredmény'!$AV$2:$AV$201,$W37))</f>
        <v/>
      </c>
      <c r="U37" s="12">
        <f>IF($W37="","",INDEX('Eredmény'!$BI$2:$BI$201,$W37))</f>
        <v/>
      </c>
      <c r="W37">
        <f>IFERROR(MATCH(LARGE('Eredmény'!$DY$2:$DY$201,33),'Eredmény'!$DY$2:$DY$201,0),"")</f>
        <v/>
      </c>
    </row>
    <row r="38">
      <c r="A38" s="12">
        <f>IF($W38="","",INDEX('Eredmény'!$AO$2:$AO$201,$W38))</f>
        <v/>
      </c>
      <c r="B38" s="13">
        <f>IF($W38="","",INDEX('Eredmény'!$A$2:$A$201,$W38))</f>
        <v/>
      </c>
      <c r="C38" s="14">
        <f>IF($W38="","",INDEX('Eredmény'!$AM$2:$AM$201,$W38))</f>
        <v/>
      </c>
      <c r="D38" s="14">
        <f>IF($W38="","",INDEX('Eredmény'!$AN$2:$AN$201,$W38))</f>
        <v/>
      </c>
      <c r="E38" s="12">
        <f>IF($W38="","",INDEX('Eredmény'!$AQ$2:$AQ$201,$W38))</f>
        <v/>
      </c>
      <c r="F38" s="13">
        <f>IF($W38="","",INDEX('Eredmény'!$AR$2:$AR$201,$W38))</f>
        <v/>
      </c>
      <c r="G38" s="13">
        <f>IF($W38="","",INDEX('Eredmény'!$AS$2:$AS$201,$W38))</f>
        <v/>
      </c>
      <c r="H38" s="14">
        <f>IF($W38="","",INDEX('Eredmény'!$AI$2:$AI$201,$W38))</f>
        <v/>
      </c>
      <c r="I38" s="14">
        <f>IF($W38="","",INDEX('Eredmény'!$AJ$2:$AJ$201,$W38))</f>
        <v/>
      </c>
      <c r="J38" s="14">
        <f>IF($W38="","",INDEX('Eredmény'!$AK$2:$AK$201,$W38))</f>
        <v/>
      </c>
      <c r="K38" s="14">
        <f>IF($W38="","",INDEX('Eredmény'!$AL$2:$AL$201,$W38))</f>
        <v/>
      </c>
      <c r="L38" s="15">
        <f>IF($W38="","",INDEX('Eredmény'!$AZ$2:$AZ$201,$W38))</f>
        <v/>
      </c>
      <c r="M38" s="15">
        <f>IF($W38="","",INDEX('Eredmény'!$BB$2:$BB$201,$W38))</f>
        <v/>
      </c>
      <c r="N38" s="15">
        <f>IF($W38="","",INDEX('Eredmény'!$BC$2:$BC$201,$W38))</f>
        <v/>
      </c>
      <c r="O38" s="16">
        <f>IF($W38="","",INDEX('Eredmény'!$BD$2:$BD$201,$W38))</f>
        <v/>
      </c>
      <c r="P38" s="13">
        <f>IF($W38="","",INDEX('Eredmény'!$BE$2:$BE$201,$W38))</f>
        <v/>
      </c>
      <c r="Q38" s="15">
        <f>IF($W38="","",INDEX('Eredmény'!$BF$2:$BF$201,$W38))</f>
        <v/>
      </c>
      <c r="R38" s="17">
        <f>IF($W38="","",INDEX('Eredmény'!$BG$2:$BG$201,$W38))</f>
        <v/>
      </c>
      <c r="S38" s="13">
        <f>IF($W38="","",INDEX('Eredmény'!$AT$2:$AT$201,$W38))</f>
        <v/>
      </c>
      <c r="T38" s="13">
        <f>IF($W38="","",INDEX('Eredmény'!$AV$2:$AV$201,$W38))</f>
        <v/>
      </c>
      <c r="U38" s="12">
        <f>IF($W38="","",INDEX('Eredmény'!$BI$2:$BI$201,$W38))</f>
        <v/>
      </c>
      <c r="W38">
        <f>IFERROR(MATCH(LARGE('Eredmény'!$DY$2:$DY$201,34),'Eredmény'!$DY$2:$DY$201,0),"")</f>
        <v/>
      </c>
    </row>
    <row r="39">
      <c r="A39" s="12">
        <f>IF($W39="","",INDEX('Eredmény'!$AO$2:$AO$201,$W39))</f>
        <v/>
      </c>
      <c r="B39" s="13">
        <f>IF($W39="","",INDEX('Eredmény'!$A$2:$A$201,$W39))</f>
        <v/>
      </c>
      <c r="C39" s="14">
        <f>IF($W39="","",INDEX('Eredmény'!$AM$2:$AM$201,$W39))</f>
        <v/>
      </c>
      <c r="D39" s="14">
        <f>IF($W39="","",INDEX('Eredmény'!$AN$2:$AN$201,$W39))</f>
        <v/>
      </c>
      <c r="E39" s="12">
        <f>IF($W39="","",INDEX('Eredmény'!$AQ$2:$AQ$201,$W39))</f>
        <v/>
      </c>
      <c r="F39" s="13">
        <f>IF($W39="","",INDEX('Eredmény'!$AR$2:$AR$201,$W39))</f>
        <v/>
      </c>
      <c r="G39" s="13">
        <f>IF($W39="","",INDEX('Eredmény'!$AS$2:$AS$201,$W39))</f>
        <v/>
      </c>
      <c r="H39" s="14">
        <f>IF($W39="","",INDEX('Eredmény'!$AI$2:$AI$201,$W39))</f>
        <v/>
      </c>
      <c r="I39" s="14">
        <f>IF($W39="","",INDEX('Eredmény'!$AJ$2:$AJ$201,$W39))</f>
        <v/>
      </c>
      <c r="J39" s="14">
        <f>IF($W39="","",INDEX('Eredmény'!$AK$2:$AK$201,$W39))</f>
        <v/>
      </c>
      <c r="K39" s="14">
        <f>IF($W39="","",INDEX('Eredmény'!$AL$2:$AL$201,$W39))</f>
        <v/>
      </c>
      <c r="L39" s="15">
        <f>IF($W39="","",INDEX('Eredmény'!$AZ$2:$AZ$201,$W39))</f>
        <v/>
      </c>
      <c r="M39" s="15">
        <f>IF($W39="","",INDEX('Eredmény'!$BB$2:$BB$201,$W39))</f>
        <v/>
      </c>
      <c r="N39" s="15">
        <f>IF($W39="","",INDEX('Eredmény'!$BC$2:$BC$201,$W39))</f>
        <v/>
      </c>
      <c r="O39" s="16">
        <f>IF($W39="","",INDEX('Eredmény'!$BD$2:$BD$201,$W39))</f>
        <v/>
      </c>
      <c r="P39" s="13">
        <f>IF($W39="","",INDEX('Eredmény'!$BE$2:$BE$201,$W39))</f>
        <v/>
      </c>
      <c r="Q39" s="15">
        <f>IF($W39="","",INDEX('Eredmény'!$BF$2:$BF$201,$W39))</f>
        <v/>
      </c>
      <c r="R39" s="17">
        <f>IF($W39="","",INDEX('Eredmény'!$BG$2:$BG$201,$W39))</f>
        <v/>
      </c>
      <c r="S39" s="13">
        <f>IF($W39="","",INDEX('Eredmény'!$AT$2:$AT$201,$W39))</f>
        <v/>
      </c>
      <c r="T39" s="13">
        <f>IF($W39="","",INDEX('Eredmény'!$AV$2:$AV$201,$W39))</f>
        <v/>
      </c>
      <c r="U39" s="12">
        <f>IF($W39="","",INDEX('Eredmény'!$BI$2:$BI$201,$W39))</f>
        <v/>
      </c>
      <c r="W39">
        <f>IFERROR(MATCH(LARGE('Eredmény'!$DY$2:$DY$201,35),'Eredmény'!$DY$2:$DY$201,0),"")</f>
        <v/>
      </c>
    </row>
    <row r="40">
      <c r="A40" s="12">
        <f>IF($W40="","",INDEX('Eredmény'!$AO$2:$AO$201,$W40))</f>
        <v/>
      </c>
      <c r="B40" s="13">
        <f>IF($W40="","",INDEX('Eredmény'!$A$2:$A$201,$W40))</f>
        <v/>
      </c>
      <c r="C40" s="14">
        <f>IF($W40="","",INDEX('Eredmény'!$AM$2:$AM$201,$W40))</f>
        <v/>
      </c>
      <c r="D40" s="14">
        <f>IF($W40="","",INDEX('Eredmény'!$AN$2:$AN$201,$W40))</f>
        <v/>
      </c>
      <c r="E40" s="12">
        <f>IF($W40="","",INDEX('Eredmény'!$AQ$2:$AQ$201,$W40))</f>
        <v/>
      </c>
      <c r="F40" s="13">
        <f>IF($W40="","",INDEX('Eredmény'!$AR$2:$AR$201,$W40))</f>
        <v/>
      </c>
      <c r="G40" s="13">
        <f>IF($W40="","",INDEX('Eredmény'!$AS$2:$AS$201,$W40))</f>
        <v/>
      </c>
      <c r="H40" s="14">
        <f>IF($W40="","",INDEX('Eredmény'!$AI$2:$AI$201,$W40))</f>
        <v/>
      </c>
      <c r="I40" s="14">
        <f>IF($W40="","",INDEX('Eredmény'!$AJ$2:$AJ$201,$W40))</f>
        <v/>
      </c>
      <c r="J40" s="14">
        <f>IF($W40="","",INDEX('Eredmény'!$AK$2:$AK$201,$W40))</f>
        <v/>
      </c>
      <c r="K40" s="14">
        <f>IF($W40="","",INDEX('Eredmény'!$AL$2:$AL$201,$W40))</f>
        <v/>
      </c>
      <c r="L40" s="15">
        <f>IF($W40="","",INDEX('Eredmény'!$AZ$2:$AZ$201,$W40))</f>
        <v/>
      </c>
      <c r="M40" s="15">
        <f>IF($W40="","",INDEX('Eredmény'!$BB$2:$BB$201,$W40))</f>
        <v/>
      </c>
      <c r="N40" s="15">
        <f>IF($W40="","",INDEX('Eredmény'!$BC$2:$BC$201,$W40))</f>
        <v/>
      </c>
      <c r="O40" s="16">
        <f>IF($W40="","",INDEX('Eredmény'!$BD$2:$BD$201,$W40))</f>
        <v/>
      </c>
      <c r="P40" s="13">
        <f>IF($W40="","",INDEX('Eredmény'!$BE$2:$BE$201,$W40))</f>
        <v/>
      </c>
      <c r="Q40" s="15">
        <f>IF($W40="","",INDEX('Eredmény'!$BF$2:$BF$201,$W40))</f>
        <v/>
      </c>
      <c r="R40" s="17">
        <f>IF($W40="","",INDEX('Eredmény'!$BG$2:$BG$201,$W40))</f>
        <v/>
      </c>
      <c r="S40" s="13">
        <f>IF($W40="","",INDEX('Eredmény'!$AT$2:$AT$201,$W40))</f>
        <v/>
      </c>
      <c r="T40" s="13">
        <f>IF($W40="","",INDEX('Eredmény'!$AV$2:$AV$201,$W40))</f>
        <v/>
      </c>
      <c r="U40" s="12">
        <f>IF($W40="","",INDEX('Eredmény'!$BI$2:$BI$201,$W40))</f>
        <v/>
      </c>
      <c r="W40">
        <f>IFERROR(MATCH(LARGE('Eredmény'!$DY$2:$DY$201,36),'Eredmény'!$DY$2:$DY$201,0),"")</f>
        <v/>
      </c>
    </row>
    <row r="41">
      <c r="A41" s="12">
        <f>IF($W41="","",INDEX('Eredmény'!$AO$2:$AO$201,$W41))</f>
        <v/>
      </c>
      <c r="B41" s="13">
        <f>IF($W41="","",INDEX('Eredmény'!$A$2:$A$201,$W41))</f>
        <v/>
      </c>
      <c r="C41" s="14">
        <f>IF($W41="","",INDEX('Eredmény'!$AM$2:$AM$201,$W41))</f>
        <v/>
      </c>
      <c r="D41" s="14">
        <f>IF($W41="","",INDEX('Eredmény'!$AN$2:$AN$201,$W41))</f>
        <v/>
      </c>
      <c r="E41" s="12">
        <f>IF($W41="","",INDEX('Eredmény'!$AQ$2:$AQ$201,$W41))</f>
        <v/>
      </c>
      <c r="F41" s="13">
        <f>IF($W41="","",INDEX('Eredmény'!$AR$2:$AR$201,$W41))</f>
        <v/>
      </c>
      <c r="G41" s="13">
        <f>IF($W41="","",INDEX('Eredmény'!$AS$2:$AS$201,$W41))</f>
        <v/>
      </c>
      <c r="H41" s="14">
        <f>IF($W41="","",INDEX('Eredmény'!$AI$2:$AI$201,$W41))</f>
        <v/>
      </c>
      <c r="I41" s="14">
        <f>IF($W41="","",INDEX('Eredmény'!$AJ$2:$AJ$201,$W41))</f>
        <v/>
      </c>
      <c r="J41" s="14">
        <f>IF($W41="","",INDEX('Eredmény'!$AK$2:$AK$201,$W41))</f>
        <v/>
      </c>
      <c r="K41" s="14">
        <f>IF($W41="","",INDEX('Eredmény'!$AL$2:$AL$201,$W41))</f>
        <v/>
      </c>
      <c r="L41" s="15">
        <f>IF($W41="","",INDEX('Eredmény'!$AZ$2:$AZ$201,$W41))</f>
        <v/>
      </c>
      <c r="M41" s="15">
        <f>IF($W41="","",INDEX('Eredmény'!$BB$2:$BB$201,$W41))</f>
        <v/>
      </c>
      <c r="N41" s="15">
        <f>IF($W41="","",INDEX('Eredmény'!$BC$2:$BC$201,$W41))</f>
        <v/>
      </c>
      <c r="O41" s="16">
        <f>IF($W41="","",INDEX('Eredmény'!$BD$2:$BD$201,$W41))</f>
        <v/>
      </c>
      <c r="P41" s="13">
        <f>IF($W41="","",INDEX('Eredmény'!$BE$2:$BE$201,$W41))</f>
        <v/>
      </c>
      <c r="Q41" s="15">
        <f>IF($W41="","",INDEX('Eredmény'!$BF$2:$BF$201,$W41))</f>
        <v/>
      </c>
      <c r="R41" s="17">
        <f>IF($W41="","",INDEX('Eredmény'!$BG$2:$BG$201,$W41))</f>
        <v/>
      </c>
      <c r="S41" s="13">
        <f>IF($W41="","",INDEX('Eredmény'!$AT$2:$AT$201,$W41))</f>
        <v/>
      </c>
      <c r="T41" s="13">
        <f>IF($W41="","",INDEX('Eredmény'!$AV$2:$AV$201,$W41))</f>
        <v/>
      </c>
      <c r="U41" s="12">
        <f>IF($W41="","",INDEX('Eredmény'!$BI$2:$BI$201,$W41))</f>
        <v/>
      </c>
      <c r="W41">
        <f>IFERROR(MATCH(LARGE('Eredmény'!$DY$2:$DY$201,37),'Eredmény'!$DY$2:$DY$201,0),"")</f>
        <v/>
      </c>
    </row>
    <row r="42">
      <c r="A42" s="12">
        <f>IF($W42="","",INDEX('Eredmény'!$AO$2:$AO$201,$W42))</f>
        <v/>
      </c>
      <c r="B42" s="13">
        <f>IF($W42="","",INDEX('Eredmény'!$A$2:$A$201,$W42))</f>
        <v/>
      </c>
      <c r="C42" s="14">
        <f>IF($W42="","",INDEX('Eredmény'!$AM$2:$AM$201,$W42))</f>
        <v/>
      </c>
      <c r="D42" s="14">
        <f>IF($W42="","",INDEX('Eredmény'!$AN$2:$AN$201,$W42))</f>
        <v/>
      </c>
      <c r="E42" s="12">
        <f>IF($W42="","",INDEX('Eredmény'!$AQ$2:$AQ$201,$W42))</f>
        <v/>
      </c>
      <c r="F42" s="13">
        <f>IF($W42="","",INDEX('Eredmény'!$AR$2:$AR$201,$W42))</f>
        <v/>
      </c>
      <c r="G42" s="13">
        <f>IF($W42="","",INDEX('Eredmény'!$AS$2:$AS$201,$W42))</f>
        <v/>
      </c>
      <c r="H42" s="14">
        <f>IF($W42="","",INDEX('Eredmény'!$AI$2:$AI$201,$W42))</f>
        <v/>
      </c>
      <c r="I42" s="14">
        <f>IF($W42="","",INDEX('Eredmény'!$AJ$2:$AJ$201,$W42))</f>
        <v/>
      </c>
      <c r="J42" s="14">
        <f>IF($W42="","",INDEX('Eredmény'!$AK$2:$AK$201,$W42))</f>
        <v/>
      </c>
      <c r="K42" s="14">
        <f>IF($W42="","",INDEX('Eredmény'!$AL$2:$AL$201,$W42))</f>
        <v/>
      </c>
      <c r="L42" s="15">
        <f>IF($W42="","",INDEX('Eredmény'!$AZ$2:$AZ$201,$W42))</f>
        <v/>
      </c>
      <c r="M42" s="15">
        <f>IF($W42="","",INDEX('Eredmény'!$BB$2:$BB$201,$W42))</f>
        <v/>
      </c>
      <c r="N42" s="15">
        <f>IF($W42="","",INDEX('Eredmény'!$BC$2:$BC$201,$W42))</f>
        <v/>
      </c>
      <c r="O42" s="16">
        <f>IF($W42="","",INDEX('Eredmény'!$BD$2:$BD$201,$W42))</f>
        <v/>
      </c>
      <c r="P42" s="13">
        <f>IF($W42="","",INDEX('Eredmény'!$BE$2:$BE$201,$W42))</f>
        <v/>
      </c>
      <c r="Q42" s="15">
        <f>IF($W42="","",INDEX('Eredmény'!$BF$2:$BF$201,$W42))</f>
        <v/>
      </c>
      <c r="R42" s="17">
        <f>IF($W42="","",INDEX('Eredmény'!$BG$2:$BG$201,$W42))</f>
        <v/>
      </c>
      <c r="S42" s="13">
        <f>IF($W42="","",INDEX('Eredmény'!$AT$2:$AT$201,$W42))</f>
        <v/>
      </c>
      <c r="T42" s="13">
        <f>IF($W42="","",INDEX('Eredmény'!$AV$2:$AV$201,$W42))</f>
        <v/>
      </c>
      <c r="U42" s="12">
        <f>IF($W42="","",INDEX('Eredmény'!$BI$2:$BI$201,$W42))</f>
        <v/>
      </c>
      <c r="W42">
        <f>IFERROR(MATCH(LARGE('Eredmény'!$DY$2:$DY$201,38),'Eredmény'!$DY$2:$DY$201,0),"")</f>
        <v/>
      </c>
    </row>
    <row r="43">
      <c r="A43" s="12">
        <f>IF($W43="","",INDEX('Eredmény'!$AO$2:$AO$201,$W43))</f>
        <v/>
      </c>
      <c r="B43" s="13">
        <f>IF($W43="","",INDEX('Eredmény'!$A$2:$A$201,$W43))</f>
        <v/>
      </c>
      <c r="C43" s="14">
        <f>IF($W43="","",INDEX('Eredmény'!$AM$2:$AM$201,$W43))</f>
        <v/>
      </c>
      <c r="D43" s="14">
        <f>IF($W43="","",INDEX('Eredmény'!$AN$2:$AN$201,$W43))</f>
        <v/>
      </c>
      <c r="E43" s="12">
        <f>IF($W43="","",INDEX('Eredmény'!$AQ$2:$AQ$201,$W43))</f>
        <v/>
      </c>
      <c r="F43" s="13">
        <f>IF($W43="","",INDEX('Eredmény'!$AR$2:$AR$201,$W43))</f>
        <v/>
      </c>
      <c r="G43" s="13">
        <f>IF($W43="","",INDEX('Eredmény'!$AS$2:$AS$201,$W43))</f>
        <v/>
      </c>
      <c r="H43" s="14">
        <f>IF($W43="","",INDEX('Eredmény'!$AI$2:$AI$201,$W43))</f>
        <v/>
      </c>
      <c r="I43" s="14">
        <f>IF($W43="","",INDEX('Eredmény'!$AJ$2:$AJ$201,$W43))</f>
        <v/>
      </c>
      <c r="J43" s="14">
        <f>IF($W43="","",INDEX('Eredmény'!$AK$2:$AK$201,$W43))</f>
        <v/>
      </c>
      <c r="K43" s="14">
        <f>IF($W43="","",INDEX('Eredmény'!$AL$2:$AL$201,$W43))</f>
        <v/>
      </c>
      <c r="L43" s="15">
        <f>IF($W43="","",INDEX('Eredmény'!$AZ$2:$AZ$201,$W43))</f>
        <v/>
      </c>
      <c r="M43" s="15">
        <f>IF($W43="","",INDEX('Eredmény'!$BB$2:$BB$201,$W43))</f>
        <v/>
      </c>
      <c r="N43" s="15">
        <f>IF($W43="","",INDEX('Eredmény'!$BC$2:$BC$201,$W43))</f>
        <v/>
      </c>
      <c r="O43" s="16">
        <f>IF($W43="","",INDEX('Eredmény'!$BD$2:$BD$201,$W43))</f>
        <v/>
      </c>
      <c r="P43" s="13">
        <f>IF($W43="","",INDEX('Eredmény'!$BE$2:$BE$201,$W43))</f>
        <v/>
      </c>
      <c r="Q43" s="15">
        <f>IF($W43="","",INDEX('Eredmény'!$BF$2:$BF$201,$W43))</f>
        <v/>
      </c>
      <c r="R43" s="17">
        <f>IF($W43="","",INDEX('Eredmény'!$BG$2:$BG$201,$W43))</f>
        <v/>
      </c>
      <c r="S43" s="13">
        <f>IF($W43="","",INDEX('Eredmény'!$AT$2:$AT$201,$W43))</f>
        <v/>
      </c>
      <c r="T43" s="13">
        <f>IF($W43="","",INDEX('Eredmény'!$AV$2:$AV$201,$W43))</f>
        <v/>
      </c>
      <c r="U43" s="12">
        <f>IF($W43="","",INDEX('Eredmény'!$BI$2:$BI$201,$W43))</f>
        <v/>
      </c>
      <c r="W43">
        <f>IFERROR(MATCH(LARGE('Eredmény'!$DY$2:$DY$201,39),'Eredmény'!$DY$2:$DY$201,0),"")</f>
        <v/>
      </c>
    </row>
    <row r="44">
      <c r="A44" s="12">
        <f>IF($W44="","",INDEX('Eredmény'!$AO$2:$AO$201,$W44))</f>
        <v/>
      </c>
      <c r="B44" s="13">
        <f>IF($W44="","",INDEX('Eredmény'!$A$2:$A$201,$W44))</f>
        <v/>
      </c>
      <c r="C44" s="14">
        <f>IF($W44="","",INDEX('Eredmény'!$AM$2:$AM$201,$W44))</f>
        <v/>
      </c>
      <c r="D44" s="14">
        <f>IF($W44="","",INDEX('Eredmény'!$AN$2:$AN$201,$W44))</f>
        <v/>
      </c>
      <c r="E44" s="12">
        <f>IF($W44="","",INDEX('Eredmény'!$AQ$2:$AQ$201,$W44))</f>
        <v/>
      </c>
      <c r="F44" s="13">
        <f>IF($W44="","",INDEX('Eredmény'!$AR$2:$AR$201,$W44))</f>
        <v/>
      </c>
      <c r="G44" s="13">
        <f>IF($W44="","",INDEX('Eredmény'!$AS$2:$AS$201,$W44))</f>
        <v/>
      </c>
      <c r="H44" s="14">
        <f>IF($W44="","",INDEX('Eredmény'!$AI$2:$AI$201,$W44))</f>
        <v/>
      </c>
      <c r="I44" s="14">
        <f>IF($W44="","",INDEX('Eredmény'!$AJ$2:$AJ$201,$W44))</f>
        <v/>
      </c>
      <c r="J44" s="14">
        <f>IF($W44="","",INDEX('Eredmény'!$AK$2:$AK$201,$W44))</f>
        <v/>
      </c>
      <c r="K44" s="14">
        <f>IF($W44="","",INDEX('Eredmény'!$AL$2:$AL$201,$W44))</f>
        <v/>
      </c>
      <c r="L44" s="15">
        <f>IF($W44="","",INDEX('Eredmény'!$AZ$2:$AZ$201,$W44))</f>
        <v/>
      </c>
      <c r="M44" s="15">
        <f>IF($W44="","",INDEX('Eredmény'!$BB$2:$BB$201,$W44))</f>
        <v/>
      </c>
      <c r="N44" s="15">
        <f>IF($W44="","",INDEX('Eredmény'!$BC$2:$BC$201,$W44))</f>
        <v/>
      </c>
      <c r="O44" s="16">
        <f>IF($W44="","",INDEX('Eredmény'!$BD$2:$BD$201,$W44))</f>
        <v/>
      </c>
      <c r="P44" s="13">
        <f>IF($W44="","",INDEX('Eredmény'!$BE$2:$BE$201,$W44))</f>
        <v/>
      </c>
      <c r="Q44" s="15">
        <f>IF($W44="","",INDEX('Eredmény'!$BF$2:$BF$201,$W44))</f>
        <v/>
      </c>
      <c r="R44" s="17">
        <f>IF($W44="","",INDEX('Eredmény'!$BG$2:$BG$201,$W44))</f>
        <v/>
      </c>
      <c r="S44" s="13">
        <f>IF($W44="","",INDEX('Eredmény'!$AT$2:$AT$201,$W44))</f>
        <v/>
      </c>
      <c r="T44" s="13">
        <f>IF($W44="","",INDEX('Eredmény'!$AV$2:$AV$201,$W44))</f>
        <v/>
      </c>
      <c r="U44" s="12">
        <f>IF($W44="","",INDEX('Eredmény'!$BI$2:$BI$201,$W44))</f>
        <v/>
      </c>
      <c r="W44">
        <f>IFERROR(MATCH(LARGE('Eredmény'!$DY$2:$DY$201,40),'Eredmény'!$DY$2:$DY$201,0),"")</f>
        <v/>
      </c>
    </row>
    <row r="45">
      <c r="A45" s="12">
        <f>IF($W45="","",INDEX('Eredmény'!$AO$2:$AO$201,$W45))</f>
        <v/>
      </c>
      <c r="B45" s="13">
        <f>IF($W45="","",INDEX('Eredmény'!$A$2:$A$201,$W45))</f>
        <v/>
      </c>
      <c r="C45" s="14">
        <f>IF($W45="","",INDEX('Eredmény'!$AM$2:$AM$201,$W45))</f>
        <v/>
      </c>
      <c r="D45" s="14">
        <f>IF($W45="","",INDEX('Eredmény'!$AN$2:$AN$201,$W45))</f>
        <v/>
      </c>
      <c r="E45" s="12">
        <f>IF($W45="","",INDEX('Eredmény'!$AQ$2:$AQ$201,$W45))</f>
        <v/>
      </c>
      <c r="F45" s="13">
        <f>IF($W45="","",INDEX('Eredmény'!$AR$2:$AR$201,$W45))</f>
        <v/>
      </c>
      <c r="G45" s="13">
        <f>IF($W45="","",INDEX('Eredmény'!$AS$2:$AS$201,$W45))</f>
        <v/>
      </c>
      <c r="H45" s="14">
        <f>IF($W45="","",INDEX('Eredmény'!$AI$2:$AI$201,$W45))</f>
        <v/>
      </c>
      <c r="I45" s="14">
        <f>IF($W45="","",INDEX('Eredmény'!$AJ$2:$AJ$201,$W45))</f>
        <v/>
      </c>
      <c r="J45" s="14">
        <f>IF($W45="","",INDEX('Eredmény'!$AK$2:$AK$201,$W45))</f>
        <v/>
      </c>
      <c r="K45" s="14">
        <f>IF($W45="","",INDEX('Eredmény'!$AL$2:$AL$201,$W45))</f>
        <v/>
      </c>
      <c r="L45" s="15">
        <f>IF($W45="","",INDEX('Eredmény'!$AZ$2:$AZ$201,$W45))</f>
        <v/>
      </c>
      <c r="M45" s="15">
        <f>IF($W45="","",INDEX('Eredmény'!$BB$2:$BB$201,$W45))</f>
        <v/>
      </c>
      <c r="N45" s="15">
        <f>IF($W45="","",INDEX('Eredmény'!$BC$2:$BC$201,$W45))</f>
        <v/>
      </c>
      <c r="O45" s="16">
        <f>IF($W45="","",INDEX('Eredmény'!$BD$2:$BD$201,$W45))</f>
        <v/>
      </c>
      <c r="P45" s="13">
        <f>IF($W45="","",INDEX('Eredmény'!$BE$2:$BE$201,$W45))</f>
        <v/>
      </c>
      <c r="Q45" s="15">
        <f>IF($W45="","",INDEX('Eredmény'!$BF$2:$BF$201,$W45))</f>
        <v/>
      </c>
      <c r="R45" s="17">
        <f>IF($W45="","",INDEX('Eredmény'!$BG$2:$BG$201,$W45))</f>
        <v/>
      </c>
      <c r="S45" s="13">
        <f>IF($W45="","",INDEX('Eredmény'!$AT$2:$AT$201,$W45))</f>
        <v/>
      </c>
      <c r="T45" s="13">
        <f>IF($W45="","",INDEX('Eredmény'!$AV$2:$AV$201,$W45))</f>
        <v/>
      </c>
      <c r="U45" s="12">
        <f>IF($W45="","",INDEX('Eredmény'!$BI$2:$BI$201,$W45))</f>
        <v/>
      </c>
      <c r="W45">
        <f>IFERROR(MATCH(LARGE('Eredmény'!$DY$2:$DY$201,41),'Eredmény'!$DY$2:$DY$201,0),"")</f>
        <v/>
      </c>
    </row>
    <row r="46">
      <c r="A46" s="12">
        <f>IF($W46="","",INDEX('Eredmény'!$AO$2:$AO$201,$W46))</f>
        <v/>
      </c>
      <c r="B46" s="13">
        <f>IF($W46="","",INDEX('Eredmény'!$A$2:$A$201,$W46))</f>
        <v/>
      </c>
      <c r="C46" s="14">
        <f>IF($W46="","",INDEX('Eredmény'!$AM$2:$AM$201,$W46))</f>
        <v/>
      </c>
      <c r="D46" s="14">
        <f>IF($W46="","",INDEX('Eredmény'!$AN$2:$AN$201,$W46))</f>
        <v/>
      </c>
      <c r="E46" s="12">
        <f>IF($W46="","",INDEX('Eredmény'!$AQ$2:$AQ$201,$W46))</f>
        <v/>
      </c>
      <c r="F46" s="13">
        <f>IF($W46="","",INDEX('Eredmény'!$AR$2:$AR$201,$W46))</f>
        <v/>
      </c>
      <c r="G46" s="13">
        <f>IF($W46="","",INDEX('Eredmény'!$AS$2:$AS$201,$W46))</f>
        <v/>
      </c>
      <c r="H46" s="14">
        <f>IF($W46="","",INDEX('Eredmény'!$AI$2:$AI$201,$W46))</f>
        <v/>
      </c>
      <c r="I46" s="14">
        <f>IF($W46="","",INDEX('Eredmény'!$AJ$2:$AJ$201,$W46))</f>
        <v/>
      </c>
      <c r="J46" s="14">
        <f>IF($W46="","",INDEX('Eredmény'!$AK$2:$AK$201,$W46))</f>
        <v/>
      </c>
      <c r="K46" s="14">
        <f>IF($W46="","",INDEX('Eredmény'!$AL$2:$AL$201,$W46))</f>
        <v/>
      </c>
      <c r="L46" s="15">
        <f>IF($W46="","",INDEX('Eredmény'!$AZ$2:$AZ$201,$W46))</f>
        <v/>
      </c>
      <c r="M46" s="15">
        <f>IF($W46="","",INDEX('Eredmény'!$BB$2:$BB$201,$W46))</f>
        <v/>
      </c>
      <c r="N46" s="15">
        <f>IF($W46="","",INDEX('Eredmény'!$BC$2:$BC$201,$W46))</f>
        <v/>
      </c>
      <c r="O46" s="16">
        <f>IF($W46="","",INDEX('Eredmény'!$BD$2:$BD$201,$W46))</f>
        <v/>
      </c>
      <c r="P46" s="13">
        <f>IF($W46="","",INDEX('Eredmény'!$BE$2:$BE$201,$W46))</f>
        <v/>
      </c>
      <c r="Q46" s="15">
        <f>IF($W46="","",INDEX('Eredmény'!$BF$2:$BF$201,$W46))</f>
        <v/>
      </c>
      <c r="R46" s="17">
        <f>IF($W46="","",INDEX('Eredmény'!$BG$2:$BG$201,$W46))</f>
        <v/>
      </c>
      <c r="S46" s="13">
        <f>IF($W46="","",INDEX('Eredmény'!$AT$2:$AT$201,$W46))</f>
        <v/>
      </c>
      <c r="T46" s="13">
        <f>IF($W46="","",INDEX('Eredmény'!$AV$2:$AV$201,$W46))</f>
        <v/>
      </c>
      <c r="U46" s="12">
        <f>IF($W46="","",INDEX('Eredmény'!$BI$2:$BI$201,$W46))</f>
        <v/>
      </c>
      <c r="W46">
        <f>IFERROR(MATCH(LARGE('Eredmény'!$DY$2:$DY$201,42),'Eredmény'!$DY$2:$DY$201,0),"")</f>
        <v/>
      </c>
    </row>
    <row r="47">
      <c r="A47" s="12">
        <f>IF($W47="","",INDEX('Eredmény'!$AO$2:$AO$201,$W47))</f>
        <v/>
      </c>
      <c r="B47" s="13">
        <f>IF($W47="","",INDEX('Eredmény'!$A$2:$A$201,$W47))</f>
        <v/>
      </c>
      <c r="C47" s="14">
        <f>IF($W47="","",INDEX('Eredmény'!$AM$2:$AM$201,$W47))</f>
        <v/>
      </c>
      <c r="D47" s="14">
        <f>IF($W47="","",INDEX('Eredmény'!$AN$2:$AN$201,$W47))</f>
        <v/>
      </c>
      <c r="E47" s="12">
        <f>IF($W47="","",INDEX('Eredmény'!$AQ$2:$AQ$201,$W47))</f>
        <v/>
      </c>
      <c r="F47" s="13">
        <f>IF($W47="","",INDEX('Eredmény'!$AR$2:$AR$201,$W47))</f>
        <v/>
      </c>
      <c r="G47" s="13">
        <f>IF($W47="","",INDEX('Eredmény'!$AS$2:$AS$201,$W47))</f>
        <v/>
      </c>
      <c r="H47" s="14">
        <f>IF($W47="","",INDEX('Eredmény'!$AI$2:$AI$201,$W47))</f>
        <v/>
      </c>
      <c r="I47" s="14">
        <f>IF($W47="","",INDEX('Eredmény'!$AJ$2:$AJ$201,$W47))</f>
        <v/>
      </c>
      <c r="J47" s="14">
        <f>IF($W47="","",INDEX('Eredmény'!$AK$2:$AK$201,$W47))</f>
        <v/>
      </c>
      <c r="K47" s="14">
        <f>IF($W47="","",INDEX('Eredmény'!$AL$2:$AL$201,$W47))</f>
        <v/>
      </c>
      <c r="L47" s="15">
        <f>IF($W47="","",INDEX('Eredmény'!$AZ$2:$AZ$201,$W47))</f>
        <v/>
      </c>
      <c r="M47" s="15">
        <f>IF($W47="","",INDEX('Eredmény'!$BB$2:$BB$201,$W47))</f>
        <v/>
      </c>
      <c r="N47" s="15">
        <f>IF($W47="","",INDEX('Eredmény'!$BC$2:$BC$201,$W47))</f>
        <v/>
      </c>
      <c r="O47" s="16">
        <f>IF($W47="","",INDEX('Eredmény'!$BD$2:$BD$201,$W47))</f>
        <v/>
      </c>
      <c r="P47" s="13">
        <f>IF($W47="","",INDEX('Eredmény'!$BE$2:$BE$201,$W47))</f>
        <v/>
      </c>
      <c r="Q47" s="15">
        <f>IF($W47="","",INDEX('Eredmény'!$BF$2:$BF$201,$W47))</f>
        <v/>
      </c>
      <c r="R47" s="17">
        <f>IF($W47="","",INDEX('Eredmény'!$BG$2:$BG$201,$W47))</f>
        <v/>
      </c>
      <c r="S47" s="13">
        <f>IF($W47="","",INDEX('Eredmény'!$AT$2:$AT$201,$W47))</f>
        <v/>
      </c>
      <c r="T47" s="13">
        <f>IF($W47="","",INDEX('Eredmény'!$AV$2:$AV$201,$W47))</f>
        <v/>
      </c>
      <c r="U47" s="12">
        <f>IF($W47="","",INDEX('Eredmény'!$BI$2:$BI$201,$W47))</f>
        <v/>
      </c>
      <c r="W47">
        <f>IFERROR(MATCH(LARGE('Eredmény'!$DY$2:$DY$201,43),'Eredmény'!$DY$2:$DY$201,0),"")</f>
        <v/>
      </c>
    </row>
    <row r="48">
      <c r="A48" s="12">
        <f>IF($W48="","",INDEX('Eredmény'!$AO$2:$AO$201,$W48))</f>
        <v/>
      </c>
      <c r="B48" s="13">
        <f>IF($W48="","",INDEX('Eredmény'!$A$2:$A$201,$W48))</f>
        <v/>
      </c>
      <c r="C48" s="14">
        <f>IF($W48="","",INDEX('Eredmény'!$AM$2:$AM$201,$W48))</f>
        <v/>
      </c>
      <c r="D48" s="14">
        <f>IF($W48="","",INDEX('Eredmény'!$AN$2:$AN$201,$W48))</f>
        <v/>
      </c>
      <c r="E48" s="12">
        <f>IF($W48="","",INDEX('Eredmény'!$AQ$2:$AQ$201,$W48))</f>
        <v/>
      </c>
      <c r="F48" s="13">
        <f>IF($W48="","",INDEX('Eredmény'!$AR$2:$AR$201,$W48))</f>
        <v/>
      </c>
      <c r="G48" s="13">
        <f>IF($W48="","",INDEX('Eredmény'!$AS$2:$AS$201,$W48))</f>
        <v/>
      </c>
      <c r="H48" s="14">
        <f>IF($W48="","",INDEX('Eredmény'!$AI$2:$AI$201,$W48))</f>
        <v/>
      </c>
      <c r="I48" s="14">
        <f>IF($W48="","",INDEX('Eredmény'!$AJ$2:$AJ$201,$W48))</f>
        <v/>
      </c>
      <c r="J48" s="14">
        <f>IF($W48="","",INDEX('Eredmény'!$AK$2:$AK$201,$W48))</f>
        <v/>
      </c>
      <c r="K48" s="14">
        <f>IF($W48="","",INDEX('Eredmény'!$AL$2:$AL$201,$W48))</f>
        <v/>
      </c>
      <c r="L48" s="15">
        <f>IF($W48="","",INDEX('Eredmény'!$AZ$2:$AZ$201,$W48))</f>
        <v/>
      </c>
      <c r="M48" s="15">
        <f>IF($W48="","",INDEX('Eredmény'!$BB$2:$BB$201,$W48))</f>
        <v/>
      </c>
      <c r="N48" s="15">
        <f>IF($W48="","",INDEX('Eredmény'!$BC$2:$BC$201,$W48))</f>
        <v/>
      </c>
      <c r="O48" s="16">
        <f>IF($W48="","",INDEX('Eredmény'!$BD$2:$BD$201,$W48))</f>
        <v/>
      </c>
      <c r="P48" s="13">
        <f>IF($W48="","",INDEX('Eredmény'!$BE$2:$BE$201,$W48))</f>
        <v/>
      </c>
      <c r="Q48" s="15">
        <f>IF($W48="","",INDEX('Eredmény'!$BF$2:$BF$201,$W48))</f>
        <v/>
      </c>
      <c r="R48" s="17">
        <f>IF($W48="","",INDEX('Eredmény'!$BG$2:$BG$201,$W48))</f>
        <v/>
      </c>
      <c r="S48" s="13">
        <f>IF($W48="","",INDEX('Eredmény'!$AT$2:$AT$201,$W48))</f>
        <v/>
      </c>
      <c r="T48" s="13">
        <f>IF($W48="","",INDEX('Eredmény'!$AV$2:$AV$201,$W48))</f>
        <v/>
      </c>
      <c r="U48" s="12">
        <f>IF($W48="","",INDEX('Eredmény'!$BI$2:$BI$201,$W48))</f>
        <v/>
      </c>
      <c r="W48">
        <f>IFERROR(MATCH(LARGE('Eredmény'!$DY$2:$DY$201,44),'Eredmény'!$DY$2:$DY$201,0),"")</f>
        <v/>
      </c>
    </row>
    <row r="49">
      <c r="A49" s="12">
        <f>IF($W49="","",INDEX('Eredmény'!$AO$2:$AO$201,$W49))</f>
        <v/>
      </c>
      <c r="B49" s="13">
        <f>IF($W49="","",INDEX('Eredmény'!$A$2:$A$201,$W49))</f>
        <v/>
      </c>
      <c r="C49" s="14">
        <f>IF($W49="","",INDEX('Eredmény'!$AM$2:$AM$201,$W49))</f>
        <v/>
      </c>
      <c r="D49" s="14">
        <f>IF($W49="","",INDEX('Eredmény'!$AN$2:$AN$201,$W49))</f>
        <v/>
      </c>
      <c r="E49" s="12">
        <f>IF($W49="","",INDEX('Eredmény'!$AQ$2:$AQ$201,$W49))</f>
        <v/>
      </c>
      <c r="F49" s="13">
        <f>IF($W49="","",INDEX('Eredmény'!$AR$2:$AR$201,$W49))</f>
        <v/>
      </c>
      <c r="G49" s="13">
        <f>IF($W49="","",INDEX('Eredmény'!$AS$2:$AS$201,$W49))</f>
        <v/>
      </c>
      <c r="H49" s="14">
        <f>IF($W49="","",INDEX('Eredmény'!$AI$2:$AI$201,$W49))</f>
        <v/>
      </c>
      <c r="I49" s="14">
        <f>IF($W49="","",INDEX('Eredmény'!$AJ$2:$AJ$201,$W49))</f>
        <v/>
      </c>
      <c r="J49" s="14">
        <f>IF($W49="","",INDEX('Eredmény'!$AK$2:$AK$201,$W49))</f>
        <v/>
      </c>
      <c r="K49" s="14">
        <f>IF($W49="","",INDEX('Eredmény'!$AL$2:$AL$201,$W49))</f>
        <v/>
      </c>
      <c r="L49" s="15">
        <f>IF($W49="","",INDEX('Eredmény'!$AZ$2:$AZ$201,$W49))</f>
        <v/>
      </c>
      <c r="M49" s="15">
        <f>IF($W49="","",INDEX('Eredmény'!$BB$2:$BB$201,$W49))</f>
        <v/>
      </c>
      <c r="N49" s="15">
        <f>IF($W49="","",INDEX('Eredmény'!$BC$2:$BC$201,$W49))</f>
        <v/>
      </c>
      <c r="O49" s="16">
        <f>IF($W49="","",INDEX('Eredmény'!$BD$2:$BD$201,$W49))</f>
        <v/>
      </c>
      <c r="P49" s="13">
        <f>IF($W49="","",INDEX('Eredmény'!$BE$2:$BE$201,$W49))</f>
        <v/>
      </c>
      <c r="Q49" s="15">
        <f>IF($W49="","",INDEX('Eredmény'!$BF$2:$BF$201,$W49))</f>
        <v/>
      </c>
      <c r="R49" s="17">
        <f>IF($W49="","",INDEX('Eredmény'!$BG$2:$BG$201,$W49))</f>
        <v/>
      </c>
      <c r="S49" s="13">
        <f>IF($W49="","",INDEX('Eredmény'!$AT$2:$AT$201,$W49))</f>
        <v/>
      </c>
      <c r="T49" s="13">
        <f>IF($W49="","",INDEX('Eredmény'!$AV$2:$AV$201,$W49))</f>
        <v/>
      </c>
      <c r="U49" s="12">
        <f>IF($W49="","",INDEX('Eredmény'!$BI$2:$BI$201,$W49))</f>
        <v/>
      </c>
      <c r="W49">
        <f>IFERROR(MATCH(LARGE('Eredmény'!$DY$2:$DY$201,45),'Eredmény'!$DY$2:$DY$201,0),"")</f>
        <v/>
      </c>
    </row>
    <row r="50">
      <c r="A50" s="12">
        <f>IF($W50="","",INDEX('Eredmény'!$AO$2:$AO$201,$W50))</f>
        <v/>
      </c>
      <c r="B50" s="13">
        <f>IF($W50="","",INDEX('Eredmény'!$A$2:$A$201,$W50))</f>
        <v/>
      </c>
      <c r="C50" s="14">
        <f>IF($W50="","",INDEX('Eredmény'!$AM$2:$AM$201,$W50))</f>
        <v/>
      </c>
      <c r="D50" s="14">
        <f>IF($W50="","",INDEX('Eredmény'!$AN$2:$AN$201,$W50))</f>
        <v/>
      </c>
      <c r="E50" s="12">
        <f>IF($W50="","",INDEX('Eredmény'!$AQ$2:$AQ$201,$W50))</f>
        <v/>
      </c>
      <c r="F50" s="13">
        <f>IF($W50="","",INDEX('Eredmény'!$AR$2:$AR$201,$W50))</f>
        <v/>
      </c>
      <c r="G50" s="13">
        <f>IF($W50="","",INDEX('Eredmény'!$AS$2:$AS$201,$W50))</f>
        <v/>
      </c>
      <c r="H50" s="14">
        <f>IF($W50="","",INDEX('Eredmény'!$AI$2:$AI$201,$W50))</f>
        <v/>
      </c>
      <c r="I50" s="14">
        <f>IF($W50="","",INDEX('Eredmény'!$AJ$2:$AJ$201,$W50))</f>
        <v/>
      </c>
      <c r="J50" s="14">
        <f>IF($W50="","",INDEX('Eredmény'!$AK$2:$AK$201,$W50))</f>
        <v/>
      </c>
      <c r="K50" s="14">
        <f>IF($W50="","",INDEX('Eredmény'!$AL$2:$AL$201,$W50))</f>
        <v/>
      </c>
      <c r="L50" s="15">
        <f>IF($W50="","",INDEX('Eredmény'!$AZ$2:$AZ$201,$W50))</f>
        <v/>
      </c>
      <c r="M50" s="15">
        <f>IF($W50="","",INDEX('Eredmény'!$BB$2:$BB$201,$W50))</f>
        <v/>
      </c>
      <c r="N50" s="15">
        <f>IF($W50="","",INDEX('Eredmény'!$BC$2:$BC$201,$W50))</f>
        <v/>
      </c>
      <c r="O50" s="16">
        <f>IF($W50="","",INDEX('Eredmény'!$BD$2:$BD$201,$W50))</f>
        <v/>
      </c>
      <c r="P50" s="13">
        <f>IF($W50="","",INDEX('Eredmény'!$BE$2:$BE$201,$W50))</f>
        <v/>
      </c>
      <c r="Q50" s="15">
        <f>IF($W50="","",INDEX('Eredmény'!$BF$2:$BF$201,$W50))</f>
        <v/>
      </c>
      <c r="R50" s="17">
        <f>IF($W50="","",INDEX('Eredmény'!$BG$2:$BG$201,$W50))</f>
        <v/>
      </c>
      <c r="S50" s="13">
        <f>IF($W50="","",INDEX('Eredmény'!$AT$2:$AT$201,$W50))</f>
        <v/>
      </c>
      <c r="T50" s="13">
        <f>IF($W50="","",INDEX('Eredmény'!$AV$2:$AV$201,$W50))</f>
        <v/>
      </c>
      <c r="U50" s="12">
        <f>IF($W50="","",INDEX('Eredmény'!$BI$2:$BI$201,$W50))</f>
        <v/>
      </c>
      <c r="W50">
        <f>IFERROR(MATCH(LARGE('Eredmény'!$DY$2:$DY$201,46),'Eredmény'!$DY$2:$DY$201,0),"")</f>
        <v/>
      </c>
    </row>
    <row r="51">
      <c r="A51" s="12">
        <f>IF($W51="","",INDEX('Eredmény'!$AO$2:$AO$201,$W51))</f>
        <v/>
      </c>
      <c r="B51" s="13">
        <f>IF($W51="","",INDEX('Eredmény'!$A$2:$A$201,$W51))</f>
        <v/>
      </c>
      <c r="C51" s="14">
        <f>IF($W51="","",INDEX('Eredmény'!$AM$2:$AM$201,$W51))</f>
        <v/>
      </c>
      <c r="D51" s="14">
        <f>IF($W51="","",INDEX('Eredmény'!$AN$2:$AN$201,$W51))</f>
        <v/>
      </c>
      <c r="E51" s="12">
        <f>IF($W51="","",INDEX('Eredmény'!$AQ$2:$AQ$201,$W51))</f>
        <v/>
      </c>
      <c r="F51" s="13">
        <f>IF($W51="","",INDEX('Eredmény'!$AR$2:$AR$201,$W51))</f>
        <v/>
      </c>
      <c r="G51" s="13">
        <f>IF($W51="","",INDEX('Eredmény'!$AS$2:$AS$201,$W51))</f>
        <v/>
      </c>
      <c r="H51" s="14">
        <f>IF($W51="","",INDEX('Eredmény'!$AI$2:$AI$201,$W51))</f>
        <v/>
      </c>
      <c r="I51" s="14">
        <f>IF($W51="","",INDEX('Eredmény'!$AJ$2:$AJ$201,$W51))</f>
        <v/>
      </c>
      <c r="J51" s="14">
        <f>IF($W51="","",INDEX('Eredmény'!$AK$2:$AK$201,$W51))</f>
        <v/>
      </c>
      <c r="K51" s="14">
        <f>IF($W51="","",INDEX('Eredmény'!$AL$2:$AL$201,$W51))</f>
        <v/>
      </c>
      <c r="L51" s="15">
        <f>IF($W51="","",INDEX('Eredmény'!$AZ$2:$AZ$201,$W51))</f>
        <v/>
      </c>
      <c r="M51" s="15">
        <f>IF($W51="","",INDEX('Eredmény'!$BB$2:$BB$201,$W51))</f>
        <v/>
      </c>
      <c r="N51" s="15">
        <f>IF($W51="","",INDEX('Eredmény'!$BC$2:$BC$201,$W51))</f>
        <v/>
      </c>
      <c r="O51" s="16">
        <f>IF($W51="","",INDEX('Eredmény'!$BD$2:$BD$201,$W51))</f>
        <v/>
      </c>
      <c r="P51" s="13">
        <f>IF($W51="","",INDEX('Eredmény'!$BE$2:$BE$201,$W51))</f>
        <v/>
      </c>
      <c r="Q51" s="15">
        <f>IF($W51="","",INDEX('Eredmény'!$BF$2:$BF$201,$W51))</f>
        <v/>
      </c>
      <c r="R51" s="17">
        <f>IF($W51="","",INDEX('Eredmény'!$BG$2:$BG$201,$W51))</f>
        <v/>
      </c>
      <c r="S51" s="13">
        <f>IF($W51="","",INDEX('Eredmény'!$AT$2:$AT$201,$W51))</f>
        <v/>
      </c>
      <c r="T51" s="13">
        <f>IF($W51="","",INDEX('Eredmény'!$AV$2:$AV$201,$W51))</f>
        <v/>
      </c>
      <c r="U51" s="12">
        <f>IF($W51="","",INDEX('Eredmény'!$BI$2:$BI$201,$W51))</f>
        <v/>
      </c>
      <c r="W51">
        <f>IFERROR(MATCH(LARGE('Eredmény'!$DY$2:$DY$201,47),'Eredmény'!$DY$2:$DY$201,0),"")</f>
        <v/>
      </c>
    </row>
    <row r="52">
      <c r="A52" s="12">
        <f>IF($W52="","",INDEX('Eredmény'!$AO$2:$AO$201,$W52))</f>
        <v/>
      </c>
      <c r="B52" s="13">
        <f>IF($W52="","",INDEX('Eredmény'!$A$2:$A$201,$W52))</f>
        <v/>
      </c>
      <c r="C52" s="14">
        <f>IF($W52="","",INDEX('Eredmény'!$AM$2:$AM$201,$W52))</f>
        <v/>
      </c>
      <c r="D52" s="14">
        <f>IF($W52="","",INDEX('Eredmény'!$AN$2:$AN$201,$W52))</f>
        <v/>
      </c>
      <c r="E52" s="12">
        <f>IF($W52="","",INDEX('Eredmény'!$AQ$2:$AQ$201,$W52))</f>
        <v/>
      </c>
      <c r="F52" s="13">
        <f>IF($W52="","",INDEX('Eredmény'!$AR$2:$AR$201,$W52))</f>
        <v/>
      </c>
      <c r="G52" s="13">
        <f>IF($W52="","",INDEX('Eredmény'!$AS$2:$AS$201,$W52))</f>
        <v/>
      </c>
      <c r="H52" s="14">
        <f>IF($W52="","",INDEX('Eredmény'!$AI$2:$AI$201,$W52))</f>
        <v/>
      </c>
      <c r="I52" s="14">
        <f>IF($W52="","",INDEX('Eredmény'!$AJ$2:$AJ$201,$W52))</f>
        <v/>
      </c>
      <c r="J52" s="14">
        <f>IF($W52="","",INDEX('Eredmény'!$AK$2:$AK$201,$W52))</f>
        <v/>
      </c>
      <c r="K52" s="14">
        <f>IF($W52="","",INDEX('Eredmény'!$AL$2:$AL$201,$W52))</f>
        <v/>
      </c>
      <c r="L52" s="15">
        <f>IF($W52="","",INDEX('Eredmény'!$AZ$2:$AZ$201,$W52))</f>
        <v/>
      </c>
      <c r="M52" s="15">
        <f>IF($W52="","",INDEX('Eredmény'!$BB$2:$BB$201,$W52))</f>
        <v/>
      </c>
      <c r="N52" s="15">
        <f>IF($W52="","",INDEX('Eredmény'!$BC$2:$BC$201,$W52))</f>
        <v/>
      </c>
      <c r="O52" s="16">
        <f>IF($W52="","",INDEX('Eredmény'!$BD$2:$BD$201,$W52))</f>
        <v/>
      </c>
      <c r="P52" s="13">
        <f>IF($W52="","",INDEX('Eredmény'!$BE$2:$BE$201,$W52))</f>
        <v/>
      </c>
      <c r="Q52" s="15">
        <f>IF($W52="","",INDEX('Eredmény'!$BF$2:$BF$201,$W52))</f>
        <v/>
      </c>
      <c r="R52" s="17">
        <f>IF($W52="","",INDEX('Eredmény'!$BG$2:$BG$201,$W52))</f>
        <v/>
      </c>
      <c r="S52" s="13">
        <f>IF($W52="","",INDEX('Eredmény'!$AT$2:$AT$201,$W52))</f>
        <v/>
      </c>
      <c r="T52" s="13">
        <f>IF($W52="","",INDEX('Eredmény'!$AV$2:$AV$201,$W52))</f>
        <v/>
      </c>
      <c r="U52" s="12">
        <f>IF($W52="","",INDEX('Eredmény'!$BI$2:$BI$201,$W52))</f>
        <v/>
      </c>
      <c r="W52">
        <f>IFERROR(MATCH(LARGE('Eredmény'!$DY$2:$DY$201,48),'Eredmény'!$DY$2:$DY$201,0),"")</f>
        <v/>
      </c>
    </row>
    <row r="53">
      <c r="A53" s="12">
        <f>IF($W53="","",INDEX('Eredmény'!$AO$2:$AO$201,$W53))</f>
        <v/>
      </c>
      <c r="B53" s="13">
        <f>IF($W53="","",INDEX('Eredmény'!$A$2:$A$201,$W53))</f>
        <v/>
      </c>
      <c r="C53" s="14">
        <f>IF($W53="","",INDEX('Eredmény'!$AM$2:$AM$201,$W53))</f>
        <v/>
      </c>
      <c r="D53" s="14">
        <f>IF($W53="","",INDEX('Eredmény'!$AN$2:$AN$201,$W53))</f>
        <v/>
      </c>
      <c r="E53" s="12">
        <f>IF($W53="","",INDEX('Eredmény'!$AQ$2:$AQ$201,$W53))</f>
        <v/>
      </c>
      <c r="F53" s="13">
        <f>IF($W53="","",INDEX('Eredmény'!$AR$2:$AR$201,$W53))</f>
        <v/>
      </c>
      <c r="G53" s="13">
        <f>IF($W53="","",INDEX('Eredmény'!$AS$2:$AS$201,$W53))</f>
        <v/>
      </c>
      <c r="H53" s="14">
        <f>IF($W53="","",INDEX('Eredmény'!$AI$2:$AI$201,$W53))</f>
        <v/>
      </c>
      <c r="I53" s="14">
        <f>IF($W53="","",INDEX('Eredmény'!$AJ$2:$AJ$201,$W53))</f>
        <v/>
      </c>
      <c r="J53" s="14">
        <f>IF($W53="","",INDEX('Eredmény'!$AK$2:$AK$201,$W53))</f>
        <v/>
      </c>
      <c r="K53" s="14">
        <f>IF($W53="","",INDEX('Eredmény'!$AL$2:$AL$201,$W53))</f>
        <v/>
      </c>
      <c r="L53" s="15">
        <f>IF($W53="","",INDEX('Eredmény'!$AZ$2:$AZ$201,$W53))</f>
        <v/>
      </c>
      <c r="M53" s="15">
        <f>IF($W53="","",INDEX('Eredmény'!$BB$2:$BB$201,$W53))</f>
        <v/>
      </c>
      <c r="N53" s="15">
        <f>IF($W53="","",INDEX('Eredmény'!$BC$2:$BC$201,$W53))</f>
        <v/>
      </c>
      <c r="O53" s="16">
        <f>IF($W53="","",INDEX('Eredmény'!$BD$2:$BD$201,$W53))</f>
        <v/>
      </c>
      <c r="P53" s="13">
        <f>IF($W53="","",INDEX('Eredmény'!$BE$2:$BE$201,$W53))</f>
        <v/>
      </c>
      <c r="Q53" s="15">
        <f>IF($W53="","",INDEX('Eredmény'!$BF$2:$BF$201,$W53))</f>
        <v/>
      </c>
      <c r="R53" s="17">
        <f>IF($W53="","",INDEX('Eredmény'!$BG$2:$BG$201,$W53))</f>
        <v/>
      </c>
      <c r="S53" s="13">
        <f>IF($W53="","",INDEX('Eredmény'!$AT$2:$AT$201,$W53))</f>
        <v/>
      </c>
      <c r="T53" s="13">
        <f>IF($W53="","",INDEX('Eredmény'!$AV$2:$AV$201,$W53))</f>
        <v/>
      </c>
      <c r="U53" s="12">
        <f>IF($W53="","",INDEX('Eredmény'!$BI$2:$BI$201,$W53))</f>
        <v/>
      </c>
      <c r="W53">
        <f>IFERROR(MATCH(LARGE('Eredmény'!$DY$2:$DY$201,49),'Eredmény'!$DY$2:$DY$201,0),"")</f>
        <v/>
      </c>
    </row>
    <row r="54">
      <c r="A54" s="12">
        <f>IF($W54="","",INDEX('Eredmény'!$AO$2:$AO$201,$W54))</f>
        <v/>
      </c>
      <c r="B54" s="13">
        <f>IF($W54="","",INDEX('Eredmény'!$A$2:$A$201,$W54))</f>
        <v/>
      </c>
      <c r="C54" s="14">
        <f>IF($W54="","",INDEX('Eredmény'!$AM$2:$AM$201,$W54))</f>
        <v/>
      </c>
      <c r="D54" s="14">
        <f>IF($W54="","",INDEX('Eredmény'!$AN$2:$AN$201,$W54))</f>
        <v/>
      </c>
      <c r="E54" s="12">
        <f>IF($W54="","",INDEX('Eredmény'!$AQ$2:$AQ$201,$W54))</f>
        <v/>
      </c>
      <c r="F54" s="13">
        <f>IF($W54="","",INDEX('Eredmény'!$AR$2:$AR$201,$W54))</f>
        <v/>
      </c>
      <c r="G54" s="13">
        <f>IF($W54="","",INDEX('Eredmény'!$AS$2:$AS$201,$W54))</f>
        <v/>
      </c>
      <c r="H54" s="14">
        <f>IF($W54="","",INDEX('Eredmény'!$AI$2:$AI$201,$W54))</f>
        <v/>
      </c>
      <c r="I54" s="14">
        <f>IF($W54="","",INDEX('Eredmény'!$AJ$2:$AJ$201,$W54))</f>
        <v/>
      </c>
      <c r="J54" s="14">
        <f>IF($W54="","",INDEX('Eredmény'!$AK$2:$AK$201,$W54))</f>
        <v/>
      </c>
      <c r="K54" s="14">
        <f>IF($W54="","",INDEX('Eredmény'!$AL$2:$AL$201,$W54))</f>
        <v/>
      </c>
      <c r="L54" s="15">
        <f>IF($W54="","",INDEX('Eredmény'!$AZ$2:$AZ$201,$W54))</f>
        <v/>
      </c>
      <c r="M54" s="15">
        <f>IF($W54="","",INDEX('Eredmény'!$BB$2:$BB$201,$W54))</f>
        <v/>
      </c>
      <c r="N54" s="15">
        <f>IF($W54="","",INDEX('Eredmény'!$BC$2:$BC$201,$W54))</f>
        <v/>
      </c>
      <c r="O54" s="16">
        <f>IF($W54="","",INDEX('Eredmény'!$BD$2:$BD$201,$W54))</f>
        <v/>
      </c>
      <c r="P54" s="13">
        <f>IF($W54="","",INDEX('Eredmény'!$BE$2:$BE$201,$W54))</f>
        <v/>
      </c>
      <c r="Q54" s="15">
        <f>IF($W54="","",INDEX('Eredmény'!$BF$2:$BF$201,$W54))</f>
        <v/>
      </c>
      <c r="R54" s="17">
        <f>IF($W54="","",INDEX('Eredmény'!$BG$2:$BG$201,$W54))</f>
        <v/>
      </c>
      <c r="S54" s="13">
        <f>IF($W54="","",INDEX('Eredmény'!$AT$2:$AT$201,$W54))</f>
        <v/>
      </c>
      <c r="T54" s="13">
        <f>IF($W54="","",INDEX('Eredmény'!$AV$2:$AV$201,$W54))</f>
        <v/>
      </c>
      <c r="U54" s="12">
        <f>IF($W54="","",INDEX('Eredmény'!$BI$2:$BI$201,$W54))</f>
        <v/>
      </c>
      <c r="W54">
        <f>IFERROR(MATCH(LARGE('Eredmény'!$DY$2:$DY$201,50),'Eredmény'!$DY$2:$DY$201,0),"")</f>
        <v/>
      </c>
    </row>
    <row r="55">
      <c r="A55" s="12">
        <f>IF($W55="","",INDEX('Eredmény'!$AO$2:$AO$201,$W55))</f>
        <v/>
      </c>
      <c r="B55" s="13">
        <f>IF($W55="","",INDEX('Eredmény'!$A$2:$A$201,$W55))</f>
        <v/>
      </c>
      <c r="C55" s="14">
        <f>IF($W55="","",INDEX('Eredmény'!$AM$2:$AM$201,$W55))</f>
        <v/>
      </c>
      <c r="D55" s="14">
        <f>IF($W55="","",INDEX('Eredmény'!$AN$2:$AN$201,$W55))</f>
        <v/>
      </c>
      <c r="E55" s="12">
        <f>IF($W55="","",INDEX('Eredmény'!$AQ$2:$AQ$201,$W55))</f>
        <v/>
      </c>
      <c r="F55" s="13">
        <f>IF($W55="","",INDEX('Eredmény'!$AR$2:$AR$201,$W55))</f>
        <v/>
      </c>
      <c r="G55" s="13">
        <f>IF($W55="","",INDEX('Eredmény'!$AS$2:$AS$201,$W55))</f>
        <v/>
      </c>
      <c r="H55" s="14">
        <f>IF($W55="","",INDEX('Eredmény'!$AI$2:$AI$201,$W55))</f>
        <v/>
      </c>
      <c r="I55" s="14">
        <f>IF($W55="","",INDEX('Eredmény'!$AJ$2:$AJ$201,$W55))</f>
        <v/>
      </c>
      <c r="J55" s="14">
        <f>IF($W55="","",INDEX('Eredmény'!$AK$2:$AK$201,$W55))</f>
        <v/>
      </c>
      <c r="K55" s="14">
        <f>IF($W55="","",INDEX('Eredmény'!$AL$2:$AL$201,$W55))</f>
        <v/>
      </c>
      <c r="L55" s="15">
        <f>IF($W55="","",INDEX('Eredmény'!$AZ$2:$AZ$201,$W55))</f>
        <v/>
      </c>
      <c r="M55" s="15">
        <f>IF($W55="","",INDEX('Eredmény'!$BB$2:$BB$201,$W55))</f>
        <v/>
      </c>
      <c r="N55" s="15">
        <f>IF($W55="","",INDEX('Eredmény'!$BC$2:$BC$201,$W55))</f>
        <v/>
      </c>
      <c r="O55" s="16">
        <f>IF($W55="","",INDEX('Eredmény'!$BD$2:$BD$201,$W55))</f>
        <v/>
      </c>
      <c r="P55" s="13">
        <f>IF($W55="","",INDEX('Eredmény'!$BE$2:$BE$201,$W55))</f>
        <v/>
      </c>
      <c r="Q55" s="15">
        <f>IF($W55="","",INDEX('Eredmény'!$BF$2:$BF$201,$W55))</f>
        <v/>
      </c>
      <c r="R55" s="17">
        <f>IF($W55="","",INDEX('Eredmény'!$BG$2:$BG$201,$W55))</f>
        <v/>
      </c>
      <c r="S55" s="13">
        <f>IF($W55="","",INDEX('Eredmény'!$AT$2:$AT$201,$W55))</f>
        <v/>
      </c>
      <c r="T55" s="13">
        <f>IF($W55="","",INDEX('Eredmény'!$AV$2:$AV$201,$W55))</f>
        <v/>
      </c>
      <c r="U55" s="12">
        <f>IF($W55="","",INDEX('Eredmény'!$BI$2:$BI$201,$W55))</f>
        <v/>
      </c>
      <c r="W55">
        <f>IFERROR(MATCH(LARGE('Eredmény'!$DY$2:$DY$201,51),'Eredmény'!$DY$2:$DY$201,0),"")</f>
        <v/>
      </c>
    </row>
    <row r="56">
      <c r="A56" s="12">
        <f>IF($W56="","",INDEX('Eredmény'!$AO$2:$AO$201,$W56))</f>
        <v/>
      </c>
      <c r="B56" s="13">
        <f>IF($W56="","",INDEX('Eredmény'!$A$2:$A$201,$W56))</f>
        <v/>
      </c>
      <c r="C56" s="14">
        <f>IF($W56="","",INDEX('Eredmény'!$AM$2:$AM$201,$W56))</f>
        <v/>
      </c>
      <c r="D56" s="14">
        <f>IF($W56="","",INDEX('Eredmény'!$AN$2:$AN$201,$W56))</f>
        <v/>
      </c>
      <c r="E56" s="12">
        <f>IF($W56="","",INDEX('Eredmény'!$AQ$2:$AQ$201,$W56))</f>
        <v/>
      </c>
      <c r="F56" s="13">
        <f>IF($W56="","",INDEX('Eredmény'!$AR$2:$AR$201,$W56))</f>
        <v/>
      </c>
      <c r="G56" s="13">
        <f>IF($W56="","",INDEX('Eredmény'!$AS$2:$AS$201,$W56))</f>
        <v/>
      </c>
      <c r="H56" s="14">
        <f>IF($W56="","",INDEX('Eredmény'!$AI$2:$AI$201,$W56))</f>
        <v/>
      </c>
      <c r="I56" s="14">
        <f>IF($W56="","",INDEX('Eredmény'!$AJ$2:$AJ$201,$W56))</f>
        <v/>
      </c>
      <c r="J56" s="14">
        <f>IF($W56="","",INDEX('Eredmény'!$AK$2:$AK$201,$W56))</f>
        <v/>
      </c>
      <c r="K56" s="14">
        <f>IF($W56="","",INDEX('Eredmény'!$AL$2:$AL$201,$W56))</f>
        <v/>
      </c>
      <c r="L56" s="15">
        <f>IF($W56="","",INDEX('Eredmény'!$AZ$2:$AZ$201,$W56))</f>
        <v/>
      </c>
      <c r="M56" s="15">
        <f>IF($W56="","",INDEX('Eredmény'!$BB$2:$BB$201,$W56))</f>
        <v/>
      </c>
      <c r="N56" s="15">
        <f>IF($W56="","",INDEX('Eredmény'!$BC$2:$BC$201,$W56))</f>
        <v/>
      </c>
      <c r="O56" s="16">
        <f>IF($W56="","",INDEX('Eredmény'!$BD$2:$BD$201,$W56))</f>
        <v/>
      </c>
      <c r="P56" s="13">
        <f>IF($W56="","",INDEX('Eredmény'!$BE$2:$BE$201,$W56))</f>
        <v/>
      </c>
      <c r="Q56" s="15">
        <f>IF($W56="","",INDEX('Eredmény'!$BF$2:$BF$201,$W56))</f>
        <v/>
      </c>
      <c r="R56" s="17">
        <f>IF($W56="","",INDEX('Eredmény'!$BG$2:$BG$201,$W56))</f>
        <v/>
      </c>
      <c r="S56" s="13">
        <f>IF($W56="","",INDEX('Eredmény'!$AT$2:$AT$201,$W56))</f>
        <v/>
      </c>
      <c r="T56" s="13">
        <f>IF($W56="","",INDEX('Eredmény'!$AV$2:$AV$201,$W56))</f>
        <v/>
      </c>
      <c r="U56" s="12">
        <f>IF($W56="","",INDEX('Eredmény'!$BI$2:$BI$201,$W56))</f>
        <v/>
      </c>
      <c r="W56">
        <f>IFERROR(MATCH(LARGE('Eredmény'!$DY$2:$DY$201,52),'Eredmény'!$DY$2:$DY$201,0),"")</f>
        <v/>
      </c>
    </row>
    <row r="57">
      <c r="A57" s="12">
        <f>IF($W57="","",INDEX('Eredmény'!$AO$2:$AO$201,$W57))</f>
        <v/>
      </c>
      <c r="B57" s="13">
        <f>IF($W57="","",INDEX('Eredmény'!$A$2:$A$201,$W57))</f>
        <v/>
      </c>
      <c r="C57" s="14">
        <f>IF($W57="","",INDEX('Eredmény'!$AM$2:$AM$201,$W57))</f>
        <v/>
      </c>
      <c r="D57" s="14">
        <f>IF($W57="","",INDEX('Eredmény'!$AN$2:$AN$201,$W57))</f>
        <v/>
      </c>
      <c r="E57" s="12">
        <f>IF($W57="","",INDEX('Eredmény'!$AQ$2:$AQ$201,$W57))</f>
        <v/>
      </c>
      <c r="F57" s="13">
        <f>IF($W57="","",INDEX('Eredmény'!$AR$2:$AR$201,$W57))</f>
        <v/>
      </c>
      <c r="G57" s="13">
        <f>IF($W57="","",INDEX('Eredmény'!$AS$2:$AS$201,$W57))</f>
        <v/>
      </c>
      <c r="H57" s="14">
        <f>IF($W57="","",INDEX('Eredmény'!$AI$2:$AI$201,$W57))</f>
        <v/>
      </c>
      <c r="I57" s="14">
        <f>IF($W57="","",INDEX('Eredmény'!$AJ$2:$AJ$201,$W57))</f>
        <v/>
      </c>
      <c r="J57" s="14">
        <f>IF($W57="","",INDEX('Eredmény'!$AK$2:$AK$201,$W57))</f>
        <v/>
      </c>
      <c r="K57" s="14">
        <f>IF($W57="","",INDEX('Eredmény'!$AL$2:$AL$201,$W57))</f>
        <v/>
      </c>
      <c r="L57" s="15">
        <f>IF($W57="","",INDEX('Eredmény'!$AZ$2:$AZ$201,$W57))</f>
        <v/>
      </c>
      <c r="M57" s="15">
        <f>IF($W57="","",INDEX('Eredmény'!$BB$2:$BB$201,$W57))</f>
        <v/>
      </c>
      <c r="N57" s="15">
        <f>IF($W57="","",INDEX('Eredmény'!$BC$2:$BC$201,$W57))</f>
        <v/>
      </c>
      <c r="O57" s="16">
        <f>IF($W57="","",INDEX('Eredmény'!$BD$2:$BD$201,$W57))</f>
        <v/>
      </c>
      <c r="P57" s="13">
        <f>IF($W57="","",INDEX('Eredmény'!$BE$2:$BE$201,$W57))</f>
        <v/>
      </c>
      <c r="Q57" s="15">
        <f>IF($W57="","",INDEX('Eredmény'!$BF$2:$BF$201,$W57))</f>
        <v/>
      </c>
      <c r="R57" s="17">
        <f>IF($W57="","",INDEX('Eredmény'!$BG$2:$BG$201,$W57))</f>
        <v/>
      </c>
      <c r="S57" s="13">
        <f>IF($W57="","",INDEX('Eredmény'!$AT$2:$AT$201,$W57))</f>
        <v/>
      </c>
      <c r="T57" s="13">
        <f>IF($W57="","",INDEX('Eredmény'!$AV$2:$AV$201,$W57))</f>
        <v/>
      </c>
      <c r="U57" s="12">
        <f>IF($W57="","",INDEX('Eredmény'!$BI$2:$BI$201,$W57))</f>
        <v/>
      </c>
      <c r="W57">
        <f>IFERROR(MATCH(LARGE('Eredmény'!$DY$2:$DY$201,53),'Eredmény'!$DY$2:$DY$201,0),"")</f>
        <v/>
      </c>
    </row>
    <row r="58">
      <c r="A58" s="12">
        <f>IF($W58="","",INDEX('Eredmény'!$AO$2:$AO$201,$W58))</f>
        <v/>
      </c>
      <c r="B58" s="13">
        <f>IF($W58="","",INDEX('Eredmény'!$A$2:$A$201,$W58))</f>
        <v/>
      </c>
      <c r="C58" s="14">
        <f>IF($W58="","",INDEX('Eredmény'!$AM$2:$AM$201,$W58))</f>
        <v/>
      </c>
      <c r="D58" s="14">
        <f>IF($W58="","",INDEX('Eredmény'!$AN$2:$AN$201,$W58))</f>
        <v/>
      </c>
      <c r="E58" s="12">
        <f>IF($W58="","",INDEX('Eredmény'!$AQ$2:$AQ$201,$W58))</f>
        <v/>
      </c>
      <c r="F58" s="13">
        <f>IF($W58="","",INDEX('Eredmény'!$AR$2:$AR$201,$W58))</f>
        <v/>
      </c>
      <c r="G58" s="13">
        <f>IF($W58="","",INDEX('Eredmény'!$AS$2:$AS$201,$W58))</f>
        <v/>
      </c>
      <c r="H58" s="14">
        <f>IF($W58="","",INDEX('Eredmény'!$AI$2:$AI$201,$W58))</f>
        <v/>
      </c>
      <c r="I58" s="14">
        <f>IF($W58="","",INDEX('Eredmény'!$AJ$2:$AJ$201,$W58))</f>
        <v/>
      </c>
      <c r="J58" s="14">
        <f>IF($W58="","",INDEX('Eredmény'!$AK$2:$AK$201,$W58))</f>
        <v/>
      </c>
      <c r="K58" s="14">
        <f>IF($W58="","",INDEX('Eredmény'!$AL$2:$AL$201,$W58))</f>
        <v/>
      </c>
      <c r="L58" s="15">
        <f>IF($W58="","",INDEX('Eredmény'!$AZ$2:$AZ$201,$W58))</f>
        <v/>
      </c>
      <c r="M58" s="15">
        <f>IF($W58="","",INDEX('Eredmény'!$BB$2:$BB$201,$W58))</f>
        <v/>
      </c>
      <c r="N58" s="15">
        <f>IF($W58="","",INDEX('Eredmény'!$BC$2:$BC$201,$W58))</f>
        <v/>
      </c>
      <c r="O58" s="16">
        <f>IF($W58="","",INDEX('Eredmény'!$BD$2:$BD$201,$W58))</f>
        <v/>
      </c>
      <c r="P58" s="13">
        <f>IF($W58="","",INDEX('Eredmény'!$BE$2:$BE$201,$W58))</f>
        <v/>
      </c>
      <c r="Q58" s="15">
        <f>IF($W58="","",INDEX('Eredmény'!$BF$2:$BF$201,$W58))</f>
        <v/>
      </c>
      <c r="R58" s="17">
        <f>IF($W58="","",INDEX('Eredmény'!$BG$2:$BG$201,$W58))</f>
        <v/>
      </c>
      <c r="S58" s="13">
        <f>IF($W58="","",INDEX('Eredmény'!$AT$2:$AT$201,$W58))</f>
        <v/>
      </c>
      <c r="T58" s="13">
        <f>IF($W58="","",INDEX('Eredmény'!$AV$2:$AV$201,$W58))</f>
        <v/>
      </c>
      <c r="U58" s="12">
        <f>IF($W58="","",INDEX('Eredmény'!$BI$2:$BI$201,$W58))</f>
        <v/>
      </c>
      <c r="W58">
        <f>IFERROR(MATCH(LARGE('Eredmény'!$DY$2:$DY$201,54),'Eredmény'!$DY$2:$DY$201,0),"")</f>
        <v/>
      </c>
    </row>
    <row r="59">
      <c r="A59" s="12">
        <f>IF($W59="","",INDEX('Eredmény'!$AO$2:$AO$201,$W59))</f>
        <v/>
      </c>
      <c r="B59" s="13">
        <f>IF($W59="","",INDEX('Eredmény'!$A$2:$A$201,$W59))</f>
        <v/>
      </c>
      <c r="C59" s="14">
        <f>IF($W59="","",INDEX('Eredmény'!$AM$2:$AM$201,$W59))</f>
        <v/>
      </c>
      <c r="D59" s="14">
        <f>IF($W59="","",INDEX('Eredmény'!$AN$2:$AN$201,$W59))</f>
        <v/>
      </c>
      <c r="E59" s="12">
        <f>IF($W59="","",INDEX('Eredmény'!$AQ$2:$AQ$201,$W59))</f>
        <v/>
      </c>
      <c r="F59" s="13">
        <f>IF($W59="","",INDEX('Eredmény'!$AR$2:$AR$201,$W59))</f>
        <v/>
      </c>
      <c r="G59" s="13">
        <f>IF($W59="","",INDEX('Eredmény'!$AS$2:$AS$201,$W59))</f>
        <v/>
      </c>
      <c r="H59" s="14">
        <f>IF($W59="","",INDEX('Eredmény'!$AI$2:$AI$201,$W59))</f>
        <v/>
      </c>
      <c r="I59" s="14">
        <f>IF($W59="","",INDEX('Eredmény'!$AJ$2:$AJ$201,$W59))</f>
        <v/>
      </c>
      <c r="J59" s="14">
        <f>IF($W59="","",INDEX('Eredmény'!$AK$2:$AK$201,$W59))</f>
        <v/>
      </c>
      <c r="K59" s="14">
        <f>IF($W59="","",INDEX('Eredmény'!$AL$2:$AL$201,$W59))</f>
        <v/>
      </c>
      <c r="L59" s="15">
        <f>IF($W59="","",INDEX('Eredmény'!$AZ$2:$AZ$201,$W59))</f>
        <v/>
      </c>
      <c r="M59" s="15">
        <f>IF($W59="","",INDEX('Eredmény'!$BB$2:$BB$201,$W59))</f>
        <v/>
      </c>
      <c r="N59" s="15">
        <f>IF($W59="","",INDEX('Eredmény'!$BC$2:$BC$201,$W59))</f>
        <v/>
      </c>
      <c r="O59" s="16">
        <f>IF($W59="","",INDEX('Eredmény'!$BD$2:$BD$201,$W59))</f>
        <v/>
      </c>
      <c r="P59" s="13">
        <f>IF($W59="","",INDEX('Eredmény'!$BE$2:$BE$201,$W59))</f>
        <v/>
      </c>
      <c r="Q59" s="15">
        <f>IF($W59="","",INDEX('Eredmény'!$BF$2:$BF$201,$W59))</f>
        <v/>
      </c>
      <c r="R59" s="17">
        <f>IF($W59="","",INDEX('Eredmény'!$BG$2:$BG$201,$W59))</f>
        <v/>
      </c>
      <c r="S59" s="13">
        <f>IF($W59="","",INDEX('Eredmény'!$AT$2:$AT$201,$W59))</f>
        <v/>
      </c>
      <c r="T59" s="13">
        <f>IF($W59="","",INDEX('Eredmény'!$AV$2:$AV$201,$W59))</f>
        <v/>
      </c>
      <c r="U59" s="12">
        <f>IF($W59="","",INDEX('Eredmény'!$BI$2:$BI$201,$W59))</f>
        <v/>
      </c>
      <c r="W59">
        <f>IFERROR(MATCH(LARGE('Eredmény'!$DY$2:$DY$201,55),'Eredmény'!$DY$2:$DY$201,0),"")</f>
        <v/>
      </c>
    </row>
    <row r="60">
      <c r="A60" s="12">
        <f>IF($W60="","",INDEX('Eredmény'!$AO$2:$AO$201,$W60))</f>
        <v/>
      </c>
      <c r="B60" s="13">
        <f>IF($W60="","",INDEX('Eredmény'!$A$2:$A$201,$W60))</f>
        <v/>
      </c>
      <c r="C60" s="14">
        <f>IF($W60="","",INDEX('Eredmény'!$AM$2:$AM$201,$W60))</f>
        <v/>
      </c>
      <c r="D60" s="14">
        <f>IF($W60="","",INDEX('Eredmény'!$AN$2:$AN$201,$W60))</f>
        <v/>
      </c>
      <c r="E60" s="12">
        <f>IF($W60="","",INDEX('Eredmény'!$AQ$2:$AQ$201,$W60))</f>
        <v/>
      </c>
      <c r="F60" s="13">
        <f>IF($W60="","",INDEX('Eredmény'!$AR$2:$AR$201,$W60))</f>
        <v/>
      </c>
      <c r="G60" s="13">
        <f>IF($W60="","",INDEX('Eredmény'!$AS$2:$AS$201,$W60))</f>
        <v/>
      </c>
      <c r="H60" s="14">
        <f>IF($W60="","",INDEX('Eredmény'!$AI$2:$AI$201,$W60))</f>
        <v/>
      </c>
      <c r="I60" s="14">
        <f>IF($W60="","",INDEX('Eredmény'!$AJ$2:$AJ$201,$W60))</f>
        <v/>
      </c>
      <c r="J60" s="14">
        <f>IF($W60="","",INDEX('Eredmény'!$AK$2:$AK$201,$W60))</f>
        <v/>
      </c>
      <c r="K60" s="14">
        <f>IF($W60="","",INDEX('Eredmény'!$AL$2:$AL$201,$W60))</f>
        <v/>
      </c>
      <c r="L60" s="15">
        <f>IF($W60="","",INDEX('Eredmény'!$AZ$2:$AZ$201,$W60))</f>
        <v/>
      </c>
      <c r="M60" s="15">
        <f>IF($W60="","",INDEX('Eredmény'!$BB$2:$BB$201,$W60))</f>
        <v/>
      </c>
      <c r="N60" s="15">
        <f>IF($W60="","",INDEX('Eredmény'!$BC$2:$BC$201,$W60))</f>
        <v/>
      </c>
      <c r="O60" s="16">
        <f>IF($W60="","",INDEX('Eredmény'!$BD$2:$BD$201,$W60))</f>
        <v/>
      </c>
      <c r="P60" s="13">
        <f>IF($W60="","",INDEX('Eredmény'!$BE$2:$BE$201,$W60))</f>
        <v/>
      </c>
      <c r="Q60" s="15">
        <f>IF($W60="","",INDEX('Eredmény'!$BF$2:$BF$201,$W60))</f>
        <v/>
      </c>
      <c r="R60" s="17">
        <f>IF($W60="","",INDEX('Eredmény'!$BG$2:$BG$201,$W60))</f>
        <v/>
      </c>
      <c r="S60" s="13">
        <f>IF($W60="","",INDEX('Eredmény'!$AT$2:$AT$201,$W60))</f>
        <v/>
      </c>
      <c r="T60" s="13">
        <f>IF($W60="","",INDEX('Eredmény'!$AV$2:$AV$201,$W60))</f>
        <v/>
      </c>
      <c r="U60" s="12">
        <f>IF($W60="","",INDEX('Eredmény'!$BI$2:$BI$201,$W60))</f>
        <v/>
      </c>
      <c r="W60">
        <f>IFERROR(MATCH(LARGE('Eredmény'!$DY$2:$DY$201,56),'Eredmény'!$DY$2:$DY$201,0),"")</f>
        <v/>
      </c>
    </row>
    <row r="61">
      <c r="A61" s="12">
        <f>IF($W61="","",INDEX('Eredmény'!$AO$2:$AO$201,$W61))</f>
        <v/>
      </c>
      <c r="B61" s="13">
        <f>IF($W61="","",INDEX('Eredmény'!$A$2:$A$201,$W61))</f>
        <v/>
      </c>
      <c r="C61" s="14">
        <f>IF($W61="","",INDEX('Eredmény'!$AM$2:$AM$201,$W61))</f>
        <v/>
      </c>
      <c r="D61" s="14">
        <f>IF($W61="","",INDEX('Eredmény'!$AN$2:$AN$201,$W61))</f>
        <v/>
      </c>
      <c r="E61" s="12">
        <f>IF($W61="","",INDEX('Eredmény'!$AQ$2:$AQ$201,$W61))</f>
        <v/>
      </c>
      <c r="F61" s="13">
        <f>IF($W61="","",INDEX('Eredmény'!$AR$2:$AR$201,$W61))</f>
        <v/>
      </c>
      <c r="G61" s="13">
        <f>IF($W61="","",INDEX('Eredmény'!$AS$2:$AS$201,$W61))</f>
        <v/>
      </c>
      <c r="H61" s="14">
        <f>IF($W61="","",INDEX('Eredmény'!$AI$2:$AI$201,$W61))</f>
        <v/>
      </c>
      <c r="I61" s="14">
        <f>IF($W61="","",INDEX('Eredmény'!$AJ$2:$AJ$201,$W61))</f>
        <v/>
      </c>
      <c r="J61" s="14">
        <f>IF($W61="","",INDEX('Eredmény'!$AK$2:$AK$201,$W61))</f>
        <v/>
      </c>
      <c r="K61" s="14">
        <f>IF($W61="","",INDEX('Eredmény'!$AL$2:$AL$201,$W61))</f>
        <v/>
      </c>
      <c r="L61" s="15">
        <f>IF($W61="","",INDEX('Eredmény'!$AZ$2:$AZ$201,$W61))</f>
        <v/>
      </c>
      <c r="M61" s="15">
        <f>IF($W61="","",INDEX('Eredmény'!$BB$2:$BB$201,$W61))</f>
        <v/>
      </c>
      <c r="N61" s="15">
        <f>IF($W61="","",INDEX('Eredmény'!$BC$2:$BC$201,$W61))</f>
        <v/>
      </c>
      <c r="O61" s="16">
        <f>IF($W61="","",INDEX('Eredmény'!$BD$2:$BD$201,$W61))</f>
        <v/>
      </c>
      <c r="P61" s="13">
        <f>IF($W61="","",INDEX('Eredmény'!$BE$2:$BE$201,$W61))</f>
        <v/>
      </c>
      <c r="Q61" s="15">
        <f>IF($W61="","",INDEX('Eredmény'!$BF$2:$BF$201,$W61))</f>
        <v/>
      </c>
      <c r="R61" s="17">
        <f>IF($W61="","",INDEX('Eredmény'!$BG$2:$BG$201,$W61))</f>
        <v/>
      </c>
      <c r="S61" s="13">
        <f>IF($W61="","",INDEX('Eredmény'!$AT$2:$AT$201,$W61))</f>
        <v/>
      </c>
      <c r="T61" s="13">
        <f>IF($W61="","",INDEX('Eredmény'!$AV$2:$AV$201,$W61))</f>
        <v/>
      </c>
      <c r="U61" s="12">
        <f>IF($W61="","",INDEX('Eredmény'!$BI$2:$BI$201,$W61))</f>
        <v/>
      </c>
      <c r="W61">
        <f>IFERROR(MATCH(LARGE('Eredmény'!$DY$2:$DY$201,57),'Eredmény'!$DY$2:$DY$201,0),"")</f>
        <v/>
      </c>
    </row>
    <row r="62">
      <c r="A62" s="12">
        <f>IF($W62="","",INDEX('Eredmény'!$AO$2:$AO$201,$W62))</f>
        <v/>
      </c>
      <c r="B62" s="13">
        <f>IF($W62="","",INDEX('Eredmény'!$A$2:$A$201,$W62))</f>
        <v/>
      </c>
      <c r="C62" s="14">
        <f>IF($W62="","",INDEX('Eredmény'!$AM$2:$AM$201,$W62))</f>
        <v/>
      </c>
      <c r="D62" s="14">
        <f>IF($W62="","",INDEX('Eredmény'!$AN$2:$AN$201,$W62))</f>
        <v/>
      </c>
      <c r="E62" s="12">
        <f>IF($W62="","",INDEX('Eredmény'!$AQ$2:$AQ$201,$W62))</f>
        <v/>
      </c>
      <c r="F62" s="13">
        <f>IF($W62="","",INDEX('Eredmény'!$AR$2:$AR$201,$W62))</f>
        <v/>
      </c>
      <c r="G62" s="13">
        <f>IF($W62="","",INDEX('Eredmény'!$AS$2:$AS$201,$W62))</f>
        <v/>
      </c>
      <c r="H62" s="14">
        <f>IF($W62="","",INDEX('Eredmény'!$AI$2:$AI$201,$W62))</f>
        <v/>
      </c>
      <c r="I62" s="14">
        <f>IF($W62="","",INDEX('Eredmény'!$AJ$2:$AJ$201,$W62))</f>
        <v/>
      </c>
      <c r="J62" s="14">
        <f>IF($W62="","",INDEX('Eredmény'!$AK$2:$AK$201,$W62))</f>
        <v/>
      </c>
      <c r="K62" s="14">
        <f>IF($W62="","",INDEX('Eredmény'!$AL$2:$AL$201,$W62))</f>
        <v/>
      </c>
      <c r="L62" s="15">
        <f>IF($W62="","",INDEX('Eredmény'!$AZ$2:$AZ$201,$W62))</f>
        <v/>
      </c>
      <c r="M62" s="15">
        <f>IF($W62="","",INDEX('Eredmény'!$BB$2:$BB$201,$W62))</f>
        <v/>
      </c>
      <c r="N62" s="15">
        <f>IF($W62="","",INDEX('Eredmény'!$BC$2:$BC$201,$W62))</f>
        <v/>
      </c>
      <c r="O62" s="16">
        <f>IF($W62="","",INDEX('Eredmény'!$BD$2:$BD$201,$W62))</f>
        <v/>
      </c>
      <c r="P62" s="13">
        <f>IF($W62="","",INDEX('Eredmény'!$BE$2:$BE$201,$W62))</f>
        <v/>
      </c>
      <c r="Q62" s="15">
        <f>IF($W62="","",INDEX('Eredmény'!$BF$2:$BF$201,$W62))</f>
        <v/>
      </c>
      <c r="R62" s="17">
        <f>IF($W62="","",INDEX('Eredmény'!$BG$2:$BG$201,$W62))</f>
        <v/>
      </c>
      <c r="S62" s="13">
        <f>IF($W62="","",INDEX('Eredmény'!$AT$2:$AT$201,$W62))</f>
        <v/>
      </c>
      <c r="T62" s="13">
        <f>IF($W62="","",INDEX('Eredmény'!$AV$2:$AV$201,$W62))</f>
        <v/>
      </c>
      <c r="U62" s="12">
        <f>IF($W62="","",INDEX('Eredmény'!$BI$2:$BI$201,$W62))</f>
        <v/>
      </c>
      <c r="W62">
        <f>IFERROR(MATCH(LARGE('Eredmény'!$DY$2:$DY$201,58),'Eredmény'!$DY$2:$DY$201,0),"")</f>
        <v/>
      </c>
    </row>
    <row r="63">
      <c r="A63" s="12">
        <f>IF($W63="","",INDEX('Eredmény'!$AO$2:$AO$201,$W63))</f>
        <v/>
      </c>
      <c r="B63" s="13">
        <f>IF($W63="","",INDEX('Eredmény'!$A$2:$A$201,$W63))</f>
        <v/>
      </c>
      <c r="C63" s="14">
        <f>IF($W63="","",INDEX('Eredmény'!$AM$2:$AM$201,$W63))</f>
        <v/>
      </c>
      <c r="D63" s="14">
        <f>IF($W63="","",INDEX('Eredmény'!$AN$2:$AN$201,$W63))</f>
        <v/>
      </c>
      <c r="E63" s="12">
        <f>IF($W63="","",INDEX('Eredmény'!$AQ$2:$AQ$201,$W63))</f>
        <v/>
      </c>
      <c r="F63" s="13">
        <f>IF($W63="","",INDEX('Eredmény'!$AR$2:$AR$201,$W63))</f>
        <v/>
      </c>
      <c r="G63" s="13">
        <f>IF($W63="","",INDEX('Eredmény'!$AS$2:$AS$201,$W63))</f>
        <v/>
      </c>
      <c r="H63" s="14">
        <f>IF($W63="","",INDEX('Eredmény'!$AI$2:$AI$201,$W63))</f>
        <v/>
      </c>
      <c r="I63" s="14">
        <f>IF($W63="","",INDEX('Eredmény'!$AJ$2:$AJ$201,$W63))</f>
        <v/>
      </c>
      <c r="J63" s="14">
        <f>IF($W63="","",INDEX('Eredmény'!$AK$2:$AK$201,$W63))</f>
        <v/>
      </c>
      <c r="K63" s="14">
        <f>IF($W63="","",INDEX('Eredmény'!$AL$2:$AL$201,$W63))</f>
        <v/>
      </c>
      <c r="L63" s="15">
        <f>IF($W63="","",INDEX('Eredmény'!$AZ$2:$AZ$201,$W63))</f>
        <v/>
      </c>
      <c r="M63" s="15">
        <f>IF($W63="","",INDEX('Eredmény'!$BB$2:$BB$201,$W63))</f>
        <v/>
      </c>
      <c r="N63" s="15">
        <f>IF($W63="","",INDEX('Eredmény'!$BC$2:$BC$201,$W63))</f>
        <v/>
      </c>
      <c r="O63" s="16">
        <f>IF($W63="","",INDEX('Eredmény'!$BD$2:$BD$201,$W63))</f>
        <v/>
      </c>
      <c r="P63" s="13">
        <f>IF($W63="","",INDEX('Eredmény'!$BE$2:$BE$201,$W63))</f>
        <v/>
      </c>
      <c r="Q63" s="15">
        <f>IF($W63="","",INDEX('Eredmény'!$BF$2:$BF$201,$W63))</f>
        <v/>
      </c>
      <c r="R63" s="17">
        <f>IF($W63="","",INDEX('Eredmény'!$BG$2:$BG$201,$W63))</f>
        <v/>
      </c>
      <c r="S63" s="13">
        <f>IF($W63="","",INDEX('Eredmény'!$AT$2:$AT$201,$W63))</f>
        <v/>
      </c>
      <c r="T63" s="13">
        <f>IF($W63="","",INDEX('Eredmény'!$AV$2:$AV$201,$W63))</f>
        <v/>
      </c>
      <c r="U63" s="12">
        <f>IF($W63="","",INDEX('Eredmény'!$BI$2:$BI$201,$W63))</f>
        <v/>
      </c>
      <c r="W63">
        <f>IFERROR(MATCH(LARGE('Eredmény'!$DY$2:$DY$201,59),'Eredmény'!$DY$2:$DY$201,0),"")</f>
        <v/>
      </c>
    </row>
    <row r="64">
      <c r="A64" s="12">
        <f>IF($W64="","",INDEX('Eredmény'!$AO$2:$AO$201,$W64))</f>
        <v/>
      </c>
      <c r="B64" s="13">
        <f>IF($W64="","",INDEX('Eredmény'!$A$2:$A$201,$W64))</f>
        <v/>
      </c>
      <c r="C64" s="14">
        <f>IF($W64="","",INDEX('Eredmény'!$AM$2:$AM$201,$W64))</f>
        <v/>
      </c>
      <c r="D64" s="14">
        <f>IF($W64="","",INDEX('Eredmény'!$AN$2:$AN$201,$W64))</f>
        <v/>
      </c>
      <c r="E64" s="12">
        <f>IF($W64="","",INDEX('Eredmény'!$AQ$2:$AQ$201,$W64))</f>
        <v/>
      </c>
      <c r="F64" s="13">
        <f>IF($W64="","",INDEX('Eredmény'!$AR$2:$AR$201,$W64))</f>
        <v/>
      </c>
      <c r="G64" s="13">
        <f>IF($W64="","",INDEX('Eredmény'!$AS$2:$AS$201,$W64))</f>
        <v/>
      </c>
      <c r="H64" s="14">
        <f>IF($W64="","",INDEX('Eredmény'!$AI$2:$AI$201,$W64))</f>
        <v/>
      </c>
      <c r="I64" s="14">
        <f>IF($W64="","",INDEX('Eredmény'!$AJ$2:$AJ$201,$W64))</f>
        <v/>
      </c>
      <c r="J64" s="14">
        <f>IF($W64="","",INDEX('Eredmény'!$AK$2:$AK$201,$W64))</f>
        <v/>
      </c>
      <c r="K64" s="14">
        <f>IF($W64="","",INDEX('Eredmény'!$AL$2:$AL$201,$W64))</f>
        <v/>
      </c>
      <c r="L64" s="15">
        <f>IF($W64="","",INDEX('Eredmény'!$AZ$2:$AZ$201,$W64))</f>
        <v/>
      </c>
      <c r="M64" s="15">
        <f>IF($W64="","",INDEX('Eredmény'!$BB$2:$BB$201,$W64))</f>
        <v/>
      </c>
      <c r="N64" s="15">
        <f>IF($W64="","",INDEX('Eredmény'!$BC$2:$BC$201,$W64))</f>
        <v/>
      </c>
      <c r="O64" s="16">
        <f>IF($W64="","",INDEX('Eredmény'!$BD$2:$BD$201,$W64))</f>
        <v/>
      </c>
      <c r="P64" s="13">
        <f>IF($W64="","",INDEX('Eredmény'!$BE$2:$BE$201,$W64))</f>
        <v/>
      </c>
      <c r="Q64" s="15">
        <f>IF($W64="","",INDEX('Eredmény'!$BF$2:$BF$201,$W64))</f>
        <v/>
      </c>
      <c r="R64" s="17">
        <f>IF($W64="","",INDEX('Eredmény'!$BG$2:$BG$201,$W64))</f>
        <v/>
      </c>
      <c r="S64" s="13">
        <f>IF($W64="","",INDEX('Eredmény'!$AT$2:$AT$201,$W64))</f>
        <v/>
      </c>
      <c r="T64" s="13">
        <f>IF($W64="","",INDEX('Eredmény'!$AV$2:$AV$201,$W64))</f>
        <v/>
      </c>
      <c r="U64" s="12">
        <f>IF($W64="","",INDEX('Eredmény'!$BI$2:$BI$201,$W64))</f>
        <v/>
      </c>
      <c r="W64">
        <f>IFERROR(MATCH(LARGE('Eredmény'!$DY$2:$DY$201,60),'Eredmény'!$DY$2:$DY$201,0),"")</f>
        <v/>
      </c>
    </row>
    <row r="65">
      <c r="A65" s="12">
        <f>IF($W65="","",INDEX('Eredmény'!$AO$2:$AO$201,$W65))</f>
        <v/>
      </c>
      <c r="B65" s="13">
        <f>IF($W65="","",INDEX('Eredmény'!$A$2:$A$201,$W65))</f>
        <v/>
      </c>
      <c r="C65" s="14">
        <f>IF($W65="","",INDEX('Eredmény'!$AM$2:$AM$201,$W65))</f>
        <v/>
      </c>
      <c r="D65" s="14">
        <f>IF($W65="","",INDEX('Eredmény'!$AN$2:$AN$201,$W65))</f>
        <v/>
      </c>
      <c r="E65" s="12">
        <f>IF($W65="","",INDEX('Eredmény'!$AQ$2:$AQ$201,$W65))</f>
        <v/>
      </c>
      <c r="F65" s="13">
        <f>IF($W65="","",INDEX('Eredmény'!$AR$2:$AR$201,$W65))</f>
        <v/>
      </c>
      <c r="G65" s="13">
        <f>IF($W65="","",INDEX('Eredmény'!$AS$2:$AS$201,$W65))</f>
        <v/>
      </c>
      <c r="H65" s="14">
        <f>IF($W65="","",INDEX('Eredmény'!$AI$2:$AI$201,$W65))</f>
        <v/>
      </c>
      <c r="I65" s="14">
        <f>IF($W65="","",INDEX('Eredmény'!$AJ$2:$AJ$201,$W65))</f>
        <v/>
      </c>
      <c r="J65" s="14">
        <f>IF($W65="","",INDEX('Eredmény'!$AK$2:$AK$201,$W65))</f>
        <v/>
      </c>
      <c r="K65" s="14">
        <f>IF($W65="","",INDEX('Eredmény'!$AL$2:$AL$201,$W65))</f>
        <v/>
      </c>
      <c r="L65" s="15">
        <f>IF($W65="","",INDEX('Eredmény'!$AZ$2:$AZ$201,$W65))</f>
        <v/>
      </c>
      <c r="M65" s="15">
        <f>IF($W65="","",INDEX('Eredmény'!$BB$2:$BB$201,$W65))</f>
        <v/>
      </c>
      <c r="N65" s="15">
        <f>IF($W65="","",INDEX('Eredmény'!$BC$2:$BC$201,$W65))</f>
        <v/>
      </c>
      <c r="O65" s="16">
        <f>IF($W65="","",INDEX('Eredmény'!$BD$2:$BD$201,$W65))</f>
        <v/>
      </c>
      <c r="P65" s="13">
        <f>IF($W65="","",INDEX('Eredmény'!$BE$2:$BE$201,$W65))</f>
        <v/>
      </c>
      <c r="Q65" s="15">
        <f>IF($W65="","",INDEX('Eredmény'!$BF$2:$BF$201,$W65))</f>
        <v/>
      </c>
      <c r="R65" s="17">
        <f>IF($W65="","",INDEX('Eredmény'!$BG$2:$BG$201,$W65))</f>
        <v/>
      </c>
      <c r="S65" s="13">
        <f>IF($W65="","",INDEX('Eredmény'!$AT$2:$AT$201,$W65))</f>
        <v/>
      </c>
      <c r="T65" s="13">
        <f>IF($W65="","",INDEX('Eredmény'!$AV$2:$AV$201,$W65))</f>
        <v/>
      </c>
      <c r="U65" s="12">
        <f>IF($W65="","",INDEX('Eredmény'!$BI$2:$BI$201,$W65))</f>
        <v/>
      </c>
      <c r="W65">
        <f>IFERROR(MATCH(LARGE('Eredmény'!$DY$2:$DY$201,61),'Eredmény'!$DY$2:$DY$201,0),"")</f>
        <v/>
      </c>
    </row>
    <row r="66">
      <c r="A66" s="12">
        <f>IF($W66="","",INDEX('Eredmény'!$AO$2:$AO$201,$W66))</f>
        <v/>
      </c>
      <c r="B66" s="13">
        <f>IF($W66="","",INDEX('Eredmény'!$A$2:$A$201,$W66))</f>
        <v/>
      </c>
      <c r="C66" s="14">
        <f>IF($W66="","",INDEX('Eredmény'!$AM$2:$AM$201,$W66))</f>
        <v/>
      </c>
      <c r="D66" s="14">
        <f>IF($W66="","",INDEX('Eredmény'!$AN$2:$AN$201,$W66))</f>
        <v/>
      </c>
      <c r="E66" s="12">
        <f>IF($W66="","",INDEX('Eredmény'!$AQ$2:$AQ$201,$W66))</f>
        <v/>
      </c>
      <c r="F66" s="13">
        <f>IF($W66="","",INDEX('Eredmény'!$AR$2:$AR$201,$W66))</f>
        <v/>
      </c>
      <c r="G66" s="13">
        <f>IF($W66="","",INDEX('Eredmény'!$AS$2:$AS$201,$W66))</f>
        <v/>
      </c>
      <c r="H66" s="14">
        <f>IF($W66="","",INDEX('Eredmény'!$AI$2:$AI$201,$W66))</f>
        <v/>
      </c>
      <c r="I66" s="14">
        <f>IF($W66="","",INDEX('Eredmény'!$AJ$2:$AJ$201,$W66))</f>
        <v/>
      </c>
      <c r="J66" s="14">
        <f>IF($W66="","",INDEX('Eredmény'!$AK$2:$AK$201,$W66))</f>
        <v/>
      </c>
      <c r="K66" s="14">
        <f>IF($W66="","",INDEX('Eredmény'!$AL$2:$AL$201,$W66))</f>
        <v/>
      </c>
      <c r="L66" s="15">
        <f>IF($W66="","",INDEX('Eredmény'!$AZ$2:$AZ$201,$W66))</f>
        <v/>
      </c>
      <c r="M66" s="15">
        <f>IF($W66="","",INDEX('Eredmény'!$BB$2:$BB$201,$W66))</f>
        <v/>
      </c>
      <c r="N66" s="15">
        <f>IF($W66="","",INDEX('Eredmény'!$BC$2:$BC$201,$W66))</f>
        <v/>
      </c>
      <c r="O66" s="16">
        <f>IF($W66="","",INDEX('Eredmény'!$BD$2:$BD$201,$W66))</f>
        <v/>
      </c>
      <c r="P66" s="13">
        <f>IF($W66="","",INDEX('Eredmény'!$BE$2:$BE$201,$W66))</f>
        <v/>
      </c>
      <c r="Q66" s="15">
        <f>IF($W66="","",INDEX('Eredmény'!$BF$2:$BF$201,$W66))</f>
        <v/>
      </c>
      <c r="R66" s="17">
        <f>IF($W66="","",INDEX('Eredmény'!$BG$2:$BG$201,$W66))</f>
        <v/>
      </c>
      <c r="S66" s="13">
        <f>IF($W66="","",INDEX('Eredmény'!$AT$2:$AT$201,$W66))</f>
        <v/>
      </c>
      <c r="T66" s="13">
        <f>IF($W66="","",INDEX('Eredmény'!$AV$2:$AV$201,$W66))</f>
        <v/>
      </c>
      <c r="U66" s="12">
        <f>IF($W66="","",INDEX('Eredmény'!$BI$2:$BI$201,$W66))</f>
        <v/>
      </c>
      <c r="W66">
        <f>IFERROR(MATCH(LARGE('Eredmény'!$DY$2:$DY$201,62),'Eredmény'!$DY$2:$DY$201,0),"")</f>
        <v/>
      </c>
    </row>
    <row r="67">
      <c r="A67" s="12">
        <f>IF($W67="","",INDEX('Eredmény'!$AO$2:$AO$201,$W67))</f>
        <v/>
      </c>
      <c r="B67" s="13">
        <f>IF($W67="","",INDEX('Eredmény'!$A$2:$A$201,$W67))</f>
        <v/>
      </c>
      <c r="C67" s="14">
        <f>IF($W67="","",INDEX('Eredmény'!$AM$2:$AM$201,$W67))</f>
        <v/>
      </c>
      <c r="D67" s="14">
        <f>IF($W67="","",INDEX('Eredmény'!$AN$2:$AN$201,$W67))</f>
        <v/>
      </c>
      <c r="E67" s="12">
        <f>IF($W67="","",INDEX('Eredmény'!$AQ$2:$AQ$201,$W67))</f>
        <v/>
      </c>
      <c r="F67" s="13">
        <f>IF($W67="","",INDEX('Eredmény'!$AR$2:$AR$201,$W67))</f>
        <v/>
      </c>
      <c r="G67" s="13">
        <f>IF($W67="","",INDEX('Eredmény'!$AS$2:$AS$201,$W67))</f>
        <v/>
      </c>
      <c r="H67" s="14">
        <f>IF($W67="","",INDEX('Eredmény'!$AI$2:$AI$201,$W67))</f>
        <v/>
      </c>
      <c r="I67" s="14">
        <f>IF($W67="","",INDEX('Eredmény'!$AJ$2:$AJ$201,$W67))</f>
        <v/>
      </c>
      <c r="J67" s="14">
        <f>IF($W67="","",INDEX('Eredmény'!$AK$2:$AK$201,$W67))</f>
        <v/>
      </c>
      <c r="K67" s="14">
        <f>IF($W67="","",INDEX('Eredmény'!$AL$2:$AL$201,$W67))</f>
        <v/>
      </c>
      <c r="L67" s="15">
        <f>IF($W67="","",INDEX('Eredmény'!$AZ$2:$AZ$201,$W67))</f>
        <v/>
      </c>
      <c r="M67" s="15">
        <f>IF($W67="","",INDEX('Eredmény'!$BB$2:$BB$201,$W67))</f>
        <v/>
      </c>
      <c r="N67" s="15">
        <f>IF($W67="","",INDEX('Eredmény'!$BC$2:$BC$201,$W67))</f>
        <v/>
      </c>
      <c r="O67" s="16">
        <f>IF($W67="","",INDEX('Eredmény'!$BD$2:$BD$201,$W67))</f>
        <v/>
      </c>
      <c r="P67" s="13">
        <f>IF($W67="","",INDEX('Eredmény'!$BE$2:$BE$201,$W67))</f>
        <v/>
      </c>
      <c r="Q67" s="15">
        <f>IF($W67="","",INDEX('Eredmény'!$BF$2:$BF$201,$W67))</f>
        <v/>
      </c>
      <c r="R67" s="17">
        <f>IF($W67="","",INDEX('Eredmény'!$BG$2:$BG$201,$W67))</f>
        <v/>
      </c>
      <c r="S67" s="13">
        <f>IF($W67="","",INDEX('Eredmény'!$AT$2:$AT$201,$W67))</f>
        <v/>
      </c>
      <c r="T67" s="13">
        <f>IF($W67="","",INDEX('Eredmény'!$AV$2:$AV$201,$W67))</f>
        <v/>
      </c>
      <c r="U67" s="12">
        <f>IF($W67="","",INDEX('Eredmény'!$BI$2:$BI$201,$W67))</f>
        <v/>
      </c>
      <c r="W67">
        <f>IFERROR(MATCH(LARGE('Eredmény'!$DY$2:$DY$201,63),'Eredmény'!$DY$2:$DY$201,0),"")</f>
        <v/>
      </c>
    </row>
    <row r="68">
      <c r="A68" s="12">
        <f>IF($W68="","",INDEX('Eredmény'!$AO$2:$AO$201,$W68))</f>
        <v/>
      </c>
      <c r="B68" s="13">
        <f>IF($W68="","",INDEX('Eredmény'!$A$2:$A$201,$W68))</f>
        <v/>
      </c>
      <c r="C68" s="14">
        <f>IF($W68="","",INDEX('Eredmény'!$AM$2:$AM$201,$W68))</f>
        <v/>
      </c>
      <c r="D68" s="14">
        <f>IF($W68="","",INDEX('Eredmény'!$AN$2:$AN$201,$W68))</f>
        <v/>
      </c>
      <c r="E68" s="12">
        <f>IF($W68="","",INDEX('Eredmény'!$AQ$2:$AQ$201,$W68))</f>
        <v/>
      </c>
      <c r="F68" s="13">
        <f>IF($W68="","",INDEX('Eredmény'!$AR$2:$AR$201,$W68))</f>
        <v/>
      </c>
      <c r="G68" s="13">
        <f>IF($W68="","",INDEX('Eredmény'!$AS$2:$AS$201,$W68))</f>
        <v/>
      </c>
      <c r="H68" s="14">
        <f>IF($W68="","",INDEX('Eredmény'!$AI$2:$AI$201,$W68))</f>
        <v/>
      </c>
      <c r="I68" s="14">
        <f>IF($W68="","",INDEX('Eredmény'!$AJ$2:$AJ$201,$W68))</f>
        <v/>
      </c>
      <c r="J68" s="14">
        <f>IF($W68="","",INDEX('Eredmény'!$AK$2:$AK$201,$W68))</f>
        <v/>
      </c>
      <c r="K68" s="14">
        <f>IF($W68="","",INDEX('Eredmény'!$AL$2:$AL$201,$W68))</f>
        <v/>
      </c>
      <c r="L68" s="15">
        <f>IF($W68="","",INDEX('Eredmény'!$AZ$2:$AZ$201,$W68))</f>
        <v/>
      </c>
      <c r="M68" s="15">
        <f>IF($W68="","",INDEX('Eredmény'!$BB$2:$BB$201,$W68))</f>
        <v/>
      </c>
      <c r="N68" s="15">
        <f>IF($W68="","",INDEX('Eredmény'!$BC$2:$BC$201,$W68))</f>
        <v/>
      </c>
      <c r="O68" s="16">
        <f>IF($W68="","",INDEX('Eredmény'!$BD$2:$BD$201,$W68))</f>
        <v/>
      </c>
      <c r="P68" s="13">
        <f>IF($W68="","",INDEX('Eredmény'!$BE$2:$BE$201,$W68))</f>
        <v/>
      </c>
      <c r="Q68" s="15">
        <f>IF($W68="","",INDEX('Eredmény'!$BF$2:$BF$201,$W68))</f>
        <v/>
      </c>
      <c r="R68" s="17">
        <f>IF($W68="","",INDEX('Eredmény'!$BG$2:$BG$201,$W68))</f>
        <v/>
      </c>
      <c r="S68" s="13">
        <f>IF($W68="","",INDEX('Eredmény'!$AT$2:$AT$201,$W68))</f>
        <v/>
      </c>
      <c r="T68" s="13">
        <f>IF($W68="","",INDEX('Eredmény'!$AV$2:$AV$201,$W68))</f>
        <v/>
      </c>
      <c r="U68" s="12">
        <f>IF($W68="","",INDEX('Eredmény'!$BI$2:$BI$201,$W68))</f>
        <v/>
      </c>
      <c r="W68">
        <f>IFERROR(MATCH(LARGE('Eredmény'!$DY$2:$DY$201,64),'Eredmény'!$DY$2:$DY$201,0),"")</f>
        <v/>
      </c>
    </row>
    <row r="69">
      <c r="A69" s="12">
        <f>IF($W69="","",INDEX('Eredmény'!$AO$2:$AO$201,$W69))</f>
        <v/>
      </c>
      <c r="B69" s="13">
        <f>IF($W69="","",INDEX('Eredmény'!$A$2:$A$201,$W69))</f>
        <v/>
      </c>
      <c r="C69" s="14">
        <f>IF($W69="","",INDEX('Eredmény'!$AM$2:$AM$201,$W69))</f>
        <v/>
      </c>
      <c r="D69" s="14">
        <f>IF($W69="","",INDEX('Eredmény'!$AN$2:$AN$201,$W69))</f>
        <v/>
      </c>
      <c r="E69" s="12">
        <f>IF($W69="","",INDEX('Eredmény'!$AQ$2:$AQ$201,$W69))</f>
        <v/>
      </c>
      <c r="F69" s="13">
        <f>IF($W69="","",INDEX('Eredmény'!$AR$2:$AR$201,$W69))</f>
        <v/>
      </c>
      <c r="G69" s="13">
        <f>IF($W69="","",INDEX('Eredmény'!$AS$2:$AS$201,$W69))</f>
        <v/>
      </c>
      <c r="H69" s="14">
        <f>IF($W69="","",INDEX('Eredmény'!$AI$2:$AI$201,$W69))</f>
        <v/>
      </c>
      <c r="I69" s="14">
        <f>IF($W69="","",INDEX('Eredmény'!$AJ$2:$AJ$201,$W69))</f>
        <v/>
      </c>
      <c r="J69" s="14">
        <f>IF($W69="","",INDEX('Eredmény'!$AK$2:$AK$201,$W69))</f>
        <v/>
      </c>
      <c r="K69" s="14">
        <f>IF($W69="","",INDEX('Eredmény'!$AL$2:$AL$201,$W69))</f>
        <v/>
      </c>
      <c r="L69" s="15">
        <f>IF($W69="","",INDEX('Eredmény'!$AZ$2:$AZ$201,$W69))</f>
        <v/>
      </c>
      <c r="M69" s="15">
        <f>IF($W69="","",INDEX('Eredmény'!$BB$2:$BB$201,$W69))</f>
        <v/>
      </c>
      <c r="N69" s="15">
        <f>IF($W69="","",INDEX('Eredmény'!$BC$2:$BC$201,$W69))</f>
        <v/>
      </c>
      <c r="O69" s="16">
        <f>IF($W69="","",INDEX('Eredmény'!$BD$2:$BD$201,$W69))</f>
        <v/>
      </c>
      <c r="P69" s="13">
        <f>IF($W69="","",INDEX('Eredmény'!$BE$2:$BE$201,$W69))</f>
        <v/>
      </c>
      <c r="Q69" s="15">
        <f>IF($W69="","",INDEX('Eredmény'!$BF$2:$BF$201,$W69))</f>
        <v/>
      </c>
      <c r="R69" s="17">
        <f>IF($W69="","",INDEX('Eredmény'!$BG$2:$BG$201,$W69))</f>
        <v/>
      </c>
      <c r="S69" s="13">
        <f>IF($W69="","",INDEX('Eredmény'!$AT$2:$AT$201,$W69))</f>
        <v/>
      </c>
      <c r="T69" s="13">
        <f>IF($W69="","",INDEX('Eredmény'!$AV$2:$AV$201,$W69))</f>
        <v/>
      </c>
      <c r="U69" s="12">
        <f>IF($W69="","",INDEX('Eredmény'!$BI$2:$BI$201,$W69))</f>
        <v/>
      </c>
      <c r="W69">
        <f>IFERROR(MATCH(LARGE('Eredmény'!$DY$2:$DY$201,65),'Eredmény'!$DY$2:$DY$201,0),"")</f>
        <v/>
      </c>
    </row>
    <row r="70">
      <c r="A70" s="12">
        <f>IF($W70="","",INDEX('Eredmény'!$AO$2:$AO$201,$W70))</f>
        <v/>
      </c>
      <c r="B70" s="13">
        <f>IF($W70="","",INDEX('Eredmény'!$A$2:$A$201,$W70))</f>
        <v/>
      </c>
      <c r="C70" s="14">
        <f>IF($W70="","",INDEX('Eredmény'!$AM$2:$AM$201,$W70))</f>
        <v/>
      </c>
      <c r="D70" s="14">
        <f>IF($W70="","",INDEX('Eredmény'!$AN$2:$AN$201,$W70))</f>
        <v/>
      </c>
      <c r="E70" s="12">
        <f>IF($W70="","",INDEX('Eredmény'!$AQ$2:$AQ$201,$W70))</f>
        <v/>
      </c>
      <c r="F70" s="13">
        <f>IF($W70="","",INDEX('Eredmény'!$AR$2:$AR$201,$W70))</f>
        <v/>
      </c>
      <c r="G70" s="13">
        <f>IF($W70="","",INDEX('Eredmény'!$AS$2:$AS$201,$W70))</f>
        <v/>
      </c>
      <c r="H70" s="14">
        <f>IF($W70="","",INDEX('Eredmény'!$AI$2:$AI$201,$W70))</f>
        <v/>
      </c>
      <c r="I70" s="14">
        <f>IF($W70="","",INDEX('Eredmény'!$AJ$2:$AJ$201,$W70))</f>
        <v/>
      </c>
      <c r="J70" s="14">
        <f>IF($W70="","",INDEX('Eredmény'!$AK$2:$AK$201,$W70))</f>
        <v/>
      </c>
      <c r="K70" s="14">
        <f>IF($W70="","",INDEX('Eredmény'!$AL$2:$AL$201,$W70))</f>
        <v/>
      </c>
      <c r="L70" s="15">
        <f>IF($W70="","",INDEX('Eredmény'!$AZ$2:$AZ$201,$W70))</f>
        <v/>
      </c>
      <c r="M70" s="15">
        <f>IF($W70="","",INDEX('Eredmény'!$BB$2:$BB$201,$W70))</f>
        <v/>
      </c>
      <c r="N70" s="15">
        <f>IF($W70="","",INDEX('Eredmény'!$BC$2:$BC$201,$W70))</f>
        <v/>
      </c>
      <c r="O70" s="16">
        <f>IF($W70="","",INDEX('Eredmény'!$BD$2:$BD$201,$W70))</f>
        <v/>
      </c>
      <c r="P70" s="13">
        <f>IF($W70="","",INDEX('Eredmény'!$BE$2:$BE$201,$W70))</f>
        <v/>
      </c>
      <c r="Q70" s="15">
        <f>IF($W70="","",INDEX('Eredmény'!$BF$2:$BF$201,$W70))</f>
        <v/>
      </c>
      <c r="R70" s="17">
        <f>IF($W70="","",INDEX('Eredmény'!$BG$2:$BG$201,$W70))</f>
        <v/>
      </c>
      <c r="S70" s="13">
        <f>IF($W70="","",INDEX('Eredmény'!$AT$2:$AT$201,$W70))</f>
        <v/>
      </c>
      <c r="T70" s="13">
        <f>IF($W70="","",INDEX('Eredmény'!$AV$2:$AV$201,$W70))</f>
        <v/>
      </c>
      <c r="U70" s="12">
        <f>IF($W70="","",INDEX('Eredmény'!$BI$2:$BI$201,$W70))</f>
        <v/>
      </c>
      <c r="W70">
        <f>IFERROR(MATCH(LARGE('Eredmény'!$DY$2:$DY$201,66),'Eredmény'!$DY$2:$DY$201,0),"")</f>
        <v/>
      </c>
    </row>
    <row r="71">
      <c r="A71" s="12">
        <f>IF($W71="","",INDEX('Eredmény'!$AO$2:$AO$201,$W71))</f>
        <v/>
      </c>
      <c r="B71" s="13">
        <f>IF($W71="","",INDEX('Eredmény'!$A$2:$A$201,$W71))</f>
        <v/>
      </c>
      <c r="C71" s="14">
        <f>IF($W71="","",INDEX('Eredmény'!$AM$2:$AM$201,$W71))</f>
        <v/>
      </c>
      <c r="D71" s="14">
        <f>IF($W71="","",INDEX('Eredmény'!$AN$2:$AN$201,$W71))</f>
        <v/>
      </c>
      <c r="E71" s="12">
        <f>IF($W71="","",INDEX('Eredmény'!$AQ$2:$AQ$201,$W71))</f>
        <v/>
      </c>
      <c r="F71" s="13">
        <f>IF($W71="","",INDEX('Eredmény'!$AR$2:$AR$201,$W71))</f>
        <v/>
      </c>
      <c r="G71" s="13">
        <f>IF($W71="","",INDEX('Eredmény'!$AS$2:$AS$201,$W71))</f>
        <v/>
      </c>
      <c r="H71" s="14">
        <f>IF($W71="","",INDEX('Eredmény'!$AI$2:$AI$201,$W71))</f>
        <v/>
      </c>
      <c r="I71" s="14">
        <f>IF($W71="","",INDEX('Eredmény'!$AJ$2:$AJ$201,$W71))</f>
        <v/>
      </c>
      <c r="J71" s="14">
        <f>IF($W71="","",INDEX('Eredmény'!$AK$2:$AK$201,$W71))</f>
        <v/>
      </c>
      <c r="K71" s="14">
        <f>IF($W71="","",INDEX('Eredmény'!$AL$2:$AL$201,$W71))</f>
        <v/>
      </c>
      <c r="L71" s="15">
        <f>IF($W71="","",INDEX('Eredmény'!$AZ$2:$AZ$201,$W71))</f>
        <v/>
      </c>
      <c r="M71" s="15">
        <f>IF($W71="","",INDEX('Eredmény'!$BB$2:$BB$201,$W71))</f>
        <v/>
      </c>
      <c r="N71" s="15">
        <f>IF($W71="","",INDEX('Eredmény'!$BC$2:$BC$201,$W71))</f>
        <v/>
      </c>
      <c r="O71" s="16">
        <f>IF($W71="","",INDEX('Eredmény'!$BD$2:$BD$201,$W71))</f>
        <v/>
      </c>
      <c r="P71" s="13">
        <f>IF($W71="","",INDEX('Eredmény'!$BE$2:$BE$201,$W71))</f>
        <v/>
      </c>
      <c r="Q71" s="15">
        <f>IF($W71="","",INDEX('Eredmény'!$BF$2:$BF$201,$W71))</f>
        <v/>
      </c>
      <c r="R71" s="17">
        <f>IF($W71="","",INDEX('Eredmény'!$BG$2:$BG$201,$W71))</f>
        <v/>
      </c>
      <c r="S71" s="13">
        <f>IF($W71="","",INDEX('Eredmény'!$AT$2:$AT$201,$W71))</f>
        <v/>
      </c>
      <c r="T71" s="13">
        <f>IF($W71="","",INDEX('Eredmény'!$AV$2:$AV$201,$W71))</f>
        <v/>
      </c>
      <c r="U71" s="12">
        <f>IF($W71="","",INDEX('Eredmény'!$BI$2:$BI$201,$W71))</f>
        <v/>
      </c>
      <c r="W71">
        <f>IFERROR(MATCH(LARGE('Eredmény'!$DY$2:$DY$201,67),'Eredmény'!$DY$2:$DY$201,0),"")</f>
        <v/>
      </c>
    </row>
    <row r="72">
      <c r="A72" s="12">
        <f>IF($W72="","",INDEX('Eredmény'!$AO$2:$AO$201,$W72))</f>
        <v/>
      </c>
      <c r="B72" s="13">
        <f>IF($W72="","",INDEX('Eredmény'!$A$2:$A$201,$W72))</f>
        <v/>
      </c>
      <c r="C72" s="14">
        <f>IF($W72="","",INDEX('Eredmény'!$AM$2:$AM$201,$W72))</f>
        <v/>
      </c>
      <c r="D72" s="14">
        <f>IF($W72="","",INDEX('Eredmény'!$AN$2:$AN$201,$W72))</f>
        <v/>
      </c>
      <c r="E72" s="12">
        <f>IF($W72="","",INDEX('Eredmény'!$AQ$2:$AQ$201,$W72))</f>
        <v/>
      </c>
      <c r="F72" s="13">
        <f>IF($W72="","",INDEX('Eredmény'!$AR$2:$AR$201,$W72))</f>
        <v/>
      </c>
      <c r="G72" s="13">
        <f>IF($W72="","",INDEX('Eredmény'!$AS$2:$AS$201,$W72))</f>
        <v/>
      </c>
      <c r="H72" s="14">
        <f>IF($W72="","",INDEX('Eredmény'!$AI$2:$AI$201,$W72))</f>
        <v/>
      </c>
      <c r="I72" s="14">
        <f>IF($W72="","",INDEX('Eredmény'!$AJ$2:$AJ$201,$W72))</f>
        <v/>
      </c>
      <c r="J72" s="14">
        <f>IF($W72="","",INDEX('Eredmény'!$AK$2:$AK$201,$W72))</f>
        <v/>
      </c>
      <c r="K72" s="14">
        <f>IF($W72="","",INDEX('Eredmény'!$AL$2:$AL$201,$W72))</f>
        <v/>
      </c>
      <c r="L72" s="15">
        <f>IF($W72="","",INDEX('Eredmény'!$AZ$2:$AZ$201,$W72))</f>
        <v/>
      </c>
      <c r="M72" s="15">
        <f>IF($W72="","",INDEX('Eredmény'!$BB$2:$BB$201,$W72))</f>
        <v/>
      </c>
      <c r="N72" s="15">
        <f>IF($W72="","",INDEX('Eredmény'!$BC$2:$BC$201,$W72))</f>
        <v/>
      </c>
      <c r="O72" s="16">
        <f>IF($W72="","",INDEX('Eredmény'!$BD$2:$BD$201,$W72))</f>
        <v/>
      </c>
      <c r="P72" s="13">
        <f>IF($W72="","",INDEX('Eredmény'!$BE$2:$BE$201,$W72))</f>
        <v/>
      </c>
      <c r="Q72" s="15">
        <f>IF($W72="","",INDEX('Eredmény'!$BF$2:$BF$201,$W72))</f>
        <v/>
      </c>
      <c r="R72" s="17">
        <f>IF($W72="","",INDEX('Eredmény'!$BG$2:$BG$201,$W72))</f>
        <v/>
      </c>
      <c r="S72" s="13">
        <f>IF($W72="","",INDEX('Eredmény'!$AT$2:$AT$201,$W72))</f>
        <v/>
      </c>
      <c r="T72" s="13">
        <f>IF($W72="","",INDEX('Eredmény'!$AV$2:$AV$201,$W72))</f>
        <v/>
      </c>
      <c r="U72" s="12">
        <f>IF($W72="","",INDEX('Eredmény'!$BI$2:$BI$201,$W72))</f>
        <v/>
      </c>
      <c r="W72">
        <f>IFERROR(MATCH(LARGE('Eredmény'!$DY$2:$DY$201,68),'Eredmény'!$DY$2:$DY$201,0),"")</f>
        <v/>
      </c>
    </row>
    <row r="73">
      <c r="A73" s="12">
        <f>IF($W73="","",INDEX('Eredmény'!$AO$2:$AO$201,$W73))</f>
        <v/>
      </c>
      <c r="B73" s="13">
        <f>IF($W73="","",INDEX('Eredmény'!$A$2:$A$201,$W73))</f>
        <v/>
      </c>
      <c r="C73" s="14">
        <f>IF($W73="","",INDEX('Eredmény'!$AM$2:$AM$201,$W73))</f>
        <v/>
      </c>
      <c r="D73" s="14">
        <f>IF($W73="","",INDEX('Eredmény'!$AN$2:$AN$201,$W73))</f>
        <v/>
      </c>
      <c r="E73" s="12">
        <f>IF($W73="","",INDEX('Eredmény'!$AQ$2:$AQ$201,$W73))</f>
        <v/>
      </c>
      <c r="F73" s="13">
        <f>IF($W73="","",INDEX('Eredmény'!$AR$2:$AR$201,$W73))</f>
        <v/>
      </c>
      <c r="G73" s="13">
        <f>IF($W73="","",INDEX('Eredmény'!$AS$2:$AS$201,$W73))</f>
        <v/>
      </c>
      <c r="H73" s="14">
        <f>IF($W73="","",INDEX('Eredmény'!$AI$2:$AI$201,$W73))</f>
        <v/>
      </c>
      <c r="I73" s="14">
        <f>IF($W73="","",INDEX('Eredmény'!$AJ$2:$AJ$201,$W73))</f>
        <v/>
      </c>
      <c r="J73" s="14">
        <f>IF($W73="","",INDEX('Eredmény'!$AK$2:$AK$201,$W73))</f>
        <v/>
      </c>
      <c r="K73" s="14">
        <f>IF($W73="","",INDEX('Eredmény'!$AL$2:$AL$201,$W73))</f>
        <v/>
      </c>
      <c r="L73" s="15">
        <f>IF($W73="","",INDEX('Eredmény'!$AZ$2:$AZ$201,$W73))</f>
        <v/>
      </c>
      <c r="M73" s="15">
        <f>IF($W73="","",INDEX('Eredmény'!$BB$2:$BB$201,$W73))</f>
        <v/>
      </c>
      <c r="N73" s="15">
        <f>IF($W73="","",INDEX('Eredmény'!$BC$2:$BC$201,$W73))</f>
        <v/>
      </c>
      <c r="O73" s="16">
        <f>IF($W73="","",INDEX('Eredmény'!$BD$2:$BD$201,$W73))</f>
        <v/>
      </c>
      <c r="P73" s="13">
        <f>IF($W73="","",INDEX('Eredmény'!$BE$2:$BE$201,$W73))</f>
        <v/>
      </c>
      <c r="Q73" s="15">
        <f>IF($W73="","",INDEX('Eredmény'!$BF$2:$BF$201,$W73))</f>
        <v/>
      </c>
      <c r="R73" s="17">
        <f>IF($W73="","",INDEX('Eredmény'!$BG$2:$BG$201,$W73))</f>
        <v/>
      </c>
      <c r="S73" s="13">
        <f>IF($W73="","",INDEX('Eredmény'!$AT$2:$AT$201,$W73))</f>
        <v/>
      </c>
      <c r="T73" s="13">
        <f>IF($W73="","",INDEX('Eredmény'!$AV$2:$AV$201,$W73))</f>
        <v/>
      </c>
      <c r="U73" s="12">
        <f>IF($W73="","",INDEX('Eredmény'!$BI$2:$BI$201,$W73))</f>
        <v/>
      </c>
      <c r="W73">
        <f>IFERROR(MATCH(LARGE('Eredmény'!$DY$2:$DY$201,69),'Eredmény'!$DY$2:$DY$201,0),"")</f>
        <v/>
      </c>
    </row>
    <row r="74">
      <c r="A74" s="12">
        <f>IF($W74="","",INDEX('Eredmény'!$AO$2:$AO$201,$W74))</f>
        <v/>
      </c>
      <c r="B74" s="13">
        <f>IF($W74="","",INDEX('Eredmény'!$A$2:$A$201,$W74))</f>
        <v/>
      </c>
      <c r="C74" s="14">
        <f>IF($W74="","",INDEX('Eredmény'!$AM$2:$AM$201,$W74))</f>
        <v/>
      </c>
      <c r="D74" s="14">
        <f>IF($W74="","",INDEX('Eredmény'!$AN$2:$AN$201,$W74))</f>
        <v/>
      </c>
      <c r="E74" s="12">
        <f>IF($W74="","",INDEX('Eredmény'!$AQ$2:$AQ$201,$W74))</f>
        <v/>
      </c>
      <c r="F74" s="13">
        <f>IF($W74="","",INDEX('Eredmény'!$AR$2:$AR$201,$W74))</f>
        <v/>
      </c>
      <c r="G74" s="13">
        <f>IF($W74="","",INDEX('Eredmény'!$AS$2:$AS$201,$W74))</f>
        <v/>
      </c>
      <c r="H74" s="14">
        <f>IF($W74="","",INDEX('Eredmény'!$AI$2:$AI$201,$W74))</f>
        <v/>
      </c>
      <c r="I74" s="14">
        <f>IF($W74="","",INDEX('Eredmény'!$AJ$2:$AJ$201,$W74))</f>
        <v/>
      </c>
      <c r="J74" s="14">
        <f>IF($W74="","",INDEX('Eredmény'!$AK$2:$AK$201,$W74))</f>
        <v/>
      </c>
      <c r="K74" s="14">
        <f>IF($W74="","",INDEX('Eredmény'!$AL$2:$AL$201,$W74))</f>
        <v/>
      </c>
      <c r="L74" s="15">
        <f>IF($W74="","",INDEX('Eredmény'!$AZ$2:$AZ$201,$W74))</f>
        <v/>
      </c>
      <c r="M74" s="15">
        <f>IF($W74="","",INDEX('Eredmény'!$BB$2:$BB$201,$W74))</f>
        <v/>
      </c>
      <c r="N74" s="15">
        <f>IF($W74="","",INDEX('Eredmény'!$BC$2:$BC$201,$W74))</f>
        <v/>
      </c>
      <c r="O74" s="16">
        <f>IF($W74="","",INDEX('Eredmény'!$BD$2:$BD$201,$W74))</f>
        <v/>
      </c>
      <c r="P74" s="13">
        <f>IF($W74="","",INDEX('Eredmény'!$BE$2:$BE$201,$W74))</f>
        <v/>
      </c>
      <c r="Q74" s="15">
        <f>IF($W74="","",INDEX('Eredmény'!$BF$2:$BF$201,$W74))</f>
        <v/>
      </c>
      <c r="R74" s="17">
        <f>IF($W74="","",INDEX('Eredmény'!$BG$2:$BG$201,$W74))</f>
        <v/>
      </c>
      <c r="S74" s="13">
        <f>IF($W74="","",INDEX('Eredmény'!$AT$2:$AT$201,$W74))</f>
        <v/>
      </c>
      <c r="T74" s="13">
        <f>IF($W74="","",INDEX('Eredmény'!$AV$2:$AV$201,$W74))</f>
        <v/>
      </c>
      <c r="U74" s="12">
        <f>IF($W74="","",INDEX('Eredmény'!$BI$2:$BI$201,$W74))</f>
        <v/>
      </c>
      <c r="W74">
        <f>IFERROR(MATCH(LARGE('Eredmény'!$DY$2:$DY$201,70),'Eredmény'!$DY$2:$DY$201,0),"")</f>
        <v/>
      </c>
    </row>
    <row r="75">
      <c r="A75" s="12">
        <f>IF($W75="","",INDEX('Eredmény'!$AO$2:$AO$201,$W75))</f>
        <v/>
      </c>
      <c r="B75" s="13">
        <f>IF($W75="","",INDEX('Eredmény'!$A$2:$A$201,$W75))</f>
        <v/>
      </c>
      <c r="C75" s="14">
        <f>IF($W75="","",INDEX('Eredmény'!$AM$2:$AM$201,$W75))</f>
        <v/>
      </c>
      <c r="D75" s="14">
        <f>IF($W75="","",INDEX('Eredmény'!$AN$2:$AN$201,$W75))</f>
        <v/>
      </c>
      <c r="E75" s="12">
        <f>IF($W75="","",INDEX('Eredmény'!$AQ$2:$AQ$201,$W75))</f>
        <v/>
      </c>
      <c r="F75" s="13">
        <f>IF($W75="","",INDEX('Eredmény'!$AR$2:$AR$201,$W75))</f>
        <v/>
      </c>
      <c r="G75" s="13">
        <f>IF($W75="","",INDEX('Eredmény'!$AS$2:$AS$201,$W75))</f>
        <v/>
      </c>
      <c r="H75" s="14">
        <f>IF($W75="","",INDEX('Eredmény'!$AI$2:$AI$201,$W75))</f>
        <v/>
      </c>
      <c r="I75" s="14">
        <f>IF($W75="","",INDEX('Eredmény'!$AJ$2:$AJ$201,$W75))</f>
        <v/>
      </c>
      <c r="J75" s="14">
        <f>IF($W75="","",INDEX('Eredmény'!$AK$2:$AK$201,$W75))</f>
        <v/>
      </c>
      <c r="K75" s="14">
        <f>IF($W75="","",INDEX('Eredmény'!$AL$2:$AL$201,$W75))</f>
        <v/>
      </c>
      <c r="L75" s="15">
        <f>IF($W75="","",INDEX('Eredmény'!$AZ$2:$AZ$201,$W75))</f>
        <v/>
      </c>
      <c r="M75" s="15">
        <f>IF($W75="","",INDEX('Eredmény'!$BB$2:$BB$201,$W75))</f>
        <v/>
      </c>
      <c r="N75" s="15">
        <f>IF($W75="","",INDEX('Eredmény'!$BC$2:$BC$201,$W75))</f>
        <v/>
      </c>
      <c r="O75" s="16">
        <f>IF($W75="","",INDEX('Eredmény'!$BD$2:$BD$201,$W75))</f>
        <v/>
      </c>
      <c r="P75" s="13">
        <f>IF($W75="","",INDEX('Eredmény'!$BE$2:$BE$201,$W75))</f>
        <v/>
      </c>
      <c r="Q75" s="15">
        <f>IF($W75="","",INDEX('Eredmény'!$BF$2:$BF$201,$W75))</f>
        <v/>
      </c>
      <c r="R75" s="17">
        <f>IF($W75="","",INDEX('Eredmény'!$BG$2:$BG$201,$W75))</f>
        <v/>
      </c>
      <c r="S75" s="13">
        <f>IF($W75="","",INDEX('Eredmény'!$AT$2:$AT$201,$W75))</f>
        <v/>
      </c>
      <c r="T75" s="13">
        <f>IF($W75="","",INDEX('Eredmény'!$AV$2:$AV$201,$W75))</f>
        <v/>
      </c>
      <c r="U75" s="12">
        <f>IF($W75="","",INDEX('Eredmény'!$BI$2:$BI$201,$W75))</f>
        <v/>
      </c>
      <c r="W75">
        <f>IFERROR(MATCH(LARGE('Eredmény'!$DY$2:$DY$201,71),'Eredmény'!$DY$2:$DY$201,0),"")</f>
        <v/>
      </c>
    </row>
    <row r="76">
      <c r="A76" s="12">
        <f>IF($W76="","",INDEX('Eredmény'!$AO$2:$AO$201,$W76))</f>
        <v/>
      </c>
      <c r="B76" s="13">
        <f>IF($W76="","",INDEX('Eredmény'!$A$2:$A$201,$W76))</f>
        <v/>
      </c>
      <c r="C76" s="14">
        <f>IF($W76="","",INDEX('Eredmény'!$AM$2:$AM$201,$W76))</f>
        <v/>
      </c>
      <c r="D76" s="14">
        <f>IF($W76="","",INDEX('Eredmény'!$AN$2:$AN$201,$W76))</f>
        <v/>
      </c>
      <c r="E76" s="12">
        <f>IF($W76="","",INDEX('Eredmény'!$AQ$2:$AQ$201,$W76))</f>
        <v/>
      </c>
      <c r="F76" s="13">
        <f>IF($W76="","",INDEX('Eredmény'!$AR$2:$AR$201,$W76))</f>
        <v/>
      </c>
      <c r="G76" s="13">
        <f>IF($W76="","",INDEX('Eredmény'!$AS$2:$AS$201,$W76))</f>
        <v/>
      </c>
      <c r="H76" s="14">
        <f>IF($W76="","",INDEX('Eredmény'!$AI$2:$AI$201,$W76))</f>
        <v/>
      </c>
      <c r="I76" s="14">
        <f>IF($W76="","",INDEX('Eredmény'!$AJ$2:$AJ$201,$W76))</f>
        <v/>
      </c>
      <c r="J76" s="14">
        <f>IF($W76="","",INDEX('Eredmény'!$AK$2:$AK$201,$W76))</f>
        <v/>
      </c>
      <c r="K76" s="14">
        <f>IF($W76="","",INDEX('Eredmény'!$AL$2:$AL$201,$W76))</f>
        <v/>
      </c>
      <c r="L76" s="15">
        <f>IF($W76="","",INDEX('Eredmény'!$AZ$2:$AZ$201,$W76))</f>
        <v/>
      </c>
      <c r="M76" s="15">
        <f>IF($W76="","",INDEX('Eredmény'!$BB$2:$BB$201,$W76))</f>
        <v/>
      </c>
      <c r="N76" s="15">
        <f>IF($W76="","",INDEX('Eredmény'!$BC$2:$BC$201,$W76))</f>
        <v/>
      </c>
      <c r="O76" s="16">
        <f>IF($W76="","",INDEX('Eredmény'!$BD$2:$BD$201,$W76))</f>
        <v/>
      </c>
      <c r="P76" s="13">
        <f>IF($W76="","",INDEX('Eredmény'!$BE$2:$BE$201,$W76))</f>
        <v/>
      </c>
      <c r="Q76" s="15">
        <f>IF($W76="","",INDEX('Eredmény'!$BF$2:$BF$201,$W76))</f>
        <v/>
      </c>
      <c r="R76" s="17">
        <f>IF($W76="","",INDEX('Eredmény'!$BG$2:$BG$201,$W76))</f>
        <v/>
      </c>
      <c r="S76" s="13">
        <f>IF($W76="","",INDEX('Eredmény'!$AT$2:$AT$201,$W76))</f>
        <v/>
      </c>
      <c r="T76" s="13">
        <f>IF($W76="","",INDEX('Eredmény'!$AV$2:$AV$201,$W76))</f>
        <v/>
      </c>
      <c r="U76" s="12">
        <f>IF($W76="","",INDEX('Eredmény'!$BI$2:$BI$201,$W76))</f>
        <v/>
      </c>
      <c r="W76">
        <f>IFERROR(MATCH(LARGE('Eredmény'!$DY$2:$DY$201,72),'Eredmény'!$DY$2:$DY$201,0),"")</f>
        <v/>
      </c>
    </row>
    <row r="77">
      <c r="A77" s="12">
        <f>IF($W77="","",INDEX('Eredmény'!$AO$2:$AO$201,$W77))</f>
        <v/>
      </c>
      <c r="B77" s="13">
        <f>IF($W77="","",INDEX('Eredmény'!$A$2:$A$201,$W77))</f>
        <v/>
      </c>
      <c r="C77" s="14">
        <f>IF($W77="","",INDEX('Eredmény'!$AM$2:$AM$201,$W77))</f>
        <v/>
      </c>
      <c r="D77" s="14">
        <f>IF($W77="","",INDEX('Eredmény'!$AN$2:$AN$201,$W77))</f>
        <v/>
      </c>
      <c r="E77" s="12">
        <f>IF($W77="","",INDEX('Eredmény'!$AQ$2:$AQ$201,$W77))</f>
        <v/>
      </c>
      <c r="F77" s="13">
        <f>IF($W77="","",INDEX('Eredmény'!$AR$2:$AR$201,$W77))</f>
        <v/>
      </c>
      <c r="G77" s="13">
        <f>IF($W77="","",INDEX('Eredmény'!$AS$2:$AS$201,$W77))</f>
        <v/>
      </c>
      <c r="H77" s="14">
        <f>IF($W77="","",INDEX('Eredmény'!$AI$2:$AI$201,$W77))</f>
        <v/>
      </c>
      <c r="I77" s="14">
        <f>IF($W77="","",INDEX('Eredmény'!$AJ$2:$AJ$201,$W77))</f>
        <v/>
      </c>
      <c r="J77" s="14">
        <f>IF($W77="","",INDEX('Eredmény'!$AK$2:$AK$201,$W77))</f>
        <v/>
      </c>
      <c r="K77" s="14">
        <f>IF($W77="","",INDEX('Eredmény'!$AL$2:$AL$201,$W77))</f>
        <v/>
      </c>
      <c r="L77" s="15">
        <f>IF($W77="","",INDEX('Eredmény'!$AZ$2:$AZ$201,$W77))</f>
        <v/>
      </c>
      <c r="M77" s="15">
        <f>IF($W77="","",INDEX('Eredmény'!$BB$2:$BB$201,$W77))</f>
        <v/>
      </c>
      <c r="N77" s="15">
        <f>IF($W77="","",INDEX('Eredmény'!$BC$2:$BC$201,$W77))</f>
        <v/>
      </c>
      <c r="O77" s="16">
        <f>IF($W77="","",INDEX('Eredmény'!$BD$2:$BD$201,$W77))</f>
        <v/>
      </c>
      <c r="P77" s="13">
        <f>IF($W77="","",INDEX('Eredmény'!$BE$2:$BE$201,$W77))</f>
        <v/>
      </c>
      <c r="Q77" s="15">
        <f>IF($W77="","",INDEX('Eredmény'!$BF$2:$BF$201,$W77))</f>
        <v/>
      </c>
      <c r="R77" s="17">
        <f>IF($W77="","",INDEX('Eredmény'!$BG$2:$BG$201,$W77))</f>
        <v/>
      </c>
      <c r="S77" s="13">
        <f>IF($W77="","",INDEX('Eredmény'!$AT$2:$AT$201,$W77))</f>
        <v/>
      </c>
      <c r="T77" s="13">
        <f>IF($W77="","",INDEX('Eredmény'!$AV$2:$AV$201,$W77))</f>
        <v/>
      </c>
      <c r="U77" s="12">
        <f>IF($W77="","",INDEX('Eredmény'!$BI$2:$BI$201,$W77))</f>
        <v/>
      </c>
      <c r="W77">
        <f>IFERROR(MATCH(LARGE('Eredmény'!$DY$2:$DY$201,73),'Eredmény'!$DY$2:$DY$201,0),"")</f>
        <v/>
      </c>
    </row>
    <row r="78">
      <c r="A78" s="12">
        <f>IF($W78="","",INDEX('Eredmény'!$AO$2:$AO$201,$W78))</f>
        <v/>
      </c>
      <c r="B78" s="13">
        <f>IF($W78="","",INDEX('Eredmény'!$A$2:$A$201,$W78))</f>
        <v/>
      </c>
      <c r="C78" s="14">
        <f>IF($W78="","",INDEX('Eredmény'!$AM$2:$AM$201,$W78))</f>
        <v/>
      </c>
      <c r="D78" s="14">
        <f>IF($W78="","",INDEX('Eredmény'!$AN$2:$AN$201,$W78))</f>
        <v/>
      </c>
      <c r="E78" s="12">
        <f>IF($W78="","",INDEX('Eredmény'!$AQ$2:$AQ$201,$W78))</f>
        <v/>
      </c>
      <c r="F78" s="13">
        <f>IF($W78="","",INDEX('Eredmény'!$AR$2:$AR$201,$W78))</f>
        <v/>
      </c>
      <c r="G78" s="13">
        <f>IF($W78="","",INDEX('Eredmény'!$AS$2:$AS$201,$W78))</f>
        <v/>
      </c>
      <c r="H78" s="14">
        <f>IF($W78="","",INDEX('Eredmény'!$AI$2:$AI$201,$W78))</f>
        <v/>
      </c>
      <c r="I78" s="14">
        <f>IF($W78="","",INDEX('Eredmény'!$AJ$2:$AJ$201,$W78))</f>
        <v/>
      </c>
      <c r="J78" s="14">
        <f>IF($W78="","",INDEX('Eredmény'!$AK$2:$AK$201,$W78))</f>
        <v/>
      </c>
      <c r="K78" s="14">
        <f>IF($W78="","",INDEX('Eredmény'!$AL$2:$AL$201,$W78))</f>
        <v/>
      </c>
      <c r="L78" s="15">
        <f>IF($W78="","",INDEX('Eredmény'!$AZ$2:$AZ$201,$W78))</f>
        <v/>
      </c>
      <c r="M78" s="15">
        <f>IF($W78="","",INDEX('Eredmény'!$BB$2:$BB$201,$W78))</f>
        <v/>
      </c>
      <c r="N78" s="15">
        <f>IF($W78="","",INDEX('Eredmény'!$BC$2:$BC$201,$W78))</f>
        <v/>
      </c>
      <c r="O78" s="16">
        <f>IF($W78="","",INDEX('Eredmény'!$BD$2:$BD$201,$W78))</f>
        <v/>
      </c>
      <c r="P78" s="13">
        <f>IF($W78="","",INDEX('Eredmény'!$BE$2:$BE$201,$W78))</f>
        <v/>
      </c>
      <c r="Q78" s="15">
        <f>IF($W78="","",INDEX('Eredmény'!$BF$2:$BF$201,$W78))</f>
        <v/>
      </c>
      <c r="R78" s="17">
        <f>IF($W78="","",INDEX('Eredmény'!$BG$2:$BG$201,$W78))</f>
        <v/>
      </c>
      <c r="S78" s="13">
        <f>IF($W78="","",INDEX('Eredmény'!$AT$2:$AT$201,$W78))</f>
        <v/>
      </c>
      <c r="T78" s="13">
        <f>IF($W78="","",INDEX('Eredmény'!$AV$2:$AV$201,$W78))</f>
        <v/>
      </c>
      <c r="U78" s="12">
        <f>IF($W78="","",INDEX('Eredmény'!$BI$2:$BI$201,$W78))</f>
        <v/>
      </c>
      <c r="W78">
        <f>IFERROR(MATCH(LARGE('Eredmény'!$DY$2:$DY$201,74),'Eredmény'!$DY$2:$DY$201,0),"")</f>
        <v/>
      </c>
    </row>
    <row r="79">
      <c r="A79" s="12">
        <f>IF($W79="","",INDEX('Eredmény'!$AO$2:$AO$201,$W79))</f>
        <v/>
      </c>
      <c r="B79" s="13">
        <f>IF($W79="","",INDEX('Eredmény'!$A$2:$A$201,$W79))</f>
        <v/>
      </c>
      <c r="C79" s="14">
        <f>IF($W79="","",INDEX('Eredmény'!$AM$2:$AM$201,$W79))</f>
        <v/>
      </c>
      <c r="D79" s="14">
        <f>IF($W79="","",INDEX('Eredmény'!$AN$2:$AN$201,$W79))</f>
        <v/>
      </c>
      <c r="E79" s="12">
        <f>IF($W79="","",INDEX('Eredmény'!$AQ$2:$AQ$201,$W79))</f>
        <v/>
      </c>
      <c r="F79" s="13">
        <f>IF($W79="","",INDEX('Eredmény'!$AR$2:$AR$201,$W79))</f>
        <v/>
      </c>
      <c r="G79" s="13">
        <f>IF($W79="","",INDEX('Eredmény'!$AS$2:$AS$201,$W79))</f>
        <v/>
      </c>
      <c r="H79" s="14">
        <f>IF($W79="","",INDEX('Eredmény'!$AI$2:$AI$201,$W79))</f>
        <v/>
      </c>
      <c r="I79" s="14">
        <f>IF($W79="","",INDEX('Eredmény'!$AJ$2:$AJ$201,$W79))</f>
        <v/>
      </c>
      <c r="J79" s="14">
        <f>IF($W79="","",INDEX('Eredmény'!$AK$2:$AK$201,$W79))</f>
        <v/>
      </c>
      <c r="K79" s="14">
        <f>IF($W79="","",INDEX('Eredmény'!$AL$2:$AL$201,$W79))</f>
        <v/>
      </c>
      <c r="L79" s="15">
        <f>IF($W79="","",INDEX('Eredmény'!$AZ$2:$AZ$201,$W79))</f>
        <v/>
      </c>
      <c r="M79" s="15">
        <f>IF($W79="","",INDEX('Eredmény'!$BB$2:$BB$201,$W79))</f>
        <v/>
      </c>
      <c r="N79" s="15">
        <f>IF($W79="","",INDEX('Eredmény'!$BC$2:$BC$201,$W79))</f>
        <v/>
      </c>
      <c r="O79" s="16">
        <f>IF($W79="","",INDEX('Eredmény'!$BD$2:$BD$201,$W79))</f>
        <v/>
      </c>
      <c r="P79" s="13">
        <f>IF($W79="","",INDEX('Eredmény'!$BE$2:$BE$201,$W79))</f>
        <v/>
      </c>
      <c r="Q79" s="15">
        <f>IF($W79="","",INDEX('Eredmény'!$BF$2:$BF$201,$W79))</f>
        <v/>
      </c>
      <c r="R79" s="17">
        <f>IF($W79="","",INDEX('Eredmény'!$BG$2:$BG$201,$W79))</f>
        <v/>
      </c>
      <c r="S79" s="13">
        <f>IF($W79="","",INDEX('Eredmény'!$AT$2:$AT$201,$W79))</f>
        <v/>
      </c>
      <c r="T79" s="13">
        <f>IF($W79="","",INDEX('Eredmény'!$AV$2:$AV$201,$W79))</f>
        <v/>
      </c>
      <c r="U79" s="12">
        <f>IF($W79="","",INDEX('Eredmény'!$BI$2:$BI$201,$W79))</f>
        <v/>
      </c>
      <c r="W79">
        <f>IFERROR(MATCH(LARGE('Eredmény'!$DY$2:$DY$201,75),'Eredmény'!$DY$2:$DY$201,0),"")</f>
        <v/>
      </c>
    </row>
    <row r="80">
      <c r="A80" s="12">
        <f>IF($W80="","",INDEX('Eredmény'!$AO$2:$AO$201,$W80))</f>
        <v/>
      </c>
      <c r="B80" s="13">
        <f>IF($W80="","",INDEX('Eredmény'!$A$2:$A$201,$W80))</f>
        <v/>
      </c>
      <c r="C80" s="14">
        <f>IF($W80="","",INDEX('Eredmény'!$AM$2:$AM$201,$W80))</f>
        <v/>
      </c>
      <c r="D80" s="14">
        <f>IF($W80="","",INDEX('Eredmény'!$AN$2:$AN$201,$W80))</f>
        <v/>
      </c>
      <c r="E80" s="12">
        <f>IF($W80="","",INDEX('Eredmény'!$AQ$2:$AQ$201,$W80))</f>
        <v/>
      </c>
      <c r="F80" s="13">
        <f>IF($W80="","",INDEX('Eredmény'!$AR$2:$AR$201,$W80))</f>
        <v/>
      </c>
      <c r="G80" s="13">
        <f>IF($W80="","",INDEX('Eredmény'!$AS$2:$AS$201,$W80))</f>
        <v/>
      </c>
      <c r="H80" s="14">
        <f>IF($W80="","",INDEX('Eredmény'!$AI$2:$AI$201,$W80))</f>
        <v/>
      </c>
      <c r="I80" s="14">
        <f>IF($W80="","",INDEX('Eredmény'!$AJ$2:$AJ$201,$W80))</f>
        <v/>
      </c>
      <c r="J80" s="14">
        <f>IF($W80="","",INDEX('Eredmény'!$AK$2:$AK$201,$W80))</f>
        <v/>
      </c>
      <c r="K80" s="14">
        <f>IF($W80="","",INDEX('Eredmény'!$AL$2:$AL$201,$W80))</f>
        <v/>
      </c>
      <c r="L80" s="15">
        <f>IF($W80="","",INDEX('Eredmény'!$AZ$2:$AZ$201,$W80))</f>
        <v/>
      </c>
      <c r="M80" s="15">
        <f>IF($W80="","",INDEX('Eredmény'!$BB$2:$BB$201,$W80))</f>
        <v/>
      </c>
      <c r="N80" s="15">
        <f>IF($W80="","",INDEX('Eredmény'!$BC$2:$BC$201,$W80))</f>
        <v/>
      </c>
      <c r="O80" s="16">
        <f>IF($W80="","",INDEX('Eredmény'!$BD$2:$BD$201,$W80))</f>
        <v/>
      </c>
      <c r="P80" s="13">
        <f>IF($W80="","",INDEX('Eredmény'!$BE$2:$BE$201,$W80))</f>
        <v/>
      </c>
      <c r="Q80" s="15">
        <f>IF($W80="","",INDEX('Eredmény'!$BF$2:$BF$201,$W80))</f>
        <v/>
      </c>
      <c r="R80" s="17">
        <f>IF($W80="","",INDEX('Eredmény'!$BG$2:$BG$201,$W80))</f>
        <v/>
      </c>
      <c r="S80" s="13">
        <f>IF($W80="","",INDEX('Eredmény'!$AT$2:$AT$201,$W80))</f>
        <v/>
      </c>
      <c r="T80" s="13">
        <f>IF($W80="","",INDEX('Eredmény'!$AV$2:$AV$201,$W80))</f>
        <v/>
      </c>
      <c r="U80" s="12">
        <f>IF($W80="","",INDEX('Eredmény'!$BI$2:$BI$201,$W80))</f>
        <v/>
      </c>
      <c r="W80">
        <f>IFERROR(MATCH(LARGE('Eredmény'!$DY$2:$DY$201,76),'Eredmény'!$DY$2:$DY$201,0),"")</f>
        <v/>
      </c>
    </row>
    <row r="81">
      <c r="A81" s="12">
        <f>IF($W81="","",INDEX('Eredmény'!$AO$2:$AO$201,$W81))</f>
        <v/>
      </c>
      <c r="B81" s="13">
        <f>IF($W81="","",INDEX('Eredmény'!$A$2:$A$201,$W81))</f>
        <v/>
      </c>
      <c r="C81" s="14">
        <f>IF($W81="","",INDEX('Eredmény'!$AM$2:$AM$201,$W81))</f>
        <v/>
      </c>
      <c r="D81" s="14">
        <f>IF($W81="","",INDEX('Eredmény'!$AN$2:$AN$201,$W81))</f>
        <v/>
      </c>
      <c r="E81" s="12">
        <f>IF($W81="","",INDEX('Eredmény'!$AQ$2:$AQ$201,$W81))</f>
        <v/>
      </c>
      <c r="F81" s="13">
        <f>IF($W81="","",INDEX('Eredmény'!$AR$2:$AR$201,$W81))</f>
        <v/>
      </c>
      <c r="G81" s="13">
        <f>IF($W81="","",INDEX('Eredmény'!$AS$2:$AS$201,$W81))</f>
        <v/>
      </c>
      <c r="H81" s="14">
        <f>IF($W81="","",INDEX('Eredmény'!$AI$2:$AI$201,$W81))</f>
        <v/>
      </c>
      <c r="I81" s="14">
        <f>IF($W81="","",INDEX('Eredmény'!$AJ$2:$AJ$201,$W81))</f>
        <v/>
      </c>
      <c r="J81" s="14">
        <f>IF($W81="","",INDEX('Eredmény'!$AK$2:$AK$201,$W81))</f>
        <v/>
      </c>
      <c r="K81" s="14">
        <f>IF($W81="","",INDEX('Eredmény'!$AL$2:$AL$201,$W81))</f>
        <v/>
      </c>
      <c r="L81" s="15">
        <f>IF($W81="","",INDEX('Eredmény'!$AZ$2:$AZ$201,$W81))</f>
        <v/>
      </c>
      <c r="M81" s="15">
        <f>IF($W81="","",INDEX('Eredmény'!$BB$2:$BB$201,$W81))</f>
        <v/>
      </c>
      <c r="N81" s="15">
        <f>IF($W81="","",INDEX('Eredmény'!$BC$2:$BC$201,$W81))</f>
        <v/>
      </c>
      <c r="O81" s="16">
        <f>IF($W81="","",INDEX('Eredmény'!$BD$2:$BD$201,$W81))</f>
        <v/>
      </c>
      <c r="P81" s="13">
        <f>IF($W81="","",INDEX('Eredmény'!$BE$2:$BE$201,$W81))</f>
        <v/>
      </c>
      <c r="Q81" s="15">
        <f>IF($W81="","",INDEX('Eredmény'!$BF$2:$BF$201,$W81))</f>
        <v/>
      </c>
      <c r="R81" s="17">
        <f>IF($W81="","",INDEX('Eredmény'!$BG$2:$BG$201,$W81))</f>
        <v/>
      </c>
      <c r="S81" s="13">
        <f>IF($W81="","",INDEX('Eredmény'!$AT$2:$AT$201,$W81))</f>
        <v/>
      </c>
      <c r="T81" s="13">
        <f>IF($W81="","",INDEX('Eredmény'!$AV$2:$AV$201,$W81))</f>
        <v/>
      </c>
      <c r="U81" s="12">
        <f>IF($W81="","",INDEX('Eredmény'!$BI$2:$BI$201,$W81))</f>
        <v/>
      </c>
      <c r="W81">
        <f>IFERROR(MATCH(LARGE('Eredmény'!$DY$2:$DY$201,77),'Eredmény'!$DY$2:$DY$201,0),"")</f>
        <v/>
      </c>
    </row>
    <row r="82">
      <c r="A82" s="12">
        <f>IF($W82="","",INDEX('Eredmény'!$AO$2:$AO$201,$W82))</f>
        <v/>
      </c>
      <c r="B82" s="13">
        <f>IF($W82="","",INDEX('Eredmény'!$A$2:$A$201,$W82))</f>
        <v/>
      </c>
      <c r="C82" s="14">
        <f>IF($W82="","",INDEX('Eredmény'!$AM$2:$AM$201,$W82))</f>
        <v/>
      </c>
      <c r="D82" s="14">
        <f>IF($W82="","",INDEX('Eredmény'!$AN$2:$AN$201,$W82))</f>
        <v/>
      </c>
      <c r="E82" s="12">
        <f>IF($W82="","",INDEX('Eredmény'!$AQ$2:$AQ$201,$W82))</f>
        <v/>
      </c>
      <c r="F82" s="13">
        <f>IF($W82="","",INDEX('Eredmény'!$AR$2:$AR$201,$W82))</f>
        <v/>
      </c>
      <c r="G82" s="13">
        <f>IF($W82="","",INDEX('Eredmény'!$AS$2:$AS$201,$W82))</f>
        <v/>
      </c>
      <c r="H82" s="14">
        <f>IF($W82="","",INDEX('Eredmény'!$AI$2:$AI$201,$W82))</f>
        <v/>
      </c>
      <c r="I82" s="14">
        <f>IF($W82="","",INDEX('Eredmény'!$AJ$2:$AJ$201,$W82))</f>
        <v/>
      </c>
      <c r="J82" s="14">
        <f>IF($W82="","",INDEX('Eredmény'!$AK$2:$AK$201,$W82))</f>
        <v/>
      </c>
      <c r="K82" s="14">
        <f>IF($W82="","",INDEX('Eredmény'!$AL$2:$AL$201,$W82))</f>
        <v/>
      </c>
      <c r="L82" s="15">
        <f>IF($W82="","",INDEX('Eredmény'!$AZ$2:$AZ$201,$W82))</f>
        <v/>
      </c>
      <c r="M82" s="15">
        <f>IF($W82="","",INDEX('Eredmény'!$BB$2:$BB$201,$W82))</f>
        <v/>
      </c>
      <c r="N82" s="15">
        <f>IF($W82="","",INDEX('Eredmény'!$BC$2:$BC$201,$W82))</f>
        <v/>
      </c>
      <c r="O82" s="16">
        <f>IF($W82="","",INDEX('Eredmény'!$BD$2:$BD$201,$W82))</f>
        <v/>
      </c>
      <c r="P82" s="13">
        <f>IF($W82="","",INDEX('Eredmény'!$BE$2:$BE$201,$W82))</f>
        <v/>
      </c>
      <c r="Q82" s="15">
        <f>IF($W82="","",INDEX('Eredmény'!$BF$2:$BF$201,$W82))</f>
        <v/>
      </c>
      <c r="R82" s="17">
        <f>IF($W82="","",INDEX('Eredmény'!$BG$2:$BG$201,$W82))</f>
        <v/>
      </c>
      <c r="S82" s="13">
        <f>IF($W82="","",INDEX('Eredmény'!$AT$2:$AT$201,$W82))</f>
        <v/>
      </c>
      <c r="T82" s="13">
        <f>IF($W82="","",INDEX('Eredmény'!$AV$2:$AV$201,$W82))</f>
        <v/>
      </c>
      <c r="U82" s="12">
        <f>IF($W82="","",INDEX('Eredmény'!$BI$2:$BI$201,$W82))</f>
        <v/>
      </c>
      <c r="W82">
        <f>IFERROR(MATCH(LARGE('Eredmény'!$DY$2:$DY$201,78),'Eredmény'!$DY$2:$DY$201,0),"")</f>
        <v/>
      </c>
    </row>
    <row r="83">
      <c r="A83" s="12">
        <f>IF($W83="","",INDEX('Eredmény'!$AO$2:$AO$201,$W83))</f>
        <v/>
      </c>
      <c r="B83" s="13">
        <f>IF($W83="","",INDEX('Eredmény'!$A$2:$A$201,$W83))</f>
        <v/>
      </c>
      <c r="C83" s="14">
        <f>IF($W83="","",INDEX('Eredmény'!$AM$2:$AM$201,$W83))</f>
        <v/>
      </c>
      <c r="D83" s="14">
        <f>IF($W83="","",INDEX('Eredmény'!$AN$2:$AN$201,$W83))</f>
        <v/>
      </c>
      <c r="E83" s="12">
        <f>IF($W83="","",INDEX('Eredmény'!$AQ$2:$AQ$201,$W83))</f>
        <v/>
      </c>
      <c r="F83" s="13">
        <f>IF($W83="","",INDEX('Eredmény'!$AR$2:$AR$201,$W83))</f>
        <v/>
      </c>
      <c r="G83" s="13">
        <f>IF($W83="","",INDEX('Eredmény'!$AS$2:$AS$201,$W83))</f>
        <v/>
      </c>
      <c r="H83" s="14">
        <f>IF($W83="","",INDEX('Eredmény'!$AI$2:$AI$201,$W83))</f>
        <v/>
      </c>
      <c r="I83" s="14">
        <f>IF($W83="","",INDEX('Eredmény'!$AJ$2:$AJ$201,$W83))</f>
        <v/>
      </c>
      <c r="J83" s="14">
        <f>IF($W83="","",INDEX('Eredmény'!$AK$2:$AK$201,$W83))</f>
        <v/>
      </c>
      <c r="K83" s="14">
        <f>IF($W83="","",INDEX('Eredmény'!$AL$2:$AL$201,$W83))</f>
        <v/>
      </c>
      <c r="L83" s="15">
        <f>IF($W83="","",INDEX('Eredmény'!$AZ$2:$AZ$201,$W83))</f>
        <v/>
      </c>
      <c r="M83" s="15">
        <f>IF($W83="","",INDEX('Eredmény'!$BB$2:$BB$201,$W83))</f>
        <v/>
      </c>
      <c r="N83" s="15">
        <f>IF($W83="","",INDEX('Eredmény'!$BC$2:$BC$201,$W83))</f>
        <v/>
      </c>
      <c r="O83" s="16">
        <f>IF($W83="","",INDEX('Eredmény'!$BD$2:$BD$201,$W83))</f>
        <v/>
      </c>
      <c r="P83" s="13">
        <f>IF($W83="","",INDEX('Eredmény'!$BE$2:$BE$201,$W83))</f>
        <v/>
      </c>
      <c r="Q83" s="15">
        <f>IF($W83="","",INDEX('Eredmény'!$BF$2:$BF$201,$W83))</f>
        <v/>
      </c>
      <c r="R83" s="17">
        <f>IF($W83="","",INDEX('Eredmény'!$BG$2:$BG$201,$W83))</f>
        <v/>
      </c>
      <c r="S83" s="13">
        <f>IF($W83="","",INDEX('Eredmény'!$AT$2:$AT$201,$W83))</f>
        <v/>
      </c>
      <c r="T83" s="13">
        <f>IF($W83="","",INDEX('Eredmény'!$AV$2:$AV$201,$W83))</f>
        <v/>
      </c>
      <c r="U83" s="12">
        <f>IF($W83="","",INDEX('Eredmény'!$BI$2:$BI$201,$W83))</f>
        <v/>
      </c>
      <c r="W83">
        <f>IFERROR(MATCH(LARGE('Eredmény'!$DY$2:$DY$201,79),'Eredmény'!$DY$2:$DY$201,0),"")</f>
        <v/>
      </c>
    </row>
    <row r="84">
      <c r="A84" s="12">
        <f>IF($W84="","",INDEX('Eredmény'!$AO$2:$AO$201,$W84))</f>
        <v/>
      </c>
      <c r="B84" s="13">
        <f>IF($W84="","",INDEX('Eredmény'!$A$2:$A$201,$W84))</f>
        <v/>
      </c>
      <c r="C84" s="14">
        <f>IF($W84="","",INDEX('Eredmény'!$AM$2:$AM$201,$W84))</f>
        <v/>
      </c>
      <c r="D84" s="14">
        <f>IF($W84="","",INDEX('Eredmény'!$AN$2:$AN$201,$W84))</f>
        <v/>
      </c>
      <c r="E84" s="12">
        <f>IF($W84="","",INDEX('Eredmény'!$AQ$2:$AQ$201,$W84))</f>
        <v/>
      </c>
      <c r="F84" s="13">
        <f>IF($W84="","",INDEX('Eredmény'!$AR$2:$AR$201,$W84))</f>
        <v/>
      </c>
      <c r="G84" s="13">
        <f>IF($W84="","",INDEX('Eredmény'!$AS$2:$AS$201,$W84))</f>
        <v/>
      </c>
      <c r="H84" s="14">
        <f>IF($W84="","",INDEX('Eredmény'!$AI$2:$AI$201,$W84))</f>
        <v/>
      </c>
      <c r="I84" s="14">
        <f>IF($W84="","",INDEX('Eredmény'!$AJ$2:$AJ$201,$W84))</f>
        <v/>
      </c>
      <c r="J84" s="14">
        <f>IF($W84="","",INDEX('Eredmény'!$AK$2:$AK$201,$W84))</f>
        <v/>
      </c>
      <c r="K84" s="14">
        <f>IF($W84="","",INDEX('Eredmény'!$AL$2:$AL$201,$W84))</f>
        <v/>
      </c>
      <c r="L84" s="15">
        <f>IF($W84="","",INDEX('Eredmény'!$AZ$2:$AZ$201,$W84))</f>
        <v/>
      </c>
      <c r="M84" s="15">
        <f>IF($W84="","",INDEX('Eredmény'!$BB$2:$BB$201,$W84))</f>
        <v/>
      </c>
      <c r="N84" s="15">
        <f>IF($W84="","",INDEX('Eredmény'!$BC$2:$BC$201,$W84))</f>
        <v/>
      </c>
      <c r="O84" s="16">
        <f>IF($W84="","",INDEX('Eredmény'!$BD$2:$BD$201,$W84))</f>
        <v/>
      </c>
      <c r="P84" s="13">
        <f>IF($W84="","",INDEX('Eredmény'!$BE$2:$BE$201,$W84))</f>
        <v/>
      </c>
      <c r="Q84" s="15">
        <f>IF($W84="","",INDEX('Eredmény'!$BF$2:$BF$201,$W84))</f>
        <v/>
      </c>
      <c r="R84" s="17">
        <f>IF($W84="","",INDEX('Eredmény'!$BG$2:$BG$201,$W84))</f>
        <v/>
      </c>
      <c r="S84" s="13">
        <f>IF($W84="","",INDEX('Eredmény'!$AT$2:$AT$201,$W84))</f>
        <v/>
      </c>
      <c r="T84" s="13">
        <f>IF($W84="","",INDEX('Eredmény'!$AV$2:$AV$201,$W84))</f>
        <v/>
      </c>
      <c r="U84" s="12">
        <f>IF($W84="","",INDEX('Eredmény'!$BI$2:$BI$201,$W84))</f>
        <v/>
      </c>
      <c r="W84">
        <f>IFERROR(MATCH(LARGE('Eredmény'!$DY$2:$DY$201,80),'Eredmény'!$DY$2:$DY$201,0),"")</f>
        <v/>
      </c>
    </row>
    <row r="85">
      <c r="A85" s="12">
        <f>IF($W85="","",INDEX('Eredmény'!$AO$2:$AO$201,$W85))</f>
        <v/>
      </c>
      <c r="B85" s="13">
        <f>IF($W85="","",INDEX('Eredmény'!$A$2:$A$201,$W85))</f>
        <v/>
      </c>
      <c r="C85" s="14">
        <f>IF($W85="","",INDEX('Eredmény'!$AM$2:$AM$201,$W85))</f>
        <v/>
      </c>
      <c r="D85" s="14">
        <f>IF($W85="","",INDEX('Eredmény'!$AN$2:$AN$201,$W85))</f>
        <v/>
      </c>
      <c r="E85" s="12">
        <f>IF($W85="","",INDEX('Eredmény'!$AQ$2:$AQ$201,$W85))</f>
        <v/>
      </c>
      <c r="F85" s="13">
        <f>IF($W85="","",INDEX('Eredmény'!$AR$2:$AR$201,$W85))</f>
        <v/>
      </c>
      <c r="G85" s="13">
        <f>IF($W85="","",INDEX('Eredmény'!$AS$2:$AS$201,$W85))</f>
        <v/>
      </c>
      <c r="H85" s="14">
        <f>IF($W85="","",INDEX('Eredmény'!$AI$2:$AI$201,$W85))</f>
        <v/>
      </c>
      <c r="I85" s="14">
        <f>IF($W85="","",INDEX('Eredmény'!$AJ$2:$AJ$201,$W85))</f>
        <v/>
      </c>
      <c r="J85" s="14">
        <f>IF($W85="","",INDEX('Eredmény'!$AK$2:$AK$201,$W85))</f>
        <v/>
      </c>
      <c r="K85" s="14">
        <f>IF($W85="","",INDEX('Eredmény'!$AL$2:$AL$201,$W85))</f>
        <v/>
      </c>
      <c r="L85" s="15">
        <f>IF($W85="","",INDEX('Eredmény'!$AZ$2:$AZ$201,$W85))</f>
        <v/>
      </c>
      <c r="M85" s="15">
        <f>IF($W85="","",INDEX('Eredmény'!$BB$2:$BB$201,$W85))</f>
        <v/>
      </c>
      <c r="N85" s="15">
        <f>IF($W85="","",INDEX('Eredmény'!$BC$2:$BC$201,$W85))</f>
        <v/>
      </c>
      <c r="O85" s="16">
        <f>IF($W85="","",INDEX('Eredmény'!$BD$2:$BD$201,$W85))</f>
        <v/>
      </c>
      <c r="P85" s="13">
        <f>IF($W85="","",INDEX('Eredmény'!$BE$2:$BE$201,$W85))</f>
        <v/>
      </c>
      <c r="Q85" s="15">
        <f>IF($W85="","",INDEX('Eredmény'!$BF$2:$BF$201,$W85))</f>
        <v/>
      </c>
      <c r="R85" s="17">
        <f>IF($W85="","",INDEX('Eredmény'!$BG$2:$BG$201,$W85))</f>
        <v/>
      </c>
      <c r="S85" s="13">
        <f>IF($W85="","",INDEX('Eredmény'!$AT$2:$AT$201,$W85))</f>
        <v/>
      </c>
      <c r="T85" s="13">
        <f>IF($W85="","",INDEX('Eredmény'!$AV$2:$AV$201,$W85))</f>
        <v/>
      </c>
      <c r="U85" s="12">
        <f>IF($W85="","",INDEX('Eredmény'!$BI$2:$BI$201,$W85))</f>
        <v/>
      </c>
      <c r="W85">
        <f>IFERROR(MATCH(LARGE('Eredmény'!$DY$2:$DY$201,81),'Eredmény'!$DY$2:$DY$201,0),"")</f>
        <v/>
      </c>
    </row>
    <row r="86">
      <c r="A86" s="12">
        <f>IF($W86="","",INDEX('Eredmény'!$AO$2:$AO$201,$W86))</f>
        <v/>
      </c>
      <c r="B86" s="13">
        <f>IF($W86="","",INDEX('Eredmény'!$A$2:$A$201,$W86))</f>
        <v/>
      </c>
      <c r="C86" s="14">
        <f>IF($W86="","",INDEX('Eredmény'!$AM$2:$AM$201,$W86))</f>
        <v/>
      </c>
      <c r="D86" s="14">
        <f>IF($W86="","",INDEX('Eredmény'!$AN$2:$AN$201,$W86))</f>
        <v/>
      </c>
      <c r="E86" s="12">
        <f>IF($W86="","",INDEX('Eredmény'!$AQ$2:$AQ$201,$W86))</f>
        <v/>
      </c>
      <c r="F86" s="13">
        <f>IF($W86="","",INDEX('Eredmény'!$AR$2:$AR$201,$W86))</f>
        <v/>
      </c>
      <c r="G86" s="13">
        <f>IF($W86="","",INDEX('Eredmény'!$AS$2:$AS$201,$W86))</f>
        <v/>
      </c>
      <c r="H86" s="14">
        <f>IF($W86="","",INDEX('Eredmény'!$AI$2:$AI$201,$W86))</f>
        <v/>
      </c>
      <c r="I86" s="14">
        <f>IF($W86="","",INDEX('Eredmény'!$AJ$2:$AJ$201,$W86))</f>
        <v/>
      </c>
      <c r="J86" s="14">
        <f>IF($W86="","",INDEX('Eredmény'!$AK$2:$AK$201,$W86))</f>
        <v/>
      </c>
      <c r="K86" s="14">
        <f>IF($W86="","",INDEX('Eredmény'!$AL$2:$AL$201,$W86))</f>
        <v/>
      </c>
      <c r="L86" s="15">
        <f>IF($W86="","",INDEX('Eredmény'!$AZ$2:$AZ$201,$W86))</f>
        <v/>
      </c>
      <c r="M86" s="15">
        <f>IF($W86="","",INDEX('Eredmény'!$BB$2:$BB$201,$W86))</f>
        <v/>
      </c>
      <c r="N86" s="15">
        <f>IF($W86="","",INDEX('Eredmény'!$BC$2:$BC$201,$W86))</f>
        <v/>
      </c>
      <c r="O86" s="16">
        <f>IF($W86="","",INDEX('Eredmény'!$BD$2:$BD$201,$W86))</f>
        <v/>
      </c>
      <c r="P86" s="13">
        <f>IF($W86="","",INDEX('Eredmény'!$BE$2:$BE$201,$W86))</f>
        <v/>
      </c>
      <c r="Q86" s="15">
        <f>IF($W86="","",INDEX('Eredmény'!$BF$2:$BF$201,$W86))</f>
        <v/>
      </c>
      <c r="R86" s="17">
        <f>IF($W86="","",INDEX('Eredmény'!$BG$2:$BG$201,$W86))</f>
        <v/>
      </c>
      <c r="S86" s="13">
        <f>IF($W86="","",INDEX('Eredmény'!$AT$2:$AT$201,$W86))</f>
        <v/>
      </c>
      <c r="T86" s="13">
        <f>IF($W86="","",INDEX('Eredmény'!$AV$2:$AV$201,$W86))</f>
        <v/>
      </c>
      <c r="U86" s="12">
        <f>IF($W86="","",INDEX('Eredmény'!$BI$2:$BI$201,$W86))</f>
        <v/>
      </c>
      <c r="W86">
        <f>IFERROR(MATCH(LARGE('Eredmény'!$DY$2:$DY$201,82),'Eredmény'!$DY$2:$DY$201,0),"")</f>
        <v/>
      </c>
    </row>
    <row r="87">
      <c r="A87" s="12">
        <f>IF($W87="","",INDEX('Eredmény'!$AO$2:$AO$201,$W87))</f>
        <v/>
      </c>
      <c r="B87" s="13">
        <f>IF($W87="","",INDEX('Eredmény'!$A$2:$A$201,$W87))</f>
        <v/>
      </c>
      <c r="C87" s="14">
        <f>IF($W87="","",INDEX('Eredmény'!$AM$2:$AM$201,$W87))</f>
        <v/>
      </c>
      <c r="D87" s="14">
        <f>IF($W87="","",INDEX('Eredmény'!$AN$2:$AN$201,$W87))</f>
        <v/>
      </c>
      <c r="E87" s="12">
        <f>IF($W87="","",INDEX('Eredmény'!$AQ$2:$AQ$201,$W87))</f>
        <v/>
      </c>
      <c r="F87" s="13">
        <f>IF($W87="","",INDEX('Eredmény'!$AR$2:$AR$201,$W87))</f>
        <v/>
      </c>
      <c r="G87" s="13">
        <f>IF($W87="","",INDEX('Eredmény'!$AS$2:$AS$201,$W87))</f>
        <v/>
      </c>
      <c r="H87" s="14">
        <f>IF($W87="","",INDEX('Eredmény'!$AI$2:$AI$201,$W87))</f>
        <v/>
      </c>
      <c r="I87" s="14">
        <f>IF($W87="","",INDEX('Eredmény'!$AJ$2:$AJ$201,$W87))</f>
        <v/>
      </c>
      <c r="J87" s="14">
        <f>IF($W87="","",INDEX('Eredmény'!$AK$2:$AK$201,$W87))</f>
        <v/>
      </c>
      <c r="K87" s="14">
        <f>IF($W87="","",INDEX('Eredmény'!$AL$2:$AL$201,$W87))</f>
        <v/>
      </c>
      <c r="L87" s="15">
        <f>IF($W87="","",INDEX('Eredmény'!$AZ$2:$AZ$201,$W87))</f>
        <v/>
      </c>
      <c r="M87" s="15">
        <f>IF($W87="","",INDEX('Eredmény'!$BB$2:$BB$201,$W87))</f>
        <v/>
      </c>
      <c r="N87" s="15">
        <f>IF($W87="","",INDEX('Eredmény'!$BC$2:$BC$201,$W87))</f>
        <v/>
      </c>
      <c r="O87" s="16">
        <f>IF($W87="","",INDEX('Eredmény'!$BD$2:$BD$201,$W87))</f>
        <v/>
      </c>
      <c r="P87" s="13">
        <f>IF($W87="","",INDEX('Eredmény'!$BE$2:$BE$201,$W87))</f>
        <v/>
      </c>
      <c r="Q87" s="15">
        <f>IF($W87="","",INDEX('Eredmény'!$BF$2:$BF$201,$W87))</f>
        <v/>
      </c>
      <c r="R87" s="17">
        <f>IF($W87="","",INDEX('Eredmény'!$BG$2:$BG$201,$W87))</f>
        <v/>
      </c>
      <c r="S87" s="13">
        <f>IF($W87="","",INDEX('Eredmény'!$AT$2:$AT$201,$W87))</f>
        <v/>
      </c>
      <c r="T87" s="13">
        <f>IF($W87="","",INDEX('Eredmény'!$AV$2:$AV$201,$W87))</f>
        <v/>
      </c>
      <c r="U87" s="12">
        <f>IF($W87="","",INDEX('Eredmény'!$BI$2:$BI$201,$W87))</f>
        <v/>
      </c>
      <c r="W87">
        <f>IFERROR(MATCH(LARGE('Eredmény'!$DY$2:$DY$201,83),'Eredmény'!$DY$2:$DY$201,0),"")</f>
        <v/>
      </c>
    </row>
    <row r="88">
      <c r="A88" s="12">
        <f>IF($W88="","",INDEX('Eredmény'!$AO$2:$AO$201,$W88))</f>
        <v/>
      </c>
      <c r="B88" s="13">
        <f>IF($W88="","",INDEX('Eredmény'!$A$2:$A$201,$W88))</f>
        <v/>
      </c>
      <c r="C88" s="14">
        <f>IF($W88="","",INDEX('Eredmény'!$AM$2:$AM$201,$W88))</f>
        <v/>
      </c>
      <c r="D88" s="14">
        <f>IF($W88="","",INDEX('Eredmény'!$AN$2:$AN$201,$W88))</f>
        <v/>
      </c>
      <c r="E88" s="12">
        <f>IF($W88="","",INDEX('Eredmény'!$AQ$2:$AQ$201,$W88))</f>
        <v/>
      </c>
      <c r="F88" s="13">
        <f>IF($W88="","",INDEX('Eredmény'!$AR$2:$AR$201,$W88))</f>
        <v/>
      </c>
      <c r="G88" s="13">
        <f>IF($W88="","",INDEX('Eredmény'!$AS$2:$AS$201,$W88))</f>
        <v/>
      </c>
      <c r="H88" s="14">
        <f>IF($W88="","",INDEX('Eredmény'!$AI$2:$AI$201,$W88))</f>
        <v/>
      </c>
      <c r="I88" s="14">
        <f>IF($W88="","",INDEX('Eredmény'!$AJ$2:$AJ$201,$W88))</f>
        <v/>
      </c>
      <c r="J88" s="14">
        <f>IF($W88="","",INDEX('Eredmény'!$AK$2:$AK$201,$W88))</f>
        <v/>
      </c>
      <c r="K88" s="14">
        <f>IF($W88="","",INDEX('Eredmény'!$AL$2:$AL$201,$W88))</f>
        <v/>
      </c>
      <c r="L88" s="15">
        <f>IF($W88="","",INDEX('Eredmény'!$AZ$2:$AZ$201,$W88))</f>
        <v/>
      </c>
      <c r="M88" s="15">
        <f>IF($W88="","",INDEX('Eredmény'!$BB$2:$BB$201,$W88))</f>
        <v/>
      </c>
      <c r="N88" s="15">
        <f>IF($W88="","",INDEX('Eredmény'!$BC$2:$BC$201,$W88))</f>
        <v/>
      </c>
      <c r="O88" s="16">
        <f>IF($W88="","",INDEX('Eredmény'!$BD$2:$BD$201,$W88))</f>
        <v/>
      </c>
      <c r="P88" s="13">
        <f>IF($W88="","",INDEX('Eredmény'!$BE$2:$BE$201,$W88))</f>
        <v/>
      </c>
      <c r="Q88" s="15">
        <f>IF($W88="","",INDEX('Eredmény'!$BF$2:$BF$201,$W88))</f>
        <v/>
      </c>
      <c r="R88" s="17">
        <f>IF($W88="","",INDEX('Eredmény'!$BG$2:$BG$201,$W88))</f>
        <v/>
      </c>
      <c r="S88" s="13">
        <f>IF($W88="","",INDEX('Eredmény'!$AT$2:$AT$201,$W88))</f>
        <v/>
      </c>
      <c r="T88" s="13">
        <f>IF($W88="","",INDEX('Eredmény'!$AV$2:$AV$201,$W88))</f>
        <v/>
      </c>
      <c r="U88" s="12">
        <f>IF($W88="","",INDEX('Eredmény'!$BI$2:$BI$201,$W88))</f>
        <v/>
      </c>
      <c r="W88">
        <f>IFERROR(MATCH(LARGE('Eredmény'!$DY$2:$DY$201,84),'Eredmény'!$DY$2:$DY$201,0),"")</f>
        <v/>
      </c>
    </row>
    <row r="89">
      <c r="A89" s="12">
        <f>IF($W89="","",INDEX('Eredmény'!$AO$2:$AO$201,$W89))</f>
        <v/>
      </c>
      <c r="B89" s="13">
        <f>IF($W89="","",INDEX('Eredmény'!$A$2:$A$201,$W89))</f>
        <v/>
      </c>
      <c r="C89" s="14">
        <f>IF($W89="","",INDEX('Eredmény'!$AM$2:$AM$201,$W89))</f>
        <v/>
      </c>
      <c r="D89" s="14">
        <f>IF($W89="","",INDEX('Eredmény'!$AN$2:$AN$201,$W89))</f>
        <v/>
      </c>
      <c r="E89" s="12">
        <f>IF($W89="","",INDEX('Eredmény'!$AQ$2:$AQ$201,$W89))</f>
        <v/>
      </c>
      <c r="F89" s="13">
        <f>IF($W89="","",INDEX('Eredmény'!$AR$2:$AR$201,$W89))</f>
        <v/>
      </c>
      <c r="G89" s="13">
        <f>IF($W89="","",INDEX('Eredmény'!$AS$2:$AS$201,$W89))</f>
        <v/>
      </c>
      <c r="H89" s="14">
        <f>IF($W89="","",INDEX('Eredmény'!$AI$2:$AI$201,$W89))</f>
        <v/>
      </c>
      <c r="I89" s="14">
        <f>IF($W89="","",INDEX('Eredmény'!$AJ$2:$AJ$201,$W89))</f>
        <v/>
      </c>
      <c r="J89" s="14">
        <f>IF($W89="","",INDEX('Eredmény'!$AK$2:$AK$201,$W89))</f>
        <v/>
      </c>
      <c r="K89" s="14">
        <f>IF($W89="","",INDEX('Eredmény'!$AL$2:$AL$201,$W89))</f>
        <v/>
      </c>
      <c r="L89" s="15">
        <f>IF($W89="","",INDEX('Eredmény'!$AZ$2:$AZ$201,$W89))</f>
        <v/>
      </c>
      <c r="M89" s="15">
        <f>IF($W89="","",INDEX('Eredmény'!$BB$2:$BB$201,$W89))</f>
        <v/>
      </c>
      <c r="N89" s="15">
        <f>IF($W89="","",INDEX('Eredmény'!$BC$2:$BC$201,$W89))</f>
        <v/>
      </c>
      <c r="O89" s="16">
        <f>IF($W89="","",INDEX('Eredmény'!$BD$2:$BD$201,$W89))</f>
        <v/>
      </c>
      <c r="P89" s="13">
        <f>IF($W89="","",INDEX('Eredmény'!$BE$2:$BE$201,$W89))</f>
        <v/>
      </c>
      <c r="Q89" s="15">
        <f>IF($W89="","",INDEX('Eredmény'!$BF$2:$BF$201,$W89))</f>
        <v/>
      </c>
      <c r="R89" s="17">
        <f>IF($W89="","",INDEX('Eredmény'!$BG$2:$BG$201,$W89))</f>
        <v/>
      </c>
      <c r="S89" s="13">
        <f>IF($W89="","",INDEX('Eredmény'!$AT$2:$AT$201,$W89))</f>
        <v/>
      </c>
      <c r="T89" s="13">
        <f>IF($W89="","",INDEX('Eredmény'!$AV$2:$AV$201,$W89))</f>
        <v/>
      </c>
      <c r="U89" s="12">
        <f>IF($W89="","",INDEX('Eredmény'!$BI$2:$BI$201,$W89))</f>
        <v/>
      </c>
      <c r="W89">
        <f>IFERROR(MATCH(LARGE('Eredmény'!$DY$2:$DY$201,85),'Eredmény'!$DY$2:$DY$201,0),"")</f>
        <v/>
      </c>
    </row>
    <row r="90">
      <c r="A90" s="12">
        <f>IF($W90="","",INDEX('Eredmény'!$AO$2:$AO$201,$W90))</f>
        <v/>
      </c>
      <c r="B90" s="13">
        <f>IF($W90="","",INDEX('Eredmény'!$A$2:$A$201,$W90))</f>
        <v/>
      </c>
      <c r="C90" s="14">
        <f>IF($W90="","",INDEX('Eredmény'!$AM$2:$AM$201,$W90))</f>
        <v/>
      </c>
      <c r="D90" s="14">
        <f>IF($W90="","",INDEX('Eredmény'!$AN$2:$AN$201,$W90))</f>
        <v/>
      </c>
      <c r="E90" s="12">
        <f>IF($W90="","",INDEX('Eredmény'!$AQ$2:$AQ$201,$W90))</f>
        <v/>
      </c>
      <c r="F90" s="13">
        <f>IF($W90="","",INDEX('Eredmény'!$AR$2:$AR$201,$W90))</f>
        <v/>
      </c>
      <c r="G90" s="13">
        <f>IF($W90="","",INDEX('Eredmény'!$AS$2:$AS$201,$W90))</f>
        <v/>
      </c>
      <c r="H90" s="14">
        <f>IF($W90="","",INDEX('Eredmény'!$AI$2:$AI$201,$W90))</f>
        <v/>
      </c>
      <c r="I90" s="14">
        <f>IF($W90="","",INDEX('Eredmény'!$AJ$2:$AJ$201,$W90))</f>
        <v/>
      </c>
      <c r="J90" s="14">
        <f>IF($W90="","",INDEX('Eredmény'!$AK$2:$AK$201,$W90))</f>
        <v/>
      </c>
      <c r="K90" s="14">
        <f>IF($W90="","",INDEX('Eredmény'!$AL$2:$AL$201,$W90))</f>
        <v/>
      </c>
      <c r="L90" s="15">
        <f>IF($W90="","",INDEX('Eredmény'!$AZ$2:$AZ$201,$W90))</f>
        <v/>
      </c>
      <c r="M90" s="15">
        <f>IF($W90="","",INDEX('Eredmény'!$BB$2:$BB$201,$W90))</f>
        <v/>
      </c>
      <c r="N90" s="15">
        <f>IF($W90="","",INDEX('Eredmény'!$BC$2:$BC$201,$W90))</f>
        <v/>
      </c>
      <c r="O90" s="16">
        <f>IF($W90="","",INDEX('Eredmény'!$BD$2:$BD$201,$W90))</f>
        <v/>
      </c>
      <c r="P90" s="13">
        <f>IF($W90="","",INDEX('Eredmény'!$BE$2:$BE$201,$W90))</f>
        <v/>
      </c>
      <c r="Q90" s="15">
        <f>IF($W90="","",INDEX('Eredmény'!$BF$2:$BF$201,$W90))</f>
        <v/>
      </c>
      <c r="R90" s="17">
        <f>IF($W90="","",INDEX('Eredmény'!$BG$2:$BG$201,$W90))</f>
        <v/>
      </c>
      <c r="S90" s="13">
        <f>IF($W90="","",INDEX('Eredmény'!$AT$2:$AT$201,$W90))</f>
        <v/>
      </c>
      <c r="T90" s="13">
        <f>IF($W90="","",INDEX('Eredmény'!$AV$2:$AV$201,$W90))</f>
        <v/>
      </c>
      <c r="U90" s="12">
        <f>IF($W90="","",INDEX('Eredmény'!$BI$2:$BI$201,$W90))</f>
        <v/>
      </c>
      <c r="W90">
        <f>IFERROR(MATCH(LARGE('Eredmény'!$DY$2:$DY$201,86),'Eredmény'!$DY$2:$DY$201,0),"")</f>
        <v/>
      </c>
    </row>
    <row r="91">
      <c r="A91" s="12">
        <f>IF($W91="","",INDEX('Eredmény'!$AO$2:$AO$201,$W91))</f>
        <v/>
      </c>
      <c r="B91" s="13">
        <f>IF($W91="","",INDEX('Eredmény'!$A$2:$A$201,$W91))</f>
        <v/>
      </c>
      <c r="C91" s="14">
        <f>IF($W91="","",INDEX('Eredmény'!$AM$2:$AM$201,$W91))</f>
        <v/>
      </c>
      <c r="D91" s="14">
        <f>IF($W91="","",INDEX('Eredmény'!$AN$2:$AN$201,$W91))</f>
        <v/>
      </c>
      <c r="E91" s="12">
        <f>IF($W91="","",INDEX('Eredmény'!$AQ$2:$AQ$201,$W91))</f>
        <v/>
      </c>
      <c r="F91" s="13">
        <f>IF($W91="","",INDEX('Eredmény'!$AR$2:$AR$201,$W91))</f>
        <v/>
      </c>
      <c r="G91" s="13">
        <f>IF($W91="","",INDEX('Eredmény'!$AS$2:$AS$201,$W91))</f>
        <v/>
      </c>
      <c r="H91" s="14">
        <f>IF($W91="","",INDEX('Eredmény'!$AI$2:$AI$201,$W91))</f>
        <v/>
      </c>
      <c r="I91" s="14">
        <f>IF($W91="","",INDEX('Eredmény'!$AJ$2:$AJ$201,$W91))</f>
        <v/>
      </c>
      <c r="J91" s="14">
        <f>IF($W91="","",INDEX('Eredmény'!$AK$2:$AK$201,$W91))</f>
        <v/>
      </c>
      <c r="K91" s="14">
        <f>IF($W91="","",INDEX('Eredmény'!$AL$2:$AL$201,$W91))</f>
        <v/>
      </c>
      <c r="L91" s="15">
        <f>IF($W91="","",INDEX('Eredmény'!$AZ$2:$AZ$201,$W91))</f>
        <v/>
      </c>
      <c r="M91" s="15">
        <f>IF($W91="","",INDEX('Eredmény'!$BB$2:$BB$201,$W91))</f>
        <v/>
      </c>
      <c r="N91" s="15">
        <f>IF($W91="","",INDEX('Eredmény'!$BC$2:$BC$201,$W91))</f>
        <v/>
      </c>
      <c r="O91" s="16">
        <f>IF($W91="","",INDEX('Eredmény'!$BD$2:$BD$201,$W91))</f>
        <v/>
      </c>
      <c r="P91" s="13">
        <f>IF($W91="","",INDEX('Eredmény'!$BE$2:$BE$201,$W91))</f>
        <v/>
      </c>
      <c r="Q91" s="15">
        <f>IF($W91="","",INDEX('Eredmény'!$BF$2:$BF$201,$W91))</f>
        <v/>
      </c>
      <c r="R91" s="17">
        <f>IF($W91="","",INDEX('Eredmény'!$BG$2:$BG$201,$W91))</f>
        <v/>
      </c>
      <c r="S91" s="13">
        <f>IF($W91="","",INDEX('Eredmény'!$AT$2:$AT$201,$W91))</f>
        <v/>
      </c>
      <c r="T91" s="13">
        <f>IF($W91="","",INDEX('Eredmény'!$AV$2:$AV$201,$W91))</f>
        <v/>
      </c>
      <c r="U91" s="12">
        <f>IF($W91="","",INDEX('Eredmény'!$BI$2:$BI$201,$W91))</f>
        <v/>
      </c>
      <c r="W91">
        <f>IFERROR(MATCH(LARGE('Eredmény'!$DY$2:$DY$201,87),'Eredmény'!$DY$2:$DY$201,0),"")</f>
        <v/>
      </c>
    </row>
    <row r="92">
      <c r="A92" s="12">
        <f>IF($W92="","",INDEX('Eredmény'!$AO$2:$AO$201,$W92))</f>
        <v/>
      </c>
      <c r="B92" s="13">
        <f>IF($W92="","",INDEX('Eredmény'!$A$2:$A$201,$W92))</f>
        <v/>
      </c>
      <c r="C92" s="14">
        <f>IF($W92="","",INDEX('Eredmény'!$AM$2:$AM$201,$W92))</f>
        <v/>
      </c>
      <c r="D92" s="14">
        <f>IF($W92="","",INDEX('Eredmény'!$AN$2:$AN$201,$W92))</f>
        <v/>
      </c>
      <c r="E92" s="12">
        <f>IF($W92="","",INDEX('Eredmény'!$AQ$2:$AQ$201,$W92))</f>
        <v/>
      </c>
      <c r="F92" s="13">
        <f>IF($W92="","",INDEX('Eredmény'!$AR$2:$AR$201,$W92))</f>
        <v/>
      </c>
      <c r="G92" s="13">
        <f>IF($W92="","",INDEX('Eredmény'!$AS$2:$AS$201,$W92))</f>
        <v/>
      </c>
      <c r="H92" s="14">
        <f>IF($W92="","",INDEX('Eredmény'!$AI$2:$AI$201,$W92))</f>
        <v/>
      </c>
      <c r="I92" s="14">
        <f>IF($W92="","",INDEX('Eredmény'!$AJ$2:$AJ$201,$W92))</f>
        <v/>
      </c>
      <c r="J92" s="14">
        <f>IF($W92="","",INDEX('Eredmény'!$AK$2:$AK$201,$W92))</f>
        <v/>
      </c>
      <c r="K92" s="14">
        <f>IF($W92="","",INDEX('Eredmény'!$AL$2:$AL$201,$W92))</f>
        <v/>
      </c>
      <c r="L92" s="15">
        <f>IF($W92="","",INDEX('Eredmény'!$AZ$2:$AZ$201,$W92))</f>
        <v/>
      </c>
      <c r="M92" s="15">
        <f>IF($W92="","",INDEX('Eredmény'!$BB$2:$BB$201,$W92))</f>
        <v/>
      </c>
      <c r="N92" s="15">
        <f>IF($W92="","",INDEX('Eredmény'!$BC$2:$BC$201,$W92))</f>
        <v/>
      </c>
      <c r="O92" s="16">
        <f>IF($W92="","",INDEX('Eredmény'!$BD$2:$BD$201,$W92))</f>
        <v/>
      </c>
      <c r="P92" s="13">
        <f>IF($W92="","",INDEX('Eredmény'!$BE$2:$BE$201,$W92))</f>
        <v/>
      </c>
      <c r="Q92" s="15">
        <f>IF($W92="","",INDEX('Eredmény'!$BF$2:$BF$201,$W92))</f>
        <v/>
      </c>
      <c r="R92" s="17">
        <f>IF($W92="","",INDEX('Eredmény'!$BG$2:$BG$201,$W92))</f>
        <v/>
      </c>
      <c r="S92" s="13">
        <f>IF($W92="","",INDEX('Eredmény'!$AT$2:$AT$201,$W92))</f>
        <v/>
      </c>
      <c r="T92" s="13">
        <f>IF($W92="","",INDEX('Eredmény'!$AV$2:$AV$201,$W92))</f>
        <v/>
      </c>
      <c r="U92" s="12">
        <f>IF($W92="","",INDEX('Eredmény'!$BI$2:$BI$201,$W92))</f>
        <v/>
      </c>
      <c r="W92">
        <f>IFERROR(MATCH(LARGE('Eredmény'!$DY$2:$DY$201,88),'Eredmény'!$DY$2:$DY$201,0),"")</f>
        <v/>
      </c>
    </row>
    <row r="93">
      <c r="A93" s="12">
        <f>IF($W93="","",INDEX('Eredmény'!$AO$2:$AO$201,$W93))</f>
        <v/>
      </c>
      <c r="B93" s="13">
        <f>IF($W93="","",INDEX('Eredmény'!$A$2:$A$201,$W93))</f>
        <v/>
      </c>
      <c r="C93" s="14">
        <f>IF($W93="","",INDEX('Eredmény'!$AM$2:$AM$201,$W93))</f>
        <v/>
      </c>
      <c r="D93" s="14">
        <f>IF($W93="","",INDEX('Eredmény'!$AN$2:$AN$201,$W93))</f>
        <v/>
      </c>
      <c r="E93" s="12">
        <f>IF($W93="","",INDEX('Eredmény'!$AQ$2:$AQ$201,$W93))</f>
        <v/>
      </c>
      <c r="F93" s="13">
        <f>IF($W93="","",INDEX('Eredmény'!$AR$2:$AR$201,$W93))</f>
        <v/>
      </c>
      <c r="G93" s="13">
        <f>IF($W93="","",INDEX('Eredmény'!$AS$2:$AS$201,$W93))</f>
        <v/>
      </c>
      <c r="H93" s="14">
        <f>IF($W93="","",INDEX('Eredmény'!$AI$2:$AI$201,$W93))</f>
        <v/>
      </c>
      <c r="I93" s="14">
        <f>IF($W93="","",INDEX('Eredmény'!$AJ$2:$AJ$201,$W93))</f>
        <v/>
      </c>
      <c r="J93" s="14">
        <f>IF($W93="","",INDEX('Eredmény'!$AK$2:$AK$201,$W93))</f>
        <v/>
      </c>
      <c r="K93" s="14">
        <f>IF($W93="","",INDEX('Eredmény'!$AL$2:$AL$201,$W93))</f>
        <v/>
      </c>
      <c r="L93" s="15">
        <f>IF($W93="","",INDEX('Eredmény'!$AZ$2:$AZ$201,$W93))</f>
        <v/>
      </c>
      <c r="M93" s="15">
        <f>IF($W93="","",INDEX('Eredmény'!$BB$2:$BB$201,$W93))</f>
        <v/>
      </c>
      <c r="N93" s="15">
        <f>IF($W93="","",INDEX('Eredmény'!$BC$2:$BC$201,$W93))</f>
        <v/>
      </c>
      <c r="O93" s="16">
        <f>IF($W93="","",INDEX('Eredmény'!$BD$2:$BD$201,$W93))</f>
        <v/>
      </c>
      <c r="P93" s="13">
        <f>IF($W93="","",INDEX('Eredmény'!$BE$2:$BE$201,$W93))</f>
        <v/>
      </c>
      <c r="Q93" s="15">
        <f>IF($W93="","",INDEX('Eredmény'!$BF$2:$BF$201,$W93))</f>
        <v/>
      </c>
      <c r="R93" s="17">
        <f>IF($W93="","",INDEX('Eredmény'!$BG$2:$BG$201,$W93))</f>
        <v/>
      </c>
      <c r="S93" s="13">
        <f>IF($W93="","",INDEX('Eredmény'!$AT$2:$AT$201,$W93))</f>
        <v/>
      </c>
      <c r="T93" s="13">
        <f>IF($W93="","",INDEX('Eredmény'!$AV$2:$AV$201,$W93))</f>
        <v/>
      </c>
      <c r="U93" s="12">
        <f>IF($W93="","",INDEX('Eredmény'!$BI$2:$BI$201,$W93))</f>
        <v/>
      </c>
      <c r="W93">
        <f>IFERROR(MATCH(LARGE('Eredmény'!$DY$2:$DY$201,89),'Eredmény'!$DY$2:$DY$201,0),"")</f>
        <v/>
      </c>
    </row>
    <row r="94">
      <c r="A94" s="12">
        <f>IF($W94="","",INDEX('Eredmény'!$AO$2:$AO$201,$W94))</f>
        <v/>
      </c>
      <c r="B94" s="13">
        <f>IF($W94="","",INDEX('Eredmény'!$A$2:$A$201,$W94))</f>
        <v/>
      </c>
      <c r="C94" s="14">
        <f>IF($W94="","",INDEX('Eredmény'!$AM$2:$AM$201,$W94))</f>
        <v/>
      </c>
      <c r="D94" s="14">
        <f>IF($W94="","",INDEX('Eredmény'!$AN$2:$AN$201,$W94))</f>
        <v/>
      </c>
      <c r="E94" s="12">
        <f>IF($W94="","",INDEX('Eredmény'!$AQ$2:$AQ$201,$W94))</f>
        <v/>
      </c>
      <c r="F94" s="13">
        <f>IF($W94="","",INDEX('Eredmény'!$AR$2:$AR$201,$W94))</f>
        <v/>
      </c>
      <c r="G94" s="13">
        <f>IF($W94="","",INDEX('Eredmény'!$AS$2:$AS$201,$W94))</f>
        <v/>
      </c>
      <c r="H94" s="14">
        <f>IF($W94="","",INDEX('Eredmény'!$AI$2:$AI$201,$W94))</f>
        <v/>
      </c>
      <c r="I94" s="14">
        <f>IF($W94="","",INDEX('Eredmény'!$AJ$2:$AJ$201,$W94))</f>
        <v/>
      </c>
      <c r="J94" s="14">
        <f>IF($W94="","",INDEX('Eredmény'!$AK$2:$AK$201,$W94))</f>
        <v/>
      </c>
      <c r="K94" s="14">
        <f>IF($W94="","",INDEX('Eredmény'!$AL$2:$AL$201,$W94))</f>
        <v/>
      </c>
      <c r="L94" s="15">
        <f>IF($W94="","",INDEX('Eredmény'!$AZ$2:$AZ$201,$W94))</f>
        <v/>
      </c>
      <c r="M94" s="15">
        <f>IF($W94="","",INDEX('Eredmény'!$BB$2:$BB$201,$W94))</f>
        <v/>
      </c>
      <c r="N94" s="15">
        <f>IF($W94="","",INDEX('Eredmény'!$BC$2:$BC$201,$W94))</f>
        <v/>
      </c>
      <c r="O94" s="16">
        <f>IF($W94="","",INDEX('Eredmény'!$BD$2:$BD$201,$W94))</f>
        <v/>
      </c>
      <c r="P94" s="13">
        <f>IF($W94="","",INDEX('Eredmény'!$BE$2:$BE$201,$W94))</f>
        <v/>
      </c>
      <c r="Q94" s="15">
        <f>IF($W94="","",INDEX('Eredmény'!$BF$2:$BF$201,$W94))</f>
        <v/>
      </c>
      <c r="R94" s="17">
        <f>IF($W94="","",INDEX('Eredmény'!$BG$2:$BG$201,$W94))</f>
        <v/>
      </c>
      <c r="S94" s="13">
        <f>IF($W94="","",INDEX('Eredmény'!$AT$2:$AT$201,$W94))</f>
        <v/>
      </c>
      <c r="T94" s="13">
        <f>IF($W94="","",INDEX('Eredmény'!$AV$2:$AV$201,$W94))</f>
        <v/>
      </c>
      <c r="U94" s="12">
        <f>IF($W94="","",INDEX('Eredmény'!$BI$2:$BI$201,$W94))</f>
        <v/>
      </c>
      <c r="W94">
        <f>IFERROR(MATCH(LARGE('Eredmény'!$DY$2:$DY$201,90),'Eredmény'!$DY$2:$DY$201,0),"")</f>
        <v/>
      </c>
    </row>
    <row r="95">
      <c r="A95" s="12">
        <f>IF($W95="","",INDEX('Eredmény'!$AO$2:$AO$201,$W95))</f>
        <v/>
      </c>
      <c r="B95" s="13">
        <f>IF($W95="","",INDEX('Eredmény'!$A$2:$A$201,$W95))</f>
        <v/>
      </c>
      <c r="C95" s="14">
        <f>IF($W95="","",INDEX('Eredmény'!$AM$2:$AM$201,$W95))</f>
        <v/>
      </c>
      <c r="D95" s="14">
        <f>IF($W95="","",INDEX('Eredmény'!$AN$2:$AN$201,$W95))</f>
        <v/>
      </c>
      <c r="E95" s="12">
        <f>IF($W95="","",INDEX('Eredmény'!$AQ$2:$AQ$201,$W95))</f>
        <v/>
      </c>
      <c r="F95" s="13">
        <f>IF($W95="","",INDEX('Eredmény'!$AR$2:$AR$201,$W95))</f>
        <v/>
      </c>
      <c r="G95" s="13">
        <f>IF($W95="","",INDEX('Eredmény'!$AS$2:$AS$201,$W95))</f>
        <v/>
      </c>
      <c r="H95" s="14">
        <f>IF($W95="","",INDEX('Eredmény'!$AI$2:$AI$201,$W95))</f>
        <v/>
      </c>
      <c r="I95" s="14">
        <f>IF($W95="","",INDEX('Eredmény'!$AJ$2:$AJ$201,$W95))</f>
        <v/>
      </c>
      <c r="J95" s="14">
        <f>IF($W95="","",INDEX('Eredmény'!$AK$2:$AK$201,$W95))</f>
        <v/>
      </c>
      <c r="K95" s="14">
        <f>IF($W95="","",INDEX('Eredmény'!$AL$2:$AL$201,$W95))</f>
        <v/>
      </c>
      <c r="L95" s="15">
        <f>IF($W95="","",INDEX('Eredmény'!$AZ$2:$AZ$201,$W95))</f>
        <v/>
      </c>
      <c r="M95" s="15">
        <f>IF($W95="","",INDEX('Eredmény'!$BB$2:$BB$201,$W95))</f>
        <v/>
      </c>
      <c r="N95" s="15">
        <f>IF($W95="","",INDEX('Eredmény'!$BC$2:$BC$201,$W95))</f>
        <v/>
      </c>
      <c r="O95" s="16">
        <f>IF($W95="","",INDEX('Eredmény'!$BD$2:$BD$201,$W95))</f>
        <v/>
      </c>
      <c r="P95" s="13">
        <f>IF($W95="","",INDEX('Eredmény'!$BE$2:$BE$201,$W95))</f>
        <v/>
      </c>
      <c r="Q95" s="15">
        <f>IF($W95="","",INDEX('Eredmény'!$BF$2:$BF$201,$W95))</f>
        <v/>
      </c>
      <c r="R95" s="17">
        <f>IF($W95="","",INDEX('Eredmény'!$BG$2:$BG$201,$W95))</f>
        <v/>
      </c>
      <c r="S95" s="13">
        <f>IF($W95="","",INDEX('Eredmény'!$AT$2:$AT$201,$W95))</f>
        <v/>
      </c>
      <c r="T95" s="13">
        <f>IF($W95="","",INDEX('Eredmény'!$AV$2:$AV$201,$W95))</f>
        <v/>
      </c>
      <c r="U95" s="12">
        <f>IF($W95="","",INDEX('Eredmény'!$BI$2:$BI$201,$W95))</f>
        <v/>
      </c>
      <c r="W95">
        <f>IFERROR(MATCH(LARGE('Eredmény'!$DY$2:$DY$201,91),'Eredmény'!$DY$2:$DY$201,0),"")</f>
        <v/>
      </c>
    </row>
    <row r="96">
      <c r="A96" s="12">
        <f>IF($W96="","",INDEX('Eredmény'!$AO$2:$AO$201,$W96))</f>
        <v/>
      </c>
      <c r="B96" s="13">
        <f>IF($W96="","",INDEX('Eredmény'!$A$2:$A$201,$W96))</f>
        <v/>
      </c>
      <c r="C96" s="14">
        <f>IF($W96="","",INDEX('Eredmény'!$AM$2:$AM$201,$W96))</f>
        <v/>
      </c>
      <c r="D96" s="14">
        <f>IF($W96="","",INDEX('Eredmény'!$AN$2:$AN$201,$W96))</f>
        <v/>
      </c>
      <c r="E96" s="12">
        <f>IF($W96="","",INDEX('Eredmény'!$AQ$2:$AQ$201,$W96))</f>
        <v/>
      </c>
      <c r="F96" s="13">
        <f>IF($W96="","",INDEX('Eredmény'!$AR$2:$AR$201,$W96))</f>
        <v/>
      </c>
      <c r="G96" s="13">
        <f>IF($W96="","",INDEX('Eredmény'!$AS$2:$AS$201,$W96))</f>
        <v/>
      </c>
      <c r="H96" s="14">
        <f>IF($W96="","",INDEX('Eredmény'!$AI$2:$AI$201,$W96))</f>
        <v/>
      </c>
      <c r="I96" s="14">
        <f>IF($W96="","",INDEX('Eredmény'!$AJ$2:$AJ$201,$W96))</f>
        <v/>
      </c>
      <c r="J96" s="14">
        <f>IF($W96="","",INDEX('Eredmény'!$AK$2:$AK$201,$W96))</f>
        <v/>
      </c>
      <c r="K96" s="14">
        <f>IF($W96="","",INDEX('Eredmény'!$AL$2:$AL$201,$W96))</f>
        <v/>
      </c>
      <c r="L96" s="15">
        <f>IF($W96="","",INDEX('Eredmény'!$AZ$2:$AZ$201,$W96))</f>
        <v/>
      </c>
      <c r="M96" s="15">
        <f>IF($W96="","",INDEX('Eredmény'!$BB$2:$BB$201,$W96))</f>
        <v/>
      </c>
      <c r="N96" s="15">
        <f>IF($W96="","",INDEX('Eredmény'!$BC$2:$BC$201,$W96))</f>
        <v/>
      </c>
      <c r="O96" s="16">
        <f>IF($W96="","",INDEX('Eredmény'!$BD$2:$BD$201,$W96))</f>
        <v/>
      </c>
      <c r="P96" s="13">
        <f>IF($W96="","",INDEX('Eredmény'!$BE$2:$BE$201,$W96))</f>
        <v/>
      </c>
      <c r="Q96" s="15">
        <f>IF($W96="","",INDEX('Eredmény'!$BF$2:$BF$201,$W96))</f>
        <v/>
      </c>
      <c r="R96" s="17">
        <f>IF($W96="","",INDEX('Eredmény'!$BG$2:$BG$201,$W96))</f>
        <v/>
      </c>
      <c r="S96" s="13">
        <f>IF($W96="","",INDEX('Eredmény'!$AT$2:$AT$201,$W96))</f>
        <v/>
      </c>
      <c r="T96" s="13">
        <f>IF($W96="","",INDEX('Eredmény'!$AV$2:$AV$201,$W96))</f>
        <v/>
      </c>
      <c r="U96" s="12">
        <f>IF($W96="","",INDEX('Eredmény'!$BI$2:$BI$201,$W96))</f>
        <v/>
      </c>
      <c r="W96">
        <f>IFERROR(MATCH(LARGE('Eredmény'!$DY$2:$DY$201,92),'Eredmény'!$DY$2:$DY$201,0),"")</f>
        <v/>
      </c>
    </row>
    <row r="97">
      <c r="A97" s="12">
        <f>IF($W97="","",INDEX('Eredmény'!$AO$2:$AO$201,$W97))</f>
        <v/>
      </c>
      <c r="B97" s="13">
        <f>IF($W97="","",INDEX('Eredmény'!$A$2:$A$201,$W97))</f>
        <v/>
      </c>
      <c r="C97" s="14">
        <f>IF($W97="","",INDEX('Eredmény'!$AM$2:$AM$201,$W97))</f>
        <v/>
      </c>
      <c r="D97" s="14">
        <f>IF($W97="","",INDEX('Eredmény'!$AN$2:$AN$201,$W97))</f>
        <v/>
      </c>
      <c r="E97" s="12">
        <f>IF($W97="","",INDEX('Eredmény'!$AQ$2:$AQ$201,$W97))</f>
        <v/>
      </c>
      <c r="F97" s="13">
        <f>IF($W97="","",INDEX('Eredmény'!$AR$2:$AR$201,$W97))</f>
        <v/>
      </c>
      <c r="G97" s="13">
        <f>IF($W97="","",INDEX('Eredmény'!$AS$2:$AS$201,$W97))</f>
        <v/>
      </c>
      <c r="H97" s="14">
        <f>IF($W97="","",INDEX('Eredmény'!$AI$2:$AI$201,$W97))</f>
        <v/>
      </c>
      <c r="I97" s="14">
        <f>IF($W97="","",INDEX('Eredmény'!$AJ$2:$AJ$201,$W97))</f>
        <v/>
      </c>
      <c r="J97" s="14">
        <f>IF($W97="","",INDEX('Eredmény'!$AK$2:$AK$201,$W97))</f>
        <v/>
      </c>
      <c r="K97" s="14">
        <f>IF($W97="","",INDEX('Eredmény'!$AL$2:$AL$201,$W97))</f>
        <v/>
      </c>
      <c r="L97" s="15">
        <f>IF($W97="","",INDEX('Eredmény'!$AZ$2:$AZ$201,$W97))</f>
        <v/>
      </c>
      <c r="M97" s="15">
        <f>IF($W97="","",INDEX('Eredmény'!$BB$2:$BB$201,$W97))</f>
        <v/>
      </c>
      <c r="N97" s="15">
        <f>IF($W97="","",INDEX('Eredmény'!$BC$2:$BC$201,$W97))</f>
        <v/>
      </c>
      <c r="O97" s="16">
        <f>IF($W97="","",INDEX('Eredmény'!$BD$2:$BD$201,$W97))</f>
        <v/>
      </c>
      <c r="P97" s="13">
        <f>IF($W97="","",INDEX('Eredmény'!$BE$2:$BE$201,$W97))</f>
        <v/>
      </c>
      <c r="Q97" s="15">
        <f>IF($W97="","",INDEX('Eredmény'!$BF$2:$BF$201,$W97))</f>
        <v/>
      </c>
      <c r="R97" s="17">
        <f>IF($W97="","",INDEX('Eredmény'!$BG$2:$BG$201,$W97))</f>
        <v/>
      </c>
      <c r="S97" s="13">
        <f>IF($W97="","",INDEX('Eredmény'!$AT$2:$AT$201,$W97))</f>
        <v/>
      </c>
      <c r="T97" s="13">
        <f>IF($W97="","",INDEX('Eredmény'!$AV$2:$AV$201,$W97))</f>
        <v/>
      </c>
      <c r="U97" s="12">
        <f>IF($W97="","",INDEX('Eredmény'!$BI$2:$BI$201,$W97))</f>
        <v/>
      </c>
      <c r="W97">
        <f>IFERROR(MATCH(LARGE('Eredmény'!$DY$2:$DY$201,93),'Eredmény'!$DY$2:$DY$201,0),"")</f>
        <v/>
      </c>
    </row>
    <row r="98">
      <c r="A98" s="12">
        <f>IF($W98="","",INDEX('Eredmény'!$AO$2:$AO$201,$W98))</f>
        <v/>
      </c>
      <c r="B98" s="13">
        <f>IF($W98="","",INDEX('Eredmény'!$A$2:$A$201,$W98))</f>
        <v/>
      </c>
      <c r="C98" s="14">
        <f>IF($W98="","",INDEX('Eredmény'!$AM$2:$AM$201,$W98))</f>
        <v/>
      </c>
      <c r="D98" s="14">
        <f>IF($W98="","",INDEX('Eredmény'!$AN$2:$AN$201,$W98))</f>
        <v/>
      </c>
      <c r="E98" s="12">
        <f>IF($W98="","",INDEX('Eredmény'!$AQ$2:$AQ$201,$W98))</f>
        <v/>
      </c>
      <c r="F98" s="13">
        <f>IF($W98="","",INDEX('Eredmény'!$AR$2:$AR$201,$W98))</f>
        <v/>
      </c>
      <c r="G98" s="13">
        <f>IF($W98="","",INDEX('Eredmény'!$AS$2:$AS$201,$W98))</f>
        <v/>
      </c>
      <c r="H98" s="14">
        <f>IF($W98="","",INDEX('Eredmény'!$AI$2:$AI$201,$W98))</f>
        <v/>
      </c>
      <c r="I98" s="14">
        <f>IF($W98="","",INDEX('Eredmény'!$AJ$2:$AJ$201,$W98))</f>
        <v/>
      </c>
      <c r="J98" s="14">
        <f>IF($W98="","",INDEX('Eredmény'!$AK$2:$AK$201,$W98))</f>
        <v/>
      </c>
      <c r="K98" s="14">
        <f>IF($W98="","",INDEX('Eredmény'!$AL$2:$AL$201,$W98))</f>
        <v/>
      </c>
      <c r="L98" s="15">
        <f>IF($W98="","",INDEX('Eredmény'!$AZ$2:$AZ$201,$W98))</f>
        <v/>
      </c>
      <c r="M98" s="15">
        <f>IF($W98="","",INDEX('Eredmény'!$BB$2:$BB$201,$W98))</f>
        <v/>
      </c>
      <c r="N98" s="15">
        <f>IF($W98="","",INDEX('Eredmény'!$BC$2:$BC$201,$W98))</f>
        <v/>
      </c>
      <c r="O98" s="16">
        <f>IF($W98="","",INDEX('Eredmény'!$BD$2:$BD$201,$W98))</f>
        <v/>
      </c>
      <c r="P98" s="13">
        <f>IF($W98="","",INDEX('Eredmény'!$BE$2:$BE$201,$W98))</f>
        <v/>
      </c>
      <c r="Q98" s="15">
        <f>IF($W98="","",INDEX('Eredmény'!$BF$2:$BF$201,$W98))</f>
        <v/>
      </c>
      <c r="R98" s="17">
        <f>IF($W98="","",INDEX('Eredmény'!$BG$2:$BG$201,$W98))</f>
        <v/>
      </c>
      <c r="S98" s="13">
        <f>IF($W98="","",INDEX('Eredmény'!$AT$2:$AT$201,$W98))</f>
        <v/>
      </c>
      <c r="T98" s="13">
        <f>IF($W98="","",INDEX('Eredmény'!$AV$2:$AV$201,$W98))</f>
        <v/>
      </c>
      <c r="U98" s="12">
        <f>IF($W98="","",INDEX('Eredmény'!$BI$2:$BI$201,$W98))</f>
        <v/>
      </c>
      <c r="W98">
        <f>IFERROR(MATCH(LARGE('Eredmény'!$DY$2:$DY$201,94),'Eredmény'!$DY$2:$DY$201,0),"")</f>
        <v/>
      </c>
    </row>
    <row r="99">
      <c r="A99" s="12">
        <f>IF($W99="","",INDEX('Eredmény'!$AO$2:$AO$201,$W99))</f>
        <v/>
      </c>
      <c r="B99" s="13">
        <f>IF($W99="","",INDEX('Eredmény'!$A$2:$A$201,$W99))</f>
        <v/>
      </c>
      <c r="C99" s="14">
        <f>IF($W99="","",INDEX('Eredmény'!$AM$2:$AM$201,$W99))</f>
        <v/>
      </c>
      <c r="D99" s="14">
        <f>IF($W99="","",INDEX('Eredmény'!$AN$2:$AN$201,$W99))</f>
        <v/>
      </c>
      <c r="E99" s="12">
        <f>IF($W99="","",INDEX('Eredmény'!$AQ$2:$AQ$201,$W99))</f>
        <v/>
      </c>
      <c r="F99" s="13">
        <f>IF($W99="","",INDEX('Eredmény'!$AR$2:$AR$201,$W99))</f>
        <v/>
      </c>
      <c r="G99" s="13">
        <f>IF($W99="","",INDEX('Eredmény'!$AS$2:$AS$201,$W99))</f>
        <v/>
      </c>
      <c r="H99" s="14">
        <f>IF($W99="","",INDEX('Eredmény'!$AI$2:$AI$201,$W99))</f>
        <v/>
      </c>
      <c r="I99" s="14">
        <f>IF($W99="","",INDEX('Eredmény'!$AJ$2:$AJ$201,$W99))</f>
        <v/>
      </c>
      <c r="J99" s="14">
        <f>IF($W99="","",INDEX('Eredmény'!$AK$2:$AK$201,$W99))</f>
        <v/>
      </c>
      <c r="K99" s="14">
        <f>IF($W99="","",INDEX('Eredmény'!$AL$2:$AL$201,$W99))</f>
        <v/>
      </c>
      <c r="L99" s="15">
        <f>IF($W99="","",INDEX('Eredmény'!$AZ$2:$AZ$201,$W99))</f>
        <v/>
      </c>
      <c r="M99" s="15">
        <f>IF($W99="","",INDEX('Eredmény'!$BB$2:$BB$201,$W99))</f>
        <v/>
      </c>
      <c r="N99" s="15">
        <f>IF($W99="","",INDEX('Eredmény'!$BC$2:$BC$201,$W99))</f>
        <v/>
      </c>
      <c r="O99" s="16">
        <f>IF($W99="","",INDEX('Eredmény'!$BD$2:$BD$201,$W99))</f>
        <v/>
      </c>
      <c r="P99" s="13">
        <f>IF($W99="","",INDEX('Eredmény'!$BE$2:$BE$201,$W99))</f>
        <v/>
      </c>
      <c r="Q99" s="15">
        <f>IF($W99="","",INDEX('Eredmény'!$BF$2:$BF$201,$W99))</f>
        <v/>
      </c>
      <c r="R99" s="17">
        <f>IF($W99="","",INDEX('Eredmény'!$BG$2:$BG$201,$W99))</f>
        <v/>
      </c>
      <c r="S99" s="13">
        <f>IF($W99="","",INDEX('Eredmény'!$AT$2:$AT$201,$W99))</f>
        <v/>
      </c>
      <c r="T99" s="13">
        <f>IF($W99="","",INDEX('Eredmény'!$AV$2:$AV$201,$W99))</f>
        <v/>
      </c>
      <c r="U99" s="12">
        <f>IF($W99="","",INDEX('Eredmény'!$BI$2:$BI$201,$W99))</f>
        <v/>
      </c>
      <c r="W99">
        <f>IFERROR(MATCH(LARGE('Eredmény'!$DY$2:$DY$201,95),'Eredmény'!$DY$2:$DY$201,0),"")</f>
        <v/>
      </c>
    </row>
    <row r="100">
      <c r="A100" s="12">
        <f>IF($W100="","",INDEX('Eredmény'!$AO$2:$AO$201,$W100))</f>
        <v/>
      </c>
      <c r="B100" s="13">
        <f>IF($W100="","",INDEX('Eredmény'!$A$2:$A$201,$W100))</f>
        <v/>
      </c>
      <c r="C100" s="14">
        <f>IF($W100="","",INDEX('Eredmény'!$AM$2:$AM$201,$W100))</f>
        <v/>
      </c>
      <c r="D100" s="14">
        <f>IF($W100="","",INDEX('Eredmény'!$AN$2:$AN$201,$W100))</f>
        <v/>
      </c>
      <c r="E100" s="12">
        <f>IF($W100="","",INDEX('Eredmény'!$AQ$2:$AQ$201,$W100))</f>
        <v/>
      </c>
      <c r="F100" s="13">
        <f>IF($W100="","",INDEX('Eredmény'!$AR$2:$AR$201,$W100))</f>
        <v/>
      </c>
      <c r="G100" s="13">
        <f>IF($W100="","",INDEX('Eredmény'!$AS$2:$AS$201,$W100))</f>
        <v/>
      </c>
      <c r="H100" s="14">
        <f>IF($W100="","",INDEX('Eredmény'!$AI$2:$AI$201,$W100))</f>
        <v/>
      </c>
      <c r="I100" s="14">
        <f>IF($W100="","",INDEX('Eredmény'!$AJ$2:$AJ$201,$W100))</f>
        <v/>
      </c>
      <c r="J100" s="14">
        <f>IF($W100="","",INDEX('Eredmény'!$AK$2:$AK$201,$W100))</f>
        <v/>
      </c>
      <c r="K100" s="14">
        <f>IF($W100="","",INDEX('Eredmény'!$AL$2:$AL$201,$W100))</f>
        <v/>
      </c>
      <c r="L100" s="15">
        <f>IF($W100="","",INDEX('Eredmény'!$AZ$2:$AZ$201,$W100))</f>
        <v/>
      </c>
      <c r="M100" s="15">
        <f>IF($W100="","",INDEX('Eredmény'!$BB$2:$BB$201,$W100))</f>
        <v/>
      </c>
      <c r="N100" s="15">
        <f>IF($W100="","",INDEX('Eredmény'!$BC$2:$BC$201,$W100))</f>
        <v/>
      </c>
      <c r="O100" s="16">
        <f>IF($W100="","",INDEX('Eredmény'!$BD$2:$BD$201,$W100))</f>
        <v/>
      </c>
      <c r="P100" s="13">
        <f>IF($W100="","",INDEX('Eredmény'!$BE$2:$BE$201,$W100))</f>
        <v/>
      </c>
      <c r="Q100" s="15">
        <f>IF($W100="","",INDEX('Eredmény'!$BF$2:$BF$201,$W100))</f>
        <v/>
      </c>
      <c r="R100" s="17">
        <f>IF($W100="","",INDEX('Eredmény'!$BG$2:$BG$201,$W100))</f>
        <v/>
      </c>
      <c r="S100" s="13">
        <f>IF($W100="","",INDEX('Eredmény'!$AT$2:$AT$201,$W100))</f>
        <v/>
      </c>
      <c r="T100" s="13">
        <f>IF($W100="","",INDEX('Eredmény'!$AV$2:$AV$201,$W100))</f>
        <v/>
      </c>
      <c r="U100" s="12">
        <f>IF($W100="","",INDEX('Eredmény'!$BI$2:$BI$201,$W100))</f>
        <v/>
      </c>
      <c r="W100">
        <f>IFERROR(MATCH(LARGE('Eredmény'!$DY$2:$DY$201,96),'Eredmény'!$DY$2:$DY$201,0),"")</f>
        <v/>
      </c>
    </row>
    <row r="101">
      <c r="A101" s="12">
        <f>IF($W101="","",INDEX('Eredmény'!$AO$2:$AO$201,$W101))</f>
        <v/>
      </c>
      <c r="B101" s="13">
        <f>IF($W101="","",INDEX('Eredmény'!$A$2:$A$201,$W101))</f>
        <v/>
      </c>
      <c r="C101" s="14">
        <f>IF($W101="","",INDEX('Eredmény'!$AM$2:$AM$201,$W101))</f>
        <v/>
      </c>
      <c r="D101" s="14">
        <f>IF($W101="","",INDEX('Eredmény'!$AN$2:$AN$201,$W101))</f>
        <v/>
      </c>
      <c r="E101" s="12">
        <f>IF($W101="","",INDEX('Eredmény'!$AQ$2:$AQ$201,$W101))</f>
        <v/>
      </c>
      <c r="F101" s="13">
        <f>IF($W101="","",INDEX('Eredmény'!$AR$2:$AR$201,$W101))</f>
        <v/>
      </c>
      <c r="G101" s="13">
        <f>IF($W101="","",INDEX('Eredmény'!$AS$2:$AS$201,$W101))</f>
        <v/>
      </c>
      <c r="H101" s="14">
        <f>IF($W101="","",INDEX('Eredmény'!$AI$2:$AI$201,$W101))</f>
        <v/>
      </c>
      <c r="I101" s="14">
        <f>IF($W101="","",INDEX('Eredmény'!$AJ$2:$AJ$201,$W101))</f>
        <v/>
      </c>
      <c r="J101" s="14">
        <f>IF($W101="","",INDEX('Eredmény'!$AK$2:$AK$201,$W101))</f>
        <v/>
      </c>
      <c r="K101" s="14">
        <f>IF($W101="","",INDEX('Eredmény'!$AL$2:$AL$201,$W101))</f>
        <v/>
      </c>
      <c r="L101" s="15">
        <f>IF($W101="","",INDEX('Eredmény'!$AZ$2:$AZ$201,$W101))</f>
        <v/>
      </c>
      <c r="M101" s="15">
        <f>IF($W101="","",INDEX('Eredmény'!$BB$2:$BB$201,$W101))</f>
        <v/>
      </c>
      <c r="N101" s="15">
        <f>IF($W101="","",INDEX('Eredmény'!$BC$2:$BC$201,$W101))</f>
        <v/>
      </c>
      <c r="O101" s="16">
        <f>IF($W101="","",INDEX('Eredmény'!$BD$2:$BD$201,$W101))</f>
        <v/>
      </c>
      <c r="P101" s="13">
        <f>IF($W101="","",INDEX('Eredmény'!$BE$2:$BE$201,$W101))</f>
        <v/>
      </c>
      <c r="Q101" s="15">
        <f>IF($W101="","",INDEX('Eredmény'!$BF$2:$BF$201,$W101))</f>
        <v/>
      </c>
      <c r="R101" s="17">
        <f>IF($W101="","",INDEX('Eredmény'!$BG$2:$BG$201,$W101))</f>
        <v/>
      </c>
      <c r="S101" s="13">
        <f>IF($W101="","",INDEX('Eredmény'!$AT$2:$AT$201,$W101))</f>
        <v/>
      </c>
      <c r="T101" s="13">
        <f>IF($W101="","",INDEX('Eredmény'!$AV$2:$AV$201,$W101))</f>
        <v/>
      </c>
      <c r="U101" s="12">
        <f>IF($W101="","",INDEX('Eredmény'!$BI$2:$BI$201,$W101))</f>
        <v/>
      </c>
      <c r="W101">
        <f>IFERROR(MATCH(LARGE('Eredmény'!$DY$2:$DY$201,97),'Eredmény'!$DY$2:$DY$201,0),"")</f>
        <v/>
      </c>
    </row>
    <row r="102">
      <c r="A102" s="12">
        <f>IF($W102="","",INDEX('Eredmény'!$AO$2:$AO$201,$W102))</f>
        <v/>
      </c>
      <c r="B102" s="13">
        <f>IF($W102="","",INDEX('Eredmény'!$A$2:$A$201,$W102))</f>
        <v/>
      </c>
      <c r="C102" s="14">
        <f>IF($W102="","",INDEX('Eredmény'!$AM$2:$AM$201,$W102))</f>
        <v/>
      </c>
      <c r="D102" s="14">
        <f>IF($W102="","",INDEX('Eredmény'!$AN$2:$AN$201,$W102))</f>
        <v/>
      </c>
      <c r="E102" s="12">
        <f>IF($W102="","",INDEX('Eredmény'!$AQ$2:$AQ$201,$W102))</f>
        <v/>
      </c>
      <c r="F102" s="13">
        <f>IF($W102="","",INDEX('Eredmény'!$AR$2:$AR$201,$W102))</f>
        <v/>
      </c>
      <c r="G102" s="13">
        <f>IF($W102="","",INDEX('Eredmény'!$AS$2:$AS$201,$W102))</f>
        <v/>
      </c>
      <c r="H102" s="14">
        <f>IF($W102="","",INDEX('Eredmény'!$AI$2:$AI$201,$W102))</f>
        <v/>
      </c>
      <c r="I102" s="14">
        <f>IF($W102="","",INDEX('Eredmény'!$AJ$2:$AJ$201,$W102))</f>
        <v/>
      </c>
      <c r="J102" s="14">
        <f>IF($W102="","",INDEX('Eredmény'!$AK$2:$AK$201,$W102))</f>
        <v/>
      </c>
      <c r="K102" s="14">
        <f>IF($W102="","",INDEX('Eredmény'!$AL$2:$AL$201,$W102))</f>
        <v/>
      </c>
      <c r="L102" s="15">
        <f>IF($W102="","",INDEX('Eredmény'!$AZ$2:$AZ$201,$W102))</f>
        <v/>
      </c>
      <c r="M102" s="15">
        <f>IF($W102="","",INDEX('Eredmény'!$BB$2:$BB$201,$W102))</f>
        <v/>
      </c>
      <c r="N102" s="15">
        <f>IF($W102="","",INDEX('Eredmény'!$BC$2:$BC$201,$W102))</f>
        <v/>
      </c>
      <c r="O102" s="16">
        <f>IF($W102="","",INDEX('Eredmény'!$BD$2:$BD$201,$W102))</f>
        <v/>
      </c>
      <c r="P102" s="13">
        <f>IF($W102="","",INDEX('Eredmény'!$BE$2:$BE$201,$W102))</f>
        <v/>
      </c>
      <c r="Q102" s="15">
        <f>IF($W102="","",INDEX('Eredmény'!$BF$2:$BF$201,$W102))</f>
        <v/>
      </c>
      <c r="R102" s="17">
        <f>IF($W102="","",INDEX('Eredmény'!$BG$2:$BG$201,$W102))</f>
        <v/>
      </c>
      <c r="S102" s="13">
        <f>IF($W102="","",INDEX('Eredmény'!$AT$2:$AT$201,$W102))</f>
        <v/>
      </c>
      <c r="T102" s="13">
        <f>IF($W102="","",INDEX('Eredmény'!$AV$2:$AV$201,$W102))</f>
        <v/>
      </c>
      <c r="U102" s="12">
        <f>IF($W102="","",INDEX('Eredmény'!$BI$2:$BI$201,$W102))</f>
        <v/>
      </c>
      <c r="W102">
        <f>IFERROR(MATCH(LARGE('Eredmény'!$DY$2:$DY$201,98),'Eredmény'!$DY$2:$DY$201,0),"")</f>
        <v/>
      </c>
    </row>
    <row r="103">
      <c r="A103" s="12">
        <f>IF($W103="","",INDEX('Eredmény'!$AO$2:$AO$201,$W103))</f>
        <v/>
      </c>
      <c r="B103" s="13">
        <f>IF($W103="","",INDEX('Eredmény'!$A$2:$A$201,$W103))</f>
        <v/>
      </c>
      <c r="C103" s="14">
        <f>IF($W103="","",INDEX('Eredmény'!$AM$2:$AM$201,$W103))</f>
        <v/>
      </c>
      <c r="D103" s="14">
        <f>IF($W103="","",INDEX('Eredmény'!$AN$2:$AN$201,$W103))</f>
        <v/>
      </c>
      <c r="E103" s="12">
        <f>IF($W103="","",INDEX('Eredmény'!$AQ$2:$AQ$201,$W103))</f>
        <v/>
      </c>
      <c r="F103" s="13">
        <f>IF($W103="","",INDEX('Eredmény'!$AR$2:$AR$201,$W103))</f>
        <v/>
      </c>
      <c r="G103" s="13">
        <f>IF($W103="","",INDEX('Eredmény'!$AS$2:$AS$201,$W103))</f>
        <v/>
      </c>
      <c r="H103" s="14">
        <f>IF($W103="","",INDEX('Eredmény'!$AI$2:$AI$201,$W103))</f>
        <v/>
      </c>
      <c r="I103" s="14">
        <f>IF($W103="","",INDEX('Eredmény'!$AJ$2:$AJ$201,$W103))</f>
        <v/>
      </c>
      <c r="J103" s="14">
        <f>IF($W103="","",INDEX('Eredmény'!$AK$2:$AK$201,$W103))</f>
        <v/>
      </c>
      <c r="K103" s="14">
        <f>IF($W103="","",INDEX('Eredmény'!$AL$2:$AL$201,$W103))</f>
        <v/>
      </c>
      <c r="L103" s="15">
        <f>IF($W103="","",INDEX('Eredmény'!$AZ$2:$AZ$201,$W103))</f>
        <v/>
      </c>
      <c r="M103" s="15">
        <f>IF($W103="","",INDEX('Eredmény'!$BB$2:$BB$201,$W103))</f>
        <v/>
      </c>
      <c r="N103" s="15">
        <f>IF($W103="","",INDEX('Eredmény'!$BC$2:$BC$201,$W103))</f>
        <v/>
      </c>
      <c r="O103" s="16">
        <f>IF($W103="","",INDEX('Eredmény'!$BD$2:$BD$201,$W103))</f>
        <v/>
      </c>
      <c r="P103" s="13">
        <f>IF($W103="","",INDEX('Eredmény'!$BE$2:$BE$201,$W103))</f>
        <v/>
      </c>
      <c r="Q103" s="15">
        <f>IF($W103="","",INDEX('Eredmény'!$BF$2:$BF$201,$W103))</f>
        <v/>
      </c>
      <c r="R103" s="17">
        <f>IF($W103="","",INDEX('Eredmény'!$BG$2:$BG$201,$W103))</f>
        <v/>
      </c>
      <c r="S103" s="13">
        <f>IF($W103="","",INDEX('Eredmény'!$AT$2:$AT$201,$W103))</f>
        <v/>
      </c>
      <c r="T103" s="13">
        <f>IF($W103="","",INDEX('Eredmény'!$AV$2:$AV$201,$W103))</f>
        <v/>
      </c>
      <c r="U103" s="12">
        <f>IF($W103="","",INDEX('Eredmény'!$BI$2:$BI$201,$W103))</f>
        <v/>
      </c>
      <c r="W103">
        <f>IFERROR(MATCH(LARGE('Eredmény'!$DY$2:$DY$201,99),'Eredmény'!$DY$2:$DY$201,0),"")</f>
        <v/>
      </c>
    </row>
    <row r="104">
      <c r="A104" s="12">
        <f>IF($W104="","",INDEX('Eredmény'!$AO$2:$AO$201,$W104))</f>
        <v/>
      </c>
      <c r="B104" s="13">
        <f>IF($W104="","",INDEX('Eredmény'!$A$2:$A$201,$W104))</f>
        <v/>
      </c>
      <c r="C104" s="14">
        <f>IF($W104="","",INDEX('Eredmény'!$AM$2:$AM$201,$W104))</f>
        <v/>
      </c>
      <c r="D104" s="14">
        <f>IF($W104="","",INDEX('Eredmény'!$AN$2:$AN$201,$W104))</f>
        <v/>
      </c>
      <c r="E104" s="12">
        <f>IF($W104="","",INDEX('Eredmény'!$AQ$2:$AQ$201,$W104))</f>
        <v/>
      </c>
      <c r="F104" s="13">
        <f>IF($W104="","",INDEX('Eredmény'!$AR$2:$AR$201,$W104))</f>
        <v/>
      </c>
      <c r="G104" s="13">
        <f>IF($W104="","",INDEX('Eredmény'!$AS$2:$AS$201,$W104))</f>
        <v/>
      </c>
      <c r="H104" s="14">
        <f>IF($W104="","",INDEX('Eredmény'!$AI$2:$AI$201,$W104))</f>
        <v/>
      </c>
      <c r="I104" s="14">
        <f>IF($W104="","",INDEX('Eredmény'!$AJ$2:$AJ$201,$W104))</f>
        <v/>
      </c>
      <c r="J104" s="14">
        <f>IF($W104="","",INDEX('Eredmény'!$AK$2:$AK$201,$W104))</f>
        <v/>
      </c>
      <c r="K104" s="14">
        <f>IF($W104="","",INDEX('Eredmény'!$AL$2:$AL$201,$W104))</f>
        <v/>
      </c>
      <c r="L104" s="15">
        <f>IF($W104="","",INDEX('Eredmény'!$AZ$2:$AZ$201,$W104))</f>
        <v/>
      </c>
      <c r="M104" s="15">
        <f>IF($W104="","",INDEX('Eredmény'!$BB$2:$BB$201,$W104))</f>
        <v/>
      </c>
      <c r="N104" s="15">
        <f>IF($W104="","",INDEX('Eredmény'!$BC$2:$BC$201,$W104))</f>
        <v/>
      </c>
      <c r="O104" s="16">
        <f>IF($W104="","",INDEX('Eredmény'!$BD$2:$BD$201,$W104))</f>
        <v/>
      </c>
      <c r="P104" s="13">
        <f>IF($W104="","",INDEX('Eredmény'!$BE$2:$BE$201,$W104))</f>
        <v/>
      </c>
      <c r="Q104" s="15">
        <f>IF($W104="","",INDEX('Eredmény'!$BF$2:$BF$201,$W104))</f>
        <v/>
      </c>
      <c r="R104" s="17">
        <f>IF($W104="","",INDEX('Eredmény'!$BG$2:$BG$201,$W104))</f>
        <v/>
      </c>
      <c r="S104" s="13">
        <f>IF($W104="","",INDEX('Eredmény'!$AT$2:$AT$201,$W104))</f>
        <v/>
      </c>
      <c r="T104" s="13">
        <f>IF($W104="","",INDEX('Eredmény'!$AV$2:$AV$201,$W104))</f>
        <v/>
      </c>
      <c r="U104" s="12">
        <f>IF($W104="","",INDEX('Eredmény'!$BI$2:$BI$201,$W104))</f>
        <v/>
      </c>
      <c r="W104">
        <f>IFERROR(MATCH(LARGE('Eredmény'!$DY$2:$DY$201,100),'Eredmény'!$DY$2:$DY$201,0),"")</f>
        <v/>
      </c>
    </row>
    <row r="105">
      <c r="A105" s="12">
        <f>IF($W105="","",INDEX('Eredmény'!$AO$2:$AO$201,$W105))</f>
        <v/>
      </c>
      <c r="B105" s="13">
        <f>IF($W105="","",INDEX('Eredmény'!$A$2:$A$201,$W105))</f>
        <v/>
      </c>
      <c r="C105" s="14">
        <f>IF($W105="","",INDEX('Eredmény'!$AM$2:$AM$201,$W105))</f>
        <v/>
      </c>
      <c r="D105" s="14">
        <f>IF($W105="","",INDEX('Eredmény'!$AN$2:$AN$201,$W105))</f>
        <v/>
      </c>
      <c r="E105" s="12">
        <f>IF($W105="","",INDEX('Eredmény'!$AQ$2:$AQ$201,$W105))</f>
        <v/>
      </c>
      <c r="F105" s="13">
        <f>IF($W105="","",INDEX('Eredmény'!$AR$2:$AR$201,$W105))</f>
        <v/>
      </c>
      <c r="G105" s="13">
        <f>IF($W105="","",INDEX('Eredmény'!$AS$2:$AS$201,$W105))</f>
        <v/>
      </c>
      <c r="H105" s="14">
        <f>IF($W105="","",INDEX('Eredmény'!$AI$2:$AI$201,$W105))</f>
        <v/>
      </c>
      <c r="I105" s="14">
        <f>IF($W105="","",INDEX('Eredmény'!$AJ$2:$AJ$201,$W105))</f>
        <v/>
      </c>
      <c r="J105" s="14">
        <f>IF($W105="","",INDEX('Eredmény'!$AK$2:$AK$201,$W105))</f>
        <v/>
      </c>
      <c r="K105" s="14">
        <f>IF($W105="","",INDEX('Eredmény'!$AL$2:$AL$201,$W105))</f>
        <v/>
      </c>
      <c r="L105" s="15">
        <f>IF($W105="","",INDEX('Eredmény'!$AZ$2:$AZ$201,$W105))</f>
        <v/>
      </c>
      <c r="M105" s="15">
        <f>IF($W105="","",INDEX('Eredmény'!$BB$2:$BB$201,$W105))</f>
        <v/>
      </c>
      <c r="N105" s="15">
        <f>IF($W105="","",INDEX('Eredmény'!$BC$2:$BC$201,$W105))</f>
        <v/>
      </c>
      <c r="O105" s="16">
        <f>IF($W105="","",INDEX('Eredmény'!$BD$2:$BD$201,$W105))</f>
        <v/>
      </c>
      <c r="P105" s="13">
        <f>IF($W105="","",INDEX('Eredmény'!$BE$2:$BE$201,$W105))</f>
        <v/>
      </c>
      <c r="Q105" s="15">
        <f>IF($W105="","",INDEX('Eredmény'!$BF$2:$BF$201,$W105))</f>
        <v/>
      </c>
      <c r="R105" s="17">
        <f>IF($W105="","",INDEX('Eredmény'!$BG$2:$BG$201,$W105))</f>
        <v/>
      </c>
      <c r="S105" s="13">
        <f>IF($W105="","",INDEX('Eredmény'!$AT$2:$AT$201,$W105))</f>
        <v/>
      </c>
      <c r="T105" s="13">
        <f>IF($W105="","",INDEX('Eredmény'!$AV$2:$AV$201,$W105))</f>
        <v/>
      </c>
      <c r="U105" s="12">
        <f>IF($W105="","",INDEX('Eredmény'!$BI$2:$BI$201,$W105))</f>
        <v/>
      </c>
      <c r="W105">
        <f>IFERROR(MATCH(LARGE('Eredmény'!$DY$2:$DY$201,101),'Eredmény'!$DY$2:$DY$201,0),"")</f>
        <v/>
      </c>
    </row>
    <row r="106">
      <c r="A106" s="12">
        <f>IF($W106="","",INDEX('Eredmény'!$AO$2:$AO$201,$W106))</f>
        <v/>
      </c>
      <c r="B106" s="13">
        <f>IF($W106="","",INDEX('Eredmény'!$A$2:$A$201,$W106))</f>
        <v/>
      </c>
      <c r="C106" s="14">
        <f>IF($W106="","",INDEX('Eredmény'!$AM$2:$AM$201,$W106))</f>
        <v/>
      </c>
      <c r="D106" s="14">
        <f>IF($W106="","",INDEX('Eredmény'!$AN$2:$AN$201,$W106))</f>
        <v/>
      </c>
      <c r="E106" s="12">
        <f>IF($W106="","",INDEX('Eredmény'!$AQ$2:$AQ$201,$W106))</f>
        <v/>
      </c>
      <c r="F106" s="13">
        <f>IF($W106="","",INDEX('Eredmény'!$AR$2:$AR$201,$W106))</f>
        <v/>
      </c>
      <c r="G106" s="13">
        <f>IF($W106="","",INDEX('Eredmény'!$AS$2:$AS$201,$W106))</f>
        <v/>
      </c>
      <c r="H106" s="14">
        <f>IF($W106="","",INDEX('Eredmény'!$AI$2:$AI$201,$W106))</f>
        <v/>
      </c>
      <c r="I106" s="14">
        <f>IF($W106="","",INDEX('Eredmény'!$AJ$2:$AJ$201,$W106))</f>
        <v/>
      </c>
      <c r="J106" s="14">
        <f>IF($W106="","",INDEX('Eredmény'!$AK$2:$AK$201,$W106))</f>
        <v/>
      </c>
      <c r="K106" s="14">
        <f>IF($W106="","",INDEX('Eredmény'!$AL$2:$AL$201,$W106))</f>
        <v/>
      </c>
      <c r="L106" s="15">
        <f>IF($W106="","",INDEX('Eredmény'!$AZ$2:$AZ$201,$W106))</f>
        <v/>
      </c>
      <c r="M106" s="15">
        <f>IF($W106="","",INDEX('Eredmény'!$BB$2:$BB$201,$W106))</f>
        <v/>
      </c>
      <c r="N106" s="15">
        <f>IF($W106="","",INDEX('Eredmény'!$BC$2:$BC$201,$W106))</f>
        <v/>
      </c>
      <c r="O106" s="16">
        <f>IF($W106="","",INDEX('Eredmény'!$BD$2:$BD$201,$W106))</f>
        <v/>
      </c>
      <c r="P106" s="13">
        <f>IF($W106="","",INDEX('Eredmény'!$BE$2:$BE$201,$W106))</f>
        <v/>
      </c>
      <c r="Q106" s="15">
        <f>IF($W106="","",INDEX('Eredmény'!$BF$2:$BF$201,$W106))</f>
        <v/>
      </c>
      <c r="R106" s="17">
        <f>IF($W106="","",INDEX('Eredmény'!$BG$2:$BG$201,$W106))</f>
        <v/>
      </c>
      <c r="S106" s="13">
        <f>IF($W106="","",INDEX('Eredmény'!$AT$2:$AT$201,$W106))</f>
        <v/>
      </c>
      <c r="T106" s="13">
        <f>IF($W106="","",INDEX('Eredmény'!$AV$2:$AV$201,$W106))</f>
        <v/>
      </c>
      <c r="U106" s="12">
        <f>IF($W106="","",INDEX('Eredmény'!$BI$2:$BI$201,$W106))</f>
        <v/>
      </c>
      <c r="W106">
        <f>IFERROR(MATCH(LARGE('Eredmény'!$DY$2:$DY$201,102),'Eredmény'!$DY$2:$DY$201,0),"")</f>
        <v/>
      </c>
    </row>
    <row r="107">
      <c r="A107" s="12">
        <f>IF($W107="","",INDEX('Eredmény'!$AO$2:$AO$201,$W107))</f>
        <v/>
      </c>
      <c r="B107" s="13">
        <f>IF($W107="","",INDEX('Eredmény'!$A$2:$A$201,$W107))</f>
        <v/>
      </c>
      <c r="C107" s="14">
        <f>IF($W107="","",INDEX('Eredmény'!$AM$2:$AM$201,$W107))</f>
        <v/>
      </c>
      <c r="D107" s="14">
        <f>IF($W107="","",INDEX('Eredmény'!$AN$2:$AN$201,$W107))</f>
        <v/>
      </c>
      <c r="E107" s="12">
        <f>IF($W107="","",INDEX('Eredmény'!$AQ$2:$AQ$201,$W107))</f>
        <v/>
      </c>
      <c r="F107" s="13">
        <f>IF($W107="","",INDEX('Eredmény'!$AR$2:$AR$201,$W107))</f>
        <v/>
      </c>
      <c r="G107" s="13">
        <f>IF($W107="","",INDEX('Eredmény'!$AS$2:$AS$201,$W107))</f>
        <v/>
      </c>
      <c r="H107" s="14">
        <f>IF($W107="","",INDEX('Eredmény'!$AI$2:$AI$201,$W107))</f>
        <v/>
      </c>
      <c r="I107" s="14">
        <f>IF($W107="","",INDEX('Eredmény'!$AJ$2:$AJ$201,$W107))</f>
        <v/>
      </c>
      <c r="J107" s="14">
        <f>IF($W107="","",INDEX('Eredmény'!$AK$2:$AK$201,$W107))</f>
        <v/>
      </c>
      <c r="K107" s="14">
        <f>IF($W107="","",INDEX('Eredmény'!$AL$2:$AL$201,$W107))</f>
        <v/>
      </c>
      <c r="L107" s="15">
        <f>IF($W107="","",INDEX('Eredmény'!$AZ$2:$AZ$201,$W107))</f>
        <v/>
      </c>
      <c r="M107" s="15">
        <f>IF($W107="","",INDEX('Eredmény'!$BB$2:$BB$201,$W107))</f>
        <v/>
      </c>
      <c r="N107" s="15">
        <f>IF($W107="","",INDEX('Eredmény'!$BC$2:$BC$201,$W107))</f>
        <v/>
      </c>
      <c r="O107" s="16">
        <f>IF($W107="","",INDEX('Eredmény'!$BD$2:$BD$201,$W107))</f>
        <v/>
      </c>
      <c r="P107" s="13">
        <f>IF($W107="","",INDEX('Eredmény'!$BE$2:$BE$201,$W107))</f>
        <v/>
      </c>
      <c r="Q107" s="15">
        <f>IF($W107="","",INDEX('Eredmény'!$BF$2:$BF$201,$W107))</f>
        <v/>
      </c>
      <c r="R107" s="17">
        <f>IF($W107="","",INDEX('Eredmény'!$BG$2:$BG$201,$W107))</f>
        <v/>
      </c>
      <c r="S107" s="13">
        <f>IF($W107="","",INDEX('Eredmény'!$AT$2:$AT$201,$W107))</f>
        <v/>
      </c>
      <c r="T107" s="13">
        <f>IF($W107="","",INDEX('Eredmény'!$AV$2:$AV$201,$W107))</f>
        <v/>
      </c>
      <c r="U107" s="12">
        <f>IF($W107="","",INDEX('Eredmény'!$BI$2:$BI$201,$W107))</f>
        <v/>
      </c>
      <c r="W107">
        <f>IFERROR(MATCH(LARGE('Eredmény'!$DY$2:$DY$201,103),'Eredmény'!$DY$2:$DY$201,0),"")</f>
        <v/>
      </c>
    </row>
    <row r="108">
      <c r="A108" s="12">
        <f>IF($W108="","",INDEX('Eredmény'!$AO$2:$AO$201,$W108))</f>
        <v/>
      </c>
      <c r="B108" s="13">
        <f>IF($W108="","",INDEX('Eredmény'!$A$2:$A$201,$W108))</f>
        <v/>
      </c>
      <c r="C108" s="14">
        <f>IF($W108="","",INDEX('Eredmény'!$AM$2:$AM$201,$W108))</f>
        <v/>
      </c>
      <c r="D108" s="14">
        <f>IF($W108="","",INDEX('Eredmény'!$AN$2:$AN$201,$W108))</f>
        <v/>
      </c>
      <c r="E108" s="12">
        <f>IF($W108="","",INDEX('Eredmény'!$AQ$2:$AQ$201,$W108))</f>
        <v/>
      </c>
      <c r="F108" s="13">
        <f>IF($W108="","",INDEX('Eredmény'!$AR$2:$AR$201,$W108))</f>
        <v/>
      </c>
      <c r="G108" s="13">
        <f>IF($W108="","",INDEX('Eredmény'!$AS$2:$AS$201,$W108))</f>
        <v/>
      </c>
      <c r="H108" s="14">
        <f>IF($W108="","",INDEX('Eredmény'!$AI$2:$AI$201,$W108))</f>
        <v/>
      </c>
      <c r="I108" s="14">
        <f>IF($W108="","",INDEX('Eredmény'!$AJ$2:$AJ$201,$W108))</f>
        <v/>
      </c>
      <c r="J108" s="14">
        <f>IF($W108="","",INDEX('Eredmény'!$AK$2:$AK$201,$W108))</f>
        <v/>
      </c>
      <c r="K108" s="14">
        <f>IF($W108="","",INDEX('Eredmény'!$AL$2:$AL$201,$W108))</f>
        <v/>
      </c>
      <c r="L108" s="15">
        <f>IF($W108="","",INDEX('Eredmény'!$AZ$2:$AZ$201,$W108))</f>
        <v/>
      </c>
      <c r="M108" s="15">
        <f>IF($W108="","",INDEX('Eredmény'!$BB$2:$BB$201,$W108))</f>
        <v/>
      </c>
      <c r="N108" s="15">
        <f>IF($W108="","",INDEX('Eredmény'!$BC$2:$BC$201,$W108))</f>
        <v/>
      </c>
      <c r="O108" s="16">
        <f>IF($W108="","",INDEX('Eredmény'!$BD$2:$BD$201,$W108))</f>
        <v/>
      </c>
      <c r="P108" s="13">
        <f>IF($W108="","",INDEX('Eredmény'!$BE$2:$BE$201,$W108))</f>
        <v/>
      </c>
      <c r="Q108" s="15">
        <f>IF($W108="","",INDEX('Eredmény'!$BF$2:$BF$201,$W108))</f>
        <v/>
      </c>
      <c r="R108" s="17">
        <f>IF($W108="","",INDEX('Eredmény'!$BG$2:$BG$201,$W108))</f>
        <v/>
      </c>
      <c r="S108" s="13">
        <f>IF($W108="","",INDEX('Eredmény'!$AT$2:$AT$201,$W108))</f>
        <v/>
      </c>
      <c r="T108" s="13">
        <f>IF($W108="","",INDEX('Eredmény'!$AV$2:$AV$201,$W108))</f>
        <v/>
      </c>
      <c r="U108" s="12">
        <f>IF($W108="","",INDEX('Eredmény'!$BI$2:$BI$201,$W108))</f>
        <v/>
      </c>
      <c r="W108">
        <f>IFERROR(MATCH(LARGE('Eredmény'!$DY$2:$DY$201,104),'Eredmény'!$DY$2:$DY$201,0),"")</f>
        <v/>
      </c>
    </row>
    <row r="109">
      <c r="A109" s="12">
        <f>IF($W109="","",INDEX('Eredmény'!$AO$2:$AO$201,$W109))</f>
        <v/>
      </c>
      <c r="B109" s="13">
        <f>IF($W109="","",INDEX('Eredmény'!$A$2:$A$201,$W109))</f>
        <v/>
      </c>
      <c r="C109" s="14">
        <f>IF($W109="","",INDEX('Eredmény'!$AM$2:$AM$201,$W109))</f>
        <v/>
      </c>
      <c r="D109" s="14">
        <f>IF($W109="","",INDEX('Eredmény'!$AN$2:$AN$201,$W109))</f>
        <v/>
      </c>
      <c r="E109" s="12">
        <f>IF($W109="","",INDEX('Eredmény'!$AQ$2:$AQ$201,$W109))</f>
        <v/>
      </c>
      <c r="F109" s="13">
        <f>IF($W109="","",INDEX('Eredmény'!$AR$2:$AR$201,$W109))</f>
        <v/>
      </c>
      <c r="G109" s="13">
        <f>IF($W109="","",INDEX('Eredmény'!$AS$2:$AS$201,$W109))</f>
        <v/>
      </c>
      <c r="H109" s="14">
        <f>IF($W109="","",INDEX('Eredmény'!$AI$2:$AI$201,$W109))</f>
        <v/>
      </c>
      <c r="I109" s="14">
        <f>IF($W109="","",INDEX('Eredmény'!$AJ$2:$AJ$201,$W109))</f>
        <v/>
      </c>
      <c r="J109" s="14">
        <f>IF($W109="","",INDEX('Eredmény'!$AK$2:$AK$201,$W109))</f>
        <v/>
      </c>
      <c r="K109" s="14">
        <f>IF($W109="","",INDEX('Eredmény'!$AL$2:$AL$201,$W109))</f>
        <v/>
      </c>
      <c r="L109" s="15">
        <f>IF($W109="","",INDEX('Eredmény'!$AZ$2:$AZ$201,$W109))</f>
        <v/>
      </c>
      <c r="M109" s="15">
        <f>IF($W109="","",INDEX('Eredmény'!$BB$2:$BB$201,$W109))</f>
        <v/>
      </c>
      <c r="N109" s="15">
        <f>IF($W109="","",INDEX('Eredmény'!$BC$2:$BC$201,$W109))</f>
        <v/>
      </c>
      <c r="O109" s="16">
        <f>IF($W109="","",INDEX('Eredmény'!$BD$2:$BD$201,$W109))</f>
        <v/>
      </c>
      <c r="P109" s="13">
        <f>IF($W109="","",INDEX('Eredmény'!$BE$2:$BE$201,$W109))</f>
        <v/>
      </c>
      <c r="Q109" s="15">
        <f>IF($W109="","",INDEX('Eredmény'!$BF$2:$BF$201,$W109))</f>
        <v/>
      </c>
      <c r="R109" s="17">
        <f>IF($W109="","",INDEX('Eredmény'!$BG$2:$BG$201,$W109))</f>
        <v/>
      </c>
      <c r="S109" s="13">
        <f>IF($W109="","",INDEX('Eredmény'!$AT$2:$AT$201,$W109))</f>
        <v/>
      </c>
      <c r="T109" s="13">
        <f>IF($W109="","",INDEX('Eredmény'!$AV$2:$AV$201,$W109))</f>
        <v/>
      </c>
      <c r="U109" s="12">
        <f>IF($W109="","",INDEX('Eredmény'!$BI$2:$BI$201,$W109))</f>
        <v/>
      </c>
      <c r="W109">
        <f>IFERROR(MATCH(LARGE('Eredmény'!$DY$2:$DY$201,105),'Eredmény'!$DY$2:$DY$201,0),"")</f>
        <v/>
      </c>
    </row>
    <row r="110">
      <c r="A110" s="12">
        <f>IF($W110="","",INDEX('Eredmény'!$AO$2:$AO$201,$W110))</f>
        <v/>
      </c>
      <c r="B110" s="13">
        <f>IF($W110="","",INDEX('Eredmény'!$A$2:$A$201,$W110))</f>
        <v/>
      </c>
      <c r="C110" s="14">
        <f>IF($W110="","",INDEX('Eredmény'!$AM$2:$AM$201,$W110))</f>
        <v/>
      </c>
      <c r="D110" s="14">
        <f>IF($W110="","",INDEX('Eredmény'!$AN$2:$AN$201,$W110))</f>
        <v/>
      </c>
      <c r="E110" s="12">
        <f>IF($W110="","",INDEX('Eredmény'!$AQ$2:$AQ$201,$W110))</f>
        <v/>
      </c>
      <c r="F110" s="13">
        <f>IF($W110="","",INDEX('Eredmény'!$AR$2:$AR$201,$W110))</f>
        <v/>
      </c>
      <c r="G110" s="13">
        <f>IF($W110="","",INDEX('Eredmény'!$AS$2:$AS$201,$W110))</f>
        <v/>
      </c>
      <c r="H110" s="14">
        <f>IF($W110="","",INDEX('Eredmény'!$AI$2:$AI$201,$W110))</f>
        <v/>
      </c>
      <c r="I110" s="14">
        <f>IF($W110="","",INDEX('Eredmény'!$AJ$2:$AJ$201,$W110))</f>
        <v/>
      </c>
      <c r="J110" s="14">
        <f>IF($W110="","",INDEX('Eredmény'!$AK$2:$AK$201,$W110))</f>
        <v/>
      </c>
      <c r="K110" s="14">
        <f>IF($W110="","",INDEX('Eredmény'!$AL$2:$AL$201,$W110))</f>
        <v/>
      </c>
      <c r="L110" s="15">
        <f>IF($W110="","",INDEX('Eredmény'!$AZ$2:$AZ$201,$W110))</f>
        <v/>
      </c>
      <c r="M110" s="15">
        <f>IF($W110="","",INDEX('Eredmény'!$BB$2:$BB$201,$W110))</f>
        <v/>
      </c>
      <c r="N110" s="15">
        <f>IF($W110="","",INDEX('Eredmény'!$BC$2:$BC$201,$W110))</f>
        <v/>
      </c>
      <c r="O110" s="16">
        <f>IF($W110="","",INDEX('Eredmény'!$BD$2:$BD$201,$W110))</f>
        <v/>
      </c>
      <c r="P110" s="13">
        <f>IF($W110="","",INDEX('Eredmény'!$BE$2:$BE$201,$W110))</f>
        <v/>
      </c>
      <c r="Q110" s="15">
        <f>IF($W110="","",INDEX('Eredmény'!$BF$2:$BF$201,$W110))</f>
        <v/>
      </c>
      <c r="R110" s="17">
        <f>IF($W110="","",INDEX('Eredmény'!$BG$2:$BG$201,$W110))</f>
        <v/>
      </c>
      <c r="S110" s="13">
        <f>IF($W110="","",INDEX('Eredmény'!$AT$2:$AT$201,$W110))</f>
        <v/>
      </c>
      <c r="T110" s="13">
        <f>IF($W110="","",INDEX('Eredmény'!$AV$2:$AV$201,$W110))</f>
        <v/>
      </c>
      <c r="U110" s="12">
        <f>IF($W110="","",INDEX('Eredmény'!$BI$2:$BI$201,$W110))</f>
        <v/>
      </c>
      <c r="W110">
        <f>IFERROR(MATCH(LARGE('Eredmény'!$DY$2:$DY$201,106),'Eredmény'!$DY$2:$DY$201,0),"")</f>
        <v/>
      </c>
    </row>
    <row r="111">
      <c r="A111" s="12">
        <f>IF($W111="","",INDEX('Eredmény'!$AO$2:$AO$201,$W111))</f>
        <v/>
      </c>
      <c r="B111" s="13">
        <f>IF($W111="","",INDEX('Eredmény'!$A$2:$A$201,$W111))</f>
        <v/>
      </c>
      <c r="C111" s="14">
        <f>IF($W111="","",INDEX('Eredmény'!$AM$2:$AM$201,$W111))</f>
        <v/>
      </c>
      <c r="D111" s="14">
        <f>IF($W111="","",INDEX('Eredmény'!$AN$2:$AN$201,$W111))</f>
        <v/>
      </c>
      <c r="E111" s="12">
        <f>IF($W111="","",INDEX('Eredmény'!$AQ$2:$AQ$201,$W111))</f>
        <v/>
      </c>
      <c r="F111" s="13">
        <f>IF($W111="","",INDEX('Eredmény'!$AR$2:$AR$201,$W111))</f>
        <v/>
      </c>
      <c r="G111" s="13">
        <f>IF($W111="","",INDEX('Eredmény'!$AS$2:$AS$201,$W111))</f>
        <v/>
      </c>
      <c r="H111" s="14">
        <f>IF($W111="","",INDEX('Eredmény'!$AI$2:$AI$201,$W111))</f>
        <v/>
      </c>
      <c r="I111" s="14">
        <f>IF($W111="","",INDEX('Eredmény'!$AJ$2:$AJ$201,$W111))</f>
        <v/>
      </c>
      <c r="J111" s="14">
        <f>IF($W111="","",INDEX('Eredmény'!$AK$2:$AK$201,$W111))</f>
        <v/>
      </c>
      <c r="K111" s="14">
        <f>IF($W111="","",INDEX('Eredmény'!$AL$2:$AL$201,$W111))</f>
        <v/>
      </c>
      <c r="L111" s="15">
        <f>IF($W111="","",INDEX('Eredmény'!$AZ$2:$AZ$201,$W111))</f>
        <v/>
      </c>
      <c r="M111" s="15">
        <f>IF($W111="","",INDEX('Eredmény'!$BB$2:$BB$201,$W111))</f>
        <v/>
      </c>
      <c r="N111" s="15">
        <f>IF($W111="","",INDEX('Eredmény'!$BC$2:$BC$201,$W111))</f>
        <v/>
      </c>
      <c r="O111" s="16">
        <f>IF($W111="","",INDEX('Eredmény'!$BD$2:$BD$201,$W111))</f>
        <v/>
      </c>
      <c r="P111" s="13">
        <f>IF($W111="","",INDEX('Eredmény'!$BE$2:$BE$201,$W111))</f>
        <v/>
      </c>
      <c r="Q111" s="15">
        <f>IF($W111="","",INDEX('Eredmény'!$BF$2:$BF$201,$W111))</f>
        <v/>
      </c>
      <c r="R111" s="17">
        <f>IF($W111="","",INDEX('Eredmény'!$BG$2:$BG$201,$W111))</f>
        <v/>
      </c>
      <c r="S111" s="13">
        <f>IF($W111="","",INDEX('Eredmény'!$AT$2:$AT$201,$W111))</f>
        <v/>
      </c>
      <c r="T111" s="13">
        <f>IF($W111="","",INDEX('Eredmény'!$AV$2:$AV$201,$W111))</f>
        <v/>
      </c>
      <c r="U111" s="12">
        <f>IF($W111="","",INDEX('Eredmény'!$BI$2:$BI$201,$W111))</f>
        <v/>
      </c>
      <c r="W111">
        <f>IFERROR(MATCH(LARGE('Eredmény'!$DY$2:$DY$201,107),'Eredmény'!$DY$2:$DY$201,0),"")</f>
        <v/>
      </c>
    </row>
    <row r="112">
      <c r="A112" s="12">
        <f>IF($W112="","",INDEX('Eredmény'!$AO$2:$AO$201,$W112))</f>
        <v/>
      </c>
      <c r="B112" s="13">
        <f>IF($W112="","",INDEX('Eredmény'!$A$2:$A$201,$W112))</f>
        <v/>
      </c>
      <c r="C112" s="14">
        <f>IF($W112="","",INDEX('Eredmény'!$AM$2:$AM$201,$W112))</f>
        <v/>
      </c>
      <c r="D112" s="14">
        <f>IF($W112="","",INDEX('Eredmény'!$AN$2:$AN$201,$W112))</f>
        <v/>
      </c>
      <c r="E112" s="12">
        <f>IF($W112="","",INDEX('Eredmény'!$AQ$2:$AQ$201,$W112))</f>
        <v/>
      </c>
      <c r="F112" s="13">
        <f>IF($W112="","",INDEX('Eredmény'!$AR$2:$AR$201,$W112))</f>
        <v/>
      </c>
      <c r="G112" s="13">
        <f>IF($W112="","",INDEX('Eredmény'!$AS$2:$AS$201,$W112))</f>
        <v/>
      </c>
      <c r="H112" s="14">
        <f>IF($W112="","",INDEX('Eredmény'!$AI$2:$AI$201,$W112))</f>
        <v/>
      </c>
      <c r="I112" s="14">
        <f>IF($W112="","",INDEX('Eredmény'!$AJ$2:$AJ$201,$W112))</f>
        <v/>
      </c>
      <c r="J112" s="14">
        <f>IF($W112="","",INDEX('Eredmény'!$AK$2:$AK$201,$W112))</f>
        <v/>
      </c>
      <c r="K112" s="14">
        <f>IF($W112="","",INDEX('Eredmény'!$AL$2:$AL$201,$W112))</f>
        <v/>
      </c>
      <c r="L112" s="15">
        <f>IF($W112="","",INDEX('Eredmény'!$AZ$2:$AZ$201,$W112))</f>
        <v/>
      </c>
      <c r="M112" s="15">
        <f>IF($W112="","",INDEX('Eredmény'!$BB$2:$BB$201,$W112))</f>
        <v/>
      </c>
      <c r="N112" s="15">
        <f>IF($W112="","",INDEX('Eredmény'!$BC$2:$BC$201,$W112))</f>
        <v/>
      </c>
      <c r="O112" s="16">
        <f>IF($W112="","",INDEX('Eredmény'!$BD$2:$BD$201,$W112))</f>
        <v/>
      </c>
      <c r="P112" s="13">
        <f>IF($W112="","",INDEX('Eredmény'!$BE$2:$BE$201,$W112))</f>
        <v/>
      </c>
      <c r="Q112" s="15">
        <f>IF($W112="","",INDEX('Eredmény'!$BF$2:$BF$201,$W112))</f>
        <v/>
      </c>
      <c r="R112" s="17">
        <f>IF($W112="","",INDEX('Eredmény'!$BG$2:$BG$201,$W112))</f>
        <v/>
      </c>
      <c r="S112" s="13">
        <f>IF($W112="","",INDEX('Eredmény'!$AT$2:$AT$201,$W112))</f>
        <v/>
      </c>
      <c r="T112" s="13">
        <f>IF($W112="","",INDEX('Eredmény'!$AV$2:$AV$201,$W112))</f>
        <v/>
      </c>
      <c r="U112" s="12">
        <f>IF($W112="","",INDEX('Eredmény'!$BI$2:$BI$201,$W112))</f>
        <v/>
      </c>
      <c r="W112">
        <f>IFERROR(MATCH(LARGE('Eredmény'!$DY$2:$DY$201,108),'Eredmény'!$DY$2:$DY$201,0),"")</f>
        <v/>
      </c>
    </row>
    <row r="113">
      <c r="A113" s="12">
        <f>IF($W113="","",INDEX('Eredmény'!$AO$2:$AO$201,$W113))</f>
        <v/>
      </c>
      <c r="B113" s="13">
        <f>IF($W113="","",INDEX('Eredmény'!$A$2:$A$201,$W113))</f>
        <v/>
      </c>
      <c r="C113" s="14">
        <f>IF($W113="","",INDEX('Eredmény'!$AM$2:$AM$201,$W113))</f>
        <v/>
      </c>
      <c r="D113" s="14">
        <f>IF($W113="","",INDEX('Eredmény'!$AN$2:$AN$201,$W113))</f>
        <v/>
      </c>
      <c r="E113" s="12">
        <f>IF($W113="","",INDEX('Eredmény'!$AQ$2:$AQ$201,$W113))</f>
        <v/>
      </c>
      <c r="F113" s="13">
        <f>IF($W113="","",INDEX('Eredmény'!$AR$2:$AR$201,$W113))</f>
        <v/>
      </c>
      <c r="G113" s="13">
        <f>IF($W113="","",INDEX('Eredmény'!$AS$2:$AS$201,$W113))</f>
        <v/>
      </c>
      <c r="H113" s="14">
        <f>IF($W113="","",INDEX('Eredmény'!$AI$2:$AI$201,$W113))</f>
        <v/>
      </c>
      <c r="I113" s="14">
        <f>IF($W113="","",INDEX('Eredmény'!$AJ$2:$AJ$201,$W113))</f>
        <v/>
      </c>
      <c r="J113" s="14">
        <f>IF($W113="","",INDEX('Eredmény'!$AK$2:$AK$201,$W113))</f>
        <v/>
      </c>
      <c r="K113" s="14">
        <f>IF($W113="","",INDEX('Eredmény'!$AL$2:$AL$201,$W113))</f>
        <v/>
      </c>
      <c r="L113" s="15">
        <f>IF($W113="","",INDEX('Eredmény'!$AZ$2:$AZ$201,$W113))</f>
        <v/>
      </c>
      <c r="M113" s="15">
        <f>IF($W113="","",INDEX('Eredmény'!$BB$2:$BB$201,$W113))</f>
        <v/>
      </c>
      <c r="N113" s="15">
        <f>IF($W113="","",INDEX('Eredmény'!$BC$2:$BC$201,$W113))</f>
        <v/>
      </c>
      <c r="O113" s="16">
        <f>IF($W113="","",INDEX('Eredmény'!$BD$2:$BD$201,$W113))</f>
        <v/>
      </c>
      <c r="P113" s="13">
        <f>IF($W113="","",INDEX('Eredmény'!$BE$2:$BE$201,$W113))</f>
        <v/>
      </c>
      <c r="Q113" s="15">
        <f>IF($W113="","",INDEX('Eredmény'!$BF$2:$BF$201,$W113))</f>
        <v/>
      </c>
      <c r="R113" s="17">
        <f>IF($W113="","",INDEX('Eredmény'!$BG$2:$BG$201,$W113))</f>
        <v/>
      </c>
      <c r="S113" s="13">
        <f>IF($W113="","",INDEX('Eredmény'!$AT$2:$AT$201,$W113))</f>
        <v/>
      </c>
      <c r="T113" s="13">
        <f>IF($W113="","",INDEX('Eredmény'!$AV$2:$AV$201,$W113))</f>
        <v/>
      </c>
      <c r="U113" s="12">
        <f>IF($W113="","",INDEX('Eredmény'!$BI$2:$BI$201,$W113))</f>
        <v/>
      </c>
      <c r="W113">
        <f>IFERROR(MATCH(LARGE('Eredmény'!$DY$2:$DY$201,109),'Eredmény'!$DY$2:$DY$201,0),"")</f>
        <v/>
      </c>
    </row>
    <row r="114">
      <c r="A114" s="12">
        <f>IF($W114="","",INDEX('Eredmény'!$AO$2:$AO$201,$W114))</f>
        <v/>
      </c>
      <c r="B114" s="13">
        <f>IF($W114="","",INDEX('Eredmény'!$A$2:$A$201,$W114))</f>
        <v/>
      </c>
      <c r="C114" s="14">
        <f>IF($W114="","",INDEX('Eredmény'!$AM$2:$AM$201,$W114))</f>
        <v/>
      </c>
      <c r="D114" s="14">
        <f>IF($W114="","",INDEX('Eredmény'!$AN$2:$AN$201,$W114))</f>
        <v/>
      </c>
      <c r="E114" s="12">
        <f>IF($W114="","",INDEX('Eredmény'!$AQ$2:$AQ$201,$W114))</f>
        <v/>
      </c>
      <c r="F114" s="13">
        <f>IF($W114="","",INDEX('Eredmény'!$AR$2:$AR$201,$W114))</f>
        <v/>
      </c>
      <c r="G114" s="13">
        <f>IF($W114="","",INDEX('Eredmény'!$AS$2:$AS$201,$W114))</f>
        <v/>
      </c>
      <c r="H114" s="14">
        <f>IF($W114="","",INDEX('Eredmény'!$AI$2:$AI$201,$W114))</f>
        <v/>
      </c>
      <c r="I114" s="14">
        <f>IF($W114="","",INDEX('Eredmény'!$AJ$2:$AJ$201,$W114))</f>
        <v/>
      </c>
      <c r="J114" s="14">
        <f>IF($W114="","",INDEX('Eredmény'!$AK$2:$AK$201,$W114))</f>
        <v/>
      </c>
      <c r="K114" s="14">
        <f>IF($W114="","",INDEX('Eredmény'!$AL$2:$AL$201,$W114))</f>
        <v/>
      </c>
      <c r="L114" s="15">
        <f>IF($W114="","",INDEX('Eredmény'!$AZ$2:$AZ$201,$W114))</f>
        <v/>
      </c>
      <c r="M114" s="15">
        <f>IF($W114="","",INDEX('Eredmény'!$BB$2:$BB$201,$W114))</f>
        <v/>
      </c>
      <c r="N114" s="15">
        <f>IF($W114="","",INDEX('Eredmény'!$BC$2:$BC$201,$W114))</f>
        <v/>
      </c>
      <c r="O114" s="16">
        <f>IF($W114="","",INDEX('Eredmény'!$BD$2:$BD$201,$W114))</f>
        <v/>
      </c>
      <c r="P114" s="13">
        <f>IF($W114="","",INDEX('Eredmény'!$BE$2:$BE$201,$W114))</f>
        <v/>
      </c>
      <c r="Q114" s="15">
        <f>IF($W114="","",INDEX('Eredmény'!$BF$2:$BF$201,$W114))</f>
        <v/>
      </c>
      <c r="R114" s="17">
        <f>IF($W114="","",INDEX('Eredmény'!$BG$2:$BG$201,$W114))</f>
        <v/>
      </c>
      <c r="S114" s="13">
        <f>IF($W114="","",INDEX('Eredmény'!$AT$2:$AT$201,$W114))</f>
        <v/>
      </c>
      <c r="T114" s="13">
        <f>IF($W114="","",INDEX('Eredmény'!$AV$2:$AV$201,$W114))</f>
        <v/>
      </c>
      <c r="U114" s="12">
        <f>IF($W114="","",INDEX('Eredmény'!$BI$2:$BI$201,$W114))</f>
        <v/>
      </c>
      <c r="W114">
        <f>IFERROR(MATCH(LARGE('Eredmény'!$DY$2:$DY$201,110),'Eredmény'!$DY$2:$DY$201,0),"")</f>
        <v/>
      </c>
    </row>
    <row r="115">
      <c r="A115" s="12">
        <f>IF($W115="","",INDEX('Eredmény'!$AO$2:$AO$201,$W115))</f>
        <v/>
      </c>
      <c r="B115" s="13">
        <f>IF($W115="","",INDEX('Eredmény'!$A$2:$A$201,$W115))</f>
        <v/>
      </c>
      <c r="C115" s="14">
        <f>IF($W115="","",INDEX('Eredmény'!$AM$2:$AM$201,$W115))</f>
        <v/>
      </c>
      <c r="D115" s="14">
        <f>IF($W115="","",INDEX('Eredmény'!$AN$2:$AN$201,$W115))</f>
        <v/>
      </c>
      <c r="E115" s="12">
        <f>IF($W115="","",INDEX('Eredmény'!$AQ$2:$AQ$201,$W115))</f>
        <v/>
      </c>
      <c r="F115" s="13">
        <f>IF($W115="","",INDEX('Eredmény'!$AR$2:$AR$201,$W115))</f>
        <v/>
      </c>
      <c r="G115" s="13">
        <f>IF($W115="","",INDEX('Eredmény'!$AS$2:$AS$201,$W115))</f>
        <v/>
      </c>
      <c r="H115" s="14">
        <f>IF($W115="","",INDEX('Eredmény'!$AI$2:$AI$201,$W115))</f>
        <v/>
      </c>
      <c r="I115" s="14">
        <f>IF($W115="","",INDEX('Eredmény'!$AJ$2:$AJ$201,$W115))</f>
        <v/>
      </c>
      <c r="J115" s="14">
        <f>IF($W115="","",INDEX('Eredmény'!$AK$2:$AK$201,$W115))</f>
        <v/>
      </c>
      <c r="K115" s="14">
        <f>IF($W115="","",INDEX('Eredmény'!$AL$2:$AL$201,$W115))</f>
        <v/>
      </c>
      <c r="L115" s="15">
        <f>IF($W115="","",INDEX('Eredmény'!$AZ$2:$AZ$201,$W115))</f>
        <v/>
      </c>
      <c r="M115" s="15">
        <f>IF($W115="","",INDEX('Eredmény'!$BB$2:$BB$201,$W115))</f>
        <v/>
      </c>
      <c r="N115" s="15">
        <f>IF($W115="","",INDEX('Eredmény'!$BC$2:$BC$201,$W115))</f>
        <v/>
      </c>
      <c r="O115" s="16">
        <f>IF($W115="","",INDEX('Eredmény'!$BD$2:$BD$201,$W115))</f>
        <v/>
      </c>
      <c r="P115" s="13">
        <f>IF($W115="","",INDEX('Eredmény'!$BE$2:$BE$201,$W115))</f>
        <v/>
      </c>
      <c r="Q115" s="15">
        <f>IF($W115="","",INDEX('Eredmény'!$BF$2:$BF$201,$W115))</f>
        <v/>
      </c>
      <c r="R115" s="17">
        <f>IF($W115="","",INDEX('Eredmény'!$BG$2:$BG$201,$W115))</f>
        <v/>
      </c>
      <c r="S115" s="13">
        <f>IF($W115="","",INDEX('Eredmény'!$AT$2:$AT$201,$W115))</f>
        <v/>
      </c>
      <c r="T115" s="13">
        <f>IF($W115="","",INDEX('Eredmény'!$AV$2:$AV$201,$W115))</f>
        <v/>
      </c>
      <c r="U115" s="12">
        <f>IF($W115="","",INDEX('Eredmény'!$BI$2:$BI$201,$W115))</f>
        <v/>
      </c>
      <c r="W115">
        <f>IFERROR(MATCH(LARGE('Eredmény'!$DY$2:$DY$201,111),'Eredmény'!$DY$2:$DY$201,0),"")</f>
        <v/>
      </c>
    </row>
    <row r="116">
      <c r="A116" s="12">
        <f>IF($W116="","",INDEX('Eredmény'!$AO$2:$AO$201,$W116))</f>
        <v/>
      </c>
      <c r="B116" s="13">
        <f>IF($W116="","",INDEX('Eredmény'!$A$2:$A$201,$W116))</f>
        <v/>
      </c>
      <c r="C116" s="14">
        <f>IF($W116="","",INDEX('Eredmény'!$AM$2:$AM$201,$W116))</f>
        <v/>
      </c>
      <c r="D116" s="14">
        <f>IF($W116="","",INDEX('Eredmény'!$AN$2:$AN$201,$W116))</f>
        <v/>
      </c>
      <c r="E116" s="12">
        <f>IF($W116="","",INDEX('Eredmény'!$AQ$2:$AQ$201,$W116))</f>
        <v/>
      </c>
      <c r="F116" s="13">
        <f>IF($W116="","",INDEX('Eredmény'!$AR$2:$AR$201,$W116))</f>
        <v/>
      </c>
      <c r="G116" s="13">
        <f>IF($W116="","",INDEX('Eredmény'!$AS$2:$AS$201,$W116))</f>
        <v/>
      </c>
      <c r="H116" s="14">
        <f>IF($W116="","",INDEX('Eredmény'!$AI$2:$AI$201,$W116))</f>
        <v/>
      </c>
      <c r="I116" s="14">
        <f>IF($W116="","",INDEX('Eredmény'!$AJ$2:$AJ$201,$W116))</f>
        <v/>
      </c>
      <c r="J116" s="14">
        <f>IF($W116="","",INDEX('Eredmény'!$AK$2:$AK$201,$W116))</f>
        <v/>
      </c>
      <c r="K116" s="14">
        <f>IF($W116="","",INDEX('Eredmény'!$AL$2:$AL$201,$W116))</f>
        <v/>
      </c>
      <c r="L116" s="15">
        <f>IF($W116="","",INDEX('Eredmény'!$AZ$2:$AZ$201,$W116))</f>
        <v/>
      </c>
      <c r="M116" s="15">
        <f>IF($W116="","",INDEX('Eredmény'!$BB$2:$BB$201,$W116))</f>
        <v/>
      </c>
      <c r="N116" s="15">
        <f>IF($W116="","",INDEX('Eredmény'!$BC$2:$BC$201,$W116))</f>
        <v/>
      </c>
      <c r="O116" s="16">
        <f>IF($W116="","",INDEX('Eredmény'!$BD$2:$BD$201,$W116))</f>
        <v/>
      </c>
      <c r="P116" s="13">
        <f>IF($W116="","",INDEX('Eredmény'!$BE$2:$BE$201,$W116))</f>
        <v/>
      </c>
      <c r="Q116" s="15">
        <f>IF($W116="","",INDEX('Eredmény'!$BF$2:$BF$201,$W116))</f>
        <v/>
      </c>
      <c r="R116" s="17">
        <f>IF($W116="","",INDEX('Eredmény'!$BG$2:$BG$201,$W116))</f>
        <v/>
      </c>
      <c r="S116" s="13">
        <f>IF($W116="","",INDEX('Eredmény'!$AT$2:$AT$201,$W116))</f>
        <v/>
      </c>
      <c r="T116" s="13">
        <f>IF($W116="","",INDEX('Eredmény'!$AV$2:$AV$201,$W116))</f>
        <v/>
      </c>
      <c r="U116" s="12">
        <f>IF($W116="","",INDEX('Eredmény'!$BI$2:$BI$201,$W116))</f>
        <v/>
      </c>
      <c r="W116">
        <f>IFERROR(MATCH(LARGE('Eredmény'!$DY$2:$DY$201,112),'Eredmény'!$DY$2:$DY$201,0),"")</f>
        <v/>
      </c>
    </row>
    <row r="117">
      <c r="A117" s="12">
        <f>IF($W117="","",INDEX('Eredmény'!$AO$2:$AO$201,$W117))</f>
        <v/>
      </c>
      <c r="B117" s="13">
        <f>IF($W117="","",INDEX('Eredmény'!$A$2:$A$201,$W117))</f>
        <v/>
      </c>
      <c r="C117" s="14">
        <f>IF($W117="","",INDEX('Eredmény'!$AM$2:$AM$201,$W117))</f>
        <v/>
      </c>
      <c r="D117" s="14">
        <f>IF($W117="","",INDEX('Eredmény'!$AN$2:$AN$201,$W117))</f>
        <v/>
      </c>
      <c r="E117" s="12">
        <f>IF($W117="","",INDEX('Eredmény'!$AQ$2:$AQ$201,$W117))</f>
        <v/>
      </c>
      <c r="F117" s="13">
        <f>IF($W117="","",INDEX('Eredmény'!$AR$2:$AR$201,$W117))</f>
        <v/>
      </c>
      <c r="G117" s="13">
        <f>IF($W117="","",INDEX('Eredmény'!$AS$2:$AS$201,$W117))</f>
        <v/>
      </c>
      <c r="H117" s="14">
        <f>IF($W117="","",INDEX('Eredmény'!$AI$2:$AI$201,$W117))</f>
        <v/>
      </c>
      <c r="I117" s="14">
        <f>IF($W117="","",INDEX('Eredmény'!$AJ$2:$AJ$201,$W117))</f>
        <v/>
      </c>
      <c r="J117" s="14">
        <f>IF($W117="","",INDEX('Eredmény'!$AK$2:$AK$201,$W117))</f>
        <v/>
      </c>
      <c r="K117" s="14">
        <f>IF($W117="","",INDEX('Eredmény'!$AL$2:$AL$201,$W117))</f>
        <v/>
      </c>
      <c r="L117" s="15">
        <f>IF($W117="","",INDEX('Eredmény'!$AZ$2:$AZ$201,$W117))</f>
        <v/>
      </c>
      <c r="M117" s="15">
        <f>IF($W117="","",INDEX('Eredmény'!$BB$2:$BB$201,$W117))</f>
        <v/>
      </c>
      <c r="N117" s="15">
        <f>IF($W117="","",INDEX('Eredmény'!$BC$2:$BC$201,$W117))</f>
        <v/>
      </c>
      <c r="O117" s="16">
        <f>IF($W117="","",INDEX('Eredmény'!$BD$2:$BD$201,$W117))</f>
        <v/>
      </c>
      <c r="P117" s="13">
        <f>IF($W117="","",INDEX('Eredmény'!$BE$2:$BE$201,$W117))</f>
        <v/>
      </c>
      <c r="Q117" s="15">
        <f>IF($W117="","",INDEX('Eredmény'!$BF$2:$BF$201,$W117))</f>
        <v/>
      </c>
      <c r="R117" s="17">
        <f>IF($W117="","",INDEX('Eredmény'!$BG$2:$BG$201,$W117))</f>
        <v/>
      </c>
      <c r="S117" s="13">
        <f>IF($W117="","",INDEX('Eredmény'!$AT$2:$AT$201,$W117))</f>
        <v/>
      </c>
      <c r="T117" s="13">
        <f>IF($W117="","",INDEX('Eredmény'!$AV$2:$AV$201,$W117))</f>
        <v/>
      </c>
      <c r="U117" s="12">
        <f>IF($W117="","",INDEX('Eredmény'!$BI$2:$BI$201,$W117))</f>
        <v/>
      </c>
      <c r="W117">
        <f>IFERROR(MATCH(LARGE('Eredmény'!$DY$2:$DY$201,113),'Eredmény'!$DY$2:$DY$201,0),"")</f>
        <v/>
      </c>
    </row>
    <row r="118">
      <c r="A118" s="12">
        <f>IF($W118="","",INDEX('Eredmény'!$AO$2:$AO$201,$W118))</f>
        <v/>
      </c>
      <c r="B118" s="13">
        <f>IF($W118="","",INDEX('Eredmény'!$A$2:$A$201,$W118))</f>
        <v/>
      </c>
      <c r="C118" s="14">
        <f>IF($W118="","",INDEX('Eredmény'!$AM$2:$AM$201,$W118))</f>
        <v/>
      </c>
      <c r="D118" s="14">
        <f>IF($W118="","",INDEX('Eredmény'!$AN$2:$AN$201,$W118))</f>
        <v/>
      </c>
      <c r="E118" s="12">
        <f>IF($W118="","",INDEX('Eredmény'!$AQ$2:$AQ$201,$W118))</f>
        <v/>
      </c>
      <c r="F118" s="13">
        <f>IF($W118="","",INDEX('Eredmény'!$AR$2:$AR$201,$W118))</f>
        <v/>
      </c>
      <c r="G118" s="13">
        <f>IF($W118="","",INDEX('Eredmény'!$AS$2:$AS$201,$W118))</f>
        <v/>
      </c>
      <c r="H118" s="14">
        <f>IF($W118="","",INDEX('Eredmény'!$AI$2:$AI$201,$W118))</f>
        <v/>
      </c>
      <c r="I118" s="14">
        <f>IF($W118="","",INDEX('Eredmény'!$AJ$2:$AJ$201,$W118))</f>
        <v/>
      </c>
      <c r="J118" s="14">
        <f>IF($W118="","",INDEX('Eredmény'!$AK$2:$AK$201,$W118))</f>
        <v/>
      </c>
      <c r="K118" s="14">
        <f>IF($W118="","",INDEX('Eredmény'!$AL$2:$AL$201,$W118))</f>
        <v/>
      </c>
      <c r="L118" s="15">
        <f>IF($W118="","",INDEX('Eredmény'!$AZ$2:$AZ$201,$W118))</f>
        <v/>
      </c>
      <c r="M118" s="15">
        <f>IF($W118="","",INDEX('Eredmény'!$BB$2:$BB$201,$W118))</f>
        <v/>
      </c>
      <c r="N118" s="15">
        <f>IF($W118="","",INDEX('Eredmény'!$BC$2:$BC$201,$W118))</f>
        <v/>
      </c>
      <c r="O118" s="16">
        <f>IF($W118="","",INDEX('Eredmény'!$BD$2:$BD$201,$W118))</f>
        <v/>
      </c>
      <c r="P118" s="13">
        <f>IF($W118="","",INDEX('Eredmény'!$BE$2:$BE$201,$W118))</f>
        <v/>
      </c>
      <c r="Q118" s="15">
        <f>IF($W118="","",INDEX('Eredmény'!$BF$2:$BF$201,$W118))</f>
        <v/>
      </c>
      <c r="R118" s="17">
        <f>IF($W118="","",INDEX('Eredmény'!$BG$2:$BG$201,$W118))</f>
        <v/>
      </c>
      <c r="S118" s="13">
        <f>IF($W118="","",INDEX('Eredmény'!$AT$2:$AT$201,$W118))</f>
        <v/>
      </c>
      <c r="T118" s="13">
        <f>IF($W118="","",INDEX('Eredmény'!$AV$2:$AV$201,$W118))</f>
        <v/>
      </c>
      <c r="U118" s="12">
        <f>IF($W118="","",INDEX('Eredmény'!$BI$2:$BI$201,$W118))</f>
        <v/>
      </c>
      <c r="W118">
        <f>IFERROR(MATCH(LARGE('Eredmény'!$DY$2:$DY$201,114),'Eredmény'!$DY$2:$DY$201,0),"")</f>
        <v/>
      </c>
    </row>
    <row r="119">
      <c r="A119" s="12">
        <f>IF($W119="","",INDEX('Eredmény'!$AO$2:$AO$201,$W119))</f>
        <v/>
      </c>
      <c r="B119" s="13">
        <f>IF($W119="","",INDEX('Eredmény'!$A$2:$A$201,$W119))</f>
        <v/>
      </c>
      <c r="C119" s="14">
        <f>IF($W119="","",INDEX('Eredmény'!$AM$2:$AM$201,$W119))</f>
        <v/>
      </c>
      <c r="D119" s="14">
        <f>IF($W119="","",INDEX('Eredmény'!$AN$2:$AN$201,$W119))</f>
        <v/>
      </c>
      <c r="E119" s="12">
        <f>IF($W119="","",INDEX('Eredmény'!$AQ$2:$AQ$201,$W119))</f>
        <v/>
      </c>
      <c r="F119" s="13">
        <f>IF($W119="","",INDEX('Eredmény'!$AR$2:$AR$201,$W119))</f>
        <v/>
      </c>
      <c r="G119" s="13">
        <f>IF($W119="","",INDEX('Eredmény'!$AS$2:$AS$201,$W119))</f>
        <v/>
      </c>
      <c r="H119" s="14">
        <f>IF($W119="","",INDEX('Eredmény'!$AI$2:$AI$201,$W119))</f>
        <v/>
      </c>
      <c r="I119" s="14">
        <f>IF($W119="","",INDEX('Eredmény'!$AJ$2:$AJ$201,$W119))</f>
        <v/>
      </c>
      <c r="J119" s="14">
        <f>IF($W119="","",INDEX('Eredmény'!$AK$2:$AK$201,$W119))</f>
        <v/>
      </c>
      <c r="K119" s="14">
        <f>IF($W119="","",INDEX('Eredmény'!$AL$2:$AL$201,$W119))</f>
        <v/>
      </c>
      <c r="L119" s="15">
        <f>IF($W119="","",INDEX('Eredmény'!$AZ$2:$AZ$201,$W119))</f>
        <v/>
      </c>
      <c r="M119" s="15">
        <f>IF($W119="","",INDEX('Eredmény'!$BB$2:$BB$201,$W119))</f>
        <v/>
      </c>
      <c r="N119" s="15">
        <f>IF($W119="","",INDEX('Eredmény'!$BC$2:$BC$201,$W119))</f>
        <v/>
      </c>
      <c r="O119" s="16">
        <f>IF($W119="","",INDEX('Eredmény'!$BD$2:$BD$201,$W119))</f>
        <v/>
      </c>
      <c r="P119" s="13">
        <f>IF($W119="","",INDEX('Eredmény'!$BE$2:$BE$201,$W119))</f>
        <v/>
      </c>
      <c r="Q119" s="15">
        <f>IF($W119="","",INDEX('Eredmény'!$BF$2:$BF$201,$W119))</f>
        <v/>
      </c>
      <c r="R119" s="17">
        <f>IF($W119="","",INDEX('Eredmény'!$BG$2:$BG$201,$W119))</f>
        <v/>
      </c>
      <c r="S119" s="13">
        <f>IF($W119="","",INDEX('Eredmény'!$AT$2:$AT$201,$W119))</f>
        <v/>
      </c>
      <c r="T119" s="13">
        <f>IF($W119="","",INDEX('Eredmény'!$AV$2:$AV$201,$W119))</f>
        <v/>
      </c>
      <c r="U119" s="12">
        <f>IF($W119="","",INDEX('Eredmény'!$BI$2:$BI$201,$W119))</f>
        <v/>
      </c>
      <c r="W119">
        <f>IFERROR(MATCH(LARGE('Eredmény'!$DY$2:$DY$201,115),'Eredmény'!$DY$2:$DY$201,0),"")</f>
        <v/>
      </c>
    </row>
    <row r="120">
      <c r="A120" s="12">
        <f>IF($W120="","",INDEX('Eredmény'!$AO$2:$AO$201,$W120))</f>
        <v/>
      </c>
      <c r="B120" s="13">
        <f>IF($W120="","",INDEX('Eredmény'!$A$2:$A$201,$W120))</f>
        <v/>
      </c>
      <c r="C120" s="14">
        <f>IF($W120="","",INDEX('Eredmény'!$AM$2:$AM$201,$W120))</f>
        <v/>
      </c>
      <c r="D120" s="14">
        <f>IF($W120="","",INDEX('Eredmény'!$AN$2:$AN$201,$W120))</f>
        <v/>
      </c>
      <c r="E120" s="12">
        <f>IF($W120="","",INDEX('Eredmény'!$AQ$2:$AQ$201,$W120))</f>
        <v/>
      </c>
      <c r="F120" s="13">
        <f>IF($W120="","",INDEX('Eredmény'!$AR$2:$AR$201,$W120))</f>
        <v/>
      </c>
      <c r="G120" s="13">
        <f>IF($W120="","",INDEX('Eredmény'!$AS$2:$AS$201,$W120))</f>
        <v/>
      </c>
      <c r="H120" s="14">
        <f>IF($W120="","",INDEX('Eredmény'!$AI$2:$AI$201,$W120))</f>
        <v/>
      </c>
      <c r="I120" s="14">
        <f>IF($W120="","",INDEX('Eredmény'!$AJ$2:$AJ$201,$W120))</f>
        <v/>
      </c>
      <c r="J120" s="14">
        <f>IF($W120="","",INDEX('Eredmény'!$AK$2:$AK$201,$W120))</f>
        <v/>
      </c>
      <c r="K120" s="14">
        <f>IF($W120="","",INDEX('Eredmény'!$AL$2:$AL$201,$W120))</f>
        <v/>
      </c>
      <c r="L120" s="15">
        <f>IF($W120="","",INDEX('Eredmény'!$AZ$2:$AZ$201,$W120))</f>
        <v/>
      </c>
      <c r="M120" s="15">
        <f>IF($W120="","",INDEX('Eredmény'!$BB$2:$BB$201,$W120))</f>
        <v/>
      </c>
      <c r="N120" s="15">
        <f>IF($W120="","",INDEX('Eredmény'!$BC$2:$BC$201,$W120))</f>
        <v/>
      </c>
      <c r="O120" s="16">
        <f>IF($W120="","",INDEX('Eredmény'!$BD$2:$BD$201,$W120))</f>
        <v/>
      </c>
      <c r="P120" s="13">
        <f>IF($W120="","",INDEX('Eredmény'!$BE$2:$BE$201,$W120))</f>
        <v/>
      </c>
      <c r="Q120" s="15">
        <f>IF($W120="","",INDEX('Eredmény'!$BF$2:$BF$201,$W120))</f>
        <v/>
      </c>
      <c r="R120" s="17">
        <f>IF($W120="","",INDEX('Eredmény'!$BG$2:$BG$201,$W120))</f>
        <v/>
      </c>
      <c r="S120" s="13">
        <f>IF($W120="","",INDEX('Eredmény'!$AT$2:$AT$201,$W120))</f>
        <v/>
      </c>
      <c r="T120" s="13">
        <f>IF($W120="","",INDEX('Eredmény'!$AV$2:$AV$201,$W120))</f>
        <v/>
      </c>
      <c r="U120" s="12">
        <f>IF($W120="","",INDEX('Eredmény'!$BI$2:$BI$201,$W120))</f>
        <v/>
      </c>
      <c r="W120">
        <f>IFERROR(MATCH(LARGE('Eredmény'!$DY$2:$DY$201,116),'Eredmény'!$DY$2:$DY$201,0),"")</f>
        <v/>
      </c>
    </row>
    <row r="121">
      <c r="A121" s="12">
        <f>IF($W121="","",INDEX('Eredmény'!$AO$2:$AO$201,$W121))</f>
        <v/>
      </c>
      <c r="B121" s="13">
        <f>IF($W121="","",INDEX('Eredmény'!$A$2:$A$201,$W121))</f>
        <v/>
      </c>
      <c r="C121" s="14">
        <f>IF($W121="","",INDEX('Eredmény'!$AM$2:$AM$201,$W121))</f>
        <v/>
      </c>
      <c r="D121" s="14">
        <f>IF($W121="","",INDEX('Eredmény'!$AN$2:$AN$201,$W121))</f>
        <v/>
      </c>
      <c r="E121" s="12">
        <f>IF($W121="","",INDEX('Eredmény'!$AQ$2:$AQ$201,$W121))</f>
        <v/>
      </c>
      <c r="F121" s="13">
        <f>IF($W121="","",INDEX('Eredmény'!$AR$2:$AR$201,$W121))</f>
        <v/>
      </c>
      <c r="G121" s="13">
        <f>IF($W121="","",INDEX('Eredmény'!$AS$2:$AS$201,$W121))</f>
        <v/>
      </c>
      <c r="H121" s="14">
        <f>IF($W121="","",INDEX('Eredmény'!$AI$2:$AI$201,$W121))</f>
        <v/>
      </c>
      <c r="I121" s="14">
        <f>IF($W121="","",INDEX('Eredmény'!$AJ$2:$AJ$201,$W121))</f>
        <v/>
      </c>
      <c r="J121" s="14">
        <f>IF($W121="","",INDEX('Eredmény'!$AK$2:$AK$201,$W121))</f>
        <v/>
      </c>
      <c r="K121" s="14">
        <f>IF($W121="","",INDEX('Eredmény'!$AL$2:$AL$201,$W121))</f>
        <v/>
      </c>
      <c r="L121" s="15">
        <f>IF($W121="","",INDEX('Eredmény'!$AZ$2:$AZ$201,$W121))</f>
        <v/>
      </c>
      <c r="M121" s="15">
        <f>IF($W121="","",INDEX('Eredmény'!$BB$2:$BB$201,$W121))</f>
        <v/>
      </c>
      <c r="N121" s="15">
        <f>IF($W121="","",INDEX('Eredmény'!$BC$2:$BC$201,$W121))</f>
        <v/>
      </c>
      <c r="O121" s="16">
        <f>IF($W121="","",INDEX('Eredmény'!$BD$2:$BD$201,$W121))</f>
        <v/>
      </c>
      <c r="P121" s="13">
        <f>IF($W121="","",INDEX('Eredmény'!$BE$2:$BE$201,$W121))</f>
        <v/>
      </c>
      <c r="Q121" s="15">
        <f>IF($W121="","",INDEX('Eredmény'!$BF$2:$BF$201,$W121))</f>
        <v/>
      </c>
      <c r="R121" s="17">
        <f>IF($W121="","",INDEX('Eredmény'!$BG$2:$BG$201,$W121))</f>
        <v/>
      </c>
      <c r="S121" s="13">
        <f>IF($W121="","",INDEX('Eredmény'!$AT$2:$AT$201,$W121))</f>
        <v/>
      </c>
      <c r="T121" s="13">
        <f>IF($W121="","",INDEX('Eredmény'!$AV$2:$AV$201,$W121))</f>
        <v/>
      </c>
      <c r="U121" s="12">
        <f>IF($W121="","",INDEX('Eredmény'!$BI$2:$BI$201,$W121))</f>
        <v/>
      </c>
      <c r="W121">
        <f>IFERROR(MATCH(LARGE('Eredmény'!$DY$2:$DY$201,117),'Eredmény'!$DY$2:$DY$201,0),"")</f>
        <v/>
      </c>
    </row>
    <row r="122">
      <c r="A122" s="12">
        <f>IF($W122="","",INDEX('Eredmény'!$AO$2:$AO$201,$W122))</f>
        <v/>
      </c>
      <c r="B122" s="13">
        <f>IF($W122="","",INDEX('Eredmény'!$A$2:$A$201,$W122))</f>
        <v/>
      </c>
      <c r="C122" s="14">
        <f>IF($W122="","",INDEX('Eredmény'!$AM$2:$AM$201,$W122))</f>
        <v/>
      </c>
      <c r="D122" s="14">
        <f>IF($W122="","",INDEX('Eredmény'!$AN$2:$AN$201,$W122))</f>
        <v/>
      </c>
      <c r="E122" s="12">
        <f>IF($W122="","",INDEX('Eredmény'!$AQ$2:$AQ$201,$W122))</f>
        <v/>
      </c>
      <c r="F122" s="13">
        <f>IF($W122="","",INDEX('Eredmény'!$AR$2:$AR$201,$W122))</f>
        <v/>
      </c>
      <c r="G122" s="13">
        <f>IF($W122="","",INDEX('Eredmény'!$AS$2:$AS$201,$W122))</f>
        <v/>
      </c>
      <c r="H122" s="14">
        <f>IF($W122="","",INDEX('Eredmény'!$AI$2:$AI$201,$W122))</f>
        <v/>
      </c>
      <c r="I122" s="14">
        <f>IF($W122="","",INDEX('Eredmény'!$AJ$2:$AJ$201,$W122))</f>
        <v/>
      </c>
      <c r="J122" s="14">
        <f>IF($W122="","",INDEX('Eredmény'!$AK$2:$AK$201,$W122))</f>
        <v/>
      </c>
      <c r="K122" s="14">
        <f>IF($W122="","",INDEX('Eredmény'!$AL$2:$AL$201,$W122))</f>
        <v/>
      </c>
      <c r="L122" s="15">
        <f>IF($W122="","",INDEX('Eredmény'!$AZ$2:$AZ$201,$W122))</f>
        <v/>
      </c>
      <c r="M122" s="15">
        <f>IF($W122="","",INDEX('Eredmény'!$BB$2:$BB$201,$W122))</f>
        <v/>
      </c>
      <c r="N122" s="15">
        <f>IF($W122="","",INDEX('Eredmény'!$BC$2:$BC$201,$W122))</f>
        <v/>
      </c>
      <c r="O122" s="16">
        <f>IF($W122="","",INDEX('Eredmény'!$BD$2:$BD$201,$W122))</f>
        <v/>
      </c>
      <c r="P122" s="13">
        <f>IF($W122="","",INDEX('Eredmény'!$BE$2:$BE$201,$W122))</f>
        <v/>
      </c>
      <c r="Q122" s="15">
        <f>IF($W122="","",INDEX('Eredmény'!$BF$2:$BF$201,$W122))</f>
        <v/>
      </c>
      <c r="R122" s="17">
        <f>IF($W122="","",INDEX('Eredmény'!$BG$2:$BG$201,$W122))</f>
        <v/>
      </c>
      <c r="S122" s="13">
        <f>IF($W122="","",INDEX('Eredmény'!$AT$2:$AT$201,$W122))</f>
        <v/>
      </c>
      <c r="T122" s="13">
        <f>IF($W122="","",INDEX('Eredmény'!$AV$2:$AV$201,$W122))</f>
        <v/>
      </c>
      <c r="U122" s="12">
        <f>IF($W122="","",INDEX('Eredmény'!$BI$2:$BI$201,$W122))</f>
        <v/>
      </c>
      <c r="W122">
        <f>IFERROR(MATCH(LARGE('Eredmény'!$DY$2:$DY$201,118),'Eredmény'!$DY$2:$DY$201,0),"")</f>
        <v/>
      </c>
    </row>
    <row r="123">
      <c r="A123" s="12">
        <f>IF($W123="","",INDEX('Eredmény'!$AO$2:$AO$201,$W123))</f>
        <v/>
      </c>
      <c r="B123" s="13">
        <f>IF($W123="","",INDEX('Eredmény'!$A$2:$A$201,$W123))</f>
        <v/>
      </c>
      <c r="C123" s="14">
        <f>IF($W123="","",INDEX('Eredmény'!$AM$2:$AM$201,$W123))</f>
        <v/>
      </c>
      <c r="D123" s="14">
        <f>IF($W123="","",INDEX('Eredmény'!$AN$2:$AN$201,$W123))</f>
        <v/>
      </c>
      <c r="E123" s="12">
        <f>IF($W123="","",INDEX('Eredmény'!$AQ$2:$AQ$201,$W123))</f>
        <v/>
      </c>
      <c r="F123" s="13">
        <f>IF($W123="","",INDEX('Eredmény'!$AR$2:$AR$201,$W123))</f>
        <v/>
      </c>
      <c r="G123" s="13">
        <f>IF($W123="","",INDEX('Eredmény'!$AS$2:$AS$201,$W123))</f>
        <v/>
      </c>
      <c r="H123" s="14">
        <f>IF($W123="","",INDEX('Eredmény'!$AI$2:$AI$201,$W123))</f>
        <v/>
      </c>
      <c r="I123" s="14">
        <f>IF($W123="","",INDEX('Eredmény'!$AJ$2:$AJ$201,$W123))</f>
        <v/>
      </c>
      <c r="J123" s="14">
        <f>IF($W123="","",INDEX('Eredmény'!$AK$2:$AK$201,$W123))</f>
        <v/>
      </c>
      <c r="K123" s="14">
        <f>IF($W123="","",INDEX('Eredmény'!$AL$2:$AL$201,$W123))</f>
        <v/>
      </c>
      <c r="L123" s="15">
        <f>IF($W123="","",INDEX('Eredmény'!$AZ$2:$AZ$201,$W123))</f>
        <v/>
      </c>
      <c r="M123" s="15">
        <f>IF($W123="","",INDEX('Eredmény'!$BB$2:$BB$201,$W123))</f>
        <v/>
      </c>
      <c r="N123" s="15">
        <f>IF($W123="","",INDEX('Eredmény'!$BC$2:$BC$201,$W123))</f>
        <v/>
      </c>
      <c r="O123" s="16">
        <f>IF($W123="","",INDEX('Eredmény'!$BD$2:$BD$201,$W123))</f>
        <v/>
      </c>
      <c r="P123" s="13">
        <f>IF($W123="","",INDEX('Eredmény'!$BE$2:$BE$201,$W123))</f>
        <v/>
      </c>
      <c r="Q123" s="15">
        <f>IF($W123="","",INDEX('Eredmény'!$BF$2:$BF$201,$W123))</f>
        <v/>
      </c>
      <c r="R123" s="17">
        <f>IF($W123="","",INDEX('Eredmény'!$BG$2:$BG$201,$W123))</f>
        <v/>
      </c>
      <c r="S123" s="13">
        <f>IF($W123="","",INDEX('Eredmény'!$AT$2:$AT$201,$W123))</f>
        <v/>
      </c>
      <c r="T123" s="13">
        <f>IF($W123="","",INDEX('Eredmény'!$AV$2:$AV$201,$W123))</f>
        <v/>
      </c>
      <c r="U123" s="12">
        <f>IF($W123="","",INDEX('Eredmény'!$BI$2:$BI$201,$W123))</f>
        <v/>
      </c>
      <c r="W123">
        <f>IFERROR(MATCH(LARGE('Eredmény'!$DY$2:$DY$201,119),'Eredmény'!$DY$2:$DY$201,0),"")</f>
        <v/>
      </c>
    </row>
    <row r="124">
      <c r="A124" s="12">
        <f>IF($W124="","",INDEX('Eredmény'!$AO$2:$AO$201,$W124))</f>
        <v/>
      </c>
      <c r="B124" s="13">
        <f>IF($W124="","",INDEX('Eredmény'!$A$2:$A$201,$W124))</f>
        <v/>
      </c>
      <c r="C124" s="14">
        <f>IF($W124="","",INDEX('Eredmény'!$AM$2:$AM$201,$W124))</f>
        <v/>
      </c>
      <c r="D124" s="14">
        <f>IF($W124="","",INDEX('Eredmény'!$AN$2:$AN$201,$W124))</f>
        <v/>
      </c>
      <c r="E124" s="12">
        <f>IF($W124="","",INDEX('Eredmény'!$AQ$2:$AQ$201,$W124))</f>
        <v/>
      </c>
      <c r="F124" s="13">
        <f>IF($W124="","",INDEX('Eredmény'!$AR$2:$AR$201,$W124))</f>
        <v/>
      </c>
      <c r="G124" s="13">
        <f>IF($W124="","",INDEX('Eredmény'!$AS$2:$AS$201,$W124))</f>
        <v/>
      </c>
      <c r="H124" s="14">
        <f>IF($W124="","",INDEX('Eredmény'!$AI$2:$AI$201,$W124))</f>
        <v/>
      </c>
      <c r="I124" s="14">
        <f>IF($W124="","",INDEX('Eredmény'!$AJ$2:$AJ$201,$W124))</f>
        <v/>
      </c>
      <c r="J124" s="14">
        <f>IF($W124="","",INDEX('Eredmény'!$AK$2:$AK$201,$W124))</f>
        <v/>
      </c>
      <c r="K124" s="14">
        <f>IF($W124="","",INDEX('Eredmény'!$AL$2:$AL$201,$W124))</f>
        <v/>
      </c>
      <c r="L124" s="15">
        <f>IF($W124="","",INDEX('Eredmény'!$AZ$2:$AZ$201,$W124))</f>
        <v/>
      </c>
      <c r="M124" s="15">
        <f>IF($W124="","",INDEX('Eredmény'!$BB$2:$BB$201,$W124))</f>
        <v/>
      </c>
      <c r="N124" s="15">
        <f>IF($W124="","",INDEX('Eredmény'!$BC$2:$BC$201,$W124))</f>
        <v/>
      </c>
      <c r="O124" s="16">
        <f>IF($W124="","",INDEX('Eredmény'!$BD$2:$BD$201,$W124))</f>
        <v/>
      </c>
      <c r="P124" s="13">
        <f>IF($W124="","",INDEX('Eredmény'!$BE$2:$BE$201,$W124))</f>
        <v/>
      </c>
      <c r="Q124" s="15">
        <f>IF($W124="","",INDEX('Eredmény'!$BF$2:$BF$201,$W124))</f>
        <v/>
      </c>
      <c r="R124" s="17">
        <f>IF($W124="","",INDEX('Eredmény'!$BG$2:$BG$201,$W124))</f>
        <v/>
      </c>
      <c r="S124" s="13">
        <f>IF($W124="","",INDEX('Eredmény'!$AT$2:$AT$201,$W124))</f>
        <v/>
      </c>
      <c r="T124" s="13">
        <f>IF($W124="","",INDEX('Eredmény'!$AV$2:$AV$201,$W124))</f>
        <v/>
      </c>
      <c r="U124" s="12">
        <f>IF($W124="","",INDEX('Eredmény'!$BI$2:$BI$201,$W124))</f>
        <v/>
      </c>
      <c r="W124">
        <f>IFERROR(MATCH(LARGE('Eredmény'!$DY$2:$DY$201,120),'Eredmény'!$DY$2:$DY$201,0),"")</f>
        <v/>
      </c>
    </row>
    <row r="125">
      <c r="A125" s="12">
        <f>IF($W125="","",INDEX('Eredmény'!$AO$2:$AO$201,$W125))</f>
        <v/>
      </c>
      <c r="B125" s="13">
        <f>IF($W125="","",INDEX('Eredmény'!$A$2:$A$201,$W125))</f>
        <v/>
      </c>
      <c r="C125" s="14">
        <f>IF($W125="","",INDEX('Eredmény'!$AM$2:$AM$201,$W125))</f>
        <v/>
      </c>
      <c r="D125" s="14">
        <f>IF($W125="","",INDEX('Eredmény'!$AN$2:$AN$201,$W125))</f>
        <v/>
      </c>
      <c r="E125" s="12">
        <f>IF($W125="","",INDEX('Eredmény'!$AQ$2:$AQ$201,$W125))</f>
        <v/>
      </c>
      <c r="F125" s="13">
        <f>IF($W125="","",INDEX('Eredmény'!$AR$2:$AR$201,$W125))</f>
        <v/>
      </c>
      <c r="G125" s="13">
        <f>IF($W125="","",INDEX('Eredmény'!$AS$2:$AS$201,$W125))</f>
        <v/>
      </c>
      <c r="H125" s="14">
        <f>IF($W125="","",INDEX('Eredmény'!$AI$2:$AI$201,$W125))</f>
        <v/>
      </c>
      <c r="I125" s="14">
        <f>IF($W125="","",INDEX('Eredmény'!$AJ$2:$AJ$201,$W125))</f>
        <v/>
      </c>
      <c r="J125" s="14">
        <f>IF($W125="","",INDEX('Eredmény'!$AK$2:$AK$201,$W125))</f>
        <v/>
      </c>
      <c r="K125" s="14">
        <f>IF($W125="","",INDEX('Eredmény'!$AL$2:$AL$201,$W125))</f>
        <v/>
      </c>
      <c r="L125" s="15">
        <f>IF($W125="","",INDEX('Eredmény'!$AZ$2:$AZ$201,$W125))</f>
        <v/>
      </c>
      <c r="M125" s="15">
        <f>IF($W125="","",INDEX('Eredmény'!$BB$2:$BB$201,$W125))</f>
        <v/>
      </c>
      <c r="N125" s="15">
        <f>IF($W125="","",INDEX('Eredmény'!$BC$2:$BC$201,$W125))</f>
        <v/>
      </c>
      <c r="O125" s="16">
        <f>IF($W125="","",INDEX('Eredmény'!$BD$2:$BD$201,$W125))</f>
        <v/>
      </c>
      <c r="P125" s="13">
        <f>IF($W125="","",INDEX('Eredmény'!$BE$2:$BE$201,$W125))</f>
        <v/>
      </c>
      <c r="Q125" s="15">
        <f>IF($W125="","",INDEX('Eredmény'!$BF$2:$BF$201,$W125))</f>
        <v/>
      </c>
      <c r="R125" s="17">
        <f>IF($W125="","",INDEX('Eredmény'!$BG$2:$BG$201,$W125))</f>
        <v/>
      </c>
      <c r="S125" s="13">
        <f>IF($W125="","",INDEX('Eredmény'!$AT$2:$AT$201,$W125))</f>
        <v/>
      </c>
      <c r="T125" s="13">
        <f>IF($W125="","",INDEX('Eredmény'!$AV$2:$AV$201,$W125))</f>
        <v/>
      </c>
      <c r="U125" s="12">
        <f>IF($W125="","",INDEX('Eredmény'!$BI$2:$BI$201,$W125))</f>
        <v/>
      </c>
      <c r="W125">
        <f>IFERROR(MATCH(LARGE('Eredmény'!$DY$2:$DY$201,121),'Eredmény'!$DY$2:$DY$201,0),"")</f>
        <v/>
      </c>
    </row>
    <row r="126">
      <c r="A126" s="12">
        <f>IF($W126="","",INDEX('Eredmény'!$AO$2:$AO$201,$W126))</f>
        <v/>
      </c>
      <c r="B126" s="13">
        <f>IF($W126="","",INDEX('Eredmény'!$A$2:$A$201,$W126))</f>
        <v/>
      </c>
      <c r="C126" s="14">
        <f>IF($W126="","",INDEX('Eredmény'!$AM$2:$AM$201,$W126))</f>
        <v/>
      </c>
      <c r="D126" s="14">
        <f>IF($W126="","",INDEX('Eredmény'!$AN$2:$AN$201,$W126))</f>
        <v/>
      </c>
      <c r="E126" s="12">
        <f>IF($W126="","",INDEX('Eredmény'!$AQ$2:$AQ$201,$W126))</f>
        <v/>
      </c>
      <c r="F126" s="13">
        <f>IF($W126="","",INDEX('Eredmény'!$AR$2:$AR$201,$W126))</f>
        <v/>
      </c>
      <c r="G126" s="13">
        <f>IF($W126="","",INDEX('Eredmény'!$AS$2:$AS$201,$W126))</f>
        <v/>
      </c>
      <c r="H126" s="14">
        <f>IF($W126="","",INDEX('Eredmény'!$AI$2:$AI$201,$W126))</f>
        <v/>
      </c>
      <c r="I126" s="14">
        <f>IF($W126="","",INDEX('Eredmény'!$AJ$2:$AJ$201,$W126))</f>
        <v/>
      </c>
      <c r="J126" s="14">
        <f>IF($W126="","",INDEX('Eredmény'!$AK$2:$AK$201,$W126))</f>
        <v/>
      </c>
      <c r="K126" s="14">
        <f>IF($W126="","",INDEX('Eredmény'!$AL$2:$AL$201,$W126))</f>
        <v/>
      </c>
      <c r="L126" s="15">
        <f>IF($W126="","",INDEX('Eredmény'!$AZ$2:$AZ$201,$W126))</f>
        <v/>
      </c>
      <c r="M126" s="15">
        <f>IF($W126="","",INDEX('Eredmény'!$BB$2:$BB$201,$W126))</f>
        <v/>
      </c>
      <c r="N126" s="15">
        <f>IF($W126="","",INDEX('Eredmény'!$BC$2:$BC$201,$W126))</f>
        <v/>
      </c>
      <c r="O126" s="16">
        <f>IF($W126="","",INDEX('Eredmény'!$BD$2:$BD$201,$W126))</f>
        <v/>
      </c>
      <c r="P126" s="13">
        <f>IF($W126="","",INDEX('Eredmény'!$BE$2:$BE$201,$W126))</f>
        <v/>
      </c>
      <c r="Q126" s="15">
        <f>IF($W126="","",INDEX('Eredmény'!$BF$2:$BF$201,$W126))</f>
        <v/>
      </c>
      <c r="R126" s="17">
        <f>IF($W126="","",INDEX('Eredmény'!$BG$2:$BG$201,$W126))</f>
        <v/>
      </c>
      <c r="S126" s="13">
        <f>IF($W126="","",INDEX('Eredmény'!$AT$2:$AT$201,$W126))</f>
        <v/>
      </c>
      <c r="T126" s="13">
        <f>IF($W126="","",INDEX('Eredmény'!$AV$2:$AV$201,$W126))</f>
        <v/>
      </c>
      <c r="U126" s="12">
        <f>IF($W126="","",INDEX('Eredmény'!$BI$2:$BI$201,$W126))</f>
        <v/>
      </c>
      <c r="W126">
        <f>IFERROR(MATCH(LARGE('Eredmény'!$DY$2:$DY$201,122),'Eredmény'!$DY$2:$DY$201,0),"")</f>
        <v/>
      </c>
    </row>
    <row r="127">
      <c r="A127" s="12">
        <f>IF($W127="","",INDEX('Eredmény'!$AO$2:$AO$201,$W127))</f>
        <v/>
      </c>
      <c r="B127" s="13">
        <f>IF($W127="","",INDEX('Eredmény'!$A$2:$A$201,$W127))</f>
        <v/>
      </c>
      <c r="C127" s="14">
        <f>IF($W127="","",INDEX('Eredmény'!$AM$2:$AM$201,$W127))</f>
        <v/>
      </c>
      <c r="D127" s="14">
        <f>IF($W127="","",INDEX('Eredmény'!$AN$2:$AN$201,$W127))</f>
        <v/>
      </c>
      <c r="E127" s="12">
        <f>IF($W127="","",INDEX('Eredmény'!$AQ$2:$AQ$201,$W127))</f>
        <v/>
      </c>
      <c r="F127" s="13">
        <f>IF($W127="","",INDEX('Eredmény'!$AR$2:$AR$201,$W127))</f>
        <v/>
      </c>
      <c r="G127" s="13">
        <f>IF($W127="","",INDEX('Eredmény'!$AS$2:$AS$201,$W127))</f>
        <v/>
      </c>
      <c r="H127" s="14">
        <f>IF($W127="","",INDEX('Eredmény'!$AI$2:$AI$201,$W127))</f>
        <v/>
      </c>
      <c r="I127" s="14">
        <f>IF($W127="","",INDEX('Eredmény'!$AJ$2:$AJ$201,$W127))</f>
        <v/>
      </c>
      <c r="J127" s="14">
        <f>IF($W127="","",INDEX('Eredmény'!$AK$2:$AK$201,$W127))</f>
        <v/>
      </c>
      <c r="K127" s="14">
        <f>IF($W127="","",INDEX('Eredmény'!$AL$2:$AL$201,$W127))</f>
        <v/>
      </c>
      <c r="L127" s="15">
        <f>IF($W127="","",INDEX('Eredmény'!$AZ$2:$AZ$201,$W127))</f>
        <v/>
      </c>
      <c r="M127" s="15">
        <f>IF($W127="","",INDEX('Eredmény'!$BB$2:$BB$201,$W127))</f>
        <v/>
      </c>
      <c r="N127" s="15">
        <f>IF($W127="","",INDEX('Eredmény'!$BC$2:$BC$201,$W127))</f>
        <v/>
      </c>
      <c r="O127" s="16">
        <f>IF($W127="","",INDEX('Eredmény'!$BD$2:$BD$201,$W127))</f>
        <v/>
      </c>
      <c r="P127" s="13">
        <f>IF($W127="","",INDEX('Eredmény'!$BE$2:$BE$201,$W127))</f>
        <v/>
      </c>
      <c r="Q127" s="15">
        <f>IF($W127="","",INDEX('Eredmény'!$BF$2:$BF$201,$W127))</f>
        <v/>
      </c>
      <c r="R127" s="17">
        <f>IF($W127="","",INDEX('Eredmény'!$BG$2:$BG$201,$W127))</f>
        <v/>
      </c>
      <c r="S127" s="13">
        <f>IF($W127="","",INDEX('Eredmény'!$AT$2:$AT$201,$W127))</f>
        <v/>
      </c>
      <c r="T127" s="13">
        <f>IF($W127="","",INDEX('Eredmény'!$AV$2:$AV$201,$W127))</f>
        <v/>
      </c>
      <c r="U127" s="12">
        <f>IF($W127="","",INDEX('Eredmény'!$BI$2:$BI$201,$W127))</f>
        <v/>
      </c>
      <c r="W127">
        <f>IFERROR(MATCH(LARGE('Eredmény'!$DY$2:$DY$201,123),'Eredmény'!$DY$2:$DY$201,0),"")</f>
        <v/>
      </c>
    </row>
    <row r="128">
      <c r="A128" s="12">
        <f>IF($W128="","",INDEX('Eredmény'!$AO$2:$AO$201,$W128))</f>
        <v/>
      </c>
      <c r="B128" s="13">
        <f>IF($W128="","",INDEX('Eredmény'!$A$2:$A$201,$W128))</f>
        <v/>
      </c>
      <c r="C128" s="14">
        <f>IF($W128="","",INDEX('Eredmény'!$AM$2:$AM$201,$W128))</f>
        <v/>
      </c>
      <c r="D128" s="14">
        <f>IF($W128="","",INDEX('Eredmény'!$AN$2:$AN$201,$W128))</f>
        <v/>
      </c>
      <c r="E128" s="12">
        <f>IF($W128="","",INDEX('Eredmény'!$AQ$2:$AQ$201,$W128))</f>
        <v/>
      </c>
      <c r="F128" s="13">
        <f>IF($W128="","",INDEX('Eredmény'!$AR$2:$AR$201,$W128))</f>
        <v/>
      </c>
      <c r="G128" s="13">
        <f>IF($W128="","",INDEX('Eredmény'!$AS$2:$AS$201,$W128))</f>
        <v/>
      </c>
      <c r="H128" s="14">
        <f>IF($W128="","",INDEX('Eredmény'!$AI$2:$AI$201,$W128))</f>
        <v/>
      </c>
      <c r="I128" s="14">
        <f>IF($W128="","",INDEX('Eredmény'!$AJ$2:$AJ$201,$W128))</f>
        <v/>
      </c>
      <c r="J128" s="14">
        <f>IF($W128="","",INDEX('Eredmény'!$AK$2:$AK$201,$W128))</f>
        <v/>
      </c>
      <c r="K128" s="14">
        <f>IF($W128="","",INDEX('Eredmény'!$AL$2:$AL$201,$W128))</f>
        <v/>
      </c>
      <c r="L128" s="15">
        <f>IF($W128="","",INDEX('Eredmény'!$AZ$2:$AZ$201,$W128))</f>
        <v/>
      </c>
      <c r="M128" s="15">
        <f>IF($W128="","",INDEX('Eredmény'!$BB$2:$BB$201,$W128))</f>
        <v/>
      </c>
      <c r="N128" s="15">
        <f>IF($W128="","",INDEX('Eredmény'!$BC$2:$BC$201,$W128))</f>
        <v/>
      </c>
      <c r="O128" s="16">
        <f>IF($W128="","",INDEX('Eredmény'!$BD$2:$BD$201,$W128))</f>
        <v/>
      </c>
      <c r="P128" s="13">
        <f>IF($W128="","",INDEX('Eredmény'!$BE$2:$BE$201,$W128))</f>
        <v/>
      </c>
      <c r="Q128" s="15">
        <f>IF($W128="","",INDEX('Eredmény'!$BF$2:$BF$201,$W128))</f>
        <v/>
      </c>
      <c r="R128" s="17">
        <f>IF($W128="","",INDEX('Eredmény'!$BG$2:$BG$201,$W128))</f>
        <v/>
      </c>
      <c r="S128" s="13">
        <f>IF($W128="","",INDEX('Eredmény'!$AT$2:$AT$201,$W128))</f>
        <v/>
      </c>
      <c r="T128" s="13">
        <f>IF($W128="","",INDEX('Eredmény'!$AV$2:$AV$201,$W128))</f>
        <v/>
      </c>
      <c r="U128" s="12">
        <f>IF($W128="","",INDEX('Eredmény'!$BI$2:$BI$201,$W128))</f>
        <v/>
      </c>
      <c r="W128">
        <f>IFERROR(MATCH(LARGE('Eredmény'!$DY$2:$DY$201,124),'Eredmény'!$DY$2:$DY$201,0),"")</f>
        <v/>
      </c>
    </row>
    <row r="129">
      <c r="A129" s="12">
        <f>IF($W129="","",INDEX('Eredmény'!$AO$2:$AO$201,$W129))</f>
        <v/>
      </c>
      <c r="B129" s="13">
        <f>IF($W129="","",INDEX('Eredmény'!$A$2:$A$201,$W129))</f>
        <v/>
      </c>
      <c r="C129" s="14">
        <f>IF($W129="","",INDEX('Eredmény'!$AM$2:$AM$201,$W129))</f>
        <v/>
      </c>
      <c r="D129" s="14">
        <f>IF($W129="","",INDEX('Eredmény'!$AN$2:$AN$201,$W129))</f>
        <v/>
      </c>
      <c r="E129" s="12">
        <f>IF($W129="","",INDEX('Eredmény'!$AQ$2:$AQ$201,$W129))</f>
        <v/>
      </c>
      <c r="F129" s="13">
        <f>IF($W129="","",INDEX('Eredmény'!$AR$2:$AR$201,$W129))</f>
        <v/>
      </c>
      <c r="G129" s="13">
        <f>IF($W129="","",INDEX('Eredmény'!$AS$2:$AS$201,$W129))</f>
        <v/>
      </c>
      <c r="H129" s="14">
        <f>IF($W129="","",INDEX('Eredmény'!$AI$2:$AI$201,$W129))</f>
        <v/>
      </c>
      <c r="I129" s="14">
        <f>IF($W129="","",INDEX('Eredmény'!$AJ$2:$AJ$201,$W129))</f>
        <v/>
      </c>
      <c r="J129" s="14">
        <f>IF($W129="","",INDEX('Eredmény'!$AK$2:$AK$201,$W129))</f>
        <v/>
      </c>
      <c r="K129" s="14">
        <f>IF($W129="","",INDEX('Eredmény'!$AL$2:$AL$201,$W129))</f>
        <v/>
      </c>
      <c r="L129" s="15">
        <f>IF($W129="","",INDEX('Eredmény'!$AZ$2:$AZ$201,$W129))</f>
        <v/>
      </c>
      <c r="M129" s="15">
        <f>IF($W129="","",INDEX('Eredmény'!$BB$2:$BB$201,$W129))</f>
        <v/>
      </c>
      <c r="N129" s="15">
        <f>IF($W129="","",INDEX('Eredmény'!$BC$2:$BC$201,$W129))</f>
        <v/>
      </c>
      <c r="O129" s="16">
        <f>IF($W129="","",INDEX('Eredmény'!$BD$2:$BD$201,$W129))</f>
        <v/>
      </c>
      <c r="P129" s="13">
        <f>IF($W129="","",INDEX('Eredmény'!$BE$2:$BE$201,$W129))</f>
        <v/>
      </c>
      <c r="Q129" s="15">
        <f>IF($W129="","",INDEX('Eredmény'!$BF$2:$BF$201,$W129))</f>
        <v/>
      </c>
      <c r="R129" s="17">
        <f>IF($W129="","",INDEX('Eredmény'!$BG$2:$BG$201,$W129))</f>
        <v/>
      </c>
      <c r="S129" s="13">
        <f>IF($W129="","",INDEX('Eredmény'!$AT$2:$AT$201,$W129))</f>
        <v/>
      </c>
      <c r="T129" s="13">
        <f>IF($W129="","",INDEX('Eredmény'!$AV$2:$AV$201,$W129))</f>
        <v/>
      </c>
      <c r="U129" s="12">
        <f>IF($W129="","",INDEX('Eredmény'!$BI$2:$BI$201,$W129))</f>
        <v/>
      </c>
      <c r="W129">
        <f>IFERROR(MATCH(LARGE('Eredmény'!$DY$2:$DY$201,125),'Eredmény'!$DY$2:$DY$201,0),"")</f>
        <v/>
      </c>
    </row>
    <row r="130">
      <c r="A130" s="12">
        <f>IF($W130="","",INDEX('Eredmény'!$AO$2:$AO$201,$W130))</f>
        <v/>
      </c>
      <c r="B130" s="13">
        <f>IF($W130="","",INDEX('Eredmény'!$A$2:$A$201,$W130))</f>
        <v/>
      </c>
      <c r="C130" s="14">
        <f>IF($W130="","",INDEX('Eredmény'!$AM$2:$AM$201,$W130))</f>
        <v/>
      </c>
      <c r="D130" s="14">
        <f>IF($W130="","",INDEX('Eredmény'!$AN$2:$AN$201,$W130))</f>
        <v/>
      </c>
      <c r="E130" s="12">
        <f>IF($W130="","",INDEX('Eredmény'!$AQ$2:$AQ$201,$W130))</f>
        <v/>
      </c>
      <c r="F130" s="13">
        <f>IF($W130="","",INDEX('Eredmény'!$AR$2:$AR$201,$W130))</f>
        <v/>
      </c>
      <c r="G130" s="13">
        <f>IF($W130="","",INDEX('Eredmény'!$AS$2:$AS$201,$W130))</f>
        <v/>
      </c>
      <c r="H130" s="14">
        <f>IF($W130="","",INDEX('Eredmény'!$AI$2:$AI$201,$W130))</f>
        <v/>
      </c>
      <c r="I130" s="14">
        <f>IF($W130="","",INDEX('Eredmény'!$AJ$2:$AJ$201,$W130))</f>
        <v/>
      </c>
      <c r="J130" s="14">
        <f>IF($W130="","",INDEX('Eredmény'!$AK$2:$AK$201,$W130))</f>
        <v/>
      </c>
      <c r="K130" s="14">
        <f>IF($W130="","",INDEX('Eredmény'!$AL$2:$AL$201,$W130))</f>
        <v/>
      </c>
      <c r="L130" s="15">
        <f>IF($W130="","",INDEX('Eredmény'!$AZ$2:$AZ$201,$W130))</f>
        <v/>
      </c>
      <c r="M130" s="15">
        <f>IF($W130="","",INDEX('Eredmény'!$BB$2:$BB$201,$W130))</f>
        <v/>
      </c>
      <c r="N130" s="15">
        <f>IF($W130="","",INDEX('Eredmény'!$BC$2:$BC$201,$W130))</f>
        <v/>
      </c>
      <c r="O130" s="16">
        <f>IF($W130="","",INDEX('Eredmény'!$BD$2:$BD$201,$W130))</f>
        <v/>
      </c>
      <c r="P130" s="13">
        <f>IF($W130="","",INDEX('Eredmény'!$BE$2:$BE$201,$W130))</f>
        <v/>
      </c>
      <c r="Q130" s="15">
        <f>IF($W130="","",INDEX('Eredmény'!$BF$2:$BF$201,$W130))</f>
        <v/>
      </c>
      <c r="R130" s="17">
        <f>IF($W130="","",INDEX('Eredmény'!$BG$2:$BG$201,$W130))</f>
        <v/>
      </c>
      <c r="S130" s="13">
        <f>IF($W130="","",INDEX('Eredmény'!$AT$2:$AT$201,$W130))</f>
        <v/>
      </c>
      <c r="T130" s="13">
        <f>IF($W130="","",INDEX('Eredmény'!$AV$2:$AV$201,$W130))</f>
        <v/>
      </c>
      <c r="U130" s="12">
        <f>IF($W130="","",INDEX('Eredmény'!$BI$2:$BI$201,$W130))</f>
        <v/>
      </c>
      <c r="W130">
        <f>IFERROR(MATCH(LARGE('Eredmény'!$DY$2:$DY$201,126),'Eredmény'!$DY$2:$DY$201,0),"")</f>
        <v/>
      </c>
    </row>
    <row r="131">
      <c r="A131" s="12">
        <f>IF($W131="","",INDEX('Eredmény'!$AO$2:$AO$201,$W131))</f>
        <v/>
      </c>
      <c r="B131" s="13">
        <f>IF($W131="","",INDEX('Eredmény'!$A$2:$A$201,$W131))</f>
        <v/>
      </c>
      <c r="C131" s="14">
        <f>IF($W131="","",INDEX('Eredmény'!$AM$2:$AM$201,$W131))</f>
        <v/>
      </c>
      <c r="D131" s="14">
        <f>IF($W131="","",INDEX('Eredmény'!$AN$2:$AN$201,$W131))</f>
        <v/>
      </c>
      <c r="E131" s="12">
        <f>IF($W131="","",INDEX('Eredmény'!$AQ$2:$AQ$201,$W131))</f>
        <v/>
      </c>
      <c r="F131" s="13">
        <f>IF($W131="","",INDEX('Eredmény'!$AR$2:$AR$201,$W131))</f>
        <v/>
      </c>
      <c r="G131" s="13">
        <f>IF($W131="","",INDEX('Eredmény'!$AS$2:$AS$201,$W131))</f>
        <v/>
      </c>
      <c r="H131" s="14">
        <f>IF($W131="","",INDEX('Eredmény'!$AI$2:$AI$201,$W131))</f>
        <v/>
      </c>
      <c r="I131" s="14">
        <f>IF($W131="","",INDEX('Eredmény'!$AJ$2:$AJ$201,$W131))</f>
        <v/>
      </c>
      <c r="J131" s="14">
        <f>IF($W131="","",INDEX('Eredmény'!$AK$2:$AK$201,$W131))</f>
        <v/>
      </c>
      <c r="K131" s="14">
        <f>IF($W131="","",INDEX('Eredmény'!$AL$2:$AL$201,$W131))</f>
        <v/>
      </c>
      <c r="L131" s="15">
        <f>IF($W131="","",INDEX('Eredmény'!$AZ$2:$AZ$201,$W131))</f>
        <v/>
      </c>
      <c r="M131" s="15">
        <f>IF($W131="","",INDEX('Eredmény'!$BB$2:$BB$201,$W131))</f>
        <v/>
      </c>
      <c r="N131" s="15">
        <f>IF($W131="","",INDEX('Eredmény'!$BC$2:$BC$201,$W131))</f>
        <v/>
      </c>
      <c r="O131" s="16">
        <f>IF($W131="","",INDEX('Eredmény'!$BD$2:$BD$201,$W131))</f>
        <v/>
      </c>
      <c r="P131" s="13">
        <f>IF($W131="","",INDEX('Eredmény'!$BE$2:$BE$201,$W131))</f>
        <v/>
      </c>
      <c r="Q131" s="15">
        <f>IF($W131="","",INDEX('Eredmény'!$BF$2:$BF$201,$W131))</f>
        <v/>
      </c>
      <c r="R131" s="17">
        <f>IF($W131="","",INDEX('Eredmény'!$BG$2:$BG$201,$W131))</f>
        <v/>
      </c>
      <c r="S131" s="13">
        <f>IF($W131="","",INDEX('Eredmény'!$AT$2:$AT$201,$W131))</f>
        <v/>
      </c>
      <c r="T131" s="13">
        <f>IF($W131="","",INDEX('Eredmény'!$AV$2:$AV$201,$W131))</f>
        <v/>
      </c>
      <c r="U131" s="12">
        <f>IF($W131="","",INDEX('Eredmény'!$BI$2:$BI$201,$W131))</f>
        <v/>
      </c>
      <c r="W131">
        <f>IFERROR(MATCH(LARGE('Eredmény'!$DY$2:$DY$201,127),'Eredmény'!$DY$2:$DY$201,0),"")</f>
        <v/>
      </c>
    </row>
    <row r="132">
      <c r="A132" s="12">
        <f>IF($W132="","",INDEX('Eredmény'!$AO$2:$AO$201,$W132))</f>
        <v/>
      </c>
      <c r="B132" s="13">
        <f>IF($W132="","",INDEX('Eredmény'!$A$2:$A$201,$W132))</f>
        <v/>
      </c>
      <c r="C132" s="14">
        <f>IF($W132="","",INDEX('Eredmény'!$AM$2:$AM$201,$W132))</f>
        <v/>
      </c>
      <c r="D132" s="14">
        <f>IF($W132="","",INDEX('Eredmény'!$AN$2:$AN$201,$W132))</f>
        <v/>
      </c>
      <c r="E132" s="12">
        <f>IF($W132="","",INDEX('Eredmény'!$AQ$2:$AQ$201,$W132))</f>
        <v/>
      </c>
      <c r="F132" s="13">
        <f>IF($W132="","",INDEX('Eredmény'!$AR$2:$AR$201,$W132))</f>
        <v/>
      </c>
      <c r="G132" s="13">
        <f>IF($W132="","",INDEX('Eredmény'!$AS$2:$AS$201,$W132))</f>
        <v/>
      </c>
      <c r="H132" s="14">
        <f>IF($W132="","",INDEX('Eredmény'!$AI$2:$AI$201,$W132))</f>
        <v/>
      </c>
      <c r="I132" s="14">
        <f>IF($W132="","",INDEX('Eredmény'!$AJ$2:$AJ$201,$W132))</f>
        <v/>
      </c>
      <c r="J132" s="14">
        <f>IF($W132="","",INDEX('Eredmény'!$AK$2:$AK$201,$W132))</f>
        <v/>
      </c>
      <c r="K132" s="14">
        <f>IF($W132="","",INDEX('Eredmény'!$AL$2:$AL$201,$W132))</f>
        <v/>
      </c>
      <c r="L132" s="15">
        <f>IF($W132="","",INDEX('Eredmény'!$AZ$2:$AZ$201,$W132))</f>
        <v/>
      </c>
      <c r="M132" s="15">
        <f>IF($W132="","",INDEX('Eredmény'!$BB$2:$BB$201,$W132))</f>
        <v/>
      </c>
      <c r="N132" s="15">
        <f>IF($W132="","",INDEX('Eredmény'!$BC$2:$BC$201,$W132))</f>
        <v/>
      </c>
      <c r="O132" s="16">
        <f>IF($W132="","",INDEX('Eredmény'!$BD$2:$BD$201,$W132))</f>
        <v/>
      </c>
      <c r="P132" s="13">
        <f>IF($W132="","",INDEX('Eredmény'!$BE$2:$BE$201,$W132))</f>
        <v/>
      </c>
      <c r="Q132" s="15">
        <f>IF($W132="","",INDEX('Eredmény'!$BF$2:$BF$201,$W132))</f>
        <v/>
      </c>
      <c r="R132" s="17">
        <f>IF($W132="","",INDEX('Eredmény'!$BG$2:$BG$201,$W132))</f>
        <v/>
      </c>
      <c r="S132" s="13">
        <f>IF($W132="","",INDEX('Eredmény'!$AT$2:$AT$201,$W132))</f>
        <v/>
      </c>
      <c r="T132" s="13">
        <f>IF($W132="","",INDEX('Eredmény'!$AV$2:$AV$201,$W132))</f>
        <v/>
      </c>
      <c r="U132" s="12">
        <f>IF($W132="","",INDEX('Eredmény'!$BI$2:$BI$201,$W132))</f>
        <v/>
      </c>
      <c r="W132">
        <f>IFERROR(MATCH(LARGE('Eredmény'!$DY$2:$DY$201,128),'Eredmény'!$DY$2:$DY$201,0),"")</f>
        <v/>
      </c>
    </row>
    <row r="133">
      <c r="A133" s="12">
        <f>IF($W133="","",INDEX('Eredmény'!$AO$2:$AO$201,$W133))</f>
        <v/>
      </c>
      <c r="B133" s="13">
        <f>IF($W133="","",INDEX('Eredmény'!$A$2:$A$201,$W133))</f>
        <v/>
      </c>
      <c r="C133" s="14">
        <f>IF($W133="","",INDEX('Eredmény'!$AM$2:$AM$201,$W133))</f>
        <v/>
      </c>
      <c r="D133" s="14">
        <f>IF($W133="","",INDEX('Eredmény'!$AN$2:$AN$201,$W133))</f>
        <v/>
      </c>
      <c r="E133" s="12">
        <f>IF($W133="","",INDEX('Eredmény'!$AQ$2:$AQ$201,$W133))</f>
        <v/>
      </c>
      <c r="F133" s="13">
        <f>IF($W133="","",INDEX('Eredmény'!$AR$2:$AR$201,$W133))</f>
        <v/>
      </c>
      <c r="G133" s="13">
        <f>IF($W133="","",INDEX('Eredmény'!$AS$2:$AS$201,$W133))</f>
        <v/>
      </c>
      <c r="H133" s="14">
        <f>IF($W133="","",INDEX('Eredmény'!$AI$2:$AI$201,$W133))</f>
        <v/>
      </c>
      <c r="I133" s="14">
        <f>IF($W133="","",INDEX('Eredmény'!$AJ$2:$AJ$201,$W133))</f>
        <v/>
      </c>
      <c r="J133" s="14">
        <f>IF($W133="","",INDEX('Eredmény'!$AK$2:$AK$201,$W133))</f>
        <v/>
      </c>
      <c r="K133" s="14">
        <f>IF($W133="","",INDEX('Eredmény'!$AL$2:$AL$201,$W133))</f>
        <v/>
      </c>
      <c r="L133" s="15">
        <f>IF($W133="","",INDEX('Eredmény'!$AZ$2:$AZ$201,$W133))</f>
        <v/>
      </c>
      <c r="M133" s="15">
        <f>IF($W133="","",INDEX('Eredmény'!$BB$2:$BB$201,$W133))</f>
        <v/>
      </c>
      <c r="N133" s="15">
        <f>IF($W133="","",INDEX('Eredmény'!$BC$2:$BC$201,$W133))</f>
        <v/>
      </c>
      <c r="O133" s="16">
        <f>IF($W133="","",INDEX('Eredmény'!$BD$2:$BD$201,$W133))</f>
        <v/>
      </c>
      <c r="P133" s="13">
        <f>IF($W133="","",INDEX('Eredmény'!$BE$2:$BE$201,$W133))</f>
        <v/>
      </c>
      <c r="Q133" s="15">
        <f>IF($W133="","",INDEX('Eredmény'!$BF$2:$BF$201,$W133))</f>
        <v/>
      </c>
      <c r="R133" s="17">
        <f>IF($W133="","",INDEX('Eredmény'!$BG$2:$BG$201,$W133))</f>
        <v/>
      </c>
      <c r="S133" s="13">
        <f>IF($W133="","",INDEX('Eredmény'!$AT$2:$AT$201,$W133))</f>
        <v/>
      </c>
      <c r="T133" s="13">
        <f>IF($W133="","",INDEX('Eredmény'!$AV$2:$AV$201,$W133))</f>
        <v/>
      </c>
      <c r="U133" s="12">
        <f>IF($W133="","",INDEX('Eredmény'!$BI$2:$BI$201,$W133))</f>
        <v/>
      </c>
      <c r="W133">
        <f>IFERROR(MATCH(LARGE('Eredmény'!$DY$2:$DY$201,129),'Eredmény'!$DY$2:$DY$201,0),"")</f>
        <v/>
      </c>
    </row>
    <row r="134">
      <c r="A134" s="12">
        <f>IF($W134="","",INDEX('Eredmény'!$AO$2:$AO$201,$W134))</f>
        <v/>
      </c>
      <c r="B134" s="13">
        <f>IF($W134="","",INDEX('Eredmény'!$A$2:$A$201,$W134))</f>
        <v/>
      </c>
      <c r="C134" s="14">
        <f>IF($W134="","",INDEX('Eredmény'!$AM$2:$AM$201,$W134))</f>
        <v/>
      </c>
      <c r="D134" s="14">
        <f>IF($W134="","",INDEX('Eredmény'!$AN$2:$AN$201,$W134))</f>
        <v/>
      </c>
      <c r="E134" s="12">
        <f>IF($W134="","",INDEX('Eredmény'!$AQ$2:$AQ$201,$W134))</f>
        <v/>
      </c>
      <c r="F134" s="13">
        <f>IF($W134="","",INDEX('Eredmény'!$AR$2:$AR$201,$W134))</f>
        <v/>
      </c>
      <c r="G134" s="13">
        <f>IF($W134="","",INDEX('Eredmény'!$AS$2:$AS$201,$W134))</f>
        <v/>
      </c>
      <c r="H134" s="14">
        <f>IF($W134="","",INDEX('Eredmény'!$AI$2:$AI$201,$W134))</f>
        <v/>
      </c>
      <c r="I134" s="14">
        <f>IF($W134="","",INDEX('Eredmény'!$AJ$2:$AJ$201,$W134))</f>
        <v/>
      </c>
      <c r="J134" s="14">
        <f>IF($W134="","",INDEX('Eredmény'!$AK$2:$AK$201,$W134))</f>
        <v/>
      </c>
      <c r="K134" s="14">
        <f>IF($W134="","",INDEX('Eredmény'!$AL$2:$AL$201,$W134))</f>
        <v/>
      </c>
      <c r="L134" s="15">
        <f>IF($W134="","",INDEX('Eredmény'!$AZ$2:$AZ$201,$W134))</f>
        <v/>
      </c>
      <c r="M134" s="15">
        <f>IF($W134="","",INDEX('Eredmény'!$BB$2:$BB$201,$W134))</f>
        <v/>
      </c>
      <c r="N134" s="15">
        <f>IF($W134="","",INDEX('Eredmény'!$BC$2:$BC$201,$W134))</f>
        <v/>
      </c>
      <c r="O134" s="16">
        <f>IF($W134="","",INDEX('Eredmény'!$BD$2:$BD$201,$W134))</f>
        <v/>
      </c>
      <c r="P134" s="13">
        <f>IF($W134="","",INDEX('Eredmény'!$BE$2:$BE$201,$W134))</f>
        <v/>
      </c>
      <c r="Q134" s="15">
        <f>IF($W134="","",INDEX('Eredmény'!$BF$2:$BF$201,$W134))</f>
        <v/>
      </c>
      <c r="R134" s="17">
        <f>IF($W134="","",INDEX('Eredmény'!$BG$2:$BG$201,$W134))</f>
        <v/>
      </c>
      <c r="S134" s="13">
        <f>IF($W134="","",INDEX('Eredmény'!$AT$2:$AT$201,$W134))</f>
        <v/>
      </c>
      <c r="T134" s="13">
        <f>IF($W134="","",INDEX('Eredmény'!$AV$2:$AV$201,$W134))</f>
        <v/>
      </c>
      <c r="U134" s="12">
        <f>IF($W134="","",INDEX('Eredmény'!$BI$2:$BI$201,$W134))</f>
        <v/>
      </c>
      <c r="W134">
        <f>IFERROR(MATCH(LARGE('Eredmény'!$DY$2:$DY$201,130),'Eredmény'!$DY$2:$DY$201,0),"")</f>
        <v/>
      </c>
    </row>
    <row r="135">
      <c r="A135" s="12">
        <f>IF($W135="","",INDEX('Eredmény'!$AO$2:$AO$201,$W135))</f>
        <v/>
      </c>
      <c r="B135" s="13">
        <f>IF($W135="","",INDEX('Eredmény'!$A$2:$A$201,$W135))</f>
        <v/>
      </c>
      <c r="C135" s="14">
        <f>IF($W135="","",INDEX('Eredmény'!$AM$2:$AM$201,$W135))</f>
        <v/>
      </c>
      <c r="D135" s="14">
        <f>IF($W135="","",INDEX('Eredmény'!$AN$2:$AN$201,$W135))</f>
        <v/>
      </c>
      <c r="E135" s="12">
        <f>IF($W135="","",INDEX('Eredmény'!$AQ$2:$AQ$201,$W135))</f>
        <v/>
      </c>
      <c r="F135" s="13">
        <f>IF($W135="","",INDEX('Eredmény'!$AR$2:$AR$201,$W135))</f>
        <v/>
      </c>
      <c r="G135" s="13">
        <f>IF($W135="","",INDEX('Eredmény'!$AS$2:$AS$201,$W135))</f>
        <v/>
      </c>
      <c r="H135" s="14">
        <f>IF($W135="","",INDEX('Eredmény'!$AI$2:$AI$201,$W135))</f>
        <v/>
      </c>
      <c r="I135" s="14">
        <f>IF($W135="","",INDEX('Eredmény'!$AJ$2:$AJ$201,$W135))</f>
        <v/>
      </c>
      <c r="J135" s="14">
        <f>IF($W135="","",INDEX('Eredmény'!$AK$2:$AK$201,$W135))</f>
        <v/>
      </c>
      <c r="K135" s="14">
        <f>IF($W135="","",INDEX('Eredmény'!$AL$2:$AL$201,$W135))</f>
        <v/>
      </c>
      <c r="L135" s="15">
        <f>IF($W135="","",INDEX('Eredmény'!$AZ$2:$AZ$201,$W135))</f>
        <v/>
      </c>
      <c r="M135" s="15">
        <f>IF($W135="","",INDEX('Eredmény'!$BB$2:$BB$201,$W135))</f>
        <v/>
      </c>
      <c r="N135" s="15">
        <f>IF($W135="","",INDEX('Eredmény'!$BC$2:$BC$201,$W135))</f>
        <v/>
      </c>
      <c r="O135" s="16">
        <f>IF($W135="","",INDEX('Eredmény'!$BD$2:$BD$201,$W135))</f>
        <v/>
      </c>
      <c r="P135" s="13">
        <f>IF($W135="","",INDEX('Eredmény'!$BE$2:$BE$201,$W135))</f>
        <v/>
      </c>
      <c r="Q135" s="15">
        <f>IF($W135="","",INDEX('Eredmény'!$BF$2:$BF$201,$W135))</f>
        <v/>
      </c>
      <c r="R135" s="17">
        <f>IF($W135="","",INDEX('Eredmény'!$BG$2:$BG$201,$W135))</f>
        <v/>
      </c>
      <c r="S135" s="13">
        <f>IF($W135="","",INDEX('Eredmény'!$AT$2:$AT$201,$W135))</f>
        <v/>
      </c>
      <c r="T135" s="13">
        <f>IF($W135="","",INDEX('Eredmény'!$AV$2:$AV$201,$W135))</f>
        <v/>
      </c>
      <c r="U135" s="12">
        <f>IF($W135="","",INDEX('Eredmény'!$BI$2:$BI$201,$W135))</f>
        <v/>
      </c>
      <c r="W135">
        <f>IFERROR(MATCH(LARGE('Eredmény'!$DY$2:$DY$201,131),'Eredmény'!$DY$2:$DY$201,0),"")</f>
        <v/>
      </c>
    </row>
    <row r="136">
      <c r="A136" s="12">
        <f>IF($W136="","",INDEX('Eredmény'!$AO$2:$AO$201,$W136))</f>
        <v/>
      </c>
      <c r="B136" s="13">
        <f>IF($W136="","",INDEX('Eredmény'!$A$2:$A$201,$W136))</f>
        <v/>
      </c>
      <c r="C136" s="14">
        <f>IF($W136="","",INDEX('Eredmény'!$AM$2:$AM$201,$W136))</f>
        <v/>
      </c>
      <c r="D136" s="14">
        <f>IF($W136="","",INDEX('Eredmény'!$AN$2:$AN$201,$W136))</f>
        <v/>
      </c>
      <c r="E136" s="12">
        <f>IF($W136="","",INDEX('Eredmény'!$AQ$2:$AQ$201,$W136))</f>
        <v/>
      </c>
      <c r="F136" s="13">
        <f>IF($W136="","",INDEX('Eredmény'!$AR$2:$AR$201,$W136))</f>
        <v/>
      </c>
      <c r="G136" s="13">
        <f>IF($W136="","",INDEX('Eredmény'!$AS$2:$AS$201,$W136))</f>
        <v/>
      </c>
      <c r="H136" s="14">
        <f>IF($W136="","",INDEX('Eredmény'!$AI$2:$AI$201,$W136))</f>
        <v/>
      </c>
      <c r="I136" s="14">
        <f>IF($W136="","",INDEX('Eredmény'!$AJ$2:$AJ$201,$W136))</f>
        <v/>
      </c>
      <c r="J136" s="14">
        <f>IF($W136="","",INDEX('Eredmény'!$AK$2:$AK$201,$W136))</f>
        <v/>
      </c>
      <c r="K136" s="14">
        <f>IF($W136="","",INDEX('Eredmény'!$AL$2:$AL$201,$W136))</f>
        <v/>
      </c>
      <c r="L136" s="15">
        <f>IF($W136="","",INDEX('Eredmény'!$AZ$2:$AZ$201,$W136))</f>
        <v/>
      </c>
      <c r="M136" s="15">
        <f>IF($W136="","",INDEX('Eredmény'!$BB$2:$BB$201,$W136))</f>
        <v/>
      </c>
      <c r="N136" s="15">
        <f>IF($W136="","",INDEX('Eredmény'!$BC$2:$BC$201,$W136))</f>
        <v/>
      </c>
      <c r="O136" s="16">
        <f>IF($W136="","",INDEX('Eredmény'!$BD$2:$BD$201,$W136))</f>
        <v/>
      </c>
      <c r="P136" s="13">
        <f>IF($W136="","",INDEX('Eredmény'!$BE$2:$BE$201,$W136))</f>
        <v/>
      </c>
      <c r="Q136" s="15">
        <f>IF($W136="","",INDEX('Eredmény'!$BF$2:$BF$201,$W136))</f>
        <v/>
      </c>
      <c r="R136" s="17">
        <f>IF($W136="","",INDEX('Eredmény'!$BG$2:$BG$201,$W136))</f>
        <v/>
      </c>
      <c r="S136" s="13">
        <f>IF($W136="","",INDEX('Eredmény'!$AT$2:$AT$201,$W136))</f>
        <v/>
      </c>
      <c r="T136" s="13">
        <f>IF($W136="","",INDEX('Eredmény'!$AV$2:$AV$201,$W136))</f>
        <v/>
      </c>
      <c r="U136" s="12">
        <f>IF($W136="","",INDEX('Eredmény'!$BI$2:$BI$201,$W136))</f>
        <v/>
      </c>
      <c r="W136">
        <f>IFERROR(MATCH(LARGE('Eredmény'!$DY$2:$DY$201,132),'Eredmény'!$DY$2:$DY$201,0),"")</f>
        <v/>
      </c>
    </row>
    <row r="137">
      <c r="A137" s="12">
        <f>IF($W137="","",INDEX('Eredmény'!$AO$2:$AO$201,$W137))</f>
        <v/>
      </c>
      <c r="B137" s="13">
        <f>IF($W137="","",INDEX('Eredmény'!$A$2:$A$201,$W137))</f>
        <v/>
      </c>
      <c r="C137" s="14">
        <f>IF($W137="","",INDEX('Eredmény'!$AM$2:$AM$201,$W137))</f>
        <v/>
      </c>
      <c r="D137" s="14">
        <f>IF($W137="","",INDEX('Eredmény'!$AN$2:$AN$201,$W137))</f>
        <v/>
      </c>
      <c r="E137" s="12">
        <f>IF($W137="","",INDEX('Eredmény'!$AQ$2:$AQ$201,$W137))</f>
        <v/>
      </c>
      <c r="F137" s="13">
        <f>IF($W137="","",INDEX('Eredmény'!$AR$2:$AR$201,$W137))</f>
        <v/>
      </c>
      <c r="G137" s="13">
        <f>IF($W137="","",INDEX('Eredmény'!$AS$2:$AS$201,$W137))</f>
        <v/>
      </c>
      <c r="H137" s="14">
        <f>IF($W137="","",INDEX('Eredmény'!$AI$2:$AI$201,$W137))</f>
        <v/>
      </c>
      <c r="I137" s="14">
        <f>IF($W137="","",INDEX('Eredmény'!$AJ$2:$AJ$201,$W137))</f>
        <v/>
      </c>
      <c r="J137" s="14">
        <f>IF($W137="","",INDEX('Eredmény'!$AK$2:$AK$201,$W137))</f>
        <v/>
      </c>
      <c r="K137" s="14">
        <f>IF($W137="","",INDEX('Eredmény'!$AL$2:$AL$201,$W137))</f>
        <v/>
      </c>
      <c r="L137" s="15">
        <f>IF($W137="","",INDEX('Eredmény'!$AZ$2:$AZ$201,$W137))</f>
        <v/>
      </c>
      <c r="M137" s="15">
        <f>IF($W137="","",INDEX('Eredmény'!$BB$2:$BB$201,$W137))</f>
        <v/>
      </c>
      <c r="N137" s="15">
        <f>IF($W137="","",INDEX('Eredmény'!$BC$2:$BC$201,$W137))</f>
        <v/>
      </c>
      <c r="O137" s="16">
        <f>IF($W137="","",INDEX('Eredmény'!$BD$2:$BD$201,$W137))</f>
        <v/>
      </c>
      <c r="P137" s="13">
        <f>IF($W137="","",INDEX('Eredmény'!$BE$2:$BE$201,$W137))</f>
        <v/>
      </c>
      <c r="Q137" s="15">
        <f>IF($W137="","",INDEX('Eredmény'!$BF$2:$BF$201,$W137))</f>
        <v/>
      </c>
      <c r="R137" s="17">
        <f>IF($W137="","",INDEX('Eredmény'!$BG$2:$BG$201,$W137))</f>
        <v/>
      </c>
      <c r="S137" s="13">
        <f>IF($W137="","",INDEX('Eredmény'!$AT$2:$AT$201,$W137))</f>
        <v/>
      </c>
      <c r="T137" s="13">
        <f>IF($W137="","",INDEX('Eredmény'!$AV$2:$AV$201,$W137))</f>
        <v/>
      </c>
      <c r="U137" s="12">
        <f>IF($W137="","",INDEX('Eredmény'!$BI$2:$BI$201,$W137))</f>
        <v/>
      </c>
      <c r="W137">
        <f>IFERROR(MATCH(LARGE('Eredmény'!$DY$2:$DY$201,133),'Eredmény'!$DY$2:$DY$201,0),"")</f>
        <v/>
      </c>
    </row>
    <row r="138">
      <c r="A138" s="12">
        <f>IF($W138="","",INDEX('Eredmény'!$AO$2:$AO$201,$W138))</f>
        <v/>
      </c>
      <c r="B138" s="13">
        <f>IF($W138="","",INDEX('Eredmény'!$A$2:$A$201,$W138))</f>
        <v/>
      </c>
      <c r="C138" s="14">
        <f>IF($W138="","",INDEX('Eredmény'!$AM$2:$AM$201,$W138))</f>
        <v/>
      </c>
      <c r="D138" s="14">
        <f>IF($W138="","",INDEX('Eredmény'!$AN$2:$AN$201,$W138))</f>
        <v/>
      </c>
      <c r="E138" s="12">
        <f>IF($W138="","",INDEX('Eredmény'!$AQ$2:$AQ$201,$W138))</f>
        <v/>
      </c>
      <c r="F138" s="13">
        <f>IF($W138="","",INDEX('Eredmény'!$AR$2:$AR$201,$W138))</f>
        <v/>
      </c>
      <c r="G138" s="13">
        <f>IF($W138="","",INDEX('Eredmény'!$AS$2:$AS$201,$W138))</f>
        <v/>
      </c>
      <c r="H138" s="14">
        <f>IF($W138="","",INDEX('Eredmény'!$AI$2:$AI$201,$W138))</f>
        <v/>
      </c>
      <c r="I138" s="14">
        <f>IF($W138="","",INDEX('Eredmény'!$AJ$2:$AJ$201,$W138))</f>
        <v/>
      </c>
      <c r="J138" s="14">
        <f>IF($W138="","",INDEX('Eredmény'!$AK$2:$AK$201,$W138))</f>
        <v/>
      </c>
      <c r="K138" s="14">
        <f>IF($W138="","",INDEX('Eredmény'!$AL$2:$AL$201,$W138))</f>
        <v/>
      </c>
      <c r="L138" s="15">
        <f>IF($W138="","",INDEX('Eredmény'!$AZ$2:$AZ$201,$W138))</f>
        <v/>
      </c>
      <c r="M138" s="15">
        <f>IF($W138="","",INDEX('Eredmény'!$BB$2:$BB$201,$W138))</f>
        <v/>
      </c>
      <c r="N138" s="15">
        <f>IF($W138="","",INDEX('Eredmény'!$BC$2:$BC$201,$W138))</f>
        <v/>
      </c>
      <c r="O138" s="16">
        <f>IF($W138="","",INDEX('Eredmény'!$BD$2:$BD$201,$W138))</f>
        <v/>
      </c>
      <c r="P138" s="13">
        <f>IF($W138="","",INDEX('Eredmény'!$BE$2:$BE$201,$W138))</f>
        <v/>
      </c>
      <c r="Q138" s="15">
        <f>IF($W138="","",INDEX('Eredmény'!$BF$2:$BF$201,$W138))</f>
        <v/>
      </c>
      <c r="R138" s="17">
        <f>IF($W138="","",INDEX('Eredmény'!$BG$2:$BG$201,$W138))</f>
        <v/>
      </c>
      <c r="S138" s="13">
        <f>IF($W138="","",INDEX('Eredmény'!$AT$2:$AT$201,$W138))</f>
        <v/>
      </c>
      <c r="T138" s="13">
        <f>IF($W138="","",INDEX('Eredmény'!$AV$2:$AV$201,$W138))</f>
        <v/>
      </c>
      <c r="U138" s="12">
        <f>IF($W138="","",INDEX('Eredmény'!$BI$2:$BI$201,$W138))</f>
        <v/>
      </c>
      <c r="W138">
        <f>IFERROR(MATCH(LARGE('Eredmény'!$DY$2:$DY$201,134),'Eredmény'!$DY$2:$DY$201,0),"")</f>
        <v/>
      </c>
    </row>
    <row r="139">
      <c r="A139" s="12">
        <f>IF($W139="","",INDEX('Eredmény'!$AO$2:$AO$201,$W139))</f>
        <v/>
      </c>
      <c r="B139" s="13">
        <f>IF($W139="","",INDEX('Eredmény'!$A$2:$A$201,$W139))</f>
        <v/>
      </c>
      <c r="C139" s="14">
        <f>IF($W139="","",INDEX('Eredmény'!$AM$2:$AM$201,$W139))</f>
        <v/>
      </c>
      <c r="D139" s="14">
        <f>IF($W139="","",INDEX('Eredmény'!$AN$2:$AN$201,$W139))</f>
        <v/>
      </c>
      <c r="E139" s="12">
        <f>IF($W139="","",INDEX('Eredmény'!$AQ$2:$AQ$201,$W139))</f>
        <v/>
      </c>
      <c r="F139" s="13">
        <f>IF($W139="","",INDEX('Eredmény'!$AR$2:$AR$201,$W139))</f>
        <v/>
      </c>
      <c r="G139" s="13">
        <f>IF($W139="","",INDEX('Eredmény'!$AS$2:$AS$201,$W139))</f>
        <v/>
      </c>
      <c r="H139" s="14">
        <f>IF($W139="","",INDEX('Eredmény'!$AI$2:$AI$201,$W139))</f>
        <v/>
      </c>
      <c r="I139" s="14">
        <f>IF($W139="","",INDEX('Eredmény'!$AJ$2:$AJ$201,$W139))</f>
        <v/>
      </c>
      <c r="J139" s="14">
        <f>IF($W139="","",INDEX('Eredmény'!$AK$2:$AK$201,$W139))</f>
        <v/>
      </c>
      <c r="K139" s="14">
        <f>IF($W139="","",INDEX('Eredmény'!$AL$2:$AL$201,$W139))</f>
        <v/>
      </c>
      <c r="L139" s="15">
        <f>IF($W139="","",INDEX('Eredmény'!$AZ$2:$AZ$201,$W139))</f>
        <v/>
      </c>
      <c r="M139" s="15">
        <f>IF($W139="","",INDEX('Eredmény'!$BB$2:$BB$201,$W139))</f>
        <v/>
      </c>
      <c r="N139" s="15">
        <f>IF($W139="","",INDEX('Eredmény'!$BC$2:$BC$201,$W139))</f>
        <v/>
      </c>
      <c r="O139" s="16">
        <f>IF($W139="","",INDEX('Eredmény'!$BD$2:$BD$201,$W139))</f>
        <v/>
      </c>
      <c r="P139" s="13">
        <f>IF($W139="","",INDEX('Eredmény'!$BE$2:$BE$201,$W139))</f>
        <v/>
      </c>
      <c r="Q139" s="15">
        <f>IF($W139="","",INDEX('Eredmény'!$BF$2:$BF$201,$W139))</f>
        <v/>
      </c>
      <c r="R139" s="17">
        <f>IF($W139="","",INDEX('Eredmény'!$BG$2:$BG$201,$W139))</f>
        <v/>
      </c>
      <c r="S139" s="13">
        <f>IF($W139="","",INDEX('Eredmény'!$AT$2:$AT$201,$W139))</f>
        <v/>
      </c>
      <c r="T139" s="13">
        <f>IF($W139="","",INDEX('Eredmény'!$AV$2:$AV$201,$W139))</f>
        <v/>
      </c>
      <c r="U139" s="12">
        <f>IF($W139="","",INDEX('Eredmény'!$BI$2:$BI$201,$W139))</f>
        <v/>
      </c>
      <c r="W139">
        <f>IFERROR(MATCH(LARGE('Eredmény'!$DY$2:$DY$201,135),'Eredmény'!$DY$2:$DY$201,0),"")</f>
        <v/>
      </c>
    </row>
    <row r="140">
      <c r="A140" s="12">
        <f>IF($W140="","",INDEX('Eredmény'!$AO$2:$AO$201,$W140))</f>
        <v/>
      </c>
      <c r="B140" s="13">
        <f>IF($W140="","",INDEX('Eredmény'!$A$2:$A$201,$W140))</f>
        <v/>
      </c>
      <c r="C140" s="14">
        <f>IF($W140="","",INDEX('Eredmény'!$AM$2:$AM$201,$W140))</f>
        <v/>
      </c>
      <c r="D140" s="14">
        <f>IF($W140="","",INDEX('Eredmény'!$AN$2:$AN$201,$W140))</f>
        <v/>
      </c>
      <c r="E140" s="12">
        <f>IF($W140="","",INDEX('Eredmény'!$AQ$2:$AQ$201,$W140))</f>
        <v/>
      </c>
      <c r="F140" s="13">
        <f>IF($W140="","",INDEX('Eredmény'!$AR$2:$AR$201,$W140))</f>
        <v/>
      </c>
      <c r="G140" s="13">
        <f>IF($W140="","",INDEX('Eredmény'!$AS$2:$AS$201,$W140))</f>
        <v/>
      </c>
      <c r="H140" s="14">
        <f>IF($W140="","",INDEX('Eredmény'!$AI$2:$AI$201,$W140))</f>
        <v/>
      </c>
      <c r="I140" s="14">
        <f>IF($W140="","",INDEX('Eredmény'!$AJ$2:$AJ$201,$W140))</f>
        <v/>
      </c>
      <c r="J140" s="14">
        <f>IF($W140="","",INDEX('Eredmény'!$AK$2:$AK$201,$W140))</f>
        <v/>
      </c>
      <c r="K140" s="14">
        <f>IF($W140="","",INDEX('Eredmény'!$AL$2:$AL$201,$W140))</f>
        <v/>
      </c>
      <c r="L140" s="15">
        <f>IF($W140="","",INDEX('Eredmény'!$AZ$2:$AZ$201,$W140))</f>
        <v/>
      </c>
      <c r="M140" s="15">
        <f>IF($W140="","",INDEX('Eredmény'!$BB$2:$BB$201,$W140))</f>
        <v/>
      </c>
      <c r="N140" s="15">
        <f>IF($W140="","",INDEX('Eredmény'!$BC$2:$BC$201,$W140))</f>
        <v/>
      </c>
      <c r="O140" s="16">
        <f>IF($W140="","",INDEX('Eredmény'!$BD$2:$BD$201,$W140))</f>
        <v/>
      </c>
      <c r="P140" s="13">
        <f>IF($W140="","",INDEX('Eredmény'!$BE$2:$BE$201,$W140))</f>
        <v/>
      </c>
      <c r="Q140" s="15">
        <f>IF($W140="","",INDEX('Eredmény'!$BF$2:$BF$201,$W140))</f>
        <v/>
      </c>
      <c r="R140" s="17">
        <f>IF($W140="","",INDEX('Eredmény'!$BG$2:$BG$201,$W140))</f>
        <v/>
      </c>
      <c r="S140" s="13">
        <f>IF($W140="","",INDEX('Eredmény'!$AT$2:$AT$201,$W140))</f>
        <v/>
      </c>
      <c r="T140" s="13">
        <f>IF($W140="","",INDEX('Eredmény'!$AV$2:$AV$201,$W140))</f>
        <v/>
      </c>
      <c r="U140" s="12">
        <f>IF($W140="","",INDEX('Eredmény'!$BI$2:$BI$201,$W140))</f>
        <v/>
      </c>
      <c r="W140">
        <f>IFERROR(MATCH(LARGE('Eredmény'!$DY$2:$DY$201,136),'Eredmény'!$DY$2:$DY$201,0),"")</f>
        <v/>
      </c>
    </row>
    <row r="141">
      <c r="A141" s="12">
        <f>IF($W141="","",INDEX('Eredmény'!$AO$2:$AO$201,$W141))</f>
        <v/>
      </c>
      <c r="B141" s="13">
        <f>IF($W141="","",INDEX('Eredmény'!$A$2:$A$201,$W141))</f>
        <v/>
      </c>
      <c r="C141" s="14">
        <f>IF($W141="","",INDEX('Eredmény'!$AM$2:$AM$201,$W141))</f>
        <v/>
      </c>
      <c r="D141" s="14">
        <f>IF($W141="","",INDEX('Eredmény'!$AN$2:$AN$201,$W141))</f>
        <v/>
      </c>
      <c r="E141" s="12">
        <f>IF($W141="","",INDEX('Eredmény'!$AQ$2:$AQ$201,$W141))</f>
        <v/>
      </c>
      <c r="F141" s="13">
        <f>IF($W141="","",INDEX('Eredmény'!$AR$2:$AR$201,$W141))</f>
        <v/>
      </c>
      <c r="G141" s="13">
        <f>IF($W141="","",INDEX('Eredmény'!$AS$2:$AS$201,$W141))</f>
        <v/>
      </c>
      <c r="H141" s="14">
        <f>IF($W141="","",INDEX('Eredmény'!$AI$2:$AI$201,$W141))</f>
        <v/>
      </c>
      <c r="I141" s="14">
        <f>IF($W141="","",INDEX('Eredmény'!$AJ$2:$AJ$201,$W141))</f>
        <v/>
      </c>
      <c r="J141" s="14">
        <f>IF($W141="","",INDEX('Eredmény'!$AK$2:$AK$201,$W141))</f>
        <v/>
      </c>
      <c r="K141" s="14">
        <f>IF($W141="","",INDEX('Eredmény'!$AL$2:$AL$201,$W141))</f>
        <v/>
      </c>
      <c r="L141" s="15">
        <f>IF($W141="","",INDEX('Eredmény'!$AZ$2:$AZ$201,$W141))</f>
        <v/>
      </c>
      <c r="M141" s="15">
        <f>IF($W141="","",INDEX('Eredmény'!$BB$2:$BB$201,$W141))</f>
        <v/>
      </c>
      <c r="N141" s="15">
        <f>IF($W141="","",INDEX('Eredmény'!$BC$2:$BC$201,$W141))</f>
        <v/>
      </c>
      <c r="O141" s="16">
        <f>IF($W141="","",INDEX('Eredmény'!$BD$2:$BD$201,$W141))</f>
        <v/>
      </c>
      <c r="P141" s="13">
        <f>IF($W141="","",INDEX('Eredmény'!$BE$2:$BE$201,$W141))</f>
        <v/>
      </c>
      <c r="Q141" s="15">
        <f>IF($W141="","",INDEX('Eredmény'!$BF$2:$BF$201,$W141))</f>
        <v/>
      </c>
      <c r="R141" s="17">
        <f>IF($W141="","",INDEX('Eredmény'!$BG$2:$BG$201,$W141))</f>
        <v/>
      </c>
      <c r="S141" s="13">
        <f>IF($W141="","",INDEX('Eredmény'!$AT$2:$AT$201,$W141))</f>
        <v/>
      </c>
      <c r="T141" s="13">
        <f>IF($W141="","",INDEX('Eredmény'!$AV$2:$AV$201,$W141))</f>
        <v/>
      </c>
      <c r="U141" s="12">
        <f>IF($W141="","",INDEX('Eredmény'!$BI$2:$BI$201,$W141))</f>
        <v/>
      </c>
      <c r="W141">
        <f>IFERROR(MATCH(LARGE('Eredmény'!$DY$2:$DY$201,137),'Eredmény'!$DY$2:$DY$201,0),"")</f>
        <v/>
      </c>
    </row>
    <row r="142">
      <c r="A142" s="12">
        <f>IF($W142="","",INDEX('Eredmény'!$AO$2:$AO$201,$W142))</f>
        <v/>
      </c>
      <c r="B142" s="13">
        <f>IF($W142="","",INDEX('Eredmény'!$A$2:$A$201,$W142))</f>
        <v/>
      </c>
      <c r="C142" s="14">
        <f>IF($W142="","",INDEX('Eredmény'!$AM$2:$AM$201,$W142))</f>
        <v/>
      </c>
      <c r="D142" s="14">
        <f>IF($W142="","",INDEX('Eredmény'!$AN$2:$AN$201,$W142))</f>
        <v/>
      </c>
      <c r="E142" s="12">
        <f>IF($W142="","",INDEX('Eredmény'!$AQ$2:$AQ$201,$W142))</f>
        <v/>
      </c>
      <c r="F142" s="13">
        <f>IF($W142="","",INDEX('Eredmény'!$AR$2:$AR$201,$W142))</f>
        <v/>
      </c>
      <c r="G142" s="13">
        <f>IF($W142="","",INDEX('Eredmény'!$AS$2:$AS$201,$W142))</f>
        <v/>
      </c>
      <c r="H142" s="14">
        <f>IF($W142="","",INDEX('Eredmény'!$AI$2:$AI$201,$W142))</f>
        <v/>
      </c>
      <c r="I142" s="14">
        <f>IF($W142="","",INDEX('Eredmény'!$AJ$2:$AJ$201,$W142))</f>
        <v/>
      </c>
      <c r="J142" s="14">
        <f>IF($W142="","",INDEX('Eredmény'!$AK$2:$AK$201,$W142))</f>
        <v/>
      </c>
      <c r="K142" s="14">
        <f>IF($W142="","",INDEX('Eredmény'!$AL$2:$AL$201,$W142))</f>
        <v/>
      </c>
      <c r="L142" s="15">
        <f>IF($W142="","",INDEX('Eredmény'!$AZ$2:$AZ$201,$W142))</f>
        <v/>
      </c>
      <c r="M142" s="15">
        <f>IF($W142="","",INDEX('Eredmény'!$BB$2:$BB$201,$W142))</f>
        <v/>
      </c>
      <c r="N142" s="15">
        <f>IF($W142="","",INDEX('Eredmény'!$BC$2:$BC$201,$W142))</f>
        <v/>
      </c>
      <c r="O142" s="16">
        <f>IF($W142="","",INDEX('Eredmény'!$BD$2:$BD$201,$W142))</f>
        <v/>
      </c>
      <c r="P142" s="13">
        <f>IF($W142="","",INDEX('Eredmény'!$BE$2:$BE$201,$W142))</f>
        <v/>
      </c>
      <c r="Q142" s="15">
        <f>IF($W142="","",INDEX('Eredmény'!$BF$2:$BF$201,$W142))</f>
        <v/>
      </c>
      <c r="R142" s="17">
        <f>IF($W142="","",INDEX('Eredmény'!$BG$2:$BG$201,$W142))</f>
        <v/>
      </c>
      <c r="S142" s="13">
        <f>IF($W142="","",INDEX('Eredmény'!$AT$2:$AT$201,$W142))</f>
        <v/>
      </c>
      <c r="T142" s="13">
        <f>IF($W142="","",INDEX('Eredmény'!$AV$2:$AV$201,$W142))</f>
        <v/>
      </c>
      <c r="U142" s="12">
        <f>IF($W142="","",INDEX('Eredmény'!$BI$2:$BI$201,$W142))</f>
        <v/>
      </c>
      <c r="W142">
        <f>IFERROR(MATCH(LARGE('Eredmény'!$DY$2:$DY$201,138),'Eredmény'!$DY$2:$DY$201,0),"")</f>
        <v/>
      </c>
    </row>
    <row r="143">
      <c r="A143" s="12">
        <f>IF($W143="","",INDEX('Eredmény'!$AO$2:$AO$201,$W143))</f>
        <v/>
      </c>
      <c r="B143" s="13">
        <f>IF($W143="","",INDEX('Eredmény'!$A$2:$A$201,$W143))</f>
        <v/>
      </c>
      <c r="C143" s="14">
        <f>IF($W143="","",INDEX('Eredmény'!$AM$2:$AM$201,$W143))</f>
        <v/>
      </c>
      <c r="D143" s="14">
        <f>IF($W143="","",INDEX('Eredmény'!$AN$2:$AN$201,$W143))</f>
        <v/>
      </c>
      <c r="E143" s="12">
        <f>IF($W143="","",INDEX('Eredmény'!$AQ$2:$AQ$201,$W143))</f>
        <v/>
      </c>
      <c r="F143" s="13">
        <f>IF($W143="","",INDEX('Eredmény'!$AR$2:$AR$201,$W143))</f>
        <v/>
      </c>
      <c r="G143" s="13">
        <f>IF($W143="","",INDEX('Eredmény'!$AS$2:$AS$201,$W143))</f>
        <v/>
      </c>
      <c r="H143" s="14">
        <f>IF($W143="","",INDEX('Eredmény'!$AI$2:$AI$201,$W143))</f>
        <v/>
      </c>
      <c r="I143" s="14">
        <f>IF($W143="","",INDEX('Eredmény'!$AJ$2:$AJ$201,$W143))</f>
        <v/>
      </c>
      <c r="J143" s="14">
        <f>IF($W143="","",INDEX('Eredmény'!$AK$2:$AK$201,$W143))</f>
        <v/>
      </c>
      <c r="K143" s="14">
        <f>IF($W143="","",INDEX('Eredmény'!$AL$2:$AL$201,$W143))</f>
        <v/>
      </c>
      <c r="L143" s="15">
        <f>IF($W143="","",INDEX('Eredmény'!$AZ$2:$AZ$201,$W143))</f>
        <v/>
      </c>
      <c r="M143" s="15">
        <f>IF($W143="","",INDEX('Eredmény'!$BB$2:$BB$201,$W143))</f>
        <v/>
      </c>
      <c r="N143" s="15">
        <f>IF($W143="","",INDEX('Eredmény'!$BC$2:$BC$201,$W143))</f>
        <v/>
      </c>
      <c r="O143" s="16">
        <f>IF($W143="","",INDEX('Eredmény'!$BD$2:$BD$201,$W143))</f>
        <v/>
      </c>
      <c r="P143" s="13">
        <f>IF($W143="","",INDEX('Eredmény'!$BE$2:$BE$201,$W143))</f>
        <v/>
      </c>
      <c r="Q143" s="15">
        <f>IF($W143="","",INDEX('Eredmény'!$BF$2:$BF$201,$W143))</f>
        <v/>
      </c>
      <c r="R143" s="17">
        <f>IF($W143="","",INDEX('Eredmény'!$BG$2:$BG$201,$W143))</f>
        <v/>
      </c>
      <c r="S143" s="13">
        <f>IF($W143="","",INDEX('Eredmény'!$AT$2:$AT$201,$W143))</f>
        <v/>
      </c>
      <c r="T143" s="13">
        <f>IF($W143="","",INDEX('Eredmény'!$AV$2:$AV$201,$W143))</f>
        <v/>
      </c>
      <c r="U143" s="12">
        <f>IF($W143="","",INDEX('Eredmény'!$BI$2:$BI$201,$W143))</f>
        <v/>
      </c>
      <c r="W143">
        <f>IFERROR(MATCH(LARGE('Eredmény'!$DY$2:$DY$201,139),'Eredmény'!$DY$2:$DY$201,0),"")</f>
        <v/>
      </c>
    </row>
    <row r="144">
      <c r="A144" s="12">
        <f>IF($W144="","",INDEX('Eredmény'!$AO$2:$AO$201,$W144))</f>
        <v/>
      </c>
      <c r="B144" s="13">
        <f>IF($W144="","",INDEX('Eredmény'!$A$2:$A$201,$W144))</f>
        <v/>
      </c>
      <c r="C144" s="14">
        <f>IF($W144="","",INDEX('Eredmény'!$AM$2:$AM$201,$W144))</f>
        <v/>
      </c>
      <c r="D144" s="14">
        <f>IF($W144="","",INDEX('Eredmény'!$AN$2:$AN$201,$W144))</f>
        <v/>
      </c>
      <c r="E144" s="12">
        <f>IF($W144="","",INDEX('Eredmény'!$AQ$2:$AQ$201,$W144))</f>
        <v/>
      </c>
      <c r="F144" s="13">
        <f>IF($W144="","",INDEX('Eredmény'!$AR$2:$AR$201,$W144))</f>
        <v/>
      </c>
      <c r="G144" s="13">
        <f>IF($W144="","",INDEX('Eredmény'!$AS$2:$AS$201,$W144))</f>
        <v/>
      </c>
      <c r="H144" s="14">
        <f>IF($W144="","",INDEX('Eredmény'!$AI$2:$AI$201,$W144))</f>
        <v/>
      </c>
      <c r="I144" s="14">
        <f>IF($W144="","",INDEX('Eredmény'!$AJ$2:$AJ$201,$W144))</f>
        <v/>
      </c>
      <c r="J144" s="14">
        <f>IF($W144="","",INDEX('Eredmény'!$AK$2:$AK$201,$W144))</f>
        <v/>
      </c>
      <c r="K144" s="14">
        <f>IF($W144="","",INDEX('Eredmény'!$AL$2:$AL$201,$W144))</f>
        <v/>
      </c>
      <c r="L144" s="15">
        <f>IF($W144="","",INDEX('Eredmény'!$AZ$2:$AZ$201,$W144))</f>
        <v/>
      </c>
      <c r="M144" s="15">
        <f>IF($W144="","",INDEX('Eredmény'!$BB$2:$BB$201,$W144))</f>
        <v/>
      </c>
      <c r="N144" s="15">
        <f>IF($W144="","",INDEX('Eredmény'!$BC$2:$BC$201,$W144))</f>
        <v/>
      </c>
      <c r="O144" s="16">
        <f>IF($W144="","",INDEX('Eredmény'!$BD$2:$BD$201,$W144))</f>
        <v/>
      </c>
      <c r="P144" s="13">
        <f>IF($W144="","",INDEX('Eredmény'!$BE$2:$BE$201,$W144))</f>
        <v/>
      </c>
      <c r="Q144" s="15">
        <f>IF($W144="","",INDEX('Eredmény'!$BF$2:$BF$201,$W144))</f>
        <v/>
      </c>
      <c r="R144" s="17">
        <f>IF($W144="","",INDEX('Eredmény'!$BG$2:$BG$201,$W144))</f>
        <v/>
      </c>
      <c r="S144" s="13">
        <f>IF($W144="","",INDEX('Eredmény'!$AT$2:$AT$201,$W144))</f>
        <v/>
      </c>
      <c r="T144" s="13">
        <f>IF($W144="","",INDEX('Eredmény'!$AV$2:$AV$201,$W144))</f>
        <v/>
      </c>
      <c r="U144" s="12">
        <f>IF($W144="","",INDEX('Eredmény'!$BI$2:$BI$201,$W144))</f>
        <v/>
      </c>
      <c r="W144">
        <f>IFERROR(MATCH(LARGE('Eredmény'!$DY$2:$DY$201,140),'Eredmény'!$DY$2:$DY$201,0),"")</f>
        <v/>
      </c>
    </row>
    <row r="145">
      <c r="A145" s="12">
        <f>IF($W145="","",INDEX('Eredmény'!$AO$2:$AO$201,$W145))</f>
        <v/>
      </c>
      <c r="B145" s="13">
        <f>IF($W145="","",INDEX('Eredmény'!$A$2:$A$201,$W145))</f>
        <v/>
      </c>
      <c r="C145" s="14">
        <f>IF($W145="","",INDEX('Eredmény'!$AM$2:$AM$201,$W145))</f>
        <v/>
      </c>
      <c r="D145" s="14">
        <f>IF($W145="","",INDEX('Eredmény'!$AN$2:$AN$201,$W145))</f>
        <v/>
      </c>
      <c r="E145" s="12">
        <f>IF($W145="","",INDEX('Eredmény'!$AQ$2:$AQ$201,$W145))</f>
        <v/>
      </c>
      <c r="F145" s="13">
        <f>IF($W145="","",INDEX('Eredmény'!$AR$2:$AR$201,$W145))</f>
        <v/>
      </c>
      <c r="G145" s="13">
        <f>IF($W145="","",INDEX('Eredmény'!$AS$2:$AS$201,$W145))</f>
        <v/>
      </c>
      <c r="H145" s="14">
        <f>IF($W145="","",INDEX('Eredmény'!$AI$2:$AI$201,$W145))</f>
        <v/>
      </c>
      <c r="I145" s="14">
        <f>IF($W145="","",INDEX('Eredmény'!$AJ$2:$AJ$201,$W145))</f>
        <v/>
      </c>
      <c r="J145" s="14">
        <f>IF($W145="","",INDEX('Eredmény'!$AK$2:$AK$201,$W145))</f>
        <v/>
      </c>
      <c r="K145" s="14">
        <f>IF($W145="","",INDEX('Eredmény'!$AL$2:$AL$201,$W145))</f>
        <v/>
      </c>
      <c r="L145" s="15">
        <f>IF($W145="","",INDEX('Eredmény'!$AZ$2:$AZ$201,$W145))</f>
        <v/>
      </c>
      <c r="M145" s="15">
        <f>IF($W145="","",INDEX('Eredmény'!$BB$2:$BB$201,$W145))</f>
        <v/>
      </c>
      <c r="N145" s="15">
        <f>IF($W145="","",INDEX('Eredmény'!$BC$2:$BC$201,$W145))</f>
        <v/>
      </c>
      <c r="O145" s="16">
        <f>IF($W145="","",INDEX('Eredmény'!$BD$2:$BD$201,$W145))</f>
        <v/>
      </c>
      <c r="P145" s="13">
        <f>IF($W145="","",INDEX('Eredmény'!$BE$2:$BE$201,$W145))</f>
        <v/>
      </c>
      <c r="Q145" s="15">
        <f>IF($W145="","",INDEX('Eredmény'!$BF$2:$BF$201,$W145))</f>
        <v/>
      </c>
      <c r="R145" s="17">
        <f>IF($W145="","",INDEX('Eredmény'!$BG$2:$BG$201,$W145))</f>
        <v/>
      </c>
      <c r="S145" s="13">
        <f>IF($W145="","",INDEX('Eredmény'!$AT$2:$AT$201,$W145))</f>
        <v/>
      </c>
      <c r="T145" s="13">
        <f>IF($W145="","",INDEX('Eredmény'!$AV$2:$AV$201,$W145))</f>
        <v/>
      </c>
      <c r="U145" s="12">
        <f>IF($W145="","",INDEX('Eredmény'!$BI$2:$BI$201,$W145))</f>
        <v/>
      </c>
      <c r="W145">
        <f>IFERROR(MATCH(LARGE('Eredmény'!$DY$2:$DY$201,141),'Eredmény'!$DY$2:$DY$201,0),"")</f>
        <v/>
      </c>
    </row>
    <row r="146">
      <c r="A146" s="12">
        <f>IF($W146="","",INDEX('Eredmény'!$AO$2:$AO$201,$W146))</f>
        <v/>
      </c>
      <c r="B146" s="13">
        <f>IF($W146="","",INDEX('Eredmény'!$A$2:$A$201,$W146))</f>
        <v/>
      </c>
      <c r="C146" s="14">
        <f>IF($W146="","",INDEX('Eredmény'!$AM$2:$AM$201,$W146))</f>
        <v/>
      </c>
      <c r="D146" s="14">
        <f>IF($W146="","",INDEX('Eredmény'!$AN$2:$AN$201,$W146))</f>
        <v/>
      </c>
      <c r="E146" s="12">
        <f>IF($W146="","",INDEX('Eredmény'!$AQ$2:$AQ$201,$W146))</f>
        <v/>
      </c>
      <c r="F146" s="13">
        <f>IF($W146="","",INDEX('Eredmény'!$AR$2:$AR$201,$W146))</f>
        <v/>
      </c>
      <c r="G146" s="13">
        <f>IF($W146="","",INDEX('Eredmény'!$AS$2:$AS$201,$W146))</f>
        <v/>
      </c>
      <c r="H146" s="14">
        <f>IF($W146="","",INDEX('Eredmény'!$AI$2:$AI$201,$W146))</f>
        <v/>
      </c>
      <c r="I146" s="14">
        <f>IF($W146="","",INDEX('Eredmény'!$AJ$2:$AJ$201,$W146))</f>
        <v/>
      </c>
      <c r="J146" s="14">
        <f>IF($W146="","",INDEX('Eredmény'!$AK$2:$AK$201,$W146))</f>
        <v/>
      </c>
      <c r="K146" s="14">
        <f>IF($W146="","",INDEX('Eredmény'!$AL$2:$AL$201,$W146))</f>
        <v/>
      </c>
      <c r="L146" s="15">
        <f>IF($W146="","",INDEX('Eredmény'!$AZ$2:$AZ$201,$W146))</f>
        <v/>
      </c>
      <c r="M146" s="15">
        <f>IF($W146="","",INDEX('Eredmény'!$BB$2:$BB$201,$W146))</f>
        <v/>
      </c>
      <c r="N146" s="15">
        <f>IF($W146="","",INDEX('Eredmény'!$BC$2:$BC$201,$W146))</f>
        <v/>
      </c>
      <c r="O146" s="16">
        <f>IF($W146="","",INDEX('Eredmény'!$BD$2:$BD$201,$W146))</f>
        <v/>
      </c>
      <c r="P146" s="13">
        <f>IF($W146="","",INDEX('Eredmény'!$BE$2:$BE$201,$W146))</f>
        <v/>
      </c>
      <c r="Q146" s="15">
        <f>IF($W146="","",INDEX('Eredmény'!$BF$2:$BF$201,$W146))</f>
        <v/>
      </c>
      <c r="R146" s="17">
        <f>IF($W146="","",INDEX('Eredmény'!$BG$2:$BG$201,$W146))</f>
        <v/>
      </c>
      <c r="S146" s="13">
        <f>IF($W146="","",INDEX('Eredmény'!$AT$2:$AT$201,$W146))</f>
        <v/>
      </c>
      <c r="T146" s="13">
        <f>IF($W146="","",INDEX('Eredmény'!$AV$2:$AV$201,$W146))</f>
        <v/>
      </c>
      <c r="U146" s="12">
        <f>IF($W146="","",INDEX('Eredmény'!$BI$2:$BI$201,$W146))</f>
        <v/>
      </c>
      <c r="W146">
        <f>IFERROR(MATCH(LARGE('Eredmény'!$DY$2:$DY$201,142),'Eredmény'!$DY$2:$DY$201,0),"")</f>
        <v/>
      </c>
    </row>
    <row r="147">
      <c r="A147" s="12">
        <f>IF($W147="","",INDEX('Eredmény'!$AO$2:$AO$201,$W147))</f>
        <v/>
      </c>
      <c r="B147" s="13">
        <f>IF($W147="","",INDEX('Eredmény'!$A$2:$A$201,$W147))</f>
        <v/>
      </c>
      <c r="C147" s="14">
        <f>IF($W147="","",INDEX('Eredmény'!$AM$2:$AM$201,$W147))</f>
        <v/>
      </c>
      <c r="D147" s="14">
        <f>IF($W147="","",INDEX('Eredmény'!$AN$2:$AN$201,$W147))</f>
        <v/>
      </c>
      <c r="E147" s="12">
        <f>IF($W147="","",INDEX('Eredmény'!$AQ$2:$AQ$201,$W147))</f>
        <v/>
      </c>
      <c r="F147" s="13">
        <f>IF($W147="","",INDEX('Eredmény'!$AR$2:$AR$201,$W147))</f>
        <v/>
      </c>
      <c r="G147" s="13">
        <f>IF($W147="","",INDEX('Eredmény'!$AS$2:$AS$201,$W147))</f>
        <v/>
      </c>
      <c r="H147" s="14">
        <f>IF($W147="","",INDEX('Eredmény'!$AI$2:$AI$201,$W147))</f>
        <v/>
      </c>
      <c r="I147" s="14">
        <f>IF($W147="","",INDEX('Eredmény'!$AJ$2:$AJ$201,$W147))</f>
        <v/>
      </c>
      <c r="J147" s="14">
        <f>IF($W147="","",INDEX('Eredmény'!$AK$2:$AK$201,$W147))</f>
        <v/>
      </c>
      <c r="K147" s="14">
        <f>IF($W147="","",INDEX('Eredmény'!$AL$2:$AL$201,$W147))</f>
        <v/>
      </c>
      <c r="L147" s="15">
        <f>IF($W147="","",INDEX('Eredmény'!$AZ$2:$AZ$201,$W147))</f>
        <v/>
      </c>
      <c r="M147" s="15">
        <f>IF($W147="","",INDEX('Eredmény'!$BB$2:$BB$201,$W147))</f>
        <v/>
      </c>
      <c r="N147" s="15">
        <f>IF($W147="","",INDEX('Eredmény'!$BC$2:$BC$201,$W147))</f>
        <v/>
      </c>
      <c r="O147" s="16">
        <f>IF($W147="","",INDEX('Eredmény'!$BD$2:$BD$201,$W147))</f>
        <v/>
      </c>
      <c r="P147" s="13">
        <f>IF($W147="","",INDEX('Eredmény'!$BE$2:$BE$201,$W147))</f>
        <v/>
      </c>
      <c r="Q147" s="15">
        <f>IF($W147="","",INDEX('Eredmény'!$BF$2:$BF$201,$W147))</f>
        <v/>
      </c>
      <c r="R147" s="17">
        <f>IF($W147="","",INDEX('Eredmény'!$BG$2:$BG$201,$W147))</f>
        <v/>
      </c>
      <c r="S147" s="13">
        <f>IF($W147="","",INDEX('Eredmény'!$AT$2:$AT$201,$W147))</f>
        <v/>
      </c>
      <c r="T147" s="13">
        <f>IF($W147="","",INDEX('Eredmény'!$AV$2:$AV$201,$W147))</f>
        <v/>
      </c>
      <c r="U147" s="12">
        <f>IF($W147="","",INDEX('Eredmény'!$BI$2:$BI$201,$W147))</f>
        <v/>
      </c>
      <c r="W147">
        <f>IFERROR(MATCH(LARGE('Eredmény'!$DY$2:$DY$201,143),'Eredmény'!$DY$2:$DY$201,0),"")</f>
        <v/>
      </c>
    </row>
    <row r="148">
      <c r="A148" s="12">
        <f>IF($W148="","",INDEX('Eredmény'!$AO$2:$AO$201,$W148))</f>
        <v/>
      </c>
      <c r="B148" s="13">
        <f>IF($W148="","",INDEX('Eredmény'!$A$2:$A$201,$W148))</f>
        <v/>
      </c>
      <c r="C148" s="14">
        <f>IF($W148="","",INDEX('Eredmény'!$AM$2:$AM$201,$W148))</f>
        <v/>
      </c>
      <c r="D148" s="14">
        <f>IF($W148="","",INDEX('Eredmény'!$AN$2:$AN$201,$W148))</f>
        <v/>
      </c>
      <c r="E148" s="12">
        <f>IF($W148="","",INDEX('Eredmény'!$AQ$2:$AQ$201,$W148))</f>
        <v/>
      </c>
      <c r="F148" s="13">
        <f>IF($W148="","",INDEX('Eredmény'!$AR$2:$AR$201,$W148))</f>
        <v/>
      </c>
      <c r="G148" s="13">
        <f>IF($W148="","",INDEX('Eredmény'!$AS$2:$AS$201,$W148))</f>
        <v/>
      </c>
      <c r="H148" s="14">
        <f>IF($W148="","",INDEX('Eredmény'!$AI$2:$AI$201,$W148))</f>
        <v/>
      </c>
      <c r="I148" s="14">
        <f>IF($W148="","",INDEX('Eredmény'!$AJ$2:$AJ$201,$W148))</f>
        <v/>
      </c>
      <c r="J148" s="14">
        <f>IF($W148="","",INDEX('Eredmény'!$AK$2:$AK$201,$W148))</f>
        <v/>
      </c>
      <c r="K148" s="14">
        <f>IF($W148="","",INDEX('Eredmény'!$AL$2:$AL$201,$W148))</f>
        <v/>
      </c>
      <c r="L148" s="15">
        <f>IF($W148="","",INDEX('Eredmény'!$AZ$2:$AZ$201,$W148))</f>
        <v/>
      </c>
      <c r="M148" s="15">
        <f>IF($W148="","",INDEX('Eredmény'!$BB$2:$BB$201,$W148))</f>
        <v/>
      </c>
      <c r="N148" s="15">
        <f>IF($W148="","",INDEX('Eredmény'!$BC$2:$BC$201,$W148))</f>
        <v/>
      </c>
      <c r="O148" s="16">
        <f>IF($W148="","",INDEX('Eredmény'!$BD$2:$BD$201,$W148))</f>
        <v/>
      </c>
      <c r="P148" s="13">
        <f>IF($W148="","",INDEX('Eredmény'!$BE$2:$BE$201,$W148))</f>
        <v/>
      </c>
      <c r="Q148" s="15">
        <f>IF($W148="","",INDEX('Eredmény'!$BF$2:$BF$201,$W148))</f>
        <v/>
      </c>
      <c r="R148" s="17">
        <f>IF($W148="","",INDEX('Eredmény'!$BG$2:$BG$201,$W148))</f>
        <v/>
      </c>
      <c r="S148" s="13">
        <f>IF($W148="","",INDEX('Eredmény'!$AT$2:$AT$201,$W148))</f>
        <v/>
      </c>
      <c r="T148" s="13">
        <f>IF($W148="","",INDEX('Eredmény'!$AV$2:$AV$201,$W148))</f>
        <v/>
      </c>
      <c r="U148" s="12">
        <f>IF($W148="","",INDEX('Eredmény'!$BI$2:$BI$201,$W148))</f>
        <v/>
      </c>
      <c r="W148">
        <f>IFERROR(MATCH(LARGE('Eredmény'!$DY$2:$DY$201,144),'Eredmény'!$DY$2:$DY$201,0),"")</f>
        <v/>
      </c>
    </row>
    <row r="149">
      <c r="A149" s="12">
        <f>IF($W149="","",INDEX('Eredmény'!$AO$2:$AO$201,$W149))</f>
        <v/>
      </c>
      <c r="B149" s="13">
        <f>IF($W149="","",INDEX('Eredmény'!$A$2:$A$201,$W149))</f>
        <v/>
      </c>
      <c r="C149" s="14">
        <f>IF($W149="","",INDEX('Eredmény'!$AM$2:$AM$201,$W149))</f>
        <v/>
      </c>
      <c r="D149" s="14">
        <f>IF($W149="","",INDEX('Eredmény'!$AN$2:$AN$201,$W149))</f>
        <v/>
      </c>
      <c r="E149" s="12">
        <f>IF($W149="","",INDEX('Eredmény'!$AQ$2:$AQ$201,$W149))</f>
        <v/>
      </c>
      <c r="F149" s="13">
        <f>IF($W149="","",INDEX('Eredmény'!$AR$2:$AR$201,$W149))</f>
        <v/>
      </c>
      <c r="G149" s="13">
        <f>IF($W149="","",INDEX('Eredmény'!$AS$2:$AS$201,$W149))</f>
        <v/>
      </c>
      <c r="H149" s="14">
        <f>IF($W149="","",INDEX('Eredmény'!$AI$2:$AI$201,$W149))</f>
        <v/>
      </c>
      <c r="I149" s="14">
        <f>IF($W149="","",INDEX('Eredmény'!$AJ$2:$AJ$201,$W149))</f>
        <v/>
      </c>
      <c r="J149" s="14">
        <f>IF($W149="","",INDEX('Eredmény'!$AK$2:$AK$201,$W149))</f>
        <v/>
      </c>
      <c r="K149" s="14">
        <f>IF($W149="","",INDEX('Eredmény'!$AL$2:$AL$201,$W149))</f>
        <v/>
      </c>
      <c r="L149" s="15">
        <f>IF($W149="","",INDEX('Eredmény'!$AZ$2:$AZ$201,$W149))</f>
        <v/>
      </c>
      <c r="M149" s="15">
        <f>IF($W149="","",INDEX('Eredmény'!$BB$2:$BB$201,$W149))</f>
        <v/>
      </c>
      <c r="N149" s="15">
        <f>IF($W149="","",INDEX('Eredmény'!$BC$2:$BC$201,$W149))</f>
        <v/>
      </c>
      <c r="O149" s="16">
        <f>IF($W149="","",INDEX('Eredmény'!$BD$2:$BD$201,$W149))</f>
        <v/>
      </c>
      <c r="P149" s="13">
        <f>IF($W149="","",INDEX('Eredmény'!$BE$2:$BE$201,$W149))</f>
        <v/>
      </c>
      <c r="Q149" s="15">
        <f>IF($W149="","",INDEX('Eredmény'!$BF$2:$BF$201,$W149))</f>
        <v/>
      </c>
      <c r="R149" s="17">
        <f>IF($W149="","",INDEX('Eredmény'!$BG$2:$BG$201,$W149))</f>
        <v/>
      </c>
      <c r="S149" s="13">
        <f>IF($W149="","",INDEX('Eredmény'!$AT$2:$AT$201,$W149))</f>
        <v/>
      </c>
      <c r="T149" s="13">
        <f>IF($W149="","",INDEX('Eredmény'!$AV$2:$AV$201,$W149))</f>
        <v/>
      </c>
      <c r="U149" s="12">
        <f>IF($W149="","",INDEX('Eredmény'!$BI$2:$BI$201,$W149))</f>
        <v/>
      </c>
      <c r="W149">
        <f>IFERROR(MATCH(LARGE('Eredmény'!$DY$2:$DY$201,145),'Eredmény'!$DY$2:$DY$201,0),"")</f>
        <v/>
      </c>
    </row>
    <row r="150">
      <c r="A150" s="12">
        <f>IF($W150="","",INDEX('Eredmény'!$AO$2:$AO$201,$W150))</f>
        <v/>
      </c>
      <c r="B150" s="13">
        <f>IF($W150="","",INDEX('Eredmény'!$A$2:$A$201,$W150))</f>
        <v/>
      </c>
      <c r="C150" s="14">
        <f>IF($W150="","",INDEX('Eredmény'!$AM$2:$AM$201,$W150))</f>
        <v/>
      </c>
      <c r="D150" s="14">
        <f>IF($W150="","",INDEX('Eredmény'!$AN$2:$AN$201,$W150))</f>
        <v/>
      </c>
      <c r="E150" s="12">
        <f>IF($W150="","",INDEX('Eredmény'!$AQ$2:$AQ$201,$W150))</f>
        <v/>
      </c>
      <c r="F150" s="13">
        <f>IF($W150="","",INDEX('Eredmény'!$AR$2:$AR$201,$W150))</f>
        <v/>
      </c>
      <c r="G150" s="13">
        <f>IF($W150="","",INDEX('Eredmény'!$AS$2:$AS$201,$W150))</f>
        <v/>
      </c>
      <c r="H150" s="14">
        <f>IF($W150="","",INDEX('Eredmény'!$AI$2:$AI$201,$W150))</f>
        <v/>
      </c>
      <c r="I150" s="14">
        <f>IF($W150="","",INDEX('Eredmény'!$AJ$2:$AJ$201,$W150))</f>
        <v/>
      </c>
      <c r="J150" s="14">
        <f>IF($W150="","",INDEX('Eredmény'!$AK$2:$AK$201,$W150))</f>
        <v/>
      </c>
      <c r="K150" s="14">
        <f>IF($W150="","",INDEX('Eredmény'!$AL$2:$AL$201,$W150))</f>
        <v/>
      </c>
      <c r="L150" s="15">
        <f>IF($W150="","",INDEX('Eredmény'!$AZ$2:$AZ$201,$W150))</f>
        <v/>
      </c>
      <c r="M150" s="15">
        <f>IF($W150="","",INDEX('Eredmény'!$BB$2:$BB$201,$W150))</f>
        <v/>
      </c>
      <c r="N150" s="15">
        <f>IF($W150="","",INDEX('Eredmény'!$BC$2:$BC$201,$W150))</f>
        <v/>
      </c>
      <c r="O150" s="16">
        <f>IF($W150="","",INDEX('Eredmény'!$BD$2:$BD$201,$W150))</f>
        <v/>
      </c>
      <c r="P150" s="13">
        <f>IF($W150="","",INDEX('Eredmény'!$BE$2:$BE$201,$W150))</f>
        <v/>
      </c>
      <c r="Q150" s="15">
        <f>IF($W150="","",INDEX('Eredmény'!$BF$2:$BF$201,$W150))</f>
        <v/>
      </c>
      <c r="R150" s="17">
        <f>IF($W150="","",INDEX('Eredmény'!$BG$2:$BG$201,$W150))</f>
        <v/>
      </c>
      <c r="S150" s="13">
        <f>IF($W150="","",INDEX('Eredmény'!$AT$2:$AT$201,$W150))</f>
        <v/>
      </c>
      <c r="T150" s="13">
        <f>IF($W150="","",INDEX('Eredmény'!$AV$2:$AV$201,$W150))</f>
        <v/>
      </c>
      <c r="U150" s="12">
        <f>IF($W150="","",INDEX('Eredmény'!$BI$2:$BI$201,$W150))</f>
        <v/>
      </c>
      <c r="W150">
        <f>IFERROR(MATCH(LARGE('Eredmény'!$DY$2:$DY$201,146),'Eredmény'!$DY$2:$DY$201,0),"")</f>
        <v/>
      </c>
    </row>
    <row r="151">
      <c r="A151" s="12">
        <f>IF($W151="","",INDEX('Eredmény'!$AO$2:$AO$201,$W151))</f>
        <v/>
      </c>
      <c r="B151" s="13">
        <f>IF($W151="","",INDEX('Eredmény'!$A$2:$A$201,$W151))</f>
        <v/>
      </c>
      <c r="C151" s="14">
        <f>IF($W151="","",INDEX('Eredmény'!$AM$2:$AM$201,$W151))</f>
        <v/>
      </c>
      <c r="D151" s="14">
        <f>IF($W151="","",INDEX('Eredmény'!$AN$2:$AN$201,$W151))</f>
        <v/>
      </c>
      <c r="E151" s="12">
        <f>IF($W151="","",INDEX('Eredmény'!$AQ$2:$AQ$201,$W151))</f>
        <v/>
      </c>
      <c r="F151" s="13">
        <f>IF($W151="","",INDEX('Eredmény'!$AR$2:$AR$201,$W151))</f>
        <v/>
      </c>
      <c r="G151" s="13">
        <f>IF($W151="","",INDEX('Eredmény'!$AS$2:$AS$201,$W151))</f>
        <v/>
      </c>
      <c r="H151" s="14">
        <f>IF($W151="","",INDEX('Eredmény'!$AI$2:$AI$201,$W151))</f>
        <v/>
      </c>
      <c r="I151" s="14">
        <f>IF($W151="","",INDEX('Eredmény'!$AJ$2:$AJ$201,$W151))</f>
        <v/>
      </c>
      <c r="J151" s="14">
        <f>IF($W151="","",INDEX('Eredmény'!$AK$2:$AK$201,$W151))</f>
        <v/>
      </c>
      <c r="K151" s="14">
        <f>IF($W151="","",INDEX('Eredmény'!$AL$2:$AL$201,$W151))</f>
        <v/>
      </c>
      <c r="L151" s="15">
        <f>IF($W151="","",INDEX('Eredmény'!$AZ$2:$AZ$201,$W151))</f>
        <v/>
      </c>
      <c r="M151" s="15">
        <f>IF($W151="","",INDEX('Eredmény'!$BB$2:$BB$201,$W151))</f>
        <v/>
      </c>
      <c r="N151" s="15">
        <f>IF($W151="","",INDEX('Eredmény'!$BC$2:$BC$201,$W151))</f>
        <v/>
      </c>
      <c r="O151" s="16">
        <f>IF($W151="","",INDEX('Eredmény'!$BD$2:$BD$201,$W151))</f>
        <v/>
      </c>
      <c r="P151" s="13">
        <f>IF($W151="","",INDEX('Eredmény'!$BE$2:$BE$201,$W151))</f>
        <v/>
      </c>
      <c r="Q151" s="15">
        <f>IF($W151="","",INDEX('Eredmény'!$BF$2:$BF$201,$W151))</f>
        <v/>
      </c>
      <c r="R151" s="17">
        <f>IF($W151="","",INDEX('Eredmény'!$BG$2:$BG$201,$W151))</f>
        <v/>
      </c>
      <c r="S151" s="13">
        <f>IF($W151="","",INDEX('Eredmény'!$AT$2:$AT$201,$W151))</f>
        <v/>
      </c>
      <c r="T151" s="13">
        <f>IF($W151="","",INDEX('Eredmény'!$AV$2:$AV$201,$W151))</f>
        <v/>
      </c>
      <c r="U151" s="12">
        <f>IF($W151="","",INDEX('Eredmény'!$BI$2:$BI$201,$W151))</f>
        <v/>
      </c>
      <c r="W151">
        <f>IFERROR(MATCH(LARGE('Eredmény'!$DY$2:$DY$201,147),'Eredmény'!$DY$2:$DY$201,0),"")</f>
        <v/>
      </c>
    </row>
    <row r="152">
      <c r="A152" s="12">
        <f>IF($W152="","",INDEX('Eredmény'!$AO$2:$AO$201,$W152))</f>
        <v/>
      </c>
      <c r="B152" s="13">
        <f>IF($W152="","",INDEX('Eredmény'!$A$2:$A$201,$W152))</f>
        <v/>
      </c>
      <c r="C152" s="14">
        <f>IF($W152="","",INDEX('Eredmény'!$AM$2:$AM$201,$W152))</f>
        <v/>
      </c>
      <c r="D152" s="14">
        <f>IF($W152="","",INDEX('Eredmény'!$AN$2:$AN$201,$W152))</f>
        <v/>
      </c>
      <c r="E152" s="12">
        <f>IF($W152="","",INDEX('Eredmény'!$AQ$2:$AQ$201,$W152))</f>
        <v/>
      </c>
      <c r="F152" s="13">
        <f>IF($W152="","",INDEX('Eredmény'!$AR$2:$AR$201,$W152))</f>
        <v/>
      </c>
      <c r="G152" s="13">
        <f>IF($W152="","",INDEX('Eredmény'!$AS$2:$AS$201,$W152))</f>
        <v/>
      </c>
      <c r="H152" s="14">
        <f>IF($W152="","",INDEX('Eredmény'!$AI$2:$AI$201,$W152))</f>
        <v/>
      </c>
      <c r="I152" s="14">
        <f>IF($W152="","",INDEX('Eredmény'!$AJ$2:$AJ$201,$W152))</f>
        <v/>
      </c>
      <c r="J152" s="14">
        <f>IF($W152="","",INDEX('Eredmény'!$AK$2:$AK$201,$W152))</f>
        <v/>
      </c>
      <c r="K152" s="14">
        <f>IF($W152="","",INDEX('Eredmény'!$AL$2:$AL$201,$W152))</f>
        <v/>
      </c>
      <c r="L152" s="15">
        <f>IF($W152="","",INDEX('Eredmény'!$AZ$2:$AZ$201,$W152))</f>
        <v/>
      </c>
      <c r="M152" s="15">
        <f>IF($W152="","",INDEX('Eredmény'!$BB$2:$BB$201,$W152))</f>
        <v/>
      </c>
      <c r="N152" s="15">
        <f>IF($W152="","",INDEX('Eredmény'!$BC$2:$BC$201,$W152))</f>
        <v/>
      </c>
      <c r="O152" s="16">
        <f>IF($W152="","",INDEX('Eredmény'!$BD$2:$BD$201,$W152))</f>
        <v/>
      </c>
      <c r="P152" s="13">
        <f>IF($W152="","",INDEX('Eredmény'!$BE$2:$BE$201,$W152))</f>
        <v/>
      </c>
      <c r="Q152" s="15">
        <f>IF($W152="","",INDEX('Eredmény'!$BF$2:$BF$201,$W152))</f>
        <v/>
      </c>
      <c r="R152" s="17">
        <f>IF($W152="","",INDEX('Eredmény'!$BG$2:$BG$201,$W152))</f>
        <v/>
      </c>
      <c r="S152" s="13">
        <f>IF($W152="","",INDEX('Eredmény'!$AT$2:$AT$201,$W152))</f>
        <v/>
      </c>
      <c r="T152" s="13">
        <f>IF($W152="","",INDEX('Eredmény'!$AV$2:$AV$201,$W152))</f>
        <v/>
      </c>
      <c r="U152" s="12">
        <f>IF($W152="","",INDEX('Eredmény'!$BI$2:$BI$201,$W152))</f>
        <v/>
      </c>
      <c r="W152">
        <f>IFERROR(MATCH(LARGE('Eredmény'!$DY$2:$DY$201,148),'Eredmény'!$DY$2:$DY$201,0),"")</f>
        <v/>
      </c>
    </row>
    <row r="153">
      <c r="A153" s="12">
        <f>IF($W153="","",INDEX('Eredmény'!$AO$2:$AO$201,$W153))</f>
        <v/>
      </c>
      <c r="B153" s="13">
        <f>IF($W153="","",INDEX('Eredmény'!$A$2:$A$201,$W153))</f>
        <v/>
      </c>
      <c r="C153" s="14">
        <f>IF($W153="","",INDEX('Eredmény'!$AM$2:$AM$201,$W153))</f>
        <v/>
      </c>
      <c r="D153" s="14">
        <f>IF($W153="","",INDEX('Eredmény'!$AN$2:$AN$201,$W153))</f>
        <v/>
      </c>
      <c r="E153" s="12">
        <f>IF($W153="","",INDEX('Eredmény'!$AQ$2:$AQ$201,$W153))</f>
        <v/>
      </c>
      <c r="F153" s="13">
        <f>IF($W153="","",INDEX('Eredmény'!$AR$2:$AR$201,$W153))</f>
        <v/>
      </c>
      <c r="G153" s="13">
        <f>IF($W153="","",INDEX('Eredmény'!$AS$2:$AS$201,$W153))</f>
        <v/>
      </c>
      <c r="H153" s="14">
        <f>IF($W153="","",INDEX('Eredmény'!$AI$2:$AI$201,$W153))</f>
        <v/>
      </c>
      <c r="I153" s="14">
        <f>IF($W153="","",INDEX('Eredmény'!$AJ$2:$AJ$201,$W153))</f>
        <v/>
      </c>
      <c r="J153" s="14">
        <f>IF($W153="","",INDEX('Eredmény'!$AK$2:$AK$201,$W153))</f>
        <v/>
      </c>
      <c r="K153" s="14">
        <f>IF($W153="","",INDEX('Eredmény'!$AL$2:$AL$201,$W153))</f>
        <v/>
      </c>
      <c r="L153" s="15">
        <f>IF($W153="","",INDEX('Eredmény'!$AZ$2:$AZ$201,$W153))</f>
        <v/>
      </c>
      <c r="M153" s="15">
        <f>IF($W153="","",INDEX('Eredmény'!$BB$2:$BB$201,$W153))</f>
        <v/>
      </c>
      <c r="N153" s="15">
        <f>IF($W153="","",INDEX('Eredmény'!$BC$2:$BC$201,$W153))</f>
        <v/>
      </c>
      <c r="O153" s="16">
        <f>IF($W153="","",INDEX('Eredmény'!$BD$2:$BD$201,$W153))</f>
        <v/>
      </c>
      <c r="P153" s="13">
        <f>IF($W153="","",INDEX('Eredmény'!$BE$2:$BE$201,$W153))</f>
        <v/>
      </c>
      <c r="Q153" s="15">
        <f>IF($W153="","",INDEX('Eredmény'!$BF$2:$BF$201,$W153))</f>
        <v/>
      </c>
      <c r="R153" s="17">
        <f>IF($W153="","",INDEX('Eredmény'!$BG$2:$BG$201,$W153))</f>
        <v/>
      </c>
      <c r="S153" s="13">
        <f>IF($W153="","",INDEX('Eredmény'!$AT$2:$AT$201,$W153))</f>
        <v/>
      </c>
      <c r="T153" s="13">
        <f>IF($W153="","",INDEX('Eredmény'!$AV$2:$AV$201,$W153))</f>
        <v/>
      </c>
      <c r="U153" s="12">
        <f>IF($W153="","",INDEX('Eredmény'!$BI$2:$BI$201,$W153))</f>
        <v/>
      </c>
      <c r="W153">
        <f>IFERROR(MATCH(LARGE('Eredmény'!$DY$2:$DY$201,149),'Eredmény'!$DY$2:$DY$201,0),"")</f>
        <v/>
      </c>
    </row>
    <row r="154">
      <c r="A154" s="12">
        <f>IF($W154="","",INDEX('Eredmény'!$AO$2:$AO$201,$W154))</f>
        <v/>
      </c>
      <c r="B154" s="13">
        <f>IF($W154="","",INDEX('Eredmény'!$A$2:$A$201,$W154))</f>
        <v/>
      </c>
      <c r="C154" s="14">
        <f>IF($W154="","",INDEX('Eredmény'!$AM$2:$AM$201,$W154))</f>
        <v/>
      </c>
      <c r="D154" s="14">
        <f>IF($W154="","",INDEX('Eredmény'!$AN$2:$AN$201,$W154))</f>
        <v/>
      </c>
      <c r="E154" s="12">
        <f>IF($W154="","",INDEX('Eredmény'!$AQ$2:$AQ$201,$W154))</f>
        <v/>
      </c>
      <c r="F154" s="13">
        <f>IF($W154="","",INDEX('Eredmény'!$AR$2:$AR$201,$W154))</f>
        <v/>
      </c>
      <c r="G154" s="13">
        <f>IF($W154="","",INDEX('Eredmény'!$AS$2:$AS$201,$W154))</f>
        <v/>
      </c>
      <c r="H154" s="14">
        <f>IF($W154="","",INDEX('Eredmény'!$AI$2:$AI$201,$W154))</f>
        <v/>
      </c>
      <c r="I154" s="14">
        <f>IF($W154="","",INDEX('Eredmény'!$AJ$2:$AJ$201,$W154))</f>
        <v/>
      </c>
      <c r="J154" s="14">
        <f>IF($W154="","",INDEX('Eredmény'!$AK$2:$AK$201,$W154))</f>
        <v/>
      </c>
      <c r="K154" s="14">
        <f>IF($W154="","",INDEX('Eredmény'!$AL$2:$AL$201,$W154))</f>
        <v/>
      </c>
      <c r="L154" s="15">
        <f>IF($W154="","",INDEX('Eredmény'!$AZ$2:$AZ$201,$W154))</f>
        <v/>
      </c>
      <c r="M154" s="15">
        <f>IF($W154="","",INDEX('Eredmény'!$BB$2:$BB$201,$W154))</f>
        <v/>
      </c>
      <c r="N154" s="15">
        <f>IF($W154="","",INDEX('Eredmény'!$BC$2:$BC$201,$W154))</f>
        <v/>
      </c>
      <c r="O154" s="16">
        <f>IF($W154="","",INDEX('Eredmény'!$BD$2:$BD$201,$W154))</f>
        <v/>
      </c>
      <c r="P154" s="13">
        <f>IF($W154="","",INDEX('Eredmény'!$BE$2:$BE$201,$W154))</f>
        <v/>
      </c>
      <c r="Q154" s="15">
        <f>IF($W154="","",INDEX('Eredmény'!$BF$2:$BF$201,$W154))</f>
        <v/>
      </c>
      <c r="R154" s="17">
        <f>IF($W154="","",INDEX('Eredmény'!$BG$2:$BG$201,$W154))</f>
        <v/>
      </c>
      <c r="S154" s="13">
        <f>IF($W154="","",INDEX('Eredmény'!$AT$2:$AT$201,$W154))</f>
        <v/>
      </c>
      <c r="T154" s="13">
        <f>IF($W154="","",INDEX('Eredmény'!$AV$2:$AV$201,$W154))</f>
        <v/>
      </c>
      <c r="U154" s="12">
        <f>IF($W154="","",INDEX('Eredmény'!$BI$2:$BI$201,$W154))</f>
        <v/>
      </c>
      <c r="W154">
        <f>IFERROR(MATCH(LARGE('Eredmény'!$DY$2:$DY$201,150),'Eredmény'!$DY$2:$DY$201,0),"")</f>
        <v/>
      </c>
    </row>
    <row r="155">
      <c r="A155" s="12">
        <f>IF($W155="","",INDEX('Eredmény'!$AO$2:$AO$201,$W155))</f>
        <v/>
      </c>
      <c r="B155" s="13">
        <f>IF($W155="","",INDEX('Eredmény'!$A$2:$A$201,$W155))</f>
        <v/>
      </c>
      <c r="C155" s="14">
        <f>IF($W155="","",INDEX('Eredmény'!$AM$2:$AM$201,$W155))</f>
        <v/>
      </c>
      <c r="D155" s="14">
        <f>IF($W155="","",INDEX('Eredmény'!$AN$2:$AN$201,$W155))</f>
        <v/>
      </c>
      <c r="E155" s="12">
        <f>IF($W155="","",INDEX('Eredmény'!$AQ$2:$AQ$201,$W155))</f>
        <v/>
      </c>
      <c r="F155" s="13">
        <f>IF($W155="","",INDEX('Eredmény'!$AR$2:$AR$201,$W155))</f>
        <v/>
      </c>
      <c r="G155" s="13">
        <f>IF($W155="","",INDEX('Eredmény'!$AS$2:$AS$201,$W155))</f>
        <v/>
      </c>
      <c r="H155" s="14">
        <f>IF($W155="","",INDEX('Eredmény'!$AI$2:$AI$201,$W155))</f>
        <v/>
      </c>
      <c r="I155" s="14">
        <f>IF($W155="","",INDEX('Eredmény'!$AJ$2:$AJ$201,$W155))</f>
        <v/>
      </c>
      <c r="J155" s="14">
        <f>IF($W155="","",INDEX('Eredmény'!$AK$2:$AK$201,$W155))</f>
        <v/>
      </c>
      <c r="K155" s="14">
        <f>IF($W155="","",INDEX('Eredmény'!$AL$2:$AL$201,$W155))</f>
        <v/>
      </c>
      <c r="L155" s="15">
        <f>IF($W155="","",INDEX('Eredmény'!$AZ$2:$AZ$201,$W155))</f>
        <v/>
      </c>
      <c r="M155" s="15">
        <f>IF($W155="","",INDEX('Eredmény'!$BB$2:$BB$201,$W155))</f>
        <v/>
      </c>
      <c r="N155" s="15">
        <f>IF($W155="","",INDEX('Eredmény'!$BC$2:$BC$201,$W155))</f>
        <v/>
      </c>
      <c r="O155" s="16">
        <f>IF($W155="","",INDEX('Eredmény'!$BD$2:$BD$201,$W155))</f>
        <v/>
      </c>
      <c r="P155" s="13">
        <f>IF($W155="","",INDEX('Eredmény'!$BE$2:$BE$201,$W155))</f>
        <v/>
      </c>
      <c r="Q155" s="15">
        <f>IF($W155="","",INDEX('Eredmény'!$BF$2:$BF$201,$W155))</f>
        <v/>
      </c>
      <c r="R155" s="17">
        <f>IF($W155="","",INDEX('Eredmény'!$BG$2:$BG$201,$W155))</f>
        <v/>
      </c>
      <c r="S155" s="13">
        <f>IF($W155="","",INDEX('Eredmény'!$AT$2:$AT$201,$W155))</f>
        <v/>
      </c>
      <c r="T155" s="13">
        <f>IF($W155="","",INDEX('Eredmény'!$AV$2:$AV$201,$W155))</f>
        <v/>
      </c>
      <c r="U155" s="12">
        <f>IF($W155="","",INDEX('Eredmény'!$BI$2:$BI$201,$W155))</f>
        <v/>
      </c>
      <c r="W155">
        <f>IFERROR(MATCH(LARGE('Eredmény'!$DY$2:$DY$201,151),'Eredmény'!$DY$2:$DY$201,0),"")</f>
        <v/>
      </c>
    </row>
    <row r="156">
      <c r="A156" s="12">
        <f>IF($W156="","",INDEX('Eredmény'!$AO$2:$AO$201,$W156))</f>
        <v/>
      </c>
      <c r="B156" s="13">
        <f>IF($W156="","",INDEX('Eredmény'!$A$2:$A$201,$W156))</f>
        <v/>
      </c>
      <c r="C156" s="14">
        <f>IF($W156="","",INDEX('Eredmény'!$AM$2:$AM$201,$W156))</f>
        <v/>
      </c>
      <c r="D156" s="14">
        <f>IF($W156="","",INDEX('Eredmény'!$AN$2:$AN$201,$W156))</f>
        <v/>
      </c>
      <c r="E156" s="12">
        <f>IF($W156="","",INDEX('Eredmény'!$AQ$2:$AQ$201,$W156))</f>
        <v/>
      </c>
      <c r="F156" s="13">
        <f>IF($W156="","",INDEX('Eredmény'!$AR$2:$AR$201,$W156))</f>
        <v/>
      </c>
      <c r="G156" s="13">
        <f>IF($W156="","",INDEX('Eredmény'!$AS$2:$AS$201,$W156))</f>
        <v/>
      </c>
      <c r="H156" s="14">
        <f>IF($W156="","",INDEX('Eredmény'!$AI$2:$AI$201,$W156))</f>
        <v/>
      </c>
      <c r="I156" s="14">
        <f>IF($W156="","",INDEX('Eredmény'!$AJ$2:$AJ$201,$W156))</f>
        <v/>
      </c>
      <c r="J156" s="14">
        <f>IF($W156="","",INDEX('Eredmény'!$AK$2:$AK$201,$W156))</f>
        <v/>
      </c>
      <c r="K156" s="14">
        <f>IF($W156="","",INDEX('Eredmény'!$AL$2:$AL$201,$W156))</f>
        <v/>
      </c>
      <c r="L156" s="15">
        <f>IF($W156="","",INDEX('Eredmény'!$AZ$2:$AZ$201,$W156))</f>
        <v/>
      </c>
      <c r="M156" s="15">
        <f>IF($W156="","",INDEX('Eredmény'!$BB$2:$BB$201,$W156))</f>
        <v/>
      </c>
      <c r="N156" s="15">
        <f>IF($W156="","",INDEX('Eredmény'!$BC$2:$BC$201,$W156))</f>
        <v/>
      </c>
      <c r="O156" s="16">
        <f>IF($W156="","",INDEX('Eredmény'!$BD$2:$BD$201,$W156))</f>
        <v/>
      </c>
      <c r="P156" s="13">
        <f>IF($W156="","",INDEX('Eredmény'!$BE$2:$BE$201,$W156))</f>
        <v/>
      </c>
      <c r="Q156" s="15">
        <f>IF($W156="","",INDEX('Eredmény'!$BF$2:$BF$201,$W156))</f>
        <v/>
      </c>
      <c r="R156" s="17">
        <f>IF($W156="","",INDEX('Eredmény'!$BG$2:$BG$201,$W156))</f>
        <v/>
      </c>
      <c r="S156" s="13">
        <f>IF($W156="","",INDEX('Eredmény'!$AT$2:$AT$201,$W156))</f>
        <v/>
      </c>
      <c r="T156" s="13">
        <f>IF($W156="","",INDEX('Eredmény'!$AV$2:$AV$201,$W156))</f>
        <v/>
      </c>
      <c r="U156" s="12">
        <f>IF($W156="","",INDEX('Eredmény'!$BI$2:$BI$201,$W156))</f>
        <v/>
      </c>
      <c r="W156">
        <f>IFERROR(MATCH(LARGE('Eredmény'!$DY$2:$DY$201,152),'Eredmény'!$DY$2:$DY$201,0),"")</f>
        <v/>
      </c>
    </row>
    <row r="157">
      <c r="A157" s="12">
        <f>IF($W157="","",INDEX('Eredmény'!$AO$2:$AO$201,$W157))</f>
        <v/>
      </c>
      <c r="B157" s="13">
        <f>IF($W157="","",INDEX('Eredmény'!$A$2:$A$201,$W157))</f>
        <v/>
      </c>
      <c r="C157" s="14">
        <f>IF($W157="","",INDEX('Eredmény'!$AM$2:$AM$201,$W157))</f>
        <v/>
      </c>
      <c r="D157" s="14">
        <f>IF($W157="","",INDEX('Eredmény'!$AN$2:$AN$201,$W157))</f>
        <v/>
      </c>
      <c r="E157" s="12">
        <f>IF($W157="","",INDEX('Eredmény'!$AQ$2:$AQ$201,$W157))</f>
        <v/>
      </c>
      <c r="F157" s="13">
        <f>IF($W157="","",INDEX('Eredmény'!$AR$2:$AR$201,$W157))</f>
        <v/>
      </c>
      <c r="G157" s="13">
        <f>IF($W157="","",INDEX('Eredmény'!$AS$2:$AS$201,$W157))</f>
        <v/>
      </c>
      <c r="H157" s="14">
        <f>IF($W157="","",INDEX('Eredmény'!$AI$2:$AI$201,$W157))</f>
        <v/>
      </c>
      <c r="I157" s="14">
        <f>IF($W157="","",INDEX('Eredmény'!$AJ$2:$AJ$201,$W157))</f>
        <v/>
      </c>
      <c r="J157" s="14">
        <f>IF($W157="","",INDEX('Eredmény'!$AK$2:$AK$201,$W157))</f>
        <v/>
      </c>
      <c r="K157" s="14">
        <f>IF($W157="","",INDEX('Eredmény'!$AL$2:$AL$201,$W157))</f>
        <v/>
      </c>
      <c r="L157" s="15">
        <f>IF($W157="","",INDEX('Eredmény'!$AZ$2:$AZ$201,$W157))</f>
        <v/>
      </c>
      <c r="M157" s="15">
        <f>IF($W157="","",INDEX('Eredmény'!$BB$2:$BB$201,$W157))</f>
        <v/>
      </c>
      <c r="N157" s="15">
        <f>IF($W157="","",INDEX('Eredmény'!$BC$2:$BC$201,$W157))</f>
        <v/>
      </c>
      <c r="O157" s="16">
        <f>IF($W157="","",INDEX('Eredmény'!$BD$2:$BD$201,$W157))</f>
        <v/>
      </c>
      <c r="P157" s="13">
        <f>IF($W157="","",INDEX('Eredmény'!$BE$2:$BE$201,$W157))</f>
        <v/>
      </c>
      <c r="Q157" s="15">
        <f>IF($W157="","",INDEX('Eredmény'!$BF$2:$BF$201,$W157))</f>
        <v/>
      </c>
      <c r="R157" s="17">
        <f>IF($W157="","",INDEX('Eredmény'!$BG$2:$BG$201,$W157))</f>
        <v/>
      </c>
      <c r="S157" s="13">
        <f>IF($W157="","",INDEX('Eredmény'!$AT$2:$AT$201,$W157))</f>
        <v/>
      </c>
      <c r="T157" s="13">
        <f>IF($W157="","",INDEX('Eredmény'!$AV$2:$AV$201,$W157))</f>
        <v/>
      </c>
      <c r="U157" s="12">
        <f>IF($W157="","",INDEX('Eredmény'!$BI$2:$BI$201,$W157))</f>
        <v/>
      </c>
      <c r="W157">
        <f>IFERROR(MATCH(LARGE('Eredmény'!$DY$2:$DY$201,153),'Eredmény'!$DY$2:$DY$201,0),"")</f>
        <v/>
      </c>
    </row>
    <row r="158">
      <c r="A158" s="12">
        <f>IF($W158="","",INDEX('Eredmény'!$AO$2:$AO$201,$W158))</f>
        <v/>
      </c>
      <c r="B158" s="13">
        <f>IF($W158="","",INDEX('Eredmény'!$A$2:$A$201,$W158))</f>
        <v/>
      </c>
      <c r="C158" s="14">
        <f>IF($W158="","",INDEX('Eredmény'!$AM$2:$AM$201,$W158))</f>
        <v/>
      </c>
      <c r="D158" s="14">
        <f>IF($W158="","",INDEX('Eredmény'!$AN$2:$AN$201,$W158))</f>
        <v/>
      </c>
      <c r="E158" s="12">
        <f>IF($W158="","",INDEX('Eredmény'!$AQ$2:$AQ$201,$W158))</f>
        <v/>
      </c>
      <c r="F158" s="13">
        <f>IF($W158="","",INDEX('Eredmény'!$AR$2:$AR$201,$W158))</f>
        <v/>
      </c>
      <c r="G158" s="13">
        <f>IF($W158="","",INDEX('Eredmény'!$AS$2:$AS$201,$W158))</f>
        <v/>
      </c>
      <c r="H158" s="14">
        <f>IF($W158="","",INDEX('Eredmény'!$AI$2:$AI$201,$W158))</f>
        <v/>
      </c>
      <c r="I158" s="14">
        <f>IF($W158="","",INDEX('Eredmény'!$AJ$2:$AJ$201,$W158))</f>
        <v/>
      </c>
      <c r="J158" s="14">
        <f>IF($W158="","",INDEX('Eredmény'!$AK$2:$AK$201,$W158))</f>
        <v/>
      </c>
      <c r="K158" s="14">
        <f>IF($W158="","",INDEX('Eredmény'!$AL$2:$AL$201,$W158))</f>
        <v/>
      </c>
      <c r="L158" s="15">
        <f>IF($W158="","",INDEX('Eredmény'!$AZ$2:$AZ$201,$W158))</f>
        <v/>
      </c>
      <c r="M158" s="15">
        <f>IF($W158="","",INDEX('Eredmény'!$BB$2:$BB$201,$W158))</f>
        <v/>
      </c>
      <c r="N158" s="15">
        <f>IF($W158="","",INDEX('Eredmény'!$BC$2:$BC$201,$W158))</f>
        <v/>
      </c>
      <c r="O158" s="16">
        <f>IF($W158="","",INDEX('Eredmény'!$BD$2:$BD$201,$W158))</f>
        <v/>
      </c>
      <c r="P158" s="13">
        <f>IF($W158="","",INDEX('Eredmény'!$BE$2:$BE$201,$W158))</f>
        <v/>
      </c>
      <c r="Q158" s="15">
        <f>IF($W158="","",INDEX('Eredmény'!$BF$2:$BF$201,$W158))</f>
        <v/>
      </c>
      <c r="R158" s="17">
        <f>IF($W158="","",INDEX('Eredmény'!$BG$2:$BG$201,$W158))</f>
        <v/>
      </c>
      <c r="S158" s="13">
        <f>IF($W158="","",INDEX('Eredmény'!$AT$2:$AT$201,$W158))</f>
        <v/>
      </c>
      <c r="T158" s="13">
        <f>IF($W158="","",INDEX('Eredmény'!$AV$2:$AV$201,$W158))</f>
        <v/>
      </c>
      <c r="U158" s="12">
        <f>IF($W158="","",INDEX('Eredmény'!$BI$2:$BI$201,$W158))</f>
        <v/>
      </c>
      <c r="W158">
        <f>IFERROR(MATCH(LARGE('Eredmény'!$DY$2:$DY$201,154),'Eredmény'!$DY$2:$DY$201,0),"")</f>
        <v/>
      </c>
    </row>
    <row r="159">
      <c r="A159" s="12">
        <f>IF($W159="","",INDEX('Eredmény'!$AO$2:$AO$201,$W159))</f>
        <v/>
      </c>
      <c r="B159" s="13">
        <f>IF($W159="","",INDEX('Eredmény'!$A$2:$A$201,$W159))</f>
        <v/>
      </c>
      <c r="C159" s="14">
        <f>IF($W159="","",INDEX('Eredmény'!$AM$2:$AM$201,$W159))</f>
        <v/>
      </c>
      <c r="D159" s="14">
        <f>IF($W159="","",INDEX('Eredmény'!$AN$2:$AN$201,$W159))</f>
        <v/>
      </c>
      <c r="E159" s="12">
        <f>IF($W159="","",INDEX('Eredmény'!$AQ$2:$AQ$201,$W159))</f>
        <v/>
      </c>
      <c r="F159" s="13">
        <f>IF($W159="","",INDEX('Eredmény'!$AR$2:$AR$201,$W159))</f>
        <v/>
      </c>
      <c r="G159" s="13">
        <f>IF($W159="","",INDEX('Eredmény'!$AS$2:$AS$201,$W159))</f>
        <v/>
      </c>
      <c r="H159" s="14">
        <f>IF($W159="","",INDEX('Eredmény'!$AI$2:$AI$201,$W159))</f>
        <v/>
      </c>
      <c r="I159" s="14">
        <f>IF($W159="","",INDEX('Eredmény'!$AJ$2:$AJ$201,$W159))</f>
        <v/>
      </c>
      <c r="J159" s="14">
        <f>IF($W159="","",INDEX('Eredmény'!$AK$2:$AK$201,$W159))</f>
        <v/>
      </c>
      <c r="K159" s="14">
        <f>IF($W159="","",INDEX('Eredmény'!$AL$2:$AL$201,$W159))</f>
        <v/>
      </c>
      <c r="L159" s="15">
        <f>IF($W159="","",INDEX('Eredmény'!$AZ$2:$AZ$201,$W159))</f>
        <v/>
      </c>
      <c r="M159" s="15">
        <f>IF($W159="","",INDEX('Eredmény'!$BB$2:$BB$201,$W159))</f>
        <v/>
      </c>
      <c r="N159" s="15">
        <f>IF($W159="","",INDEX('Eredmény'!$BC$2:$BC$201,$W159))</f>
        <v/>
      </c>
      <c r="O159" s="16">
        <f>IF($W159="","",INDEX('Eredmény'!$BD$2:$BD$201,$W159))</f>
        <v/>
      </c>
      <c r="P159" s="13">
        <f>IF($W159="","",INDEX('Eredmény'!$BE$2:$BE$201,$W159))</f>
        <v/>
      </c>
      <c r="Q159" s="15">
        <f>IF($W159="","",INDEX('Eredmény'!$BF$2:$BF$201,$W159))</f>
        <v/>
      </c>
      <c r="R159" s="17">
        <f>IF($W159="","",INDEX('Eredmény'!$BG$2:$BG$201,$W159))</f>
        <v/>
      </c>
      <c r="S159" s="13">
        <f>IF($W159="","",INDEX('Eredmény'!$AT$2:$AT$201,$W159))</f>
        <v/>
      </c>
      <c r="T159" s="13">
        <f>IF($W159="","",INDEX('Eredmény'!$AV$2:$AV$201,$W159))</f>
        <v/>
      </c>
      <c r="U159" s="12">
        <f>IF($W159="","",INDEX('Eredmény'!$BI$2:$BI$201,$W159))</f>
        <v/>
      </c>
      <c r="W159">
        <f>IFERROR(MATCH(LARGE('Eredmény'!$DY$2:$DY$201,155),'Eredmény'!$DY$2:$DY$201,0),"")</f>
        <v/>
      </c>
    </row>
    <row r="160">
      <c r="A160" s="12">
        <f>IF($W160="","",INDEX('Eredmény'!$AO$2:$AO$201,$W160))</f>
        <v/>
      </c>
      <c r="B160" s="13">
        <f>IF($W160="","",INDEX('Eredmény'!$A$2:$A$201,$W160))</f>
        <v/>
      </c>
      <c r="C160" s="14">
        <f>IF($W160="","",INDEX('Eredmény'!$AM$2:$AM$201,$W160))</f>
        <v/>
      </c>
      <c r="D160" s="14">
        <f>IF($W160="","",INDEX('Eredmény'!$AN$2:$AN$201,$W160))</f>
        <v/>
      </c>
      <c r="E160" s="12">
        <f>IF($W160="","",INDEX('Eredmény'!$AQ$2:$AQ$201,$W160))</f>
        <v/>
      </c>
      <c r="F160" s="13">
        <f>IF($W160="","",INDEX('Eredmény'!$AR$2:$AR$201,$W160))</f>
        <v/>
      </c>
      <c r="G160" s="13">
        <f>IF($W160="","",INDEX('Eredmény'!$AS$2:$AS$201,$W160))</f>
        <v/>
      </c>
      <c r="H160" s="14">
        <f>IF($W160="","",INDEX('Eredmény'!$AI$2:$AI$201,$W160))</f>
        <v/>
      </c>
      <c r="I160" s="14">
        <f>IF($W160="","",INDEX('Eredmény'!$AJ$2:$AJ$201,$W160))</f>
        <v/>
      </c>
      <c r="J160" s="14">
        <f>IF($W160="","",INDEX('Eredmény'!$AK$2:$AK$201,$W160))</f>
        <v/>
      </c>
      <c r="K160" s="14">
        <f>IF($W160="","",INDEX('Eredmény'!$AL$2:$AL$201,$W160))</f>
        <v/>
      </c>
      <c r="L160" s="15">
        <f>IF($W160="","",INDEX('Eredmény'!$AZ$2:$AZ$201,$W160))</f>
        <v/>
      </c>
      <c r="M160" s="15">
        <f>IF($W160="","",INDEX('Eredmény'!$BB$2:$BB$201,$W160))</f>
        <v/>
      </c>
      <c r="N160" s="15">
        <f>IF($W160="","",INDEX('Eredmény'!$BC$2:$BC$201,$W160))</f>
        <v/>
      </c>
      <c r="O160" s="16">
        <f>IF($W160="","",INDEX('Eredmény'!$BD$2:$BD$201,$W160))</f>
        <v/>
      </c>
      <c r="P160" s="13">
        <f>IF($W160="","",INDEX('Eredmény'!$BE$2:$BE$201,$W160))</f>
        <v/>
      </c>
      <c r="Q160" s="15">
        <f>IF($W160="","",INDEX('Eredmény'!$BF$2:$BF$201,$W160))</f>
        <v/>
      </c>
      <c r="R160" s="17">
        <f>IF($W160="","",INDEX('Eredmény'!$BG$2:$BG$201,$W160))</f>
        <v/>
      </c>
      <c r="S160" s="13">
        <f>IF($W160="","",INDEX('Eredmény'!$AT$2:$AT$201,$W160))</f>
        <v/>
      </c>
      <c r="T160" s="13">
        <f>IF($W160="","",INDEX('Eredmény'!$AV$2:$AV$201,$W160))</f>
        <v/>
      </c>
      <c r="U160" s="12">
        <f>IF($W160="","",INDEX('Eredmény'!$BI$2:$BI$201,$W160))</f>
        <v/>
      </c>
      <c r="W160">
        <f>IFERROR(MATCH(LARGE('Eredmény'!$DY$2:$DY$201,156),'Eredmény'!$DY$2:$DY$201,0),"")</f>
        <v/>
      </c>
    </row>
    <row r="161">
      <c r="A161" s="12">
        <f>IF($W161="","",INDEX('Eredmény'!$AO$2:$AO$201,$W161))</f>
        <v/>
      </c>
      <c r="B161" s="13">
        <f>IF($W161="","",INDEX('Eredmény'!$A$2:$A$201,$W161))</f>
        <v/>
      </c>
      <c r="C161" s="14">
        <f>IF($W161="","",INDEX('Eredmény'!$AM$2:$AM$201,$W161))</f>
        <v/>
      </c>
      <c r="D161" s="14">
        <f>IF($W161="","",INDEX('Eredmény'!$AN$2:$AN$201,$W161))</f>
        <v/>
      </c>
      <c r="E161" s="12">
        <f>IF($W161="","",INDEX('Eredmény'!$AQ$2:$AQ$201,$W161))</f>
        <v/>
      </c>
      <c r="F161" s="13">
        <f>IF($W161="","",INDEX('Eredmény'!$AR$2:$AR$201,$W161))</f>
        <v/>
      </c>
      <c r="G161" s="13">
        <f>IF($W161="","",INDEX('Eredmény'!$AS$2:$AS$201,$W161))</f>
        <v/>
      </c>
      <c r="H161" s="14">
        <f>IF($W161="","",INDEX('Eredmény'!$AI$2:$AI$201,$W161))</f>
        <v/>
      </c>
      <c r="I161" s="14">
        <f>IF($W161="","",INDEX('Eredmény'!$AJ$2:$AJ$201,$W161))</f>
        <v/>
      </c>
      <c r="J161" s="14">
        <f>IF($W161="","",INDEX('Eredmény'!$AK$2:$AK$201,$W161))</f>
        <v/>
      </c>
      <c r="K161" s="14">
        <f>IF($W161="","",INDEX('Eredmény'!$AL$2:$AL$201,$W161))</f>
        <v/>
      </c>
      <c r="L161" s="15">
        <f>IF($W161="","",INDEX('Eredmény'!$AZ$2:$AZ$201,$W161))</f>
        <v/>
      </c>
      <c r="M161" s="15">
        <f>IF($W161="","",INDEX('Eredmény'!$BB$2:$BB$201,$W161))</f>
        <v/>
      </c>
      <c r="N161" s="15">
        <f>IF($W161="","",INDEX('Eredmény'!$BC$2:$BC$201,$W161))</f>
        <v/>
      </c>
      <c r="O161" s="16">
        <f>IF($W161="","",INDEX('Eredmény'!$BD$2:$BD$201,$W161))</f>
        <v/>
      </c>
      <c r="P161" s="13">
        <f>IF($W161="","",INDEX('Eredmény'!$BE$2:$BE$201,$W161))</f>
        <v/>
      </c>
      <c r="Q161" s="15">
        <f>IF($W161="","",INDEX('Eredmény'!$BF$2:$BF$201,$W161))</f>
        <v/>
      </c>
      <c r="R161" s="17">
        <f>IF($W161="","",INDEX('Eredmény'!$BG$2:$BG$201,$W161))</f>
        <v/>
      </c>
      <c r="S161" s="13">
        <f>IF($W161="","",INDEX('Eredmény'!$AT$2:$AT$201,$W161))</f>
        <v/>
      </c>
      <c r="T161" s="13">
        <f>IF($W161="","",INDEX('Eredmény'!$AV$2:$AV$201,$W161))</f>
        <v/>
      </c>
      <c r="U161" s="12">
        <f>IF($W161="","",INDEX('Eredmény'!$BI$2:$BI$201,$W161))</f>
        <v/>
      </c>
      <c r="W161">
        <f>IFERROR(MATCH(LARGE('Eredmény'!$DY$2:$DY$201,157),'Eredmény'!$DY$2:$DY$201,0),"")</f>
        <v/>
      </c>
    </row>
    <row r="162">
      <c r="A162" s="12">
        <f>IF($W162="","",INDEX('Eredmény'!$AO$2:$AO$201,$W162))</f>
        <v/>
      </c>
      <c r="B162" s="13">
        <f>IF($W162="","",INDEX('Eredmény'!$A$2:$A$201,$W162))</f>
        <v/>
      </c>
      <c r="C162" s="14">
        <f>IF($W162="","",INDEX('Eredmény'!$AM$2:$AM$201,$W162))</f>
        <v/>
      </c>
      <c r="D162" s="14">
        <f>IF($W162="","",INDEX('Eredmény'!$AN$2:$AN$201,$W162))</f>
        <v/>
      </c>
      <c r="E162" s="12">
        <f>IF($W162="","",INDEX('Eredmény'!$AQ$2:$AQ$201,$W162))</f>
        <v/>
      </c>
      <c r="F162" s="13">
        <f>IF($W162="","",INDEX('Eredmény'!$AR$2:$AR$201,$W162))</f>
        <v/>
      </c>
      <c r="G162" s="13">
        <f>IF($W162="","",INDEX('Eredmény'!$AS$2:$AS$201,$W162))</f>
        <v/>
      </c>
      <c r="H162" s="14">
        <f>IF($W162="","",INDEX('Eredmény'!$AI$2:$AI$201,$W162))</f>
        <v/>
      </c>
      <c r="I162" s="14">
        <f>IF($W162="","",INDEX('Eredmény'!$AJ$2:$AJ$201,$W162))</f>
        <v/>
      </c>
      <c r="J162" s="14">
        <f>IF($W162="","",INDEX('Eredmény'!$AK$2:$AK$201,$W162))</f>
        <v/>
      </c>
      <c r="K162" s="14">
        <f>IF($W162="","",INDEX('Eredmény'!$AL$2:$AL$201,$W162))</f>
        <v/>
      </c>
      <c r="L162" s="15">
        <f>IF($W162="","",INDEX('Eredmény'!$AZ$2:$AZ$201,$W162))</f>
        <v/>
      </c>
      <c r="M162" s="15">
        <f>IF($W162="","",INDEX('Eredmény'!$BB$2:$BB$201,$W162))</f>
        <v/>
      </c>
      <c r="N162" s="15">
        <f>IF($W162="","",INDEX('Eredmény'!$BC$2:$BC$201,$W162))</f>
        <v/>
      </c>
      <c r="O162" s="16">
        <f>IF($W162="","",INDEX('Eredmény'!$BD$2:$BD$201,$W162))</f>
        <v/>
      </c>
      <c r="P162" s="13">
        <f>IF($W162="","",INDEX('Eredmény'!$BE$2:$BE$201,$W162))</f>
        <v/>
      </c>
      <c r="Q162" s="15">
        <f>IF($W162="","",INDEX('Eredmény'!$BF$2:$BF$201,$W162))</f>
        <v/>
      </c>
      <c r="R162" s="17">
        <f>IF($W162="","",INDEX('Eredmény'!$BG$2:$BG$201,$W162))</f>
        <v/>
      </c>
      <c r="S162" s="13">
        <f>IF($W162="","",INDEX('Eredmény'!$AT$2:$AT$201,$W162))</f>
        <v/>
      </c>
      <c r="T162" s="13">
        <f>IF($W162="","",INDEX('Eredmény'!$AV$2:$AV$201,$W162))</f>
        <v/>
      </c>
      <c r="U162" s="12">
        <f>IF($W162="","",INDEX('Eredmény'!$BI$2:$BI$201,$W162))</f>
        <v/>
      </c>
      <c r="W162">
        <f>IFERROR(MATCH(LARGE('Eredmény'!$DY$2:$DY$201,158),'Eredmény'!$DY$2:$DY$201,0),"")</f>
        <v/>
      </c>
    </row>
    <row r="163">
      <c r="A163" s="12">
        <f>IF($W163="","",INDEX('Eredmény'!$AO$2:$AO$201,$W163))</f>
        <v/>
      </c>
      <c r="B163" s="13">
        <f>IF($W163="","",INDEX('Eredmény'!$A$2:$A$201,$W163))</f>
        <v/>
      </c>
      <c r="C163" s="14">
        <f>IF($W163="","",INDEX('Eredmény'!$AM$2:$AM$201,$W163))</f>
        <v/>
      </c>
      <c r="D163" s="14">
        <f>IF($W163="","",INDEX('Eredmény'!$AN$2:$AN$201,$W163))</f>
        <v/>
      </c>
      <c r="E163" s="12">
        <f>IF($W163="","",INDEX('Eredmény'!$AQ$2:$AQ$201,$W163))</f>
        <v/>
      </c>
      <c r="F163" s="13">
        <f>IF($W163="","",INDEX('Eredmény'!$AR$2:$AR$201,$W163))</f>
        <v/>
      </c>
      <c r="G163" s="13">
        <f>IF($W163="","",INDEX('Eredmény'!$AS$2:$AS$201,$W163))</f>
        <v/>
      </c>
      <c r="H163" s="14">
        <f>IF($W163="","",INDEX('Eredmény'!$AI$2:$AI$201,$W163))</f>
        <v/>
      </c>
      <c r="I163" s="14">
        <f>IF($W163="","",INDEX('Eredmény'!$AJ$2:$AJ$201,$W163))</f>
        <v/>
      </c>
      <c r="J163" s="14">
        <f>IF($W163="","",INDEX('Eredmény'!$AK$2:$AK$201,$W163))</f>
        <v/>
      </c>
      <c r="K163" s="14">
        <f>IF($W163="","",INDEX('Eredmény'!$AL$2:$AL$201,$W163))</f>
        <v/>
      </c>
      <c r="L163" s="15">
        <f>IF($W163="","",INDEX('Eredmény'!$AZ$2:$AZ$201,$W163))</f>
        <v/>
      </c>
      <c r="M163" s="15">
        <f>IF($W163="","",INDEX('Eredmény'!$BB$2:$BB$201,$W163))</f>
        <v/>
      </c>
      <c r="N163" s="15">
        <f>IF($W163="","",INDEX('Eredmény'!$BC$2:$BC$201,$W163))</f>
        <v/>
      </c>
      <c r="O163" s="16">
        <f>IF($W163="","",INDEX('Eredmény'!$BD$2:$BD$201,$W163))</f>
        <v/>
      </c>
      <c r="P163" s="13">
        <f>IF($W163="","",INDEX('Eredmény'!$BE$2:$BE$201,$W163))</f>
        <v/>
      </c>
      <c r="Q163" s="15">
        <f>IF($W163="","",INDEX('Eredmény'!$BF$2:$BF$201,$W163))</f>
        <v/>
      </c>
      <c r="R163" s="17">
        <f>IF($W163="","",INDEX('Eredmény'!$BG$2:$BG$201,$W163))</f>
        <v/>
      </c>
      <c r="S163" s="13">
        <f>IF($W163="","",INDEX('Eredmény'!$AT$2:$AT$201,$W163))</f>
        <v/>
      </c>
      <c r="T163" s="13">
        <f>IF($W163="","",INDEX('Eredmény'!$AV$2:$AV$201,$W163))</f>
        <v/>
      </c>
      <c r="U163" s="12">
        <f>IF($W163="","",INDEX('Eredmény'!$BI$2:$BI$201,$W163))</f>
        <v/>
      </c>
      <c r="W163">
        <f>IFERROR(MATCH(LARGE('Eredmény'!$DY$2:$DY$201,159),'Eredmény'!$DY$2:$DY$201,0),"")</f>
        <v/>
      </c>
    </row>
    <row r="164">
      <c r="A164" s="12">
        <f>IF($W164="","",INDEX('Eredmény'!$AO$2:$AO$201,$W164))</f>
        <v/>
      </c>
      <c r="B164" s="13">
        <f>IF($W164="","",INDEX('Eredmény'!$A$2:$A$201,$W164))</f>
        <v/>
      </c>
      <c r="C164" s="14">
        <f>IF($W164="","",INDEX('Eredmény'!$AM$2:$AM$201,$W164))</f>
        <v/>
      </c>
      <c r="D164" s="14">
        <f>IF($W164="","",INDEX('Eredmény'!$AN$2:$AN$201,$W164))</f>
        <v/>
      </c>
      <c r="E164" s="12">
        <f>IF($W164="","",INDEX('Eredmény'!$AQ$2:$AQ$201,$W164))</f>
        <v/>
      </c>
      <c r="F164" s="13">
        <f>IF($W164="","",INDEX('Eredmény'!$AR$2:$AR$201,$W164))</f>
        <v/>
      </c>
      <c r="G164" s="13">
        <f>IF($W164="","",INDEX('Eredmény'!$AS$2:$AS$201,$W164))</f>
        <v/>
      </c>
      <c r="H164" s="14">
        <f>IF($W164="","",INDEX('Eredmény'!$AI$2:$AI$201,$W164))</f>
        <v/>
      </c>
      <c r="I164" s="14">
        <f>IF($W164="","",INDEX('Eredmény'!$AJ$2:$AJ$201,$W164))</f>
        <v/>
      </c>
      <c r="J164" s="14">
        <f>IF($W164="","",INDEX('Eredmény'!$AK$2:$AK$201,$W164))</f>
        <v/>
      </c>
      <c r="K164" s="14">
        <f>IF($W164="","",INDEX('Eredmény'!$AL$2:$AL$201,$W164))</f>
        <v/>
      </c>
      <c r="L164" s="15">
        <f>IF($W164="","",INDEX('Eredmény'!$AZ$2:$AZ$201,$W164))</f>
        <v/>
      </c>
      <c r="M164" s="15">
        <f>IF($W164="","",INDEX('Eredmény'!$BB$2:$BB$201,$W164))</f>
        <v/>
      </c>
      <c r="N164" s="15">
        <f>IF($W164="","",INDEX('Eredmény'!$BC$2:$BC$201,$W164))</f>
        <v/>
      </c>
      <c r="O164" s="16">
        <f>IF($W164="","",INDEX('Eredmény'!$BD$2:$BD$201,$W164))</f>
        <v/>
      </c>
      <c r="P164" s="13">
        <f>IF($W164="","",INDEX('Eredmény'!$BE$2:$BE$201,$W164))</f>
        <v/>
      </c>
      <c r="Q164" s="15">
        <f>IF($W164="","",INDEX('Eredmény'!$BF$2:$BF$201,$W164))</f>
        <v/>
      </c>
      <c r="R164" s="17">
        <f>IF($W164="","",INDEX('Eredmény'!$BG$2:$BG$201,$W164))</f>
        <v/>
      </c>
      <c r="S164" s="13">
        <f>IF($W164="","",INDEX('Eredmény'!$AT$2:$AT$201,$W164))</f>
        <v/>
      </c>
      <c r="T164" s="13">
        <f>IF($W164="","",INDEX('Eredmény'!$AV$2:$AV$201,$W164))</f>
        <v/>
      </c>
      <c r="U164" s="12">
        <f>IF($W164="","",INDEX('Eredmény'!$BI$2:$BI$201,$W164))</f>
        <v/>
      </c>
      <c r="W164">
        <f>IFERROR(MATCH(LARGE('Eredmény'!$DY$2:$DY$201,160),'Eredmény'!$DY$2:$DY$201,0),"")</f>
        <v/>
      </c>
    </row>
    <row r="165">
      <c r="A165" s="12">
        <f>IF($W165="","",INDEX('Eredmény'!$AO$2:$AO$201,$W165))</f>
        <v/>
      </c>
      <c r="B165" s="13">
        <f>IF($W165="","",INDEX('Eredmény'!$A$2:$A$201,$W165))</f>
        <v/>
      </c>
      <c r="C165" s="14">
        <f>IF($W165="","",INDEX('Eredmény'!$AM$2:$AM$201,$W165))</f>
        <v/>
      </c>
      <c r="D165" s="14">
        <f>IF($W165="","",INDEX('Eredmény'!$AN$2:$AN$201,$W165))</f>
        <v/>
      </c>
      <c r="E165" s="12">
        <f>IF($W165="","",INDEX('Eredmény'!$AQ$2:$AQ$201,$W165))</f>
        <v/>
      </c>
      <c r="F165" s="13">
        <f>IF($W165="","",INDEX('Eredmény'!$AR$2:$AR$201,$W165))</f>
        <v/>
      </c>
      <c r="G165" s="13">
        <f>IF($W165="","",INDEX('Eredmény'!$AS$2:$AS$201,$W165))</f>
        <v/>
      </c>
      <c r="H165" s="14">
        <f>IF($W165="","",INDEX('Eredmény'!$AI$2:$AI$201,$W165))</f>
        <v/>
      </c>
      <c r="I165" s="14">
        <f>IF($W165="","",INDEX('Eredmény'!$AJ$2:$AJ$201,$W165))</f>
        <v/>
      </c>
      <c r="J165" s="14">
        <f>IF($W165="","",INDEX('Eredmény'!$AK$2:$AK$201,$W165))</f>
        <v/>
      </c>
      <c r="K165" s="14">
        <f>IF($W165="","",INDEX('Eredmény'!$AL$2:$AL$201,$W165))</f>
        <v/>
      </c>
      <c r="L165" s="15">
        <f>IF($W165="","",INDEX('Eredmény'!$AZ$2:$AZ$201,$W165))</f>
        <v/>
      </c>
      <c r="M165" s="15">
        <f>IF($W165="","",INDEX('Eredmény'!$BB$2:$BB$201,$W165))</f>
        <v/>
      </c>
      <c r="N165" s="15">
        <f>IF($W165="","",INDEX('Eredmény'!$BC$2:$BC$201,$W165))</f>
        <v/>
      </c>
      <c r="O165" s="16">
        <f>IF($W165="","",INDEX('Eredmény'!$BD$2:$BD$201,$W165))</f>
        <v/>
      </c>
      <c r="P165" s="13">
        <f>IF($W165="","",INDEX('Eredmény'!$BE$2:$BE$201,$W165))</f>
        <v/>
      </c>
      <c r="Q165" s="15">
        <f>IF($W165="","",INDEX('Eredmény'!$BF$2:$BF$201,$W165))</f>
        <v/>
      </c>
      <c r="R165" s="17">
        <f>IF($W165="","",INDEX('Eredmény'!$BG$2:$BG$201,$W165))</f>
        <v/>
      </c>
      <c r="S165" s="13">
        <f>IF($W165="","",INDEX('Eredmény'!$AT$2:$AT$201,$W165))</f>
        <v/>
      </c>
      <c r="T165" s="13">
        <f>IF($W165="","",INDEX('Eredmény'!$AV$2:$AV$201,$W165))</f>
        <v/>
      </c>
      <c r="U165" s="12">
        <f>IF($W165="","",INDEX('Eredmény'!$BI$2:$BI$201,$W165))</f>
        <v/>
      </c>
      <c r="W165">
        <f>IFERROR(MATCH(LARGE('Eredmény'!$DY$2:$DY$201,161),'Eredmény'!$DY$2:$DY$201,0),"")</f>
        <v/>
      </c>
    </row>
    <row r="166">
      <c r="A166" s="12">
        <f>IF($W166="","",INDEX('Eredmény'!$AO$2:$AO$201,$W166))</f>
        <v/>
      </c>
      <c r="B166" s="13">
        <f>IF($W166="","",INDEX('Eredmény'!$A$2:$A$201,$W166))</f>
        <v/>
      </c>
      <c r="C166" s="14">
        <f>IF($W166="","",INDEX('Eredmény'!$AM$2:$AM$201,$W166))</f>
        <v/>
      </c>
      <c r="D166" s="14">
        <f>IF($W166="","",INDEX('Eredmény'!$AN$2:$AN$201,$W166))</f>
        <v/>
      </c>
      <c r="E166" s="12">
        <f>IF($W166="","",INDEX('Eredmény'!$AQ$2:$AQ$201,$W166))</f>
        <v/>
      </c>
      <c r="F166" s="13">
        <f>IF($W166="","",INDEX('Eredmény'!$AR$2:$AR$201,$W166))</f>
        <v/>
      </c>
      <c r="G166" s="13">
        <f>IF($W166="","",INDEX('Eredmény'!$AS$2:$AS$201,$W166))</f>
        <v/>
      </c>
      <c r="H166" s="14">
        <f>IF($W166="","",INDEX('Eredmény'!$AI$2:$AI$201,$W166))</f>
        <v/>
      </c>
      <c r="I166" s="14">
        <f>IF($W166="","",INDEX('Eredmény'!$AJ$2:$AJ$201,$W166))</f>
        <v/>
      </c>
      <c r="J166" s="14">
        <f>IF($W166="","",INDEX('Eredmény'!$AK$2:$AK$201,$W166))</f>
        <v/>
      </c>
      <c r="K166" s="14">
        <f>IF($W166="","",INDEX('Eredmény'!$AL$2:$AL$201,$W166))</f>
        <v/>
      </c>
      <c r="L166" s="15">
        <f>IF($W166="","",INDEX('Eredmény'!$AZ$2:$AZ$201,$W166))</f>
        <v/>
      </c>
      <c r="M166" s="15">
        <f>IF($W166="","",INDEX('Eredmény'!$BB$2:$BB$201,$W166))</f>
        <v/>
      </c>
      <c r="N166" s="15">
        <f>IF($W166="","",INDEX('Eredmény'!$BC$2:$BC$201,$W166))</f>
        <v/>
      </c>
      <c r="O166" s="16">
        <f>IF($W166="","",INDEX('Eredmény'!$BD$2:$BD$201,$W166))</f>
        <v/>
      </c>
      <c r="P166" s="13">
        <f>IF($W166="","",INDEX('Eredmény'!$BE$2:$BE$201,$W166))</f>
        <v/>
      </c>
      <c r="Q166" s="15">
        <f>IF($W166="","",INDEX('Eredmény'!$BF$2:$BF$201,$W166))</f>
        <v/>
      </c>
      <c r="R166" s="17">
        <f>IF($W166="","",INDEX('Eredmény'!$BG$2:$BG$201,$W166))</f>
        <v/>
      </c>
      <c r="S166" s="13">
        <f>IF($W166="","",INDEX('Eredmény'!$AT$2:$AT$201,$W166))</f>
        <v/>
      </c>
      <c r="T166" s="13">
        <f>IF($W166="","",INDEX('Eredmény'!$AV$2:$AV$201,$W166))</f>
        <v/>
      </c>
      <c r="U166" s="12">
        <f>IF($W166="","",INDEX('Eredmény'!$BI$2:$BI$201,$W166))</f>
        <v/>
      </c>
      <c r="W166">
        <f>IFERROR(MATCH(LARGE('Eredmény'!$DY$2:$DY$201,162),'Eredmény'!$DY$2:$DY$201,0),"")</f>
        <v/>
      </c>
    </row>
    <row r="167">
      <c r="A167" s="12">
        <f>IF($W167="","",INDEX('Eredmény'!$AO$2:$AO$201,$W167))</f>
        <v/>
      </c>
      <c r="B167" s="13">
        <f>IF($W167="","",INDEX('Eredmény'!$A$2:$A$201,$W167))</f>
        <v/>
      </c>
      <c r="C167" s="14">
        <f>IF($W167="","",INDEX('Eredmény'!$AM$2:$AM$201,$W167))</f>
        <v/>
      </c>
      <c r="D167" s="14">
        <f>IF($W167="","",INDEX('Eredmény'!$AN$2:$AN$201,$W167))</f>
        <v/>
      </c>
      <c r="E167" s="12">
        <f>IF($W167="","",INDEX('Eredmény'!$AQ$2:$AQ$201,$W167))</f>
        <v/>
      </c>
      <c r="F167" s="13">
        <f>IF($W167="","",INDEX('Eredmény'!$AR$2:$AR$201,$W167))</f>
        <v/>
      </c>
      <c r="G167" s="13">
        <f>IF($W167="","",INDEX('Eredmény'!$AS$2:$AS$201,$W167))</f>
        <v/>
      </c>
      <c r="H167" s="14">
        <f>IF($W167="","",INDEX('Eredmény'!$AI$2:$AI$201,$W167))</f>
        <v/>
      </c>
      <c r="I167" s="14">
        <f>IF($W167="","",INDEX('Eredmény'!$AJ$2:$AJ$201,$W167))</f>
        <v/>
      </c>
      <c r="J167" s="14">
        <f>IF($W167="","",INDEX('Eredmény'!$AK$2:$AK$201,$W167))</f>
        <v/>
      </c>
      <c r="K167" s="14">
        <f>IF($W167="","",INDEX('Eredmény'!$AL$2:$AL$201,$W167))</f>
        <v/>
      </c>
      <c r="L167" s="15">
        <f>IF($W167="","",INDEX('Eredmény'!$AZ$2:$AZ$201,$W167))</f>
        <v/>
      </c>
      <c r="M167" s="15">
        <f>IF($W167="","",INDEX('Eredmény'!$BB$2:$BB$201,$W167))</f>
        <v/>
      </c>
      <c r="N167" s="15">
        <f>IF($W167="","",INDEX('Eredmény'!$BC$2:$BC$201,$W167))</f>
        <v/>
      </c>
      <c r="O167" s="16">
        <f>IF($W167="","",INDEX('Eredmény'!$BD$2:$BD$201,$W167))</f>
        <v/>
      </c>
      <c r="P167" s="13">
        <f>IF($W167="","",INDEX('Eredmény'!$BE$2:$BE$201,$W167))</f>
        <v/>
      </c>
      <c r="Q167" s="15">
        <f>IF($W167="","",INDEX('Eredmény'!$BF$2:$BF$201,$W167))</f>
        <v/>
      </c>
      <c r="R167" s="17">
        <f>IF($W167="","",INDEX('Eredmény'!$BG$2:$BG$201,$W167))</f>
        <v/>
      </c>
      <c r="S167" s="13">
        <f>IF($W167="","",INDEX('Eredmény'!$AT$2:$AT$201,$W167))</f>
        <v/>
      </c>
      <c r="T167" s="13">
        <f>IF($W167="","",INDEX('Eredmény'!$AV$2:$AV$201,$W167))</f>
        <v/>
      </c>
      <c r="U167" s="12">
        <f>IF($W167="","",INDEX('Eredmény'!$BI$2:$BI$201,$W167))</f>
        <v/>
      </c>
      <c r="W167">
        <f>IFERROR(MATCH(LARGE('Eredmény'!$DY$2:$DY$201,163),'Eredmény'!$DY$2:$DY$201,0),"")</f>
        <v/>
      </c>
    </row>
    <row r="168">
      <c r="A168" s="12">
        <f>IF($W168="","",INDEX('Eredmény'!$AO$2:$AO$201,$W168))</f>
        <v/>
      </c>
      <c r="B168" s="13">
        <f>IF($W168="","",INDEX('Eredmény'!$A$2:$A$201,$W168))</f>
        <v/>
      </c>
      <c r="C168" s="14">
        <f>IF($W168="","",INDEX('Eredmény'!$AM$2:$AM$201,$W168))</f>
        <v/>
      </c>
      <c r="D168" s="14">
        <f>IF($W168="","",INDEX('Eredmény'!$AN$2:$AN$201,$W168))</f>
        <v/>
      </c>
      <c r="E168" s="12">
        <f>IF($W168="","",INDEX('Eredmény'!$AQ$2:$AQ$201,$W168))</f>
        <v/>
      </c>
      <c r="F168" s="13">
        <f>IF($W168="","",INDEX('Eredmény'!$AR$2:$AR$201,$W168))</f>
        <v/>
      </c>
      <c r="G168" s="13">
        <f>IF($W168="","",INDEX('Eredmény'!$AS$2:$AS$201,$W168))</f>
        <v/>
      </c>
      <c r="H168" s="14">
        <f>IF($W168="","",INDEX('Eredmény'!$AI$2:$AI$201,$W168))</f>
        <v/>
      </c>
      <c r="I168" s="14">
        <f>IF($W168="","",INDEX('Eredmény'!$AJ$2:$AJ$201,$W168))</f>
        <v/>
      </c>
      <c r="J168" s="14">
        <f>IF($W168="","",INDEX('Eredmény'!$AK$2:$AK$201,$W168))</f>
        <v/>
      </c>
      <c r="K168" s="14">
        <f>IF($W168="","",INDEX('Eredmény'!$AL$2:$AL$201,$W168))</f>
        <v/>
      </c>
      <c r="L168" s="15">
        <f>IF($W168="","",INDEX('Eredmény'!$AZ$2:$AZ$201,$W168))</f>
        <v/>
      </c>
      <c r="M168" s="15">
        <f>IF($W168="","",INDEX('Eredmény'!$BB$2:$BB$201,$W168))</f>
        <v/>
      </c>
      <c r="N168" s="15">
        <f>IF($W168="","",INDEX('Eredmény'!$BC$2:$BC$201,$W168))</f>
        <v/>
      </c>
      <c r="O168" s="16">
        <f>IF($W168="","",INDEX('Eredmény'!$BD$2:$BD$201,$W168))</f>
        <v/>
      </c>
      <c r="P168" s="13">
        <f>IF($W168="","",INDEX('Eredmény'!$BE$2:$BE$201,$W168))</f>
        <v/>
      </c>
      <c r="Q168" s="15">
        <f>IF($W168="","",INDEX('Eredmény'!$BF$2:$BF$201,$W168))</f>
        <v/>
      </c>
      <c r="R168" s="17">
        <f>IF($W168="","",INDEX('Eredmény'!$BG$2:$BG$201,$W168))</f>
        <v/>
      </c>
      <c r="S168" s="13">
        <f>IF($W168="","",INDEX('Eredmény'!$AT$2:$AT$201,$W168))</f>
        <v/>
      </c>
      <c r="T168" s="13">
        <f>IF($W168="","",INDEX('Eredmény'!$AV$2:$AV$201,$W168))</f>
        <v/>
      </c>
      <c r="U168" s="12">
        <f>IF($W168="","",INDEX('Eredmény'!$BI$2:$BI$201,$W168))</f>
        <v/>
      </c>
      <c r="W168">
        <f>IFERROR(MATCH(LARGE('Eredmény'!$DY$2:$DY$201,164),'Eredmény'!$DY$2:$DY$201,0),"")</f>
        <v/>
      </c>
    </row>
    <row r="169">
      <c r="A169" s="12">
        <f>IF($W169="","",INDEX('Eredmény'!$AO$2:$AO$201,$W169))</f>
        <v/>
      </c>
      <c r="B169" s="13">
        <f>IF($W169="","",INDEX('Eredmény'!$A$2:$A$201,$W169))</f>
        <v/>
      </c>
      <c r="C169" s="14">
        <f>IF($W169="","",INDEX('Eredmény'!$AM$2:$AM$201,$W169))</f>
        <v/>
      </c>
      <c r="D169" s="14">
        <f>IF($W169="","",INDEX('Eredmény'!$AN$2:$AN$201,$W169))</f>
        <v/>
      </c>
      <c r="E169" s="12">
        <f>IF($W169="","",INDEX('Eredmény'!$AQ$2:$AQ$201,$W169))</f>
        <v/>
      </c>
      <c r="F169" s="13">
        <f>IF($W169="","",INDEX('Eredmény'!$AR$2:$AR$201,$W169))</f>
        <v/>
      </c>
      <c r="G169" s="13">
        <f>IF($W169="","",INDEX('Eredmény'!$AS$2:$AS$201,$W169))</f>
        <v/>
      </c>
      <c r="H169" s="14">
        <f>IF($W169="","",INDEX('Eredmény'!$AI$2:$AI$201,$W169))</f>
        <v/>
      </c>
      <c r="I169" s="14">
        <f>IF($W169="","",INDEX('Eredmény'!$AJ$2:$AJ$201,$W169))</f>
        <v/>
      </c>
      <c r="J169" s="14">
        <f>IF($W169="","",INDEX('Eredmény'!$AK$2:$AK$201,$W169))</f>
        <v/>
      </c>
      <c r="K169" s="14">
        <f>IF($W169="","",INDEX('Eredmény'!$AL$2:$AL$201,$W169))</f>
        <v/>
      </c>
      <c r="L169" s="15">
        <f>IF($W169="","",INDEX('Eredmény'!$AZ$2:$AZ$201,$W169))</f>
        <v/>
      </c>
      <c r="M169" s="15">
        <f>IF($W169="","",INDEX('Eredmény'!$BB$2:$BB$201,$W169))</f>
        <v/>
      </c>
      <c r="N169" s="15">
        <f>IF($W169="","",INDEX('Eredmény'!$BC$2:$BC$201,$W169))</f>
        <v/>
      </c>
      <c r="O169" s="16">
        <f>IF($W169="","",INDEX('Eredmény'!$BD$2:$BD$201,$W169))</f>
        <v/>
      </c>
      <c r="P169" s="13">
        <f>IF($W169="","",INDEX('Eredmény'!$BE$2:$BE$201,$W169))</f>
        <v/>
      </c>
      <c r="Q169" s="15">
        <f>IF($W169="","",INDEX('Eredmény'!$BF$2:$BF$201,$W169))</f>
        <v/>
      </c>
      <c r="R169" s="17">
        <f>IF($W169="","",INDEX('Eredmény'!$BG$2:$BG$201,$W169))</f>
        <v/>
      </c>
      <c r="S169" s="13">
        <f>IF($W169="","",INDEX('Eredmény'!$AT$2:$AT$201,$W169))</f>
        <v/>
      </c>
      <c r="T169" s="13">
        <f>IF($W169="","",INDEX('Eredmény'!$AV$2:$AV$201,$W169))</f>
        <v/>
      </c>
      <c r="U169" s="12">
        <f>IF($W169="","",INDEX('Eredmény'!$BI$2:$BI$201,$W169))</f>
        <v/>
      </c>
      <c r="W169">
        <f>IFERROR(MATCH(LARGE('Eredmény'!$DY$2:$DY$201,165),'Eredmény'!$DY$2:$DY$201,0),"")</f>
        <v/>
      </c>
    </row>
    <row r="170">
      <c r="A170" s="12">
        <f>IF($W170="","",INDEX('Eredmény'!$AO$2:$AO$201,$W170))</f>
        <v/>
      </c>
      <c r="B170" s="13">
        <f>IF($W170="","",INDEX('Eredmény'!$A$2:$A$201,$W170))</f>
        <v/>
      </c>
      <c r="C170" s="14">
        <f>IF($W170="","",INDEX('Eredmény'!$AM$2:$AM$201,$W170))</f>
        <v/>
      </c>
      <c r="D170" s="14">
        <f>IF($W170="","",INDEX('Eredmény'!$AN$2:$AN$201,$W170))</f>
        <v/>
      </c>
      <c r="E170" s="12">
        <f>IF($W170="","",INDEX('Eredmény'!$AQ$2:$AQ$201,$W170))</f>
        <v/>
      </c>
      <c r="F170" s="13">
        <f>IF($W170="","",INDEX('Eredmény'!$AR$2:$AR$201,$W170))</f>
        <v/>
      </c>
      <c r="G170" s="13">
        <f>IF($W170="","",INDEX('Eredmény'!$AS$2:$AS$201,$W170))</f>
        <v/>
      </c>
      <c r="H170" s="14">
        <f>IF($W170="","",INDEX('Eredmény'!$AI$2:$AI$201,$W170))</f>
        <v/>
      </c>
      <c r="I170" s="14">
        <f>IF($W170="","",INDEX('Eredmény'!$AJ$2:$AJ$201,$W170))</f>
        <v/>
      </c>
      <c r="J170" s="14">
        <f>IF($W170="","",INDEX('Eredmény'!$AK$2:$AK$201,$W170))</f>
        <v/>
      </c>
      <c r="K170" s="14">
        <f>IF($W170="","",INDEX('Eredmény'!$AL$2:$AL$201,$W170))</f>
        <v/>
      </c>
      <c r="L170" s="15">
        <f>IF($W170="","",INDEX('Eredmény'!$AZ$2:$AZ$201,$W170))</f>
        <v/>
      </c>
      <c r="M170" s="15">
        <f>IF($W170="","",INDEX('Eredmény'!$BB$2:$BB$201,$W170))</f>
        <v/>
      </c>
      <c r="N170" s="15">
        <f>IF($W170="","",INDEX('Eredmény'!$BC$2:$BC$201,$W170))</f>
        <v/>
      </c>
      <c r="O170" s="16">
        <f>IF($W170="","",INDEX('Eredmény'!$BD$2:$BD$201,$W170))</f>
        <v/>
      </c>
      <c r="P170" s="13">
        <f>IF($W170="","",INDEX('Eredmény'!$BE$2:$BE$201,$W170))</f>
        <v/>
      </c>
      <c r="Q170" s="15">
        <f>IF($W170="","",INDEX('Eredmény'!$BF$2:$BF$201,$W170))</f>
        <v/>
      </c>
      <c r="R170" s="17">
        <f>IF($W170="","",INDEX('Eredmény'!$BG$2:$BG$201,$W170))</f>
        <v/>
      </c>
      <c r="S170" s="13">
        <f>IF($W170="","",INDEX('Eredmény'!$AT$2:$AT$201,$W170))</f>
        <v/>
      </c>
      <c r="T170" s="13">
        <f>IF($W170="","",INDEX('Eredmény'!$AV$2:$AV$201,$W170))</f>
        <v/>
      </c>
      <c r="U170" s="12">
        <f>IF($W170="","",INDEX('Eredmény'!$BI$2:$BI$201,$W170))</f>
        <v/>
      </c>
      <c r="W170">
        <f>IFERROR(MATCH(LARGE('Eredmény'!$DY$2:$DY$201,166),'Eredmény'!$DY$2:$DY$201,0),"")</f>
        <v/>
      </c>
    </row>
    <row r="171">
      <c r="A171" s="12">
        <f>IF($W171="","",INDEX('Eredmény'!$AO$2:$AO$201,$W171))</f>
        <v/>
      </c>
      <c r="B171" s="13">
        <f>IF($W171="","",INDEX('Eredmény'!$A$2:$A$201,$W171))</f>
        <v/>
      </c>
      <c r="C171" s="14">
        <f>IF($W171="","",INDEX('Eredmény'!$AM$2:$AM$201,$W171))</f>
        <v/>
      </c>
      <c r="D171" s="14">
        <f>IF($W171="","",INDEX('Eredmény'!$AN$2:$AN$201,$W171))</f>
        <v/>
      </c>
      <c r="E171" s="12">
        <f>IF($W171="","",INDEX('Eredmény'!$AQ$2:$AQ$201,$W171))</f>
        <v/>
      </c>
      <c r="F171" s="13">
        <f>IF($W171="","",INDEX('Eredmény'!$AR$2:$AR$201,$W171))</f>
        <v/>
      </c>
      <c r="G171" s="13">
        <f>IF($W171="","",INDEX('Eredmény'!$AS$2:$AS$201,$W171))</f>
        <v/>
      </c>
      <c r="H171" s="14">
        <f>IF($W171="","",INDEX('Eredmény'!$AI$2:$AI$201,$W171))</f>
        <v/>
      </c>
      <c r="I171" s="14">
        <f>IF($W171="","",INDEX('Eredmény'!$AJ$2:$AJ$201,$W171))</f>
        <v/>
      </c>
      <c r="J171" s="14">
        <f>IF($W171="","",INDEX('Eredmény'!$AK$2:$AK$201,$W171))</f>
        <v/>
      </c>
      <c r="K171" s="14">
        <f>IF($W171="","",INDEX('Eredmény'!$AL$2:$AL$201,$W171))</f>
        <v/>
      </c>
      <c r="L171" s="15">
        <f>IF($W171="","",INDEX('Eredmény'!$AZ$2:$AZ$201,$W171))</f>
        <v/>
      </c>
      <c r="M171" s="15">
        <f>IF($W171="","",INDEX('Eredmény'!$BB$2:$BB$201,$W171))</f>
        <v/>
      </c>
      <c r="N171" s="15">
        <f>IF($W171="","",INDEX('Eredmény'!$BC$2:$BC$201,$W171))</f>
        <v/>
      </c>
      <c r="O171" s="16">
        <f>IF($W171="","",INDEX('Eredmény'!$BD$2:$BD$201,$W171))</f>
        <v/>
      </c>
      <c r="P171" s="13">
        <f>IF($W171="","",INDEX('Eredmény'!$BE$2:$BE$201,$W171))</f>
        <v/>
      </c>
      <c r="Q171" s="15">
        <f>IF($W171="","",INDEX('Eredmény'!$BF$2:$BF$201,$W171))</f>
        <v/>
      </c>
      <c r="R171" s="17">
        <f>IF($W171="","",INDEX('Eredmény'!$BG$2:$BG$201,$W171))</f>
        <v/>
      </c>
      <c r="S171" s="13">
        <f>IF($W171="","",INDEX('Eredmény'!$AT$2:$AT$201,$W171))</f>
        <v/>
      </c>
      <c r="T171" s="13">
        <f>IF($W171="","",INDEX('Eredmény'!$AV$2:$AV$201,$W171))</f>
        <v/>
      </c>
      <c r="U171" s="12">
        <f>IF($W171="","",INDEX('Eredmény'!$BI$2:$BI$201,$W171))</f>
        <v/>
      </c>
      <c r="W171">
        <f>IFERROR(MATCH(LARGE('Eredmény'!$DY$2:$DY$201,167),'Eredmény'!$DY$2:$DY$201,0),"")</f>
        <v/>
      </c>
    </row>
    <row r="172">
      <c r="A172" s="12">
        <f>IF($W172="","",INDEX('Eredmény'!$AO$2:$AO$201,$W172))</f>
        <v/>
      </c>
      <c r="B172" s="13">
        <f>IF($W172="","",INDEX('Eredmény'!$A$2:$A$201,$W172))</f>
        <v/>
      </c>
      <c r="C172" s="14">
        <f>IF($W172="","",INDEX('Eredmény'!$AM$2:$AM$201,$W172))</f>
        <v/>
      </c>
      <c r="D172" s="14">
        <f>IF($W172="","",INDEX('Eredmény'!$AN$2:$AN$201,$W172))</f>
        <v/>
      </c>
      <c r="E172" s="12">
        <f>IF($W172="","",INDEX('Eredmény'!$AQ$2:$AQ$201,$W172))</f>
        <v/>
      </c>
      <c r="F172" s="13">
        <f>IF($W172="","",INDEX('Eredmény'!$AR$2:$AR$201,$W172))</f>
        <v/>
      </c>
      <c r="G172" s="13">
        <f>IF($W172="","",INDEX('Eredmény'!$AS$2:$AS$201,$W172))</f>
        <v/>
      </c>
      <c r="H172" s="14">
        <f>IF($W172="","",INDEX('Eredmény'!$AI$2:$AI$201,$W172))</f>
        <v/>
      </c>
      <c r="I172" s="14">
        <f>IF($W172="","",INDEX('Eredmény'!$AJ$2:$AJ$201,$W172))</f>
        <v/>
      </c>
      <c r="J172" s="14">
        <f>IF($W172="","",INDEX('Eredmény'!$AK$2:$AK$201,$W172))</f>
        <v/>
      </c>
      <c r="K172" s="14">
        <f>IF($W172="","",INDEX('Eredmény'!$AL$2:$AL$201,$W172))</f>
        <v/>
      </c>
      <c r="L172" s="15">
        <f>IF($W172="","",INDEX('Eredmény'!$AZ$2:$AZ$201,$W172))</f>
        <v/>
      </c>
      <c r="M172" s="15">
        <f>IF($W172="","",INDEX('Eredmény'!$BB$2:$BB$201,$W172))</f>
        <v/>
      </c>
      <c r="N172" s="15">
        <f>IF($W172="","",INDEX('Eredmény'!$BC$2:$BC$201,$W172))</f>
        <v/>
      </c>
      <c r="O172" s="16">
        <f>IF($W172="","",INDEX('Eredmény'!$BD$2:$BD$201,$W172))</f>
        <v/>
      </c>
      <c r="P172" s="13">
        <f>IF($W172="","",INDEX('Eredmény'!$BE$2:$BE$201,$W172))</f>
        <v/>
      </c>
      <c r="Q172" s="15">
        <f>IF($W172="","",INDEX('Eredmény'!$BF$2:$BF$201,$W172))</f>
        <v/>
      </c>
      <c r="R172" s="17">
        <f>IF($W172="","",INDEX('Eredmény'!$BG$2:$BG$201,$W172))</f>
        <v/>
      </c>
      <c r="S172" s="13">
        <f>IF($W172="","",INDEX('Eredmény'!$AT$2:$AT$201,$W172))</f>
        <v/>
      </c>
      <c r="T172" s="13">
        <f>IF($W172="","",INDEX('Eredmény'!$AV$2:$AV$201,$W172))</f>
        <v/>
      </c>
      <c r="U172" s="12">
        <f>IF($W172="","",INDEX('Eredmény'!$BI$2:$BI$201,$W172))</f>
        <v/>
      </c>
      <c r="W172">
        <f>IFERROR(MATCH(LARGE('Eredmény'!$DY$2:$DY$201,168),'Eredmény'!$DY$2:$DY$201,0),"")</f>
        <v/>
      </c>
    </row>
    <row r="173">
      <c r="A173" s="12">
        <f>IF($W173="","",INDEX('Eredmény'!$AO$2:$AO$201,$W173))</f>
        <v/>
      </c>
      <c r="B173" s="13">
        <f>IF($W173="","",INDEX('Eredmény'!$A$2:$A$201,$W173))</f>
        <v/>
      </c>
      <c r="C173" s="14">
        <f>IF($W173="","",INDEX('Eredmény'!$AM$2:$AM$201,$W173))</f>
        <v/>
      </c>
      <c r="D173" s="14">
        <f>IF($W173="","",INDEX('Eredmény'!$AN$2:$AN$201,$W173))</f>
        <v/>
      </c>
      <c r="E173" s="12">
        <f>IF($W173="","",INDEX('Eredmény'!$AQ$2:$AQ$201,$W173))</f>
        <v/>
      </c>
      <c r="F173" s="13">
        <f>IF($W173="","",INDEX('Eredmény'!$AR$2:$AR$201,$W173))</f>
        <v/>
      </c>
      <c r="G173" s="13">
        <f>IF($W173="","",INDEX('Eredmény'!$AS$2:$AS$201,$W173))</f>
        <v/>
      </c>
      <c r="H173" s="14">
        <f>IF($W173="","",INDEX('Eredmény'!$AI$2:$AI$201,$W173))</f>
        <v/>
      </c>
      <c r="I173" s="14">
        <f>IF($W173="","",INDEX('Eredmény'!$AJ$2:$AJ$201,$W173))</f>
        <v/>
      </c>
      <c r="J173" s="14">
        <f>IF($W173="","",INDEX('Eredmény'!$AK$2:$AK$201,$W173))</f>
        <v/>
      </c>
      <c r="K173" s="14">
        <f>IF($W173="","",INDEX('Eredmény'!$AL$2:$AL$201,$W173))</f>
        <v/>
      </c>
      <c r="L173" s="15">
        <f>IF($W173="","",INDEX('Eredmény'!$AZ$2:$AZ$201,$W173))</f>
        <v/>
      </c>
      <c r="M173" s="15">
        <f>IF($W173="","",INDEX('Eredmény'!$BB$2:$BB$201,$W173))</f>
        <v/>
      </c>
      <c r="N173" s="15">
        <f>IF($W173="","",INDEX('Eredmény'!$BC$2:$BC$201,$W173))</f>
        <v/>
      </c>
      <c r="O173" s="16">
        <f>IF($W173="","",INDEX('Eredmény'!$BD$2:$BD$201,$W173))</f>
        <v/>
      </c>
      <c r="P173" s="13">
        <f>IF($W173="","",INDEX('Eredmény'!$BE$2:$BE$201,$W173))</f>
        <v/>
      </c>
      <c r="Q173" s="15">
        <f>IF($W173="","",INDEX('Eredmény'!$BF$2:$BF$201,$W173))</f>
        <v/>
      </c>
      <c r="R173" s="17">
        <f>IF($W173="","",INDEX('Eredmény'!$BG$2:$BG$201,$W173))</f>
        <v/>
      </c>
      <c r="S173" s="13">
        <f>IF($W173="","",INDEX('Eredmény'!$AT$2:$AT$201,$W173))</f>
        <v/>
      </c>
      <c r="T173" s="13">
        <f>IF($W173="","",INDEX('Eredmény'!$AV$2:$AV$201,$W173))</f>
        <v/>
      </c>
      <c r="U173" s="12">
        <f>IF($W173="","",INDEX('Eredmény'!$BI$2:$BI$201,$W173))</f>
        <v/>
      </c>
      <c r="W173">
        <f>IFERROR(MATCH(LARGE('Eredmény'!$DY$2:$DY$201,169),'Eredmény'!$DY$2:$DY$201,0),"")</f>
        <v/>
      </c>
    </row>
    <row r="174">
      <c r="A174" s="12">
        <f>IF($W174="","",INDEX('Eredmény'!$AO$2:$AO$201,$W174))</f>
        <v/>
      </c>
      <c r="B174" s="13">
        <f>IF($W174="","",INDEX('Eredmény'!$A$2:$A$201,$W174))</f>
        <v/>
      </c>
      <c r="C174" s="14">
        <f>IF($W174="","",INDEX('Eredmény'!$AM$2:$AM$201,$W174))</f>
        <v/>
      </c>
      <c r="D174" s="14">
        <f>IF($W174="","",INDEX('Eredmény'!$AN$2:$AN$201,$W174))</f>
        <v/>
      </c>
      <c r="E174" s="12">
        <f>IF($W174="","",INDEX('Eredmény'!$AQ$2:$AQ$201,$W174))</f>
        <v/>
      </c>
      <c r="F174" s="13">
        <f>IF($W174="","",INDEX('Eredmény'!$AR$2:$AR$201,$W174))</f>
        <v/>
      </c>
      <c r="G174" s="13">
        <f>IF($W174="","",INDEX('Eredmény'!$AS$2:$AS$201,$W174))</f>
        <v/>
      </c>
      <c r="H174" s="14">
        <f>IF($W174="","",INDEX('Eredmény'!$AI$2:$AI$201,$W174))</f>
        <v/>
      </c>
      <c r="I174" s="14">
        <f>IF($W174="","",INDEX('Eredmény'!$AJ$2:$AJ$201,$W174))</f>
        <v/>
      </c>
      <c r="J174" s="14">
        <f>IF($W174="","",INDEX('Eredmény'!$AK$2:$AK$201,$W174))</f>
        <v/>
      </c>
      <c r="K174" s="14">
        <f>IF($W174="","",INDEX('Eredmény'!$AL$2:$AL$201,$W174))</f>
        <v/>
      </c>
      <c r="L174" s="15">
        <f>IF($W174="","",INDEX('Eredmény'!$AZ$2:$AZ$201,$W174))</f>
        <v/>
      </c>
      <c r="M174" s="15">
        <f>IF($W174="","",INDEX('Eredmény'!$BB$2:$BB$201,$W174))</f>
        <v/>
      </c>
      <c r="N174" s="15">
        <f>IF($W174="","",INDEX('Eredmény'!$BC$2:$BC$201,$W174))</f>
        <v/>
      </c>
      <c r="O174" s="16">
        <f>IF($W174="","",INDEX('Eredmény'!$BD$2:$BD$201,$W174))</f>
        <v/>
      </c>
      <c r="P174" s="13">
        <f>IF($W174="","",INDEX('Eredmény'!$BE$2:$BE$201,$W174))</f>
        <v/>
      </c>
      <c r="Q174" s="15">
        <f>IF($W174="","",INDEX('Eredmény'!$BF$2:$BF$201,$W174))</f>
        <v/>
      </c>
      <c r="R174" s="17">
        <f>IF($W174="","",INDEX('Eredmény'!$BG$2:$BG$201,$W174))</f>
        <v/>
      </c>
      <c r="S174" s="13">
        <f>IF($W174="","",INDEX('Eredmény'!$AT$2:$AT$201,$W174))</f>
        <v/>
      </c>
      <c r="T174" s="13">
        <f>IF($W174="","",INDEX('Eredmény'!$AV$2:$AV$201,$W174))</f>
        <v/>
      </c>
      <c r="U174" s="12">
        <f>IF($W174="","",INDEX('Eredmény'!$BI$2:$BI$201,$W174))</f>
        <v/>
      </c>
      <c r="W174">
        <f>IFERROR(MATCH(LARGE('Eredmény'!$DY$2:$DY$201,170),'Eredmény'!$DY$2:$DY$201,0),"")</f>
        <v/>
      </c>
    </row>
    <row r="175">
      <c r="A175" s="12">
        <f>IF($W175="","",INDEX('Eredmény'!$AO$2:$AO$201,$W175))</f>
        <v/>
      </c>
      <c r="B175" s="13">
        <f>IF($W175="","",INDEX('Eredmény'!$A$2:$A$201,$W175))</f>
        <v/>
      </c>
      <c r="C175" s="14">
        <f>IF($W175="","",INDEX('Eredmény'!$AM$2:$AM$201,$W175))</f>
        <v/>
      </c>
      <c r="D175" s="14">
        <f>IF($W175="","",INDEX('Eredmény'!$AN$2:$AN$201,$W175))</f>
        <v/>
      </c>
      <c r="E175" s="12">
        <f>IF($W175="","",INDEX('Eredmény'!$AQ$2:$AQ$201,$W175))</f>
        <v/>
      </c>
      <c r="F175" s="13">
        <f>IF($W175="","",INDEX('Eredmény'!$AR$2:$AR$201,$W175))</f>
        <v/>
      </c>
      <c r="G175" s="13">
        <f>IF($W175="","",INDEX('Eredmény'!$AS$2:$AS$201,$W175))</f>
        <v/>
      </c>
      <c r="H175" s="14">
        <f>IF($W175="","",INDEX('Eredmény'!$AI$2:$AI$201,$W175))</f>
        <v/>
      </c>
      <c r="I175" s="14">
        <f>IF($W175="","",INDEX('Eredmény'!$AJ$2:$AJ$201,$W175))</f>
        <v/>
      </c>
      <c r="J175" s="14">
        <f>IF($W175="","",INDEX('Eredmény'!$AK$2:$AK$201,$W175))</f>
        <v/>
      </c>
      <c r="K175" s="14">
        <f>IF($W175="","",INDEX('Eredmény'!$AL$2:$AL$201,$W175))</f>
        <v/>
      </c>
      <c r="L175" s="15">
        <f>IF($W175="","",INDEX('Eredmény'!$AZ$2:$AZ$201,$W175))</f>
        <v/>
      </c>
      <c r="M175" s="15">
        <f>IF($W175="","",INDEX('Eredmény'!$BB$2:$BB$201,$W175))</f>
        <v/>
      </c>
      <c r="N175" s="15">
        <f>IF($W175="","",INDEX('Eredmény'!$BC$2:$BC$201,$W175))</f>
        <v/>
      </c>
      <c r="O175" s="16">
        <f>IF($W175="","",INDEX('Eredmény'!$BD$2:$BD$201,$W175))</f>
        <v/>
      </c>
      <c r="P175" s="13">
        <f>IF($W175="","",INDEX('Eredmény'!$BE$2:$BE$201,$W175))</f>
        <v/>
      </c>
      <c r="Q175" s="15">
        <f>IF($W175="","",INDEX('Eredmény'!$BF$2:$BF$201,$W175))</f>
        <v/>
      </c>
      <c r="R175" s="17">
        <f>IF($W175="","",INDEX('Eredmény'!$BG$2:$BG$201,$W175))</f>
        <v/>
      </c>
      <c r="S175" s="13">
        <f>IF($W175="","",INDEX('Eredmény'!$AT$2:$AT$201,$W175))</f>
        <v/>
      </c>
      <c r="T175" s="13">
        <f>IF($W175="","",INDEX('Eredmény'!$AV$2:$AV$201,$W175))</f>
        <v/>
      </c>
      <c r="U175" s="12">
        <f>IF($W175="","",INDEX('Eredmény'!$BI$2:$BI$201,$W175))</f>
        <v/>
      </c>
      <c r="W175">
        <f>IFERROR(MATCH(LARGE('Eredmény'!$DY$2:$DY$201,171),'Eredmény'!$DY$2:$DY$201,0),"")</f>
        <v/>
      </c>
    </row>
    <row r="176">
      <c r="A176" s="12">
        <f>IF($W176="","",INDEX('Eredmény'!$AO$2:$AO$201,$W176))</f>
        <v/>
      </c>
      <c r="B176" s="13">
        <f>IF($W176="","",INDEX('Eredmény'!$A$2:$A$201,$W176))</f>
        <v/>
      </c>
      <c r="C176" s="14">
        <f>IF($W176="","",INDEX('Eredmény'!$AM$2:$AM$201,$W176))</f>
        <v/>
      </c>
      <c r="D176" s="14">
        <f>IF($W176="","",INDEX('Eredmény'!$AN$2:$AN$201,$W176))</f>
        <v/>
      </c>
      <c r="E176" s="12">
        <f>IF($W176="","",INDEX('Eredmény'!$AQ$2:$AQ$201,$W176))</f>
        <v/>
      </c>
      <c r="F176" s="13">
        <f>IF($W176="","",INDEX('Eredmény'!$AR$2:$AR$201,$W176))</f>
        <v/>
      </c>
      <c r="G176" s="13">
        <f>IF($W176="","",INDEX('Eredmény'!$AS$2:$AS$201,$W176))</f>
        <v/>
      </c>
      <c r="H176" s="14">
        <f>IF($W176="","",INDEX('Eredmény'!$AI$2:$AI$201,$W176))</f>
        <v/>
      </c>
      <c r="I176" s="14">
        <f>IF($W176="","",INDEX('Eredmény'!$AJ$2:$AJ$201,$W176))</f>
        <v/>
      </c>
      <c r="J176" s="14">
        <f>IF($W176="","",INDEX('Eredmény'!$AK$2:$AK$201,$W176))</f>
        <v/>
      </c>
      <c r="K176" s="14">
        <f>IF($W176="","",INDEX('Eredmény'!$AL$2:$AL$201,$W176))</f>
        <v/>
      </c>
      <c r="L176" s="15">
        <f>IF($W176="","",INDEX('Eredmény'!$AZ$2:$AZ$201,$W176))</f>
        <v/>
      </c>
      <c r="M176" s="15">
        <f>IF($W176="","",INDEX('Eredmény'!$BB$2:$BB$201,$W176))</f>
        <v/>
      </c>
      <c r="N176" s="15">
        <f>IF($W176="","",INDEX('Eredmény'!$BC$2:$BC$201,$W176))</f>
        <v/>
      </c>
      <c r="O176" s="16">
        <f>IF($W176="","",INDEX('Eredmény'!$BD$2:$BD$201,$W176))</f>
        <v/>
      </c>
      <c r="P176" s="13">
        <f>IF($W176="","",INDEX('Eredmény'!$BE$2:$BE$201,$W176))</f>
        <v/>
      </c>
      <c r="Q176" s="15">
        <f>IF($W176="","",INDEX('Eredmény'!$BF$2:$BF$201,$W176))</f>
        <v/>
      </c>
      <c r="R176" s="17">
        <f>IF($W176="","",INDEX('Eredmény'!$BG$2:$BG$201,$W176))</f>
        <v/>
      </c>
      <c r="S176" s="13">
        <f>IF($W176="","",INDEX('Eredmény'!$AT$2:$AT$201,$W176))</f>
        <v/>
      </c>
      <c r="T176" s="13">
        <f>IF($W176="","",INDEX('Eredmény'!$AV$2:$AV$201,$W176))</f>
        <v/>
      </c>
      <c r="U176" s="12">
        <f>IF($W176="","",INDEX('Eredmény'!$BI$2:$BI$201,$W176))</f>
        <v/>
      </c>
      <c r="W176">
        <f>IFERROR(MATCH(LARGE('Eredmény'!$DY$2:$DY$201,172),'Eredmény'!$DY$2:$DY$201,0),"")</f>
        <v/>
      </c>
    </row>
    <row r="177">
      <c r="A177" s="12">
        <f>IF($W177="","",INDEX('Eredmény'!$AO$2:$AO$201,$W177))</f>
        <v/>
      </c>
      <c r="B177" s="13">
        <f>IF($W177="","",INDEX('Eredmény'!$A$2:$A$201,$W177))</f>
        <v/>
      </c>
      <c r="C177" s="14">
        <f>IF($W177="","",INDEX('Eredmény'!$AM$2:$AM$201,$W177))</f>
        <v/>
      </c>
      <c r="D177" s="14">
        <f>IF($W177="","",INDEX('Eredmény'!$AN$2:$AN$201,$W177))</f>
        <v/>
      </c>
      <c r="E177" s="12">
        <f>IF($W177="","",INDEX('Eredmény'!$AQ$2:$AQ$201,$W177))</f>
        <v/>
      </c>
      <c r="F177" s="13">
        <f>IF($W177="","",INDEX('Eredmény'!$AR$2:$AR$201,$W177))</f>
        <v/>
      </c>
      <c r="G177" s="13">
        <f>IF($W177="","",INDEX('Eredmény'!$AS$2:$AS$201,$W177))</f>
        <v/>
      </c>
      <c r="H177" s="14">
        <f>IF($W177="","",INDEX('Eredmény'!$AI$2:$AI$201,$W177))</f>
        <v/>
      </c>
      <c r="I177" s="14">
        <f>IF($W177="","",INDEX('Eredmény'!$AJ$2:$AJ$201,$W177))</f>
        <v/>
      </c>
      <c r="J177" s="14">
        <f>IF($W177="","",INDEX('Eredmény'!$AK$2:$AK$201,$W177))</f>
        <v/>
      </c>
      <c r="K177" s="14">
        <f>IF($W177="","",INDEX('Eredmény'!$AL$2:$AL$201,$W177))</f>
        <v/>
      </c>
      <c r="L177" s="15">
        <f>IF($W177="","",INDEX('Eredmény'!$AZ$2:$AZ$201,$W177))</f>
        <v/>
      </c>
      <c r="M177" s="15">
        <f>IF($W177="","",INDEX('Eredmény'!$BB$2:$BB$201,$W177))</f>
        <v/>
      </c>
      <c r="N177" s="15">
        <f>IF($W177="","",INDEX('Eredmény'!$BC$2:$BC$201,$W177))</f>
        <v/>
      </c>
      <c r="O177" s="16">
        <f>IF($W177="","",INDEX('Eredmény'!$BD$2:$BD$201,$W177))</f>
        <v/>
      </c>
      <c r="P177" s="13">
        <f>IF($W177="","",INDEX('Eredmény'!$BE$2:$BE$201,$W177))</f>
        <v/>
      </c>
      <c r="Q177" s="15">
        <f>IF($W177="","",INDEX('Eredmény'!$BF$2:$BF$201,$W177))</f>
        <v/>
      </c>
      <c r="R177" s="17">
        <f>IF($W177="","",INDEX('Eredmény'!$BG$2:$BG$201,$W177))</f>
        <v/>
      </c>
      <c r="S177" s="13">
        <f>IF($W177="","",INDEX('Eredmény'!$AT$2:$AT$201,$W177))</f>
        <v/>
      </c>
      <c r="T177" s="13">
        <f>IF($W177="","",INDEX('Eredmény'!$AV$2:$AV$201,$W177))</f>
        <v/>
      </c>
      <c r="U177" s="12">
        <f>IF($W177="","",INDEX('Eredmény'!$BI$2:$BI$201,$W177))</f>
        <v/>
      </c>
      <c r="W177">
        <f>IFERROR(MATCH(LARGE('Eredmény'!$DY$2:$DY$201,173),'Eredmény'!$DY$2:$DY$201,0),"")</f>
        <v/>
      </c>
    </row>
    <row r="178">
      <c r="A178" s="12">
        <f>IF($W178="","",INDEX('Eredmény'!$AO$2:$AO$201,$W178))</f>
        <v/>
      </c>
      <c r="B178" s="13">
        <f>IF($W178="","",INDEX('Eredmény'!$A$2:$A$201,$W178))</f>
        <v/>
      </c>
      <c r="C178" s="14">
        <f>IF($W178="","",INDEX('Eredmény'!$AM$2:$AM$201,$W178))</f>
        <v/>
      </c>
      <c r="D178" s="14">
        <f>IF($W178="","",INDEX('Eredmény'!$AN$2:$AN$201,$W178))</f>
        <v/>
      </c>
      <c r="E178" s="12">
        <f>IF($W178="","",INDEX('Eredmény'!$AQ$2:$AQ$201,$W178))</f>
        <v/>
      </c>
      <c r="F178" s="13">
        <f>IF($W178="","",INDEX('Eredmény'!$AR$2:$AR$201,$W178))</f>
        <v/>
      </c>
      <c r="G178" s="13">
        <f>IF($W178="","",INDEX('Eredmény'!$AS$2:$AS$201,$W178))</f>
        <v/>
      </c>
      <c r="H178" s="14">
        <f>IF($W178="","",INDEX('Eredmény'!$AI$2:$AI$201,$W178))</f>
        <v/>
      </c>
      <c r="I178" s="14">
        <f>IF($W178="","",INDEX('Eredmény'!$AJ$2:$AJ$201,$W178))</f>
        <v/>
      </c>
      <c r="J178" s="14">
        <f>IF($W178="","",INDEX('Eredmény'!$AK$2:$AK$201,$W178))</f>
        <v/>
      </c>
      <c r="K178" s="14">
        <f>IF($W178="","",INDEX('Eredmény'!$AL$2:$AL$201,$W178))</f>
        <v/>
      </c>
      <c r="L178" s="15">
        <f>IF($W178="","",INDEX('Eredmény'!$AZ$2:$AZ$201,$W178))</f>
        <v/>
      </c>
      <c r="M178" s="15">
        <f>IF($W178="","",INDEX('Eredmény'!$BB$2:$BB$201,$W178))</f>
        <v/>
      </c>
      <c r="N178" s="15">
        <f>IF($W178="","",INDEX('Eredmény'!$BC$2:$BC$201,$W178))</f>
        <v/>
      </c>
      <c r="O178" s="16">
        <f>IF($W178="","",INDEX('Eredmény'!$BD$2:$BD$201,$W178))</f>
        <v/>
      </c>
      <c r="P178" s="13">
        <f>IF($W178="","",INDEX('Eredmény'!$BE$2:$BE$201,$W178))</f>
        <v/>
      </c>
      <c r="Q178" s="15">
        <f>IF($W178="","",INDEX('Eredmény'!$BF$2:$BF$201,$W178))</f>
        <v/>
      </c>
      <c r="R178" s="17">
        <f>IF($W178="","",INDEX('Eredmény'!$BG$2:$BG$201,$W178))</f>
        <v/>
      </c>
      <c r="S178" s="13">
        <f>IF($W178="","",INDEX('Eredmény'!$AT$2:$AT$201,$W178))</f>
        <v/>
      </c>
      <c r="T178" s="13">
        <f>IF($W178="","",INDEX('Eredmény'!$AV$2:$AV$201,$W178))</f>
        <v/>
      </c>
      <c r="U178" s="12">
        <f>IF($W178="","",INDEX('Eredmény'!$BI$2:$BI$201,$W178))</f>
        <v/>
      </c>
      <c r="W178">
        <f>IFERROR(MATCH(LARGE('Eredmény'!$DY$2:$DY$201,174),'Eredmény'!$DY$2:$DY$201,0),"")</f>
        <v/>
      </c>
    </row>
    <row r="179">
      <c r="A179" s="12">
        <f>IF($W179="","",INDEX('Eredmény'!$AO$2:$AO$201,$W179))</f>
        <v/>
      </c>
      <c r="B179" s="13">
        <f>IF($W179="","",INDEX('Eredmény'!$A$2:$A$201,$W179))</f>
        <v/>
      </c>
      <c r="C179" s="14">
        <f>IF($W179="","",INDEX('Eredmény'!$AM$2:$AM$201,$W179))</f>
        <v/>
      </c>
      <c r="D179" s="14">
        <f>IF($W179="","",INDEX('Eredmény'!$AN$2:$AN$201,$W179))</f>
        <v/>
      </c>
      <c r="E179" s="12">
        <f>IF($W179="","",INDEX('Eredmény'!$AQ$2:$AQ$201,$W179))</f>
        <v/>
      </c>
      <c r="F179" s="13">
        <f>IF($W179="","",INDEX('Eredmény'!$AR$2:$AR$201,$W179))</f>
        <v/>
      </c>
      <c r="G179" s="13">
        <f>IF($W179="","",INDEX('Eredmény'!$AS$2:$AS$201,$W179))</f>
        <v/>
      </c>
      <c r="H179" s="14">
        <f>IF($W179="","",INDEX('Eredmény'!$AI$2:$AI$201,$W179))</f>
        <v/>
      </c>
      <c r="I179" s="14">
        <f>IF($W179="","",INDEX('Eredmény'!$AJ$2:$AJ$201,$W179))</f>
        <v/>
      </c>
      <c r="J179" s="14">
        <f>IF($W179="","",INDEX('Eredmény'!$AK$2:$AK$201,$W179))</f>
        <v/>
      </c>
      <c r="K179" s="14">
        <f>IF($W179="","",INDEX('Eredmény'!$AL$2:$AL$201,$W179))</f>
        <v/>
      </c>
      <c r="L179" s="15">
        <f>IF($W179="","",INDEX('Eredmény'!$AZ$2:$AZ$201,$W179))</f>
        <v/>
      </c>
      <c r="M179" s="15">
        <f>IF($W179="","",INDEX('Eredmény'!$BB$2:$BB$201,$W179))</f>
        <v/>
      </c>
      <c r="N179" s="15">
        <f>IF($W179="","",INDEX('Eredmény'!$BC$2:$BC$201,$W179))</f>
        <v/>
      </c>
      <c r="O179" s="16">
        <f>IF($W179="","",INDEX('Eredmény'!$BD$2:$BD$201,$W179))</f>
        <v/>
      </c>
      <c r="P179" s="13">
        <f>IF($W179="","",INDEX('Eredmény'!$BE$2:$BE$201,$W179))</f>
        <v/>
      </c>
      <c r="Q179" s="15">
        <f>IF($W179="","",INDEX('Eredmény'!$BF$2:$BF$201,$W179))</f>
        <v/>
      </c>
      <c r="R179" s="17">
        <f>IF($W179="","",INDEX('Eredmény'!$BG$2:$BG$201,$W179))</f>
        <v/>
      </c>
      <c r="S179" s="13">
        <f>IF($W179="","",INDEX('Eredmény'!$AT$2:$AT$201,$W179))</f>
        <v/>
      </c>
      <c r="T179" s="13">
        <f>IF($W179="","",INDEX('Eredmény'!$AV$2:$AV$201,$W179))</f>
        <v/>
      </c>
      <c r="U179" s="12">
        <f>IF($W179="","",INDEX('Eredmény'!$BI$2:$BI$201,$W179))</f>
        <v/>
      </c>
      <c r="W179">
        <f>IFERROR(MATCH(LARGE('Eredmény'!$DY$2:$DY$201,175),'Eredmény'!$DY$2:$DY$201,0),"")</f>
        <v/>
      </c>
    </row>
    <row r="180">
      <c r="A180" s="12">
        <f>IF($W180="","",INDEX('Eredmény'!$AO$2:$AO$201,$W180))</f>
        <v/>
      </c>
      <c r="B180" s="13">
        <f>IF($W180="","",INDEX('Eredmény'!$A$2:$A$201,$W180))</f>
        <v/>
      </c>
      <c r="C180" s="14">
        <f>IF($W180="","",INDEX('Eredmény'!$AM$2:$AM$201,$W180))</f>
        <v/>
      </c>
      <c r="D180" s="14">
        <f>IF($W180="","",INDEX('Eredmény'!$AN$2:$AN$201,$W180))</f>
        <v/>
      </c>
      <c r="E180" s="12">
        <f>IF($W180="","",INDEX('Eredmény'!$AQ$2:$AQ$201,$W180))</f>
        <v/>
      </c>
      <c r="F180" s="13">
        <f>IF($W180="","",INDEX('Eredmény'!$AR$2:$AR$201,$W180))</f>
        <v/>
      </c>
      <c r="G180" s="13">
        <f>IF($W180="","",INDEX('Eredmény'!$AS$2:$AS$201,$W180))</f>
        <v/>
      </c>
      <c r="H180" s="14">
        <f>IF($W180="","",INDEX('Eredmény'!$AI$2:$AI$201,$W180))</f>
        <v/>
      </c>
      <c r="I180" s="14">
        <f>IF($W180="","",INDEX('Eredmény'!$AJ$2:$AJ$201,$W180))</f>
        <v/>
      </c>
      <c r="J180" s="14">
        <f>IF($W180="","",INDEX('Eredmény'!$AK$2:$AK$201,$W180))</f>
        <v/>
      </c>
      <c r="K180" s="14">
        <f>IF($W180="","",INDEX('Eredmény'!$AL$2:$AL$201,$W180))</f>
        <v/>
      </c>
      <c r="L180" s="15">
        <f>IF($W180="","",INDEX('Eredmény'!$AZ$2:$AZ$201,$W180))</f>
        <v/>
      </c>
      <c r="M180" s="15">
        <f>IF($W180="","",INDEX('Eredmény'!$BB$2:$BB$201,$W180))</f>
        <v/>
      </c>
      <c r="N180" s="15">
        <f>IF($W180="","",INDEX('Eredmény'!$BC$2:$BC$201,$W180))</f>
        <v/>
      </c>
      <c r="O180" s="16">
        <f>IF($W180="","",INDEX('Eredmény'!$BD$2:$BD$201,$W180))</f>
        <v/>
      </c>
      <c r="P180" s="13">
        <f>IF($W180="","",INDEX('Eredmény'!$BE$2:$BE$201,$W180))</f>
        <v/>
      </c>
      <c r="Q180" s="15">
        <f>IF($W180="","",INDEX('Eredmény'!$BF$2:$BF$201,$W180))</f>
        <v/>
      </c>
      <c r="R180" s="17">
        <f>IF($W180="","",INDEX('Eredmény'!$BG$2:$BG$201,$W180))</f>
        <v/>
      </c>
      <c r="S180" s="13">
        <f>IF($W180="","",INDEX('Eredmény'!$AT$2:$AT$201,$W180))</f>
        <v/>
      </c>
      <c r="T180" s="13">
        <f>IF($W180="","",INDEX('Eredmény'!$AV$2:$AV$201,$W180))</f>
        <v/>
      </c>
      <c r="U180" s="12">
        <f>IF($W180="","",INDEX('Eredmény'!$BI$2:$BI$201,$W180))</f>
        <v/>
      </c>
      <c r="W180">
        <f>IFERROR(MATCH(LARGE('Eredmény'!$DY$2:$DY$201,176),'Eredmény'!$DY$2:$DY$201,0),"")</f>
        <v/>
      </c>
    </row>
    <row r="181">
      <c r="A181" s="12">
        <f>IF($W181="","",INDEX('Eredmény'!$AO$2:$AO$201,$W181))</f>
        <v/>
      </c>
      <c r="B181" s="13">
        <f>IF($W181="","",INDEX('Eredmény'!$A$2:$A$201,$W181))</f>
        <v/>
      </c>
      <c r="C181" s="14">
        <f>IF($W181="","",INDEX('Eredmény'!$AM$2:$AM$201,$W181))</f>
        <v/>
      </c>
      <c r="D181" s="14">
        <f>IF($W181="","",INDEX('Eredmény'!$AN$2:$AN$201,$W181))</f>
        <v/>
      </c>
      <c r="E181" s="12">
        <f>IF($W181="","",INDEX('Eredmény'!$AQ$2:$AQ$201,$W181))</f>
        <v/>
      </c>
      <c r="F181" s="13">
        <f>IF($W181="","",INDEX('Eredmény'!$AR$2:$AR$201,$W181))</f>
        <v/>
      </c>
      <c r="G181" s="13">
        <f>IF($W181="","",INDEX('Eredmény'!$AS$2:$AS$201,$W181))</f>
        <v/>
      </c>
      <c r="H181" s="14">
        <f>IF($W181="","",INDEX('Eredmény'!$AI$2:$AI$201,$W181))</f>
        <v/>
      </c>
      <c r="I181" s="14">
        <f>IF($W181="","",INDEX('Eredmény'!$AJ$2:$AJ$201,$W181))</f>
        <v/>
      </c>
      <c r="J181" s="14">
        <f>IF($W181="","",INDEX('Eredmény'!$AK$2:$AK$201,$W181))</f>
        <v/>
      </c>
      <c r="K181" s="14">
        <f>IF($W181="","",INDEX('Eredmény'!$AL$2:$AL$201,$W181))</f>
        <v/>
      </c>
      <c r="L181" s="15">
        <f>IF($W181="","",INDEX('Eredmény'!$AZ$2:$AZ$201,$W181))</f>
        <v/>
      </c>
      <c r="M181" s="15">
        <f>IF($W181="","",INDEX('Eredmény'!$BB$2:$BB$201,$W181))</f>
        <v/>
      </c>
      <c r="N181" s="15">
        <f>IF($W181="","",INDEX('Eredmény'!$BC$2:$BC$201,$W181))</f>
        <v/>
      </c>
      <c r="O181" s="16">
        <f>IF($W181="","",INDEX('Eredmény'!$BD$2:$BD$201,$W181))</f>
        <v/>
      </c>
      <c r="P181" s="13">
        <f>IF($W181="","",INDEX('Eredmény'!$BE$2:$BE$201,$W181))</f>
        <v/>
      </c>
      <c r="Q181" s="15">
        <f>IF($W181="","",INDEX('Eredmény'!$BF$2:$BF$201,$W181))</f>
        <v/>
      </c>
      <c r="R181" s="17">
        <f>IF($W181="","",INDEX('Eredmény'!$BG$2:$BG$201,$W181))</f>
        <v/>
      </c>
      <c r="S181" s="13">
        <f>IF($W181="","",INDEX('Eredmény'!$AT$2:$AT$201,$W181))</f>
        <v/>
      </c>
      <c r="T181" s="13">
        <f>IF($W181="","",INDEX('Eredmény'!$AV$2:$AV$201,$W181))</f>
        <v/>
      </c>
      <c r="U181" s="12">
        <f>IF($W181="","",INDEX('Eredmény'!$BI$2:$BI$201,$W181))</f>
        <v/>
      </c>
      <c r="W181">
        <f>IFERROR(MATCH(LARGE('Eredmény'!$DY$2:$DY$201,177),'Eredmény'!$DY$2:$DY$201,0),"")</f>
        <v/>
      </c>
    </row>
    <row r="182">
      <c r="A182" s="12">
        <f>IF($W182="","",INDEX('Eredmény'!$AO$2:$AO$201,$W182))</f>
        <v/>
      </c>
      <c r="B182" s="13">
        <f>IF($W182="","",INDEX('Eredmény'!$A$2:$A$201,$W182))</f>
        <v/>
      </c>
      <c r="C182" s="14">
        <f>IF($W182="","",INDEX('Eredmény'!$AM$2:$AM$201,$W182))</f>
        <v/>
      </c>
      <c r="D182" s="14">
        <f>IF($W182="","",INDEX('Eredmény'!$AN$2:$AN$201,$W182))</f>
        <v/>
      </c>
      <c r="E182" s="12">
        <f>IF($W182="","",INDEX('Eredmény'!$AQ$2:$AQ$201,$W182))</f>
        <v/>
      </c>
      <c r="F182" s="13">
        <f>IF($W182="","",INDEX('Eredmény'!$AR$2:$AR$201,$W182))</f>
        <v/>
      </c>
      <c r="G182" s="13">
        <f>IF($W182="","",INDEX('Eredmény'!$AS$2:$AS$201,$W182))</f>
        <v/>
      </c>
      <c r="H182" s="14">
        <f>IF($W182="","",INDEX('Eredmény'!$AI$2:$AI$201,$W182))</f>
        <v/>
      </c>
      <c r="I182" s="14">
        <f>IF($W182="","",INDEX('Eredmény'!$AJ$2:$AJ$201,$W182))</f>
        <v/>
      </c>
      <c r="J182" s="14">
        <f>IF($W182="","",INDEX('Eredmény'!$AK$2:$AK$201,$W182))</f>
        <v/>
      </c>
      <c r="K182" s="14">
        <f>IF($W182="","",INDEX('Eredmény'!$AL$2:$AL$201,$W182))</f>
        <v/>
      </c>
      <c r="L182" s="15">
        <f>IF($W182="","",INDEX('Eredmény'!$AZ$2:$AZ$201,$W182))</f>
        <v/>
      </c>
      <c r="M182" s="15">
        <f>IF($W182="","",INDEX('Eredmény'!$BB$2:$BB$201,$W182))</f>
        <v/>
      </c>
      <c r="N182" s="15">
        <f>IF($W182="","",INDEX('Eredmény'!$BC$2:$BC$201,$W182))</f>
        <v/>
      </c>
      <c r="O182" s="16">
        <f>IF($W182="","",INDEX('Eredmény'!$BD$2:$BD$201,$W182))</f>
        <v/>
      </c>
      <c r="P182" s="13">
        <f>IF($W182="","",INDEX('Eredmény'!$BE$2:$BE$201,$W182))</f>
        <v/>
      </c>
      <c r="Q182" s="15">
        <f>IF($W182="","",INDEX('Eredmény'!$BF$2:$BF$201,$W182))</f>
        <v/>
      </c>
      <c r="R182" s="17">
        <f>IF($W182="","",INDEX('Eredmény'!$BG$2:$BG$201,$W182))</f>
        <v/>
      </c>
      <c r="S182" s="13">
        <f>IF($W182="","",INDEX('Eredmény'!$AT$2:$AT$201,$W182))</f>
        <v/>
      </c>
      <c r="T182" s="13">
        <f>IF($W182="","",INDEX('Eredmény'!$AV$2:$AV$201,$W182))</f>
        <v/>
      </c>
      <c r="U182" s="12">
        <f>IF($W182="","",INDEX('Eredmény'!$BI$2:$BI$201,$W182))</f>
        <v/>
      </c>
      <c r="W182">
        <f>IFERROR(MATCH(LARGE('Eredmény'!$DY$2:$DY$201,178),'Eredmény'!$DY$2:$DY$201,0),"")</f>
        <v/>
      </c>
    </row>
    <row r="183">
      <c r="A183" s="12">
        <f>IF($W183="","",INDEX('Eredmény'!$AO$2:$AO$201,$W183))</f>
        <v/>
      </c>
      <c r="B183" s="13">
        <f>IF($W183="","",INDEX('Eredmény'!$A$2:$A$201,$W183))</f>
        <v/>
      </c>
      <c r="C183" s="14">
        <f>IF($W183="","",INDEX('Eredmény'!$AM$2:$AM$201,$W183))</f>
        <v/>
      </c>
      <c r="D183" s="14">
        <f>IF($W183="","",INDEX('Eredmény'!$AN$2:$AN$201,$W183))</f>
        <v/>
      </c>
      <c r="E183" s="12">
        <f>IF($W183="","",INDEX('Eredmény'!$AQ$2:$AQ$201,$W183))</f>
        <v/>
      </c>
      <c r="F183" s="13">
        <f>IF($W183="","",INDEX('Eredmény'!$AR$2:$AR$201,$W183))</f>
        <v/>
      </c>
      <c r="G183" s="13">
        <f>IF($W183="","",INDEX('Eredmény'!$AS$2:$AS$201,$W183))</f>
        <v/>
      </c>
      <c r="H183" s="14">
        <f>IF($W183="","",INDEX('Eredmény'!$AI$2:$AI$201,$W183))</f>
        <v/>
      </c>
      <c r="I183" s="14">
        <f>IF($W183="","",INDEX('Eredmény'!$AJ$2:$AJ$201,$W183))</f>
        <v/>
      </c>
      <c r="J183" s="14">
        <f>IF($W183="","",INDEX('Eredmény'!$AK$2:$AK$201,$W183))</f>
        <v/>
      </c>
      <c r="K183" s="14">
        <f>IF($W183="","",INDEX('Eredmény'!$AL$2:$AL$201,$W183))</f>
        <v/>
      </c>
      <c r="L183" s="15">
        <f>IF($W183="","",INDEX('Eredmény'!$AZ$2:$AZ$201,$W183))</f>
        <v/>
      </c>
      <c r="M183" s="15">
        <f>IF($W183="","",INDEX('Eredmény'!$BB$2:$BB$201,$W183))</f>
        <v/>
      </c>
      <c r="N183" s="15">
        <f>IF($W183="","",INDEX('Eredmény'!$BC$2:$BC$201,$W183))</f>
        <v/>
      </c>
      <c r="O183" s="16">
        <f>IF($W183="","",INDEX('Eredmény'!$BD$2:$BD$201,$W183))</f>
        <v/>
      </c>
      <c r="P183" s="13">
        <f>IF($W183="","",INDEX('Eredmény'!$BE$2:$BE$201,$W183))</f>
        <v/>
      </c>
      <c r="Q183" s="15">
        <f>IF($W183="","",INDEX('Eredmény'!$BF$2:$BF$201,$W183))</f>
        <v/>
      </c>
      <c r="R183" s="17">
        <f>IF($W183="","",INDEX('Eredmény'!$BG$2:$BG$201,$W183))</f>
        <v/>
      </c>
      <c r="S183" s="13">
        <f>IF($W183="","",INDEX('Eredmény'!$AT$2:$AT$201,$W183))</f>
        <v/>
      </c>
      <c r="T183" s="13">
        <f>IF($W183="","",INDEX('Eredmény'!$AV$2:$AV$201,$W183))</f>
        <v/>
      </c>
      <c r="U183" s="12">
        <f>IF($W183="","",INDEX('Eredmény'!$BI$2:$BI$201,$W183))</f>
        <v/>
      </c>
      <c r="W183">
        <f>IFERROR(MATCH(LARGE('Eredmény'!$DY$2:$DY$201,179),'Eredmény'!$DY$2:$DY$201,0),"")</f>
        <v/>
      </c>
    </row>
    <row r="184">
      <c r="A184" s="12">
        <f>IF($W184="","",INDEX('Eredmény'!$AO$2:$AO$201,$W184))</f>
        <v/>
      </c>
      <c r="B184" s="13">
        <f>IF($W184="","",INDEX('Eredmény'!$A$2:$A$201,$W184))</f>
        <v/>
      </c>
      <c r="C184" s="14">
        <f>IF($W184="","",INDEX('Eredmény'!$AM$2:$AM$201,$W184))</f>
        <v/>
      </c>
      <c r="D184" s="14">
        <f>IF($W184="","",INDEX('Eredmény'!$AN$2:$AN$201,$W184))</f>
        <v/>
      </c>
      <c r="E184" s="12">
        <f>IF($W184="","",INDEX('Eredmény'!$AQ$2:$AQ$201,$W184))</f>
        <v/>
      </c>
      <c r="F184" s="13">
        <f>IF($W184="","",INDEX('Eredmény'!$AR$2:$AR$201,$W184))</f>
        <v/>
      </c>
      <c r="G184" s="13">
        <f>IF($W184="","",INDEX('Eredmény'!$AS$2:$AS$201,$W184))</f>
        <v/>
      </c>
      <c r="H184" s="14">
        <f>IF($W184="","",INDEX('Eredmény'!$AI$2:$AI$201,$W184))</f>
        <v/>
      </c>
      <c r="I184" s="14">
        <f>IF($W184="","",INDEX('Eredmény'!$AJ$2:$AJ$201,$W184))</f>
        <v/>
      </c>
      <c r="J184" s="14">
        <f>IF($W184="","",INDEX('Eredmény'!$AK$2:$AK$201,$W184))</f>
        <v/>
      </c>
      <c r="K184" s="14">
        <f>IF($W184="","",INDEX('Eredmény'!$AL$2:$AL$201,$W184))</f>
        <v/>
      </c>
      <c r="L184" s="15">
        <f>IF($W184="","",INDEX('Eredmény'!$AZ$2:$AZ$201,$W184))</f>
        <v/>
      </c>
      <c r="M184" s="15">
        <f>IF($W184="","",INDEX('Eredmény'!$BB$2:$BB$201,$W184))</f>
        <v/>
      </c>
      <c r="N184" s="15">
        <f>IF($W184="","",INDEX('Eredmény'!$BC$2:$BC$201,$W184))</f>
        <v/>
      </c>
      <c r="O184" s="16">
        <f>IF($W184="","",INDEX('Eredmény'!$BD$2:$BD$201,$W184))</f>
        <v/>
      </c>
      <c r="P184" s="13">
        <f>IF($W184="","",INDEX('Eredmény'!$BE$2:$BE$201,$W184))</f>
        <v/>
      </c>
      <c r="Q184" s="15">
        <f>IF($W184="","",INDEX('Eredmény'!$BF$2:$BF$201,$W184))</f>
        <v/>
      </c>
      <c r="R184" s="17">
        <f>IF($W184="","",INDEX('Eredmény'!$BG$2:$BG$201,$W184))</f>
        <v/>
      </c>
      <c r="S184" s="13">
        <f>IF($W184="","",INDEX('Eredmény'!$AT$2:$AT$201,$W184))</f>
        <v/>
      </c>
      <c r="T184" s="13">
        <f>IF($W184="","",INDEX('Eredmény'!$AV$2:$AV$201,$W184))</f>
        <v/>
      </c>
      <c r="U184" s="12">
        <f>IF($W184="","",INDEX('Eredmény'!$BI$2:$BI$201,$W184))</f>
        <v/>
      </c>
      <c r="W184">
        <f>IFERROR(MATCH(LARGE('Eredmény'!$DY$2:$DY$201,180),'Eredmény'!$DY$2:$DY$201,0),"")</f>
        <v/>
      </c>
    </row>
    <row r="185">
      <c r="A185" s="12">
        <f>IF($W185="","",INDEX('Eredmény'!$AO$2:$AO$201,$W185))</f>
        <v/>
      </c>
      <c r="B185" s="13">
        <f>IF($W185="","",INDEX('Eredmény'!$A$2:$A$201,$W185))</f>
        <v/>
      </c>
      <c r="C185" s="14">
        <f>IF($W185="","",INDEX('Eredmény'!$AM$2:$AM$201,$W185))</f>
        <v/>
      </c>
      <c r="D185" s="14">
        <f>IF($W185="","",INDEX('Eredmény'!$AN$2:$AN$201,$W185))</f>
        <v/>
      </c>
      <c r="E185" s="12">
        <f>IF($W185="","",INDEX('Eredmény'!$AQ$2:$AQ$201,$W185))</f>
        <v/>
      </c>
      <c r="F185" s="13">
        <f>IF($W185="","",INDEX('Eredmény'!$AR$2:$AR$201,$W185))</f>
        <v/>
      </c>
      <c r="G185" s="13">
        <f>IF($W185="","",INDEX('Eredmény'!$AS$2:$AS$201,$W185))</f>
        <v/>
      </c>
      <c r="H185" s="14">
        <f>IF($W185="","",INDEX('Eredmény'!$AI$2:$AI$201,$W185))</f>
        <v/>
      </c>
      <c r="I185" s="14">
        <f>IF($W185="","",INDEX('Eredmény'!$AJ$2:$AJ$201,$W185))</f>
        <v/>
      </c>
      <c r="J185" s="14">
        <f>IF($W185="","",INDEX('Eredmény'!$AK$2:$AK$201,$W185))</f>
        <v/>
      </c>
      <c r="K185" s="14">
        <f>IF($W185="","",INDEX('Eredmény'!$AL$2:$AL$201,$W185))</f>
        <v/>
      </c>
      <c r="L185" s="15">
        <f>IF($W185="","",INDEX('Eredmény'!$AZ$2:$AZ$201,$W185))</f>
        <v/>
      </c>
      <c r="M185" s="15">
        <f>IF($W185="","",INDEX('Eredmény'!$BB$2:$BB$201,$W185))</f>
        <v/>
      </c>
      <c r="N185" s="15">
        <f>IF($W185="","",INDEX('Eredmény'!$BC$2:$BC$201,$W185))</f>
        <v/>
      </c>
      <c r="O185" s="16">
        <f>IF($W185="","",INDEX('Eredmény'!$BD$2:$BD$201,$W185))</f>
        <v/>
      </c>
      <c r="P185" s="13">
        <f>IF($W185="","",INDEX('Eredmény'!$BE$2:$BE$201,$W185))</f>
        <v/>
      </c>
      <c r="Q185" s="15">
        <f>IF($W185="","",INDEX('Eredmény'!$BF$2:$BF$201,$W185))</f>
        <v/>
      </c>
      <c r="R185" s="17">
        <f>IF($W185="","",INDEX('Eredmény'!$BG$2:$BG$201,$W185))</f>
        <v/>
      </c>
      <c r="S185" s="13">
        <f>IF($W185="","",INDEX('Eredmény'!$AT$2:$AT$201,$W185))</f>
        <v/>
      </c>
      <c r="T185" s="13">
        <f>IF($W185="","",INDEX('Eredmény'!$AV$2:$AV$201,$W185))</f>
        <v/>
      </c>
      <c r="U185" s="12">
        <f>IF($W185="","",INDEX('Eredmény'!$BI$2:$BI$201,$W185))</f>
        <v/>
      </c>
      <c r="W185">
        <f>IFERROR(MATCH(LARGE('Eredmény'!$DY$2:$DY$201,181),'Eredmény'!$DY$2:$DY$201,0),"")</f>
        <v/>
      </c>
    </row>
    <row r="186">
      <c r="A186" s="12">
        <f>IF($W186="","",INDEX('Eredmény'!$AO$2:$AO$201,$W186))</f>
        <v/>
      </c>
      <c r="B186" s="13">
        <f>IF($W186="","",INDEX('Eredmény'!$A$2:$A$201,$W186))</f>
        <v/>
      </c>
      <c r="C186" s="14">
        <f>IF($W186="","",INDEX('Eredmény'!$AM$2:$AM$201,$W186))</f>
        <v/>
      </c>
      <c r="D186" s="14">
        <f>IF($W186="","",INDEX('Eredmény'!$AN$2:$AN$201,$W186))</f>
        <v/>
      </c>
      <c r="E186" s="12">
        <f>IF($W186="","",INDEX('Eredmény'!$AQ$2:$AQ$201,$W186))</f>
        <v/>
      </c>
      <c r="F186" s="13">
        <f>IF($W186="","",INDEX('Eredmény'!$AR$2:$AR$201,$W186))</f>
        <v/>
      </c>
      <c r="G186" s="13">
        <f>IF($W186="","",INDEX('Eredmény'!$AS$2:$AS$201,$W186))</f>
        <v/>
      </c>
      <c r="H186" s="14">
        <f>IF($W186="","",INDEX('Eredmény'!$AI$2:$AI$201,$W186))</f>
        <v/>
      </c>
      <c r="I186" s="14">
        <f>IF($W186="","",INDEX('Eredmény'!$AJ$2:$AJ$201,$W186))</f>
        <v/>
      </c>
      <c r="J186" s="14">
        <f>IF($W186="","",INDEX('Eredmény'!$AK$2:$AK$201,$W186))</f>
        <v/>
      </c>
      <c r="K186" s="14">
        <f>IF($W186="","",INDEX('Eredmény'!$AL$2:$AL$201,$W186))</f>
        <v/>
      </c>
      <c r="L186" s="15">
        <f>IF($W186="","",INDEX('Eredmény'!$AZ$2:$AZ$201,$W186))</f>
        <v/>
      </c>
      <c r="M186" s="15">
        <f>IF($W186="","",INDEX('Eredmény'!$BB$2:$BB$201,$W186))</f>
        <v/>
      </c>
      <c r="N186" s="15">
        <f>IF($W186="","",INDEX('Eredmény'!$BC$2:$BC$201,$W186))</f>
        <v/>
      </c>
      <c r="O186" s="16">
        <f>IF($W186="","",INDEX('Eredmény'!$BD$2:$BD$201,$W186))</f>
        <v/>
      </c>
      <c r="P186" s="13">
        <f>IF($W186="","",INDEX('Eredmény'!$BE$2:$BE$201,$W186))</f>
        <v/>
      </c>
      <c r="Q186" s="15">
        <f>IF($W186="","",INDEX('Eredmény'!$BF$2:$BF$201,$W186))</f>
        <v/>
      </c>
      <c r="R186" s="17">
        <f>IF($W186="","",INDEX('Eredmény'!$BG$2:$BG$201,$W186))</f>
        <v/>
      </c>
      <c r="S186" s="13">
        <f>IF($W186="","",INDEX('Eredmény'!$AT$2:$AT$201,$W186))</f>
        <v/>
      </c>
      <c r="T186" s="13">
        <f>IF($W186="","",INDEX('Eredmény'!$AV$2:$AV$201,$W186))</f>
        <v/>
      </c>
      <c r="U186" s="12">
        <f>IF($W186="","",INDEX('Eredmény'!$BI$2:$BI$201,$W186))</f>
        <v/>
      </c>
      <c r="W186">
        <f>IFERROR(MATCH(LARGE('Eredmény'!$DY$2:$DY$201,182),'Eredmény'!$DY$2:$DY$201,0),"")</f>
        <v/>
      </c>
    </row>
    <row r="187">
      <c r="A187" s="12">
        <f>IF($W187="","",INDEX('Eredmény'!$AO$2:$AO$201,$W187))</f>
        <v/>
      </c>
      <c r="B187" s="13">
        <f>IF($W187="","",INDEX('Eredmény'!$A$2:$A$201,$W187))</f>
        <v/>
      </c>
      <c r="C187" s="14">
        <f>IF($W187="","",INDEX('Eredmény'!$AM$2:$AM$201,$W187))</f>
        <v/>
      </c>
      <c r="D187" s="14">
        <f>IF($W187="","",INDEX('Eredmény'!$AN$2:$AN$201,$W187))</f>
        <v/>
      </c>
      <c r="E187" s="12">
        <f>IF($W187="","",INDEX('Eredmény'!$AQ$2:$AQ$201,$W187))</f>
        <v/>
      </c>
      <c r="F187" s="13">
        <f>IF($W187="","",INDEX('Eredmény'!$AR$2:$AR$201,$W187))</f>
        <v/>
      </c>
      <c r="G187" s="13">
        <f>IF($W187="","",INDEX('Eredmény'!$AS$2:$AS$201,$W187))</f>
        <v/>
      </c>
      <c r="H187" s="14">
        <f>IF($W187="","",INDEX('Eredmény'!$AI$2:$AI$201,$W187))</f>
        <v/>
      </c>
      <c r="I187" s="14">
        <f>IF($W187="","",INDEX('Eredmény'!$AJ$2:$AJ$201,$W187))</f>
        <v/>
      </c>
      <c r="J187" s="14">
        <f>IF($W187="","",INDEX('Eredmény'!$AK$2:$AK$201,$W187))</f>
        <v/>
      </c>
      <c r="K187" s="14">
        <f>IF($W187="","",INDEX('Eredmény'!$AL$2:$AL$201,$W187))</f>
        <v/>
      </c>
      <c r="L187" s="15">
        <f>IF($W187="","",INDEX('Eredmény'!$AZ$2:$AZ$201,$W187))</f>
        <v/>
      </c>
      <c r="M187" s="15">
        <f>IF($W187="","",INDEX('Eredmény'!$BB$2:$BB$201,$W187))</f>
        <v/>
      </c>
      <c r="N187" s="15">
        <f>IF($W187="","",INDEX('Eredmény'!$BC$2:$BC$201,$W187))</f>
        <v/>
      </c>
      <c r="O187" s="16">
        <f>IF($W187="","",INDEX('Eredmény'!$BD$2:$BD$201,$W187))</f>
        <v/>
      </c>
      <c r="P187" s="13">
        <f>IF($W187="","",INDEX('Eredmény'!$BE$2:$BE$201,$W187))</f>
        <v/>
      </c>
      <c r="Q187" s="15">
        <f>IF($W187="","",INDEX('Eredmény'!$BF$2:$BF$201,$W187))</f>
        <v/>
      </c>
      <c r="R187" s="17">
        <f>IF($W187="","",INDEX('Eredmény'!$BG$2:$BG$201,$W187))</f>
        <v/>
      </c>
      <c r="S187" s="13">
        <f>IF($W187="","",INDEX('Eredmény'!$AT$2:$AT$201,$W187))</f>
        <v/>
      </c>
      <c r="T187" s="13">
        <f>IF($W187="","",INDEX('Eredmény'!$AV$2:$AV$201,$W187))</f>
        <v/>
      </c>
      <c r="U187" s="12">
        <f>IF($W187="","",INDEX('Eredmény'!$BI$2:$BI$201,$W187))</f>
        <v/>
      </c>
      <c r="W187">
        <f>IFERROR(MATCH(LARGE('Eredmény'!$DY$2:$DY$201,183),'Eredmény'!$DY$2:$DY$201,0),"")</f>
        <v/>
      </c>
    </row>
    <row r="188">
      <c r="A188" s="12">
        <f>IF($W188="","",INDEX('Eredmény'!$AO$2:$AO$201,$W188))</f>
        <v/>
      </c>
      <c r="B188" s="13">
        <f>IF($W188="","",INDEX('Eredmény'!$A$2:$A$201,$W188))</f>
        <v/>
      </c>
      <c r="C188" s="14">
        <f>IF($W188="","",INDEX('Eredmény'!$AM$2:$AM$201,$W188))</f>
        <v/>
      </c>
      <c r="D188" s="14">
        <f>IF($W188="","",INDEX('Eredmény'!$AN$2:$AN$201,$W188))</f>
        <v/>
      </c>
      <c r="E188" s="12">
        <f>IF($W188="","",INDEX('Eredmény'!$AQ$2:$AQ$201,$W188))</f>
        <v/>
      </c>
      <c r="F188" s="13">
        <f>IF($W188="","",INDEX('Eredmény'!$AR$2:$AR$201,$W188))</f>
        <v/>
      </c>
      <c r="G188" s="13">
        <f>IF($W188="","",INDEX('Eredmény'!$AS$2:$AS$201,$W188))</f>
        <v/>
      </c>
      <c r="H188" s="14">
        <f>IF($W188="","",INDEX('Eredmény'!$AI$2:$AI$201,$W188))</f>
        <v/>
      </c>
      <c r="I188" s="14">
        <f>IF($W188="","",INDEX('Eredmény'!$AJ$2:$AJ$201,$W188))</f>
        <v/>
      </c>
      <c r="J188" s="14">
        <f>IF($W188="","",INDEX('Eredmény'!$AK$2:$AK$201,$W188))</f>
        <v/>
      </c>
      <c r="K188" s="14">
        <f>IF($W188="","",INDEX('Eredmény'!$AL$2:$AL$201,$W188))</f>
        <v/>
      </c>
      <c r="L188" s="15">
        <f>IF($W188="","",INDEX('Eredmény'!$AZ$2:$AZ$201,$W188))</f>
        <v/>
      </c>
      <c r="M188" s="15">
        <f>IF($W188="","",INDEX('Eredmény'!$BB$2:$BB$201,$W188))</f>
        <v/>
      </c>
      <c r="N188" s="15">
        <f>IF($W188="","",INDEX('Eredmény'!$BC$2:$BC$201,$W188))</f>
        <v/>
      </c>
      <c r="O188" s="16">
        <f>IF($W188="","",INDEX('Eredmény'!$BD$2:$BD$201,$W188))</f>
        <v/>
      </c>
      <c r="P188" s="13">
        <f>IF($W188="","",INDEX('Eredmény'!$BE$2:$BE$201,$W188))</f>
        <v/>
      </c>
      <c r="Q188" s="15">
        <f>IF($W188="","",INDEX('Eredmény'!$BF$2:$BF$201,$W188))</f>
        <v/>
      </c>
      <c r="R188" s="17">
        <f>IF($W188="","",INDEX('Eredmény'!$BG$2:$BG$201,$W188))</f>
        <v/>
      </c>
      <c r="S188" s="13">
        <f>IF($W188="","",INDEX('Eredmény'!$AT$2:$AT$201,$W188))</f>
        <v/>
      </c>
      <c r="T188" s="13">
        <f>IF($W188="","",INDEX('Eredmény'!$AV$2:$AV$201,$W188))</f>
        <v/>
      </c>
      <c r="U188" s="12">
        <f>IF($W188="","",INDEX('Eredmény'!$BI$2:$BI$201,$W188))</f>
        <v/>
      </c>
      <c r="W188">
        <f>IFERROR(MATCH(LARGE('Eredmény'!$DY$2:$DY$201,184),'Eredmény'!$DY$2:$DY$201,0),"")</f>
        <v/>
      </c>
    </row>
    <row r="189">
      <c r="A189" s="12">
        <f>IF($W189="","",INDEX('Eredmény'!$AO$2:$AO$201,$W189))</f>
        <v/>
      </c>
      <c r="B189" s="13">
        <f>IF($W189="","",INDEX('Eredmény'!$A$2:$A$201,$W189))</f>
        <v/>
      </c>
      <c r="C189" s="14">
        <f>IF($W189="","",INDEX('Eredmény'!$AM$2:$AM$201,$W189))</f>
        <v/>
      </c>
      <c r="D189" s="14">
        <f>IF($W189="","",INDEX('Eredmény'!$AN$2:$AN$201,$W189))</f>
        <v/>
      </c>
      <c r="E189" s="12">
        <f>IF($W189="","",INDEX('Eredmény'!$AQ$2:$AQ$201,$W189))</f>
        <v/>
      </c>
      <c r="F189" s="13">
        <f>IF($W189="","",INDEX('Eredmény'!$AR$2:$AR$201,$W189))</f>
        <v/>
      </c>
      <c r="G189" s="13">
        <f>IF($W189="","",INDEX('Eredmény'!$AS$2:$AS$201,$W189))</f>
        <v/>
      </c>
      <c r="H189" s="14">
        <f>IF($W189="","",INDEX('Eredmény'!$AI$2:$AI$201,$W189))</f>
        <v/>
      </c>
      <c r="I189" s="14">
        <f>IF($W189="","",INDEX('Eredmény'!$AJ$2:$AJ$201,$W189))</f>
        <v/>
      </c>
      <c r="J189" s="14">
        <f>IF($W189="","",INDEX('Eredmény'!$AK$2:$AK$201,$W189))</f>
        <v/>
      </c>
      <c r="K189" s="14">
        <f>IF($W189="","",INDEX('Eredmény'!$AL$2:$AL$201,$W189))</f>
        <v/>
      </c>
      <c r="L189" s="15">
        <f>IF($W189="","",INDEX('Eredmény'!$AZ$2:$AZ$201,$W189))</f>
        <v/>
      </c>
      <c r="M189" s="15">
        <f>IF($W189="","",INDEX('Eredmény'!$BB$2:$BB$201,$W189))</f>
        <v/>
      </c>
      <c r="N189" s="15">
        <f>IF($W189="","",INDEX('Eredmény'!$BC$2:$BC$201,$W189))</f>
        <v/>
      </c>
      <c r="O189" s="16">
        <f>IF($W189="","",INDEX('Eredmény'!$BD$2:$BD$201,$W189))</f>
        <v/>
      </c>
      <c r="P189" s="13">
        <f>IF($W189="","",INDEX('Eredmény'!$BE$2:$BE$201,$W189))</f>
        <v/>
      </c>
      <c r="Q189" s="15">
        <f>IF($W189="","",INDEX('Eredmény'!$BF$2:$BF$201,$W189))</f>
        <v/>
      </c>
      <c r="R189" s="17">
        <f>IF($W189="","",INDEX('Eredmény'!$BG$2:$BG$201,$W189))</f>
        <v/>
      </c>
      <c r="S189" s="13">
        <f>IF($W189="","",INDEX('Eredmény'!$AT$2:$AT$201,$W189))</f>
        <v/>
      </c>
      <c r="T189" s="13">
        <f>IF($W189="","",INDEX('Eredmény'!$AV$2:$AV$201,$W189))</f>
        <v/>
      </c>
      <c r="U189" s="12">
        <f>IF($W189="","",INDEX('Eredmény'!$BI$2:$BI$201,$W189))</f>
        <v/>
      </c>
      <c r="W189">
        <f>IFERROR(MATCH(LARGE('Eredmény'!$DY$2:$DY$201,185),'Eredmény'!$DY$2:$DY$201,0),"")</f>
        <v/>
      </c>
    </row>
    <row r="190">
      <c r="A190" s="12">
        <f>IF($W190="","",INDEX('Eredmény'!$AO$2:$AO$201,$W190))</f>
        <v/>
      </c>
      <c r="B190" s="13">
        <f>IF($W190="","",INDEX('Eredmény'!$A$2:$A$201,$W190))</f>
        <v/>
      </c>
      <c r="C190" s="14">
        <f>IF($W190="","",INDEX('Eredmény'!$AM$2:$AM$201,$W190))</f>
        <v/>
      </c>
      <c r="D190" s="14">
        <f>IF($W190="","",INDEX('Eredmény'!$AN$2:$AN$201,$W190))</f>
        <v/>
      </c>
      <c r="E190" s="12">
        <f>IF($W190="","",INDEX('Eredmény'!$AQ$2:$AQ$201,$W190))</f>
        <v/>
      </c>
      <c r="F190" s="13">
        <f>IF($W190="","",INDEX('Eredmény'!$AR$2:$AR$201,$W190))</f>
        <v/>
      </c>
      <c r="G190" s="13">
        <f>IF($W190="","",INDEX('Eredmény'!$AS$2:$AS$201,$W190))</f>
        <v/>
      </c>
      <c r="H190" s="14">
        <f>IF($W190="","",INDEX('Eredmény'!$AI$2:$AI$201,$W190))</f>
        <v/>
      </c>
      <c r="I190" s="14">
        <f>IF($W190="","",INDEX('Eredmény'!$AJ$2:$AJ$201,$W190))</f>
        <v/>
      </c>
      <c r="J190" s="14">
        <f>IF($W190="","",INDEX('Eredmény'!$AK$2:$AK$201,$W190))</f>
        <v/>
      </c>
      <c r="K190" s="14">
        <f>IF($W190="","",INDEX('Eredmény'!$AL$2:$AL$201,$W190))</f>
        <v/>
      </c>
      <c r="L190" s="15">
        <f>IF($W190="","",INDEX('Eredmény'!$AZ$2:$AZ$201,$W190))</f>
        <v/>
      </c>
      <c r="M190" s="15">
        <f>IF($W190="","",INDEX('Eredmény'!$BB$2:$BB$201,$W190))</f>
        <v/>
      </c>
      <c r="N190" s="15">
        <f>IF($W190="","",INDEX('Eredmény'!$BC$2:$BC$201,$W190))</f>
        <v/>
      </c>
      <c r="O190" s="16">
        <f>IF($W190="","",INDEX('Eredmény'!$BD$2:$BD$201,$W190))</f>
        <v/>
      </c>
      <c r="P190" s="13">
        <f>IF($W190="","",INDEX('Eredmény'!$BE$2:$BE$201,$W190))</f>
        <v/>
      </c>
      <c r="Q190" s="15">
        <f>IF($W190="","",INDEX('Eredmény'!$BF$2:$BF$201,$W190))</f>
        <v/>
      </c>
      <c r="R190" s="17">
        <f>IF($W190="","",INDEX('Eredmény'!$BG$2:$BG$201,$W190))</f>
        <v/>
      </c>
      <c r="S190" s="13">
        <f>IF($W190="","",INDEX('Eredmény'!$AT$2:$AT$201,$W190))</f>
        <v/>
      </c>
      <c r="T190" s="13">
        <f>IF($W190="","",INDEX('Eredmény'!$AV$2:$AV$201,$W190))</f>
        <v/>
      </c>
      <c r="U190" s="12">
        <f>IF($W190="","",INDEX('Eredmény'!$BI$2:$BI$201,$W190))</f>
        <v/>
      </c>
      <c r="W190">
        <f>IFERROR(MATCH(LARGE('Eredmény'!$DY$2:$DY$201,186),'Eredmény'!$DY$2:$DY$201,0),"")</f>
        <v/>
      </c>
    </row>
    <row r="191">
      <c r="A191" s="12">
        <f>IF($W191="","",INDEX('Eredmény'!$AO$2:$AO$201,$W191))</f>
        <v/>
      </c>
      <c r="B191" s="13">
        <f>IF($W191="","",INDEX('Eredmény'!$A$2:$A$201,$W191))</f>
        <v/>
      </c>
      <c r="C191" s="14">
        <f>IF($W191="","",INDEX('Eredmény'!$AM$2:$AM$201,$W191))</f>
        <v/>
      </c>
      <c r="D191" s="14">
        <f>IF($W191="","",INDEX('Eredmény'!$AN$2:$AN$201,$W191))</f>
        <v/>
      </c>
      <c r="E191" s="12">
        <f>IF($W191="","",INDEX('Eredmény'!$AQ$2:$AQ$201,$W191))</f>
        <v/>
      </c>
      <c r="F191" s="13">
        <f>IF($W191="","",INDEX('Eredmény'!$AR$2:$AR$201,$W191))</f>
        <v/>
      </c>
      <c r="G191" s="13">
        <f>IF($W191="","",INDEX('Eredmény'!$AS$2:$AS$201,$W191))</f>
        <v/>
      </c>
      <c r="H191" s="14">
        <f>IF($W191="","",INDEX('Eredmény'!$AI$2:$AI$201,$W191))</f>
        <v/>
      </c>
      <c r="I191" s="14">
        <f>IF($W191="","",INDEX('Eredmény'!$AJ$2:$AJ$201,$W191))</f>
        <v/>
      </c>
      <c r="J191" s="14">
        <f>IF($W191="","",INDEX('Eredmény'!$AK$2:$AK$201,$W191))</f>
        <v/>
      </c>
      <c r="K191" s="14">
        <f>IF($W191="","",INDEX('Eredmény'!$AL$2:$AL$201,$W191))</f>
        <v/>
      </c>
      <c r="L191" s="15">
        <f>IF($W191="","",INDEX('Eredmény'!$AZ$2:$AZ$201,$W191))</f>
        <v/>
      </c>
      <c r="M191" s="15">
        <f>IF($W191="","",INDEX('Eredmény'!$BB$2:$BB$201,$W191))</f>
        <v/>
      </c>
      <c r="N191" s="15">
        <f>IF($W191="","",INDEX('Eredmény'!$BC$2:$BC$201,$W191))</f>
        <v/>
      </c>
      <c r="O191" s="16">
        <f>IF($W191="","",INDEX('Eredmény'!$BD$2:$BD$201,$W191))</f>
        <v/>
      </c>
      <c r="P191" s="13">
        <f>IF($W191="","",INDEX('Eredmény'!$BE$2:$BE$201,$W191))</f>
        <v/>
      </c>
      <c r="Q191" s="15">
        <f>IF($W191="","",INDEX('Eredmény'!$BF$2:$BF$201,$W191))</f>
        <v/>
      </c>
      <c r="R191" s="17">
        <f>IF($W191="","",INDEX('Eredmény'!$BG$2:$BG$201,$W191))</f>
        <v/>
      </c>
      <c r="S191" s="13">
        <f>IF($W191="","",INDEX('Eredmény'!$AT$2:$AT$201,$W191))</f>
        <v/>
      </c>
      <c r="T191" s="13">
        <f>IF($W191="","",INDEX('Eredmény'!$AV$2:$AV$201,$W191))</f>
        <v/>
      </c>
      <c r="U191" s="12">
        <f>IF($W191="","",INDEX('Eredmény'!$BI$2:$BI$201,$W191))</f>
        <v/>
      </c>
      <c r="W191">
        <f>IFERROR(MATCH(LARGE('Eredmény'!$DY$2:$DY$201,187),'Eredmény'!$DY$2:$DY$201,0),"")</f>
        <v/>
      </c>
    </row>
    <row r="192">
      <c r="A192" s="12">
        <f>IF($W192="","",INDEX('Eredmény'!$AO$2:$AO$201,$W192))</f>
        <v/>
      </c>
      <c r="B192" s="13">
        <f>IF($W192="","",INDEX('Eredmény'!$A$2:$A$201,$W192))</f>
        <v/>
      </c>
      <c r="C192" s="14">
        <f>IF($W192="","",INDEX('Eredmény'!$AM$2:$AM$201,$W192))</f>
        <v/>
      </c>
      <c r="D192" s="14">
        <f>IF($W192="","",INDEX('Eredmény'!$AN$2:$AN$201,$W192))</f>
        <v/>
      </c>
      <c r="E192" s="12">
        <f>IF($W192="","",INDEX('Eredmény'!$AQ$2:$AQ$201,$W192))</f>
        <v/>
      </c>
      <c r="F192" s="13">
        <f>IF($W192="","",INDEX('Eredmény'!$AR$2:$AR$201,$W192))</f>
        <v/>
      </c>
      <c r="G192" s="13">
        <f>IF($W192="","",INDEX('Eredmény'!$AS$2:$AS$201,$W192))</f>
        <v/>
      </c>
      <c r="H192" s="14">
        <f>IF($W192="","",INDEX('Eredmény'!$AI$2:$AI$201,$W192))</f>
        <v/>
      </c>
      <c r="I192" s="14">
        <f>IF($W192="","",INDEX('Eredmény'!$AJ$2:$AJ$201,$W192))</f>
        <v/>
      </c>
      <c r="J192" s="14">
        <f>IF($W192="","",INDEX('Eredmény'!$AK$2:$AK$201,$W192))</f>
        <v/>
      </c>
      <c r="K192" s="14">
        <f>IF($W192="","",INDEX('Eredmény'!$AL$2:$AL$201,$W192))</f>
        <v/>
      </c>
      <c r="L192" s="15">
        <f>IF($W192="","",INDEX('Eredmény'!$AZ$2:$AZ$201,$W192))</f>
        <v/>
      </c>
      <c r="M192" s="15">
        <f>IF($W192="","",INDEX('Eredmény'!$BB$2:$BB$201,$W192))</f>
        <v/>
      </c>
      <c r="N192" s="15">
        <f>IF($W192="","",INDEX('Eredmény'!$BC$2:$BC$201,$W192))</f>
        <v/>
      </c>
      <c r="O192" s="16">
        <f>IF($W192="","",INDEX('Eredmény'!$BD$2:$BD$201,$W192))</f>
        <v/>
      </c>
      <c r="P192" s="13">
        <f>IF($W192="","",INDEX('Eredmény'!$BE$2:$BE$201,$W192))</f>
        <v/>
      </c>
      <c r="Q192" s="15">
        <f>IF($W192="","",INDEX('Eredmény'!$BF$2:$BF$201,$W192))</f>
        <v/>
      </c>
      <c r="R192" s="17">
        <f>IF($W192="","",INDEX('Eredmény'!$BG$2:$BG$201,$W192))</f>
        <v/>
      </c>
      <c r="S192" s="13">
        <f>IF($W192="","",INDEX('Eredmény'!$AT$2:$AT$201,$W192))</f>
        <v/>
      </c>
      <c r="T192" s="13">
        <f>IF($W192="","",INDEX('Eredmény'!$AV$2:$AV$201,$W192))</f>
        <v/>
      </c>
      <c r="U192" s="12">
        <f>IF($W192="","",INDEX('Eredmény'!$BI$2:$BI$201,$W192))</f>
        <v/>
      </c>
      <c r="W192">
        <f>IFERROR(MATCH(LARGE('Eredmény'!$DY$2:$DY$201,188),'Eredmény'!$DY$2:$DY$201,0),"")</f>
        <v/>
      </c>
    </row>
    <row r="193">
      <c r="A193" s="12">
        <f>IF($W193="","",INDEX('Eredmény'!$AO$2:$AO$201,$W193))</f>
        <v/>
      </c>
      <c r="B193" s="13">
        <f>IF($W193="","",INDEX('Eredmény'!$A$2:$A$201,$W193))</f>
        <v/>
      </c>
      <c r="C193" s="14">
        <f>IF($W193="","",INDEX('Eredmény'!$AM$2:$AM$201,$W193))</f>
        <v/>
      </c>
      <c r="D193" s="14">
        <f>IF($W193="","",INDEX('Eredmény'!$AN$2:$AN$201,$W193))</f>
        <v/>
      </c>
      <c r="E193" s="12">
        <f>IF($W193="","",INDEX('Eredmény'!$AQ$2:$AQ$201,$W193))</f>
        <v/>
      </c>
      <c r="F193" s="13">
        <f>IF($W193="","",INDEX('Eredmény'!$AR$2:$AR$201,$W193))</f>
        <v/>
      </c>
      <c r="G193" s="13">
        <f>IF($W193="","",INDEX('Eredmény'!$AS$2:$AS$201,$W193))</f>
        <v/>
      </c>
      <c r="H193" s="14">
        <f>IF($W193="","",INDEX('Eredmény'!$AI$2:$AI$201,$W193))</f>
        <v/>
      </c>
      <c r="I193" s="14">
        <f>IF($W193="","",INDEX('Eredmény'!$AJ$2:$AJ$201,$W193))</f>
        <v/>
      </c>
      <c r="J193" s="14">
        <f>IF($W193="","",INDEX('Eredmény'!$AK$2:$AK$201,$W193))</f>
        <v/>
      </c>
      <c r="K193" s="14">
        <f>IF($W193="","",INDEX('Eredmény'!$AL$2:$AL$201,$W193))</f>
        <v/>
      </c>
      <c r="L193" s="15">
        <f>IF($W193="","",INDEX('Eredmény'!$AZ$2:$AZ$201,$W193))</f>
        <v/>
      </c>
      <c r="M193" s="15">
        <f>IF($W193="","",INDEX('Eredmény'!$BB$2:$BB$201,$W193))</f>
        <v/>
      </c>
      <c r="N193" s="15">
        <f>IF($W193="","",INDEX('Eredmény'!$BC$2:$BC$201,$W193))</f>
        <v/>
      </c>
      <c r="O193" s="16">
        <f>IF($W193="","",INDEX('Eredmény'!$BD$2:$BD$201,$W193))</f>
        <v/>
      </c>
      <c r="P193" s="13">
        <f>IF($W193="","",INDEX('Eredmény'!$BE$2:$BE$201,$W193))</f>
        <v/>
      </c>
      <c r="Q193" s="15">
        <f>IF($W193="","",INDEX('Eredmény'!$BF$2:$BF$201,$W193))</f>
        <v/>
      </c>
      <c r="R193" s="17">
        <f>IF($W193="","",INDEX('Eredmény'!$BG$2:$BG$201,$W193))</f>
        <v/>
      </c>
      <c r="S193" s="13">
        <f>IF($W193="","",INDEX('Eredmény'!$AT$2:$AT$201,$W193))</f>
        <v/>
      </c>
      <c r="T193" s="13">
        <f>IF($W193="","",INDEX('Eredmény'!$AV$2:$AV$201,$W193))</f>
        <v/>
      </c>
      <c r="U193" s="12">
        <f>IF($W193="","",INDEX('Eredmény'!$BI$2:$BI$201,$W193))</f>
        <v/>
      </c>
      <c r="W193">
        <f>IFERROR(MATCH(LARGE('Eredmény'!$DY$2:$DY$201,189),'Eredmény'!$DY$2:$DY$201,0),"")</f>
        <v/>
      </c>
    </row>
    <row r="194">
      <c r="A194" s="12">
        <f>IF($W194="","",INDEX('Eredmény'!$AO$2:$AO$201,$W194))</f>
        <v/>
      </c>
      <c r="B194" s="13">
        <f>IF($W194="","",INDEX('Eredmény'!$A$2:$A$201,$W194))</f>
        <v/>
      </c>
      <c r="C194" s="14">
        <f>IF($W194="","",INDEX('Eredmény'!$AM$2:$AM$201,$W194))</f>
        <v/>
      </c>
      <c r="D194" s="14">
        <f>IF($W194="","",INDEX('Eredmény'!$AN$2:$AN$201,$W194))</f>
        <v/>
      </c>
      <c r="E194" s="12">
        <f>IF($W194="","",INDEX('Eredmény'!$AQ$2:$AQ$201,$W194))</f>
        <v/>
      </c>
      <c r="F194" s="13">
        <f>IF($W194="","",INDEX('Eredmény'!$AR$2:$AR$201,$W194))</f>
        <v/>
      </c>
      <c r="G194" s="13">
        <f>IF($W194="","",INDEX('Eredmény'!$AS$2:$AS$201,$W194))</f>
        <v/>
      </c>
      <c r="H194" s="14">
        <f>IF($W194="","",INDEX('Eredmény'!$AI$2:$AI$201,$W194))</f>
        <v/>
      </c>
      <c r="I194" s="14">
        <f>IF($W194="","",INDEX('Eredmény'!$AJ$2:$AJ$201,$W194))</f>
        <v/>
      </c>
      <c r="J194" s="14">
        <f>IF($W194="","",INDEX('Eredmény'!$AK$2:$AK$201,$W194))</f>
        <v/>
      </c>
      <c r="K194" s="14">
        <f>IF($W194="","",INDEX('Eredmény'!$AL$2:$AL$201,$W194))</f>
        <v/>
      </c>
      <c r="L194" s="15">
        <f>IF($W194="","",INDEX('Eredmény'!$AZ$2:$AZ$201,$W194))</f>
        <v/>
      </c>
      <c r="M194" s="15">
        <f>IF($W194="","",INDEX('Eredmény'!$BB$2:$BB$201,$W194))</f>
        <v/>
      </c>
      <c r="N194" s="15">
        <f>IF($W194="","",INDEX('Eredmény'!$BC$2:$BC$201,$W194))</f>
        <v/>
      </c>
      <c r="O194" s="16">
        <f>IF($W194="","",INDEX('Eredmény'!$BD$2:$BD$201,$W194))</f>
        <v/>
      </c>
      <c r="P194" s="13">
        <f>IF($W194="","",INDEX('Eredmény'!$BE$2:$BE$201,$W194))</f>
        <v/>
      </c>
      <c r="Q194" s="15">
        <f>IF($W194="","",INDEX('Eredmény'!$BF$2:$BF$201,$W194))</f>
        <v/>
      </c>
      <c r="R194" s="17">
        <f>IF($W194="","",INDEX('Eredmény'!$BG$2:$BG$201,$W194))</f>
        <v/>
      </c>
      <c r="S194" s="13">
        <f>IF($W194="","",INDEX('Eredmény'!$AT$2:$AT$201,$W194))</f>
        <v/>
      </c>
      <c r="T194" s="13">
        <f>IF($W194="","",INDEX('Eredmény'!$AV$2:$AV$201,$W194))</f>
        <v/>
      </c>
      <c r="U194" s="12">
        <f>IF($W194="","",INDEX('Eredmény'!$BI$2:$BI$201,$W194))</f>
        <v/>
      </c>
      <c r="W194">
        <f>IFERROR(MATCH(LARGE('Eredmény'!$DY$2:$DY$201,190),'Eredmény'!$DY$2:$DY$201,0),"")</f>
        <v/>
      </c>
    </row>
    <row r="195">
      <c r="A195" s="12">
        <f>IF($W195="","",INDEX('Eredmény'!$AO$2:$AO$201,$W195))</f>
        <v/>
      </c>
      <c r="B195" s="13">
        <f>IF($W195="","",INDEX('Eredmény'!$A$2:$A$201,$W195))</f>
        <v/>
      </c>
      <c r="C195" s="14">
        <f>IF($W195="","",INDEX('Eredmény'!$AM$2:$AM$201,$W195))</f>
        <v/>
      </c>
      <c r="D195" s="14">
        <f>IF($W195="","",INDEX('Eredmény'!$AN$2:$AN$201,$W195))</f>
        <v/>
      </c>
      <c r="E195" s="12">
        <f>IF($W195="","",INDEX('Eredmény'!$AQ$2:$AQ$201,$W195))</f>
        <v/>
      </c>
      <c r="F195" s="13">
        <f>IF($W195="","",INDEX('Eredmény'!$AR$2:$AR$201,$W195))</f>
        <v/>
      </c>
      <c r="G195" s="13">
        <f>IF($W195="","",INDEX('Eredmény'!$AS$2:$AS$201,$W195))</f>
        <v/>
      </c>
      <c r="H195" s="14">
        <f>IF($W195="","",INDEX('Eredmény'!$AI$2:$AI$201,$W195))</f>
        <v/>
      </c>
      <c r="I195" s="14">
        <f>IF($W195="","",INDEX('Eredmény'!$AJ$2:$AJ$201,$W195))</f>
        <v/>
      </c>
      <c r="J195" s="14">
        <f>IF($W195="","",INDEX('Eredmény'!$AK$2:$AK$201,$W195))</f>
        <v/>
      </c>
      <c r="K195" s="14">
        <f>IF($W195="","",INDEX('Eredmény'!$AL$2:$AL$201,$W195))</f>
        <v/>
      </c>
      <c r="L195" s="15">
        <f>IF($W195="","",INDEX('Eredmény'!$AZ$2:$AZ$201,$W195))</f>
        <v/>
      </c>
      <c r="M195" s="15">
        <f>IF($W195="","",INDEX('Eredmény'!$BB$2:$BB$201,$W195))</f>
        <v/>
      </c>
      <c r="N195" s="15">
        <f>IF($W195="","",INDEX('Eredmény'!$BC$2:$BC$201,$W195))</f>
        <v/>
      </c>
      <c r="O195" s="16">
        <f>IF($W195="","",INDEX('Eredmény'!$BD$2:$BD$201,$W195))</f>
        <v/>
      </c>
      <c r="P195" s="13">
        <f>IF($W195="","",INDEX('Eredmény'!$BE$2:$BE$201,$W195))</f>
        <v/>
      </c>
      <c r="Q195" s="15">
        <f>IF($W195="","",INDEX('Eredmény'!$BF$2:$BF$201,$W195))</f>
        <v/>
      </c>
      <c r="R195" s="17">
        <f>IF($W195="","",INDEX('Eredmény'!$BG$2:$BG$201,$W195))</f>
        <v/>
      </c>
      <c r="S195" s="13">
        <f>IF($W195="","",INDEX('Eredmény'!$AT$2:$AT$201,$W195))</f>
        <v/>
      </c>
      <c r="T195" s="13">
        <f>IF($W195="","",INDEX('Eredmény'!$AV$2:$AV$201,$W195))</f>
        <v/>
      </c>
      <c r="U195" s="12">
        <f>IF($W195="","",INDEX('Eredmény'!$BI$2:$BI$201,$W195))</f>
        <v/>
      </c>
      <c r="W195">
        <f>IFERROR(MATCH(LARGE('Eredmény'!$DY$2:$DY$201,191),'Eredmény'!$DY$2:$DY$201,0),"")</f>
        <v/>
      </c>
    </row>
    <row r="196">
      <c r="A196" s="12">
        <f>IF($W196="","",INDEX('Eredmény'!$AO$2:$AO$201,$W196))</f>
        <v/>
      </c>
      <c r="B196" s="13">
        <f>IF($W196="","",INDEX('Eredmény'!$A$2:$A$201,$W196))</f>
        <v/>
      </c>
      <c r="C196" s="14">
        <f>IF($W196="","",INDEX('Eredmény'!$AM$2:$AM$201,$W196))</f>
        <v/>
      </c>
      <c r="D196" s="14">
        <f>IF($W196="","",INDEX('Eredmény'!$AN$2:$AN$201,$W196))</f>
        <v/>
      </c>
      <c r="E196" s="12">
        <f>IF($W196="","",INDEX('Eredmény'!$AQ$2:$AQ$201,$W196))</f>
        <v/>
      </c>
      <c r="F196" s="13">
        <f>IF($W196="","",INDEX('Eredmény'!$AR$2:$AR$201,$W196))</f>
        <v/>
      </c>
      <c r="G196" s="13">
        <f>IF($W196="","",INDEX('Eredmény'!$AS$2:$AS$201,$W196))</f>
        <v/>
      </c>
      <c r="H196" s="14">
        <f>IF($W196="","",INDEX('Eredmény'!$AI$2:$AI$201,$W196))</f>
        <v/>
      </c>
      <c r="I196" s="14">
        <f>IF($W196="","",INDEX('Eredmény'!$AJ$2:$AJ$201,$W196))</f>
        <v/>
      </c>
      <c r="J196" s="14">
        <f>IF($W196="","",INDEX('Eredmény'!$AK$2:$AK$201,$W196))</f>
        <v/>
      </c>
      <c r="K196" s="14">
        <f>IF($W196="","",INDEX('Eredmény'!$AL$2:$AL$201,$W196))</f>
        <v/>
      </c>
      <c r="L196" s="15">
        <f>IF($W196="","",INDEX('Eredmény'!$AZ$2:$AZ$201,$W196))</f>
        <v/>
      </c>
      <c r="M196" s="15">
        <f>IF($W196="","",INDEX('Eredmény'!$BB$2:$BB$201,$W196))</f>
        <v/>
      </c>
      <c r="N196" s="15">
        <f>IF($W196="","",INDEX('Eredmény'!$BC$2:$BC$201,$W196))</f>
        <v/>
      </c>
      <c r="O196" s="16">
        <f>IF($W196="","",INDEX('Eredmény'!$BD$2:$BD$201,$W196))</f>
        <v/>
      </c>
      <c r="P196" s="13">
        <f>IF($W196="","",INDEX('Eredmény'!$BE$2:$BE$201,$W196))</f>
        <v/>
      </c>
      <c r="Q196" s="15">
        <f>IF($W196="","",INDEX('Eredmény'!$BF$2:$BF$201,$W196))</f>
        <v/>
      </c>
      <c r="R196" s="17">
        <f>IF($W196="","",INDEX('Eredmény'!$BG$2:$BG$201,$W196))</f>
        <v/>
      </c>
      <c r="S196" s="13">
        <f>IF($W196="","",INDEX('Eredmény'!$AT$2:$AT$201,$W196))</f>
        <v/>
      </c>
      <c r="T196" s="13">
        <f>IF($W196="","",INDEX('Eredmény'!$AV$2:$AV$201,$W196))</f>
        <v/>
      </c>
      <c r="U196" s="12">
        <f>IF($W196="","",INDEX('Eredmény'!$BI$2:$BI$201,$W196))</f>
        <v/>
      </c>
      <c r="W196">
        <f>IFERROR(MATCH(LARGE('Eredmény'!$DY$2:$DY$201,192),'Eredmény'!$DY$2:$DY$201,0),"")</f>
        <v/>
      </c>
    </row>
    <row r="197">
      <c r="A197" s="12">
        <f>IF($W197="","",INDEX('Eredmény'!$AO$2:$AO$201,$W197))</f>
        <v/>
      </c>
      <c r="B197" s="13">
        <f>IF($W197="","",INDEX('Eredmény'!$A$2:$A$201,$W197))</f>
        <v/>
      </c>
      <c r="C197" s="14">
        <f>IF($W197="","",INDEX('Eredmény'!$AM$2:$AM$201,$W197))</f>
        <v/>
      </c>
      <c r="D197" s="14">
        <f>IF($W197="","",INDEX('Eredmény'!$AN$2:$AN$201,$W197))</f>
        <v/>
      </c>
      <c r="E197" s="12">
        <f>IF($W197="","",INDEX('Eredmény'!$AQ$2:$AQ$201,$W197))</f>
        <v/>
      </c>
      <c r="F197" s="13">
        <f>IF($W197="","",INDEX('Eredmény'!$AR$2:$AR$201,$W197))</f>
        <v/>
      </c>
      <c r="G197" s="13">
        <f>IF($W197="","",INDEX('Eredmény'!$AS$2:$AS$201,$W197))</f>
        <v/>
      </c>
      <c r="H197" s="14">
        <f>IF($W197="","",INDEX('Eredmény'!$AI$2:$AI$201,$W197))</f>
        <v/>
      </c>
      <c r="I197" s="14">
        <f>IF($W197="","",INDEX('Eredmény'!$AJ$2:$AJ$201,$W197))</f>
        <v/>
      </c>
      <c r="J197" s="14">
        <f>IF($W197="","",INDEX('Eredmény'!$AK$2:$AK$201,$W197))</f>
        <v/>
      </c>
      <c r="K197" s="14">
        <f>IF($W197="","",INDEX('Eredmény'!$AL$2:$AL$201,$W197))</f>
        <v/>
      </c>
      <c r="L197" s="15">
        <f>IF($W197="","",INDEX('Eredmény'!$AZ$2:$AZ$201,$W197))</f>
        <v/>
      </c>
      <c r="M197" s="15">
        <f>IF($W197="","",INDEX('Eredmény'!$BB$2:$BB$201,$W197))</f>
        <v/>
      </c>
      <c r="N197" s="15">
        <f>IF($W197="","",INDEX('Eredmény'!$BC$2:$BC$201,$W197))</f>
        <v/>
      </c>
      <c r="O197" s="16">
        <f>IF($W197="","",INDEX('Eredmény'!$BD$2:$BD$201,$W197))</f>
        <v/>
      </c>
      <c r="P197" s="13">
        <f>IF($W197="","",INDEX('Eredmény'!$BE$2:$BE$201,$W197))</f>
        <v/>
      </c>
      <c r="Q197" s="15">
        <f>IF($W197="","",INDEX('Eredmény'!$BF$2:$BF$201,$W197))</f>
        <v/>
      </c>
      <c r="R197" s="17">
        <f>IF($W197="","",INDEX('Eredmény'!$BG$2:$BG$201,$W197))</f>
        <v/>
      </c>
      <c r="S197" s="13">
        <f>IF($W197="","",INDEX('Eredmény'!$AT$2:$AT$201,$W197))</f>
        <v/>
      </c>
      <c r="T197" s="13">
        <f>IF($W197="","",INDEX('Eredmény'!$AV$2:$AV$201,$W197))</f>
        <v/>
      </c>
      <c r="U197" s="12">
        <f>IF($W197="","",INDEX('Eredmény'!$BI$2:$BI$201,$W197))</f>
        <v/>
      </c>
      <c r="W197">
        <f>IFERROR(MATCH(LARGE('Eredmény'!$DY$2:$DY$201,193),'Eredmény'!$DY$2:$DY$201,0),"")</f>
        <v/>
      </c>
    </row>
    <row r="198">
      <c r="A198" s="12">
        <f>IF($W198="","",INDEX('Eredmény'!$AO$2:$AO$201,$W198))</f>
        <v/>
      </c>
      <c r="B198" s="13">
        <f>IF($W198="","",INDEX('Eredmény'!$A$2:$A$201,$W198))</f>
        <v/>
      </c>
      <c r="C198" s="14">
        <f>IF($W198="","",INDEX('Eredmény'!$AM$2:$AM$201,$W198))</f>
        <v/>
      </c>
      <c r="D198" s="14">
        <f>IF($W198="","",INDEX('Eredmény'!$AN$2:$AN$201,$W198))</f>
        <v/>
      </c>
      <c r="E198" s="12">
        <f>IF($W198="","",INDEX('Eredmény'!$AQ$2:$AQ$201,$W198))</f>
        <v/>
      </c>
      <c r="F198" s="13">
        <f>IF($W198="","",INDEX('Eredmény'!$AR$2:$AR$201,$W198))</f>
        <v/>
      </c>
      <c r="G198" s="13">
        <f>IF($W198="","",INDEX('Eredmény'!$AS$2:$AS$201,$W198))</f>
        <v/>
      </c>
      <c r="H198" s="14">
        <f>IF($W198="","",INDEX('Eredmény'!$AI$2:$AI$201,$W198))</f>
        <v/>
      </c>
      <c r="I198" s="14">
        <f>IF($W198="","",INDEX('Eredmény'!$AJ$2:$AJ$201,$W198))</f>
        <v/>
      </c>
      <c r="J198" s="14">
        <f>IF($W198="","",INDEX('Eredmény'!$AK$2:$AK$201,$W198))</f>
        <v/>
      </c>
      <c r="K198" s="14">
        <f>IF($W198="","",INDEX('Eredmény'!$AL$2:$AL$201,$W198))</f>
        <v/>
      </c>
      <c r="L198" s="15">
        <f>IF($W198="","",INDEX('Eredmény'!$AZ$2:$AZ$201,$W198))</f>
        <v/>
      </c>
      <c r="M198" s="15">
        <f>IF($W198="","",INDEX('Eredmény'!$BB$2:$BB$201,$W198))</f>
        <v/>
      </c>
      <c r="N198" s="15">
        <f>IF($W198="","",INDEX('Eredmény'!$BC$2:$BC$201,$W198))</f>
        <v/>
      </c>
      <c r="O198" s="16">
        <f>IF($W198="","",INDEX('Eredmény'!$BD$2:$BD$201,$W198))</f>
        <v/>
      </c>
      <c r="P198" s="13">
        <f>IF($W198="","",INDEX('Eredmény'!$BE$2:$BE$201,$W198))</f>
        <v/>
      </c>
      <c r="Q198" s="15">
        <f>IF($W198="","",INDEX('Eredmény'!$BF$2:$BF$201,$W198))</f>
        <v/>
      </c>
      <c r="R198" s="17">
        <f>IF($W198="","",INDEX('Eredmény'!$BG$2:$BG$201,$W198))</f>
        <v/>
      </c>
      <c r="S198" s="13">
        <f>IF($W198="","",INDEX('Eredmény'!$AT$2:$AT$201,$W198))</f>
        <v/>
      </c>
      <c r="T198" s="13">
        <f>IF($W198="","",INDEX('Eredmény'!$AV$2:$AV$201,$W198))</f>
        <v/>
      </c>
      <c r="U198" s="12">
        <f>IF($W198="","",INDEX('Eredmény'!$BI$2:$BI$201,$W198))</f>
        <v/>
      </c>
      <c r="W198">
        <f>IFERROR(MATCH(LARGE('Eredmény'!$DY$2:$DY$201,194),'Eredmény'!$DY$2:$DY$201,0),"")</f>
        <v/>
      </c>
    </row>
    <row r="199">
      <c r="A199" s="12">
        <f>IF($W199="","",INDEX('Eredmény'!$AO$2:$AO$201,$W199))</f>
        <v/>
      </c>
      <c r="B199" s="13">
        <f>IF($W199="","",INDEX('Eredmény'!$A$2:$A$201,$W199))</f>
        <v/>
      </c>
      <c r="C199" s="14">
        <f>IF($W199="","",INDEX('Eredmény'!$AM$2:$AM$201,$W199))</f>
        <v/>
      </c>
      <c r="D199" s="14">
        <f>IF($W199="","",INDEX('Eredmény'!$AN$2:$AN$201,$W199))</f>
        <v/>
      </c>
      <c r="E199" s="12">
        <f>IF($W199="","",INDEX('Eredmény'!$AQ$2:$AQ$201,$W199))</f>
        <v/>
      </c>
      <c r="F199" s="13">
        <f>IF($W199="","",INDEX('Eredmény'!$AR$2:$AR$201,$W199))</f>
        <v/>
      </c>
      <c r="G199" s="13">
        <f>IF($W199="","",INDEX('Eredmény'!$AS$2:$AS$201,$W199))</f>
        <v/>
      </c>
      <c r="H199" s="14">
        <f>IF($W199="","",INDEX('Eredmény'!$AI$2:$AI$201,$W199))</f>
        <v/>
      </c>
      <c r="I199" s="14">
        <f>IF($W199="","",INDEX('Eredmény'!$AJ$2:$AJ$201,$W199))</f>
        <v/>
      </c>
      <c r="J199" s="14">
        <f>IF($W199="","",INDEX('Eredmény'!$AK$2:$AK$201,$W199))</f>
        <v/>
      </c>
      <c r="K199" s="14">
        <f>IF($W199="","",INDEX('Eredmény'!$AL$2:$AL$201,$W199))</f>
        <v/>
      </c>
      <c r="L199" s="15">
        <f>IF($W199="","",INDEX('Eredmény'!$AZ$2:$AZ$201,$W199))</f>
        <v/>
      </c>
      <c r="M199" s="15">
        <f>IF($W199="","",INDEX('Eredmény'!$BB$2:$BB$201,$W199))</f>
        <v/>
      </c>
      <c r="N199" s="15">
        <f>IF($W199="","",INDEX('Eredmény'!$BC$2:$BC$201,$W199))</f>
        <v/>
      </c>
      <c r="O199" s="16">
        <f>IF($W199="","",INDEX('Eredmény'!$BD$2:$BD$201,$W199))</f>
        <v/>
      </c>
      <c r="P199" s="13">
        <f>IF($W199="","",INDEX('Eredmény'!$BE$2:$BE$201,$W199))</f>
        <v/>
      </c>
      <c r="Q199" s="15">
        <f>IF($W199="","",INDEX('Eredmény'!$BF$2:$BF$201,$W199))</f>
        <v/>
      </c>
      <c r="R199" s="17">
        <f>IF($W199="","",INDEX('Eredmény'!$BG$2:$BG$201,$W199))</f>
        <v/>
      </c>
      <c r="S199" s="13">
        <f>IF($W199="","",INDEX('Eredmény'!$AT$2:$AT$201,$W199))</f>
        <v/>
      </c>
      <c r="T199" s="13">
        <f>IF($W199="","",INDEX('Eredmény'!$AV$2:$AV$201,$W199))</f>
        <v/>
      </c>
      <c r="U199" s="12">
        <f>IF($W199="","",INDEX('Eredmény'!$BI$2:$BI$201,$W199))</f>
        <v/>
      </c>
      <c r="W199">
        <f>IFERROR(MATCH(LARGE('Eredmény'!$DY$2:$DY$201,195),'Eredmény'!$DY$2:$DY$201,0),"")</f>
        <v/>
      </c>
    </row>
    <row r="200">
      <c r="A200" s="12">
        <f>IF($W200="","",INDEX('Eredmény'!$AO$2:$AO$201,$W200))</f>
        <v/>
      </c>
      <c r="B200" s="13">
        <f>IF($W200="","",INDEX('Eredmény'!$A$2:$A$201,$W200))</f>
        <v/>
      </c>
      <c r="C200" s="14">
        <f>IF($W200="","",INDEX('Eredmény'!$AM$2:$AM$201,$W200))</f>
        <v/>
      </c>
      <c r="D200" s="14">
        <f>IF($W200="","",INDEX('Eredmény'!$AN$2:$AN$201,$W200))</f>
        <v/>
      </c>
      <c r="E200" s="12">
        <f>IF($W200="","",INDEX('Eredmény'!$AQ$2:$AQ$201,$W200))</f>
        <v/>
      </c>
      <c r="F200" s="13">
        <f>IF($W200="","",INDEX('Eredmény'!$AR$2:$AR$201,$W200))</f>
        <v/>
      </c>
      <c r="G200" s="13">
        <f>IF($W200="","",INDEX('Eredmény'!$AS$2:$AS$201,$W200))</f>
        <v/>
      </c>
      <c r="H200" s="14">
        <f>IF($W200="","",INDEX('Eredmény'!$AI$2:$AI$201,$W200))</f>
        <v/>
      </c>
      <c r="I200" s="14">
        <f>IF($W200="","",INDEX('Eredmény'!$AJ$2:$AJ$201,$W200))</f>
        <v/>
      </c>
      <c r="J200" s="14">
        <f>IF($W200="","",INDEX('Eredmény'!$AK$2:$AK$201,$W200))</f>
        <v/>
      </c>
      <c r="K200" s="14">
        <f>IF($W200="","",INDEX('Eredmény'!$AL$2:$AL$201,$W200))</f>
        <v/>
      </c>
      <c r="L200" s="15">
        <f>IF($W200="","",INDEX('Eredmény'!$AZ$2:$AZ$201,$W200))</f>
        <v/>
      </c>
      <c r="M200" s="15">
        <f>IF($W200="","",INDEX('Eredmény'!$BB$2:$BB$201,$W200))</f>
        <v/>
      </c>
      <c r="N200" s="15">
        <f>IF($W200="","",INDEX('Eredmény'!$BC$2:$BC$201,$W200))</f>
        <v/>
      </c>
      <c r="O200" s="16">
        <f>IF($W200="","",INDEX('Eredmény'!$BD$2:$BD$201,$W200))</f>
        <v/>
      </c>
      <c r="P200" s="13">
        <f>IF($W200="","",INDEX('Eredmény'!$BE$2:$BE$201,$W200))</f>
        <v/>
      </c>
      <c r="Q200" s="15">
        <f>IF($W200="","",INDEX('Eredmény'!$BF$2:$BF$201,$W200))</f>
        <v/>
      </c>
      <c r="R200" s="17">
        <f>IF($W200="","",INDEX('Eredmény'!$BG$2:$BG$201,$W200))</f>
        <v/>
      </c>
      <c r="S200" s="13">
        <f>IF($W200="","",INDEX('Eredmény'!$AT$2:$AT$201,$W200))</f>
        <v/>
      </c>
      <c r="T200" s="13">
        <f>IF($W200="","",INDEX('Eredmény'!$AV$2:$AV$201,$W200))</f>
        <v/>
      </c>
      <c r="U200" s="12">
        <f>IF($W200="","",INDEX('Eredmény'!$BI$2:$BI$201,$W200))</f>
        <v/>
      </c>
      <c r="W200">
        <f>IFERROR(MATCH(LARGE('Eredmény'!$DY$2:$DY$201,196),'Eredmény'!$DY$2:$DY$201,0),"")</f>
        <v/>
      </c>
    </row>
    <row r="201">
      <c r="A201" s="12">
        <f>IF($W201="","",INDEX('Eredmény'!$AO$2:$AO$201,$W201))</f>
        <v/>
      </c>
      <c r="B201" s="13">
        <f>IF($W201="","",INDEX('Eredmény'!$A$2:$A$201,$W201))</f>
        <v/>
      </c>
      <c r="C201" s="14">
        <f>IF($W201="","",INDEX('Eredmény'!$AM$2:$AM$201,$W201))</f>
        <v/>
      </c>
      <c r="D201" s="14">
        <f>IF($W201="","",INDEX('Eredmény'!$AN$2:$AN$201,$W201))</f>
        <v/>
      </c>
      <c r="E201" s="12">
        <f>IF($W201="","",INDEX('Eredmény'!$AQ$2:$AQ$201,$W201))</f>
        <v/>
      </c>
      <c r="F201" s="13">
        <f>IF($W201="","",INDEX('Eredmény'!$AR$2:$AR$201,$W201))</f>
        <v/>
      </c>
      <c r="G201" s="13">
        <f>IF($W201="","",INDEX('Eredmény'!$AS$2:$AS$201,$W201))</f>
        <v/>
      </c>
      <c r="H201" s="14">
        <f>IF($W201="","",INDEX('Eredmény'!$AI$2:$AI$201,$W201))</f>
        <v/>
      </c>
      <c r="I201" s="14">
        <f>IF($W201="","",INDEX('Eredmény'!$AJ$2:$AJ$201,$W201))</f>
        <v/>
      </c>
      <c r="J201" s="14">
        <f>IF($W201="","",INDEX('Eredmény'!$AK$2:$AK$201,$W201))</f>
        <v/>
      </c>
      <c r="K201" s="14">
        <f>IF($W201="","",INDEX('Eredmény'!$AL$2:$AL$201,$W201))</f>
        <v/>
      </c>
      <c r="L201" s="15">
        <f>IF($W201="","",INDEX('Eredmény'!$AZ$2:$AZ$201,$W201))</f>
        <v/>
      </c>
      <c r="M201" s="15">
        <f>IF($W201="","",INDEX('Eredmény'!$BB$2:$BB$201,$W201))</f>
        <v/>
      </c>
      <c r="N201" s="15">
        <f>IF($W201="","",INDEX('Eredmény'!$BC$2:$BC$201,$W201))</f>
        <v/>
      </c>
      <c r="O201" s="16">
        <f>IF($W201="","",INDEX('Eredmény'!$BD$2:$BD$201,$W201))</f>
        <v/>
      </c>
      <c r="P201" s="13">
        <f>IF($W201="","",INDEX('Eredmény'!$BE$2:$BE$201,$W201))</f>
        <v/>
      </c>
      <c r="Q201" s="15">
        <f>IF($W201="","",INDEX('Eredmény'!$BF$2:$BF$201,$W201))</f>
        <v/>
      </c>
      <c r="R201" s="17">
        <f>IF($W201="","",INDEX('Eredmény'!$BG$2:$BG$201,$W201))</f>
        <v/>
      </c>
      <c r="S201" s="13">
        <f>IF($W201="","",INDEX('Eredmény'!$AT$2:$AT$201,$W201))</f>
        <v/>
      </c>
      <c r="T201" s="13">
        <f>IF($W201="","",INDEX('Eredmény'!$AV$2:$AV$201,$W201))</f>
        <v/>
      </c>
      <c r="U201" s="12">
        <f>IF($W201="","",INDEX('Eredmény'!$BI$2:$BI$201,$W201))</f>
        <v/>
      </c>
      <c r="W201">
        <f>IFERROR(MATCH(LARGE('Eredmény'!$DY$2:$DY$201,197),'Eredmény'!$DY$2:$DY$201,0),"")</f>
        <v/>
      </c>
    </row>
    <row r="202">
      <c r="A202" s="12">
        <f>IF($W202="","",INDEX('Eredmény'!$AO$2:$AO$201,$W202))</f>
        <v/>
      </c>
      <c r="B202" s="13">
        <f>IF($W202="","",INDEX('Eredmény'!$A$2:$A$201,$W202))</f>
        <v/>
      </c>
      <c r="C202" s="14">
        <f>IF($W202="","",INDEX('Eredmény'!$AM$2:$AM$201,$W202))</f>
        <v/>
      </c>
      <c r="D202" s="14">
        <f>IF($W202="","",INDEX('Eredmény'!$AN$2:$AN$201,$W202))</f>
        <v/>
      </c>
      <c r="E202" s="12">
        <f>IF($W202="","",INDEX('Eredmény'!$AQ$2:$AQ$201,$W202))</f>
        <v/>
      </c>
      <c r="F202" s="13">
        <f>IF($W202="","",INDEX('Eredmény'!$AR$2:$AR$201,$W202))</f>
        <v/>
      </c>
      <c r="G202" s="13">
        <f>IF($W202="","",INDEX('Eredmény'!$AS$2:$AS$201,$W202))</f>
        <v/>
      </c>
      <c r="H202" s="14">
        <f>IF($W202="","",INDEX('Eredmény'!$AI$2:$AI$201,$W202))</f>
        <v/>
      </c>
      <c r="I202" s="14">
        <f>IF($W202="","",INDEX('Eredmény'!$AJ$2:$AJ$201,$W202))</f>
        <v/>
      </c>
      <c r="J202" s="14">
        <f>IF($W202="","",INDEX('Eredmény'!$AK$2:$AK$201,$W202))</f>
        <v/>
      </c>
      <c r="K202" s="14">
        <f>IF($W202="","",INDEX('Eredmény'!$AL$2:$AL$201,$W202))</f>
        <v/>
      </c>
      <c r="L202" s="15">
        <f>IF($W202="","",INDEX('Eredmény'!$AZ$2:$AZ$201,$W202))</f>
        <v/>
      </c>
      <c r="M202" s="15">
        <f>IF($W202="","",INDEX('Eredmény'!$BB$2:$BB$201,$W202))</f>
        <v/>
      </c>
      <c r="N202" s="15">
        <f>IF($W202="","",INDEX('Eredmény'!$BC$2:$BC$201,$W202))</f>
        <v/>
      </c>
      <c r="O202" s="16">
        <f>IF($W202="","",INDEX('Eredmény'!$BD$2:$BD$201,$W202))</f>
        <v/>
      </c>
      <c r="P202" s="13">
        <f>IF($W202="","",INDEX('Eredmény'!$BE$2:$BE$201,$W202))</f>
        <v/>
      </c>
      <c r="Q202" s="15">
        <f>IF($W202="","",INDEX('Eredmény'!$BF$2:$BF$201,$W202))</f>
        <v/>
      </c>
      <c r="R202" s="17">
        <f>IF($W202="","",INDEX('Eredmény'!$BG$2:$BG$201,$W202))</f>
        <v/>
      </c>
      <c r="S202" s="13">
        <f>IF($W202="","",INDEX('Eredmény'!$AT$2:$AT$201,$W202))</f>
        <v/>
      </c>
      <c r="T202" s="13">
        <f>IF($W202="","",INDEX('Eredmény'!$AV$2:$AV$201,$W202))</f>
        <v/>
      </c>
      <c r="U202" s="12">
        <f>IF($W202="","",INDEX('Eredmény'!$BI$2:$BI$201,$W202))</f>
        <v/>
      </c>
      <c r="W202">
        <f>IFERROR(MATCH(LARGE('Eredmény'!$DY$2:$DY$201,198),'Eredmény'!$DY$2:$DY$201,0),"")</f>
        <v/>
      </c>
    </row>
    <row r="203">
      <c r="A203" s="12">
        <f>IF($W203="","",INDEX('Eredmény'!$AO$2:$AO$201,$W203))</f>
        <v/>
      </c>
      <c r="B203" s="13">
        <f>IF($W203="","",INDEX('Eredmény'!$A$2:$A$201,$W203))</f>
        <v/>
      </c>
      <c r="C203" s="14">
        <f>IF($W203="","",INDEX('Eredmény'!$AM$2:$AM$201,$W203))</f>
        <v/>
      </c>
      <c r="D203" s="14">
        <f>IF($W203="","",INDEX('Eredmény'!$AN$2:$AN$201,$W203))</f>
        <v/>
      </c>
      <c r="E203" s="12">
        <f>IF($W203="","",INDEX('Eredmény'!$AQ$2:$AQ$201,$W203))</f>
        <v/>
      </c>
      <c r="F203" s="13">
        <f>IF($W203="","",INDEX('Eredmény'!$AR$2:$AR$201,$W203))</f>
        <v/>
      </c>
      <c r="G203" s="13">
        <f>IF($W203="","",INDEX('Eredmény'!$AS$2:$AS$201,$W203))</f>
        <v/>
      </c>
      <c r="H203" s="14">
        <f>IF($W203="","",INDEX('Eredmény'!$AI$2:$AI$201,$W203))</f>
        <v/>
      </c>
      <c r="I203" s="14">
        <f>IF($W203="","",INDEX('Eredmény'!$AJ$2:$AJ$201,$W203))</f>
        <v/>
      </c>
      <c r="J203" s="14">
        <f>IF($W203="","",INDEX('Eredmény'!$AK$2:$AK$201,$W203))</f>
        <v/>
      </c>
      <c r="K203" s="14">
        <f>IF($W203="","",INDEX('Eredmény'!$AL$2:$AL$201,$W203))</f>
        <v/>
      </c>
      <c r="L203" s="15">
        <f>IF($W203="","",INDEX('Eredmény'!$AZ$2:$AZ$201,$W203))</f>
        <v/>
      </c>
      <c r="M203" s="15">
        <f>IF($W203="","",INDEX('Eredmény'!$BB$2:$BB$201,$W203))</f>
        <v/>
      </c>
      <c r="N203" s="15">
        <f>IF($W203="","",INDEX('Eredmény'!$BC$2:$BC$201,$W203))</f>
        <v/>
      </c>
      <c r="O203" s="16">
        <f>IF($W203="","",INDEX('Eredmény'!$BD$2:$BD$201,$W203))</f>
        <v/>
      </c>
      <c r="P203" s="13">
        <f>IF($W203="","",INDEX('Eredmény'!$BE$2:$BE$201,$W203))</f>
        <v/>
      </c>
      <c r="Q203" s="15">
        <f>IF($W203="","",INDEX('Eredmény'!$BF$2:$BF$201,$W203))</f>
        <v/>
      </c>
      <c r="R203" s="17">
        <f>IF($W203="","",INDEX('Eredmény'!$BG$2:$BG$201,$W203))</f>
        <v/>
      </c>
      <c r="S203" s="13">
        <f>IF($W203="","",INDEX('Eredmény'!$AT$2:$AT$201,$W203))</f>
        <v/>
      </c>
      <c r="T203" s="13">
        <f>IF($W203="","",INDEX('Eredmény'!$AV$2:$AV$201,$W203))</f>
        <v/>
      </c>
      <c r="U203" s="12">
        <f>IF($W203="","",INDEX('Eredmény'!$BI$2:$BI$201,$W203))</f>
        <v/>
      </c>
      <c r="W203">
        <f>IFERROR(MATCH(LARGE('Eredmény'!$DY$2:$DY$201,199),'Eredmény'!$DY$2:$DY$201,0),"")</f>
        <v/>
      </c>
    </row>
    <row r="204">
      <c r="A204" s="12">
        <f>IF($W204="","",INDEX('Eredmény'!$AO$2:$AO$201,$W204))</f>
        <v/>
      </c>
      <c r="B204" s="13">
        <f>IF($W204="","",INDEX('Eredmény'!$A$2:$A$201,$W204))</f>
        <v/>
      </c>
      <c r="C204" s="14">
        <f>IF($W204="","",INDEX('Eredmény'!$AM$2:$AM$201,$W204))</f>
        <v/>
      </c>
      <c r="D204" s="14">
        <f>IF($W204="","",INDEX('Eredmény'!$AN$2:$AN$201,$W204))</f>
        <v/>
      </c>
      <c r="E204" s="12">
        <f>IF($W204="","",INDEX('Eredmény'!$AQ$2:$AQ$201,$W204))</f>
        <v/>
      </c>
      <c r="F204" s="13">
        <f>IF($W204="","",INDEX('Eredmény'!$AR$2:$AR$201,$W204))</f>
        <v/>
      </c>
      <c r="G204" s="13">
        <f>IF($W204="","",INDEX('Eredmény'!$AS$2:$AS$201,$W204))</f>
        <v/>
      </c>
      <c r="H204" s="14">
        <f>IF($W204="","",INDEX('Eredmény'!$AI$2:$AI$201,$W204))</f>
        <v/>
      </c>
      <c r="I204" s="14">
        <f>IF($W204="","",INDEX('Eredmény'!$AJ$2:$AJ$201,$W204))</f>
        <v/>
      </c>
      <c r="J204" s="14">
        <f>IF($W204="","",INDEX('Eredmény'!$AK$2:$AK$201,$W204))</f>
        <v/>
      </c>
      <c r="K204" s="14">
        <f>IF($W204="","",INDEX('Eredmény'!$AL$2:$AL$201,$W204))</f>
        <v/>
      </c>
      <c r="L204" s="15">
        <f>IF($W204="","",INDEX('Eredmény'!$AZ$2:$AZ$201,$W204))</f>
        <v/>
      </c>
      <c r="M204" s="15">
        <f>IF($W204="","",INDEX('Eredmény'!$BB$2:$BB$201,$W204))</f>
        <v/>
      </c>
      <c r="N204" s="15">
        <f>IF($W204="","",INDEX('Eredmény'!$BC$2:$BC$201,$W204))</f>
        <v/>
      </c>
      <c r="O204" s="16">
        <f>IF($W204="","",INDEX('Eredmény'!$BD$2:$BD$201,$W204))</f>
        <v/>
      </c>
      <c r="P204" s="13">
        <f>IF($W204="","",INDEX('Eredmény'!$BE$2:$BE$201,$W204))</f>
        <v/>
      </c>
      <c r="Q204" s="15">
        <f>IF($W204="","",INDEX('Eredmény'!$BF$2:$BF$201,$W204))</f>
        <v/>
      </c>
      <c r="R204" s="17">
        <f>IF($W204="","",INDEX('Eredmény'!$BG$2:$BG$201,$W204))</f>
        <v/>
      </c>
      <c r="S204" s="13">
        <f>IF($W204="","",INDEX('Eredmény'!$AT$2:$AT$201,$W204))</f>
        <v/>
      </c>
      <c r="T204" s="13">
        <f>IF($W204="","",INDEX('Eredmény'!$AV$2:$AV$201,$W204))</f>
        <v/>
      </c>
      <c r="U204" s="12">
        <f>IF($W204="","",INDEX('Eredmény'!$BI$2:$BI$201,$W204))</f>
        <v/>
      </c>
      <c r="W204">
        <f>IFERROR(MATCH(LARGE('Eredmény'!$DY$2:$DY$201,200),'Eredmény'!$DY$2:$DY$201,0),"")</f>
        <v/>
      </c>
    </row>
  </sheetData>
  <conditionalFormatting sqref="E5:F204">
    <cfRule type="expression" priority="1" dxfId="0">
      <formula>$E5=1</formula>
    </cfRule>
    <cfRule type="expression" priority="2" dxfId="1">
      <formula>$E5=2</formula>
    </cfRule>
    <cfRule type="expression" priority="3" dxfId="2">
      <formula>$E5=3</formula>
    </cfRule>
    <cfRule type="expression" priority="4" dxfId="3">
      <formula>$E5=4</formula>
    </cfRule>
    <cfRule type="expression" priority="5" dxfId="4">
      <formula>$E5=5</formula>
    </cfRule>
  </conditionalFormatting>
  <conditionalFormatting sqref="G5:G204">
    <cfRule type="expression" priority="6" dxfId="5">
      <formula>G5="Elfogadjuk"</formula>
    </cfRule>
    <cfRule type="expression" priority="7" dxfId="6">
      <formula>G5="Várólista (a 4-es hely foglalt)"</formula>
    </cfRule>
    <cfRule type="expression" priority="8" dxfId="7">
      <formula>G5="Elutasítjuk"</formula>
    </cfRule>
  </conditionalFormatting>
  <conditionalFormatting sqref="C5:D204">
    <cfRule type="dataBar" priority="9">
      <dataBar>
        <cfvo type="num" val="0"/>
        <cfvo type="num" val="100"/>
        <color rgb="002E981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2" customWidth="1" min="4" max="4"/>
    <col width="18" customWidth="1" min="5" max="5"/>
  </cols>
  <sheetData>
    <row r="1">
      <c r="A1" s="11" t="inlineStr">
        <is>
          <t>Portfólió – státuszeloszlás és célok</t>
        </is>
      </c>
    </row>
    <row r="2">
      <c r="A2" t="inlineStr">
        <is>
          <t>Az arányok az elfogadott ügyfelekre vonatkoznak (az elutasított és a várólistás ügyfelek nélkül). A célok a Beállítások lapon módosíthatók.</t>
        </is>
      </c>
    </row>
    <row r="4" ht="60" customHeight="1">
      <c r="A4" s="4" t="inlineStr">
        <is>
          <t>Státusz</t>
        </is>
      </c>
      <c r="B4" s="4" t="inlineStr">
        <is>
          <t>Megnevezés</t>
        </is>
      </c>
      <c r="C4" s="4" t="inlineStr">
        <is>
          <t>Ügyfelek (db)</t>
        </is>
      </c>
      <c r="D4" s="4" t="inlineStr">
        <is>
          <t>Arány</t>
        </is>
      </c>
    </row>
    <row r="5">
      <c r="A5" t="n">
        <v>1</v>
      </c>
      <c r="B5">
        <f>'Beállítások'!$B$108</f>
        <v/>
      </c>
      <c r="C5">
        <f>COUNTIFS('Eredmény'!$AQ$2:$AQ$201,1,'Eredmény'!$AS$2:$AS$201,"Elfogadjuk")</f>
        <v/>
      </c>
      <c r="D5" s="18">
        <f>IF(C11=0,"",C5/C11)</f>
        <v/>
      </c>
    </row>
    <row r="6">
      <c r="A6" t="n">
        <v>2</v>
      </c>
      <c r="B6">
        <f>'Beállítások'!$B$109</f>
        <v/>
      </c>
      <c r="C6">
        <f>COUNTIFS('Eredmény'!$AQ$2:$AQ$201,2,'Eredmény'!$AS$2:$AS$201,"Elfogadjuk")</f>
        <v/>
      </c>
      <c r="D6" s="18">
        <f>IF(C11=0,"",C6/C11)</f>
        <v/>
      </c>
    </row>
    <row r="7">
      <c r="A7" t="n">
        <v>3</v>
      </c>
      <c r="B7">
        <f>'Beállítások'!$B$110</f>
        <v/>
      </c>
      <c r="C7">
        <f>COUNTIFS('Eredmény'!$AQ$2:$AQ$201,3,'Eredmény'!$AS$2:$AS$201,"Elfogadjuk")</f>
        <v/>
      </c>
      <c r="D7" s="18">
        <f>IF(C11=0,"",C7/C11)</f>
        <v/>
      </c>
    </row>
    <row r="8">
      <c r="A8" t="n">
        <v>4</v>
      </c>
      <c r="B8">
        <f>'Beállítások'!$B$111</f>
        <v/>
      </c>
      <c r="C8">
        <f>COUNTIFS('Eredmény'!$AQ$2:$AQ$201,4,'Eredmény'!$AS$2:$AS$201,"Elfogadjuk")</f>
        <v/>
      </c>
      <c r="D8" s="18">
        <f>IF(C11=0,"",C8/C11)</f>
        <v/>
      </c>
    </row>
    <row r="9">
      <c r="A9" t="n">
        <v>5</v>
      </c>
      <c r="B9">
        <f>'Beállítások'!$B$112</f>
        <v/>
      </c>
      <c r="C9">
        <f>COUNTIF('Eredmény'!$AQ$2:$AQ$201,5)</f>
        <v/>
      </c>
      <c r="D9" t="inlineStr">
        <is>
          <t>elutasítva</t>
        </is>
      </c>
    </row>
    <row r="11">
      <c r="B11" s="19" t="inlineStr">
        <is>
          <t>Elfogadott ügyfelek összesen</t>
        </is>
      </c>
      <c r="C11">
        <f>COUNTIF('Eredmény'!$AS$2:$AS$201,"Elfogadjuk")</f>
        <v/>
      </c>
    </row>
    <row r="12">
      <c r="B12" s="19" t="inlineStr">
        <is>
          <t>Várólistán (4-es hely foglalt)</t>
        </is>
      </c>
      <c r="C12">
        <f>COUNTIF('Eredmény'!$AS$2:$AS$201,"Várólista (a 4-es hely foglalt)")</f>
        <v/>
      </c>
    </row>
    <row r="14" ht="20" customHeight="1">
      <c r="A14" s="4" t="inlineStr"/>
      <c r="B14" s="4" t="inlineStr">
        <is>
          <t>Ellenőrzés</t>
        </is>
      </c>
      <c r="C14" s="4" t="inlineStr">
        <is>
          <t>Cél</t>
        </is>
      </c>
      <c r="D14" s="4" t="inlineStr">
        <is>
          <t>Tény</t>
        </is>
      </c>
      <c r="E14" s="4" t="inlineStr">
        <is>
          <t>Értékelés</t>
        </is>
      </c>
    </row>
    <row r="15">
      <c r="B15" t="inlineStr">
        <is>
          <t>1–2. státusz aránya</t>
        </is>
      </c>
      <c r="C15">
        <f>TEXT('Beállítások'!$B$100,"0%")&amp;"–"&amp;TEXT('Beállítások'!$B$101,"0%")</f>
        <v/>
      </c>
      <c r="D15" s="20">
        <f>IF(C11=0,"",(C5+C6)/C11)</f>
        <v/>
      </c>
      <c r="E15">
        <f>IF(D15="","—",IF(D15&lt;'Beállítások'!$B$100,"Kevesebb a célnál",IF(D15&gt;'Beállítások'!$B$101,"Több a célnál","Rendben")))</f>
        <v/>
      </c>
    </row>
    <row r="16">
      <c r="B16" t="inlineStr">
        <is>
          <t>3. státusz aránya</t>
        </is>
      </c>
      <c r="C16">
        <f>TEXT('Beállítások'!$B$102,"0%")&amp;"–"&amp;TEXT('Beállítások'!$B$103,"0%")</f>
        <v/>
      </c>
      <c r="D16" s="20">
        <f>IF(C11=0,"",C7/C11)</f>
        <v/>
      </c>
      <c r="E16">
        <f>IF(D16="","—",IF(D16&lt;'Beállítások'!$B$102,"Kevesebb a célnál",IF(D16&gt;'Beállítások'!$B$103,"Több a célnál","Rendben")))</f>
        <v/>
      </c>
    </row>
    <row r="17">
      <c r="B17" t="inlineStr">
        <is>
          <t>4. státusz (db)</t>
        </is>
      </c>
      <c r="C17">
        <f>"legfeljebb "&amp;'Beállítások'!$B$90</f>
        <v/>
      </c>
      <c r="D17">
        <f>C8</f>
        <v/>
      </c>
      <c r="E17">
        <f>IF(D17&lt;='Beállítások'!$B$90,"Rendben","Túl sok")</f>
        <v/>
      </c>
    </row>
    <row r="20">
      <c r="B20" s="21" t="inlineStr">
        <is>
          <t>Státuszok</t>
        </is>
      </c>
    </row>
    <row r="21">
      <c r="A21" t="n">
        <v>1</v>
      </c>
      <c r="B21" s="19">
        <f>'Beállítások'!$B$108</f>
        <v/>
      </c>
    </row>
    <row r="22" ht="32" customHeight="1">
      <c r="B22" s="2">
        <f>'Beállítások'!$G$108</f>
        <v/>
      </c>
    </row>
    <row r="23">
      <c r="A23" t="n">
        <v>2</v>
      </c>
      <c r="B23" s="19">
        <f>'Beállítások'!$B$109</f>
        <v/>
      </c>
    </row>
    <row r="24" ht="32" customHeight="1">
      <c r="B24" s="2">
        <f>'Beállítások'!$G$109</f>
        <v/>
      </c>
    </row>
    <row r="25">
      <c r="A25" t="n">
        <v>3</v>
      </c>
      <c r="B25" s="19">
        <f>'Beállítások'!$B$110</f>
        <v/>
      </c>
    </row>
    <row r="26" ht="32" customHeight="1">
      <c r="B26" s="2">
        <f>'Beállítások'!$G$110</f>
        <v/>
      </c>
    </row>
    <row r="27">
      <c r="A27" t="n">
        <v>4</v>
      </c>
      <c r="B27" s="19">
        <f>'Beállítások'!$B$111</f>
        <v/>
      </c>
    </row>
    <row r="28" ht="32" customHeight="1">
      <c r="B28" s="2">
        <f>'Beállítások'!$G$111</f>
        <v/>
      </c>
    </row>
    <row r="29">
      <c r="A29" t="n">
        <v>5</v>
      </c>
      <c r="B29" s="19">
        <f>'Beállítások'!$B$112</f>
        <v/>
      </c>
    </row>
    <row r="30" ht="32" customHeight="1">
      <c r="B30" s="2">
        <f>'Beállítások'!$G$112</f>
        <v/>
      </c>
    </row>
  </sheetData>
  <mergeCells count="5">
    <mergeCell ref="B26:E26"/>
    <mergeCell ref="B30:E30"/>
    <mergeCell ref="B24:E24"/>
    <mergeCell ref="B28:E28"/>
    <mergeCell ref="B22:E22"/>
  </mergeCells>
  <conditionalFormatting sqref="A5:B9">
    <cfRule type="expression" priority="1" dxfId="0">
      <formula>$A5=1</formula>
    </cfRule>
    <cfRule type="expression" priority="2" dxfId="1">
      <formula>$A5=2</formula>
    </cfRule>
    <cfRule type="expression" priority="3" dxfId="2">
      <formula>$A5=3</formula>
    </cfRule>
    <cfRule type="expression" priority="4" dxfId="3">
      <formula>$A5=4</formula>
    </cfRule>
    <cfRule type="expression" priority="5" dxfId="4">
      <formula>$A5=5</formula>
    </cfRule>
  </conditionalFormatting>
  <conditionalFormatting sqref="E15:E17">
    <cfRule type="expression" priority="6" dxfId="5">
      <formula>E15="Rendben"</formula>
    </cfRule>
    <cfRule type="expression" priority="7" dxfId="7">
      <formula>AND(E15&lt;&gt;"Rendben",E15&lt;&gt;"—")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34F6C"/>
    <outlinePr summaryBelow="1" summaryRight="1"/>
    <pageSetUpPr/>
  </sheetPr>
  <dimension ref="A1:DY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7" customWidth="1" min="35" max="35"/>
    <col width="17" customWidth="1" min="36" max="36"/>
    <col width="17" customWidth="1" min="37" max="37"/>
    <col width="17" customWidth="1" min="38" max="38"/>
    <col width="12" customWidth="1" min="39" max="39"/>
    <col width="12" customWidth="1" min="40" max="40"/>
    <col width="7" customWidth="1" min="41" max="41"/>
    <col width="10" customWidth="1" min="42" max="42"/>
    <col width="8" customWidth="1" min="43" max="43"/>
    <col width="30" customWidth="1" min="44" max="44"/>
    <col width="18" customWidth="1" min="45" max="45"/>
    <col width="34" customWidth="1" min="46" max="46"/>
    <col width="24" customWidth="1" min="47" max="47"/>
    <col width="24" customWidth="1" min="48" max="48"/>
    <col width="14" customWidth="1" min="49" max="49"/>
    <col width="10" customWidth="1" min="50" max="50"/>
    <col width="15" customWidth="1" min="51" max="51"/>
    <col width="15" customWidth="1" min="52" max="52"/>
    <col width="24" customWidth="1" min="53" max="53"/>
    <col width="14" customWidth="1" min="54" max="54"/>
    <col width="13" customWidth="1" min="55" max="55"/>
    <col width="10" customWidth="1" min="56" max="56"/>
    <col width="11" customWidth="1" min="57" max="57"/>
    <col width="15" customWidth="1" min="58" max="58"/>
    <col width="11" customWidth="1" min="59" max="59"/>
    <col width="15" customWidth="1" min="60" max="60"/>
    <col width="10" customWidth="1" min="61" max="61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</cols>
  <sheetData>
    <row r="1" ht="60" customHeight="1">
      <c r="A1" s="4" t="inlineStr">
        <is>
          <t>Ügyfél</t>
        </is>
      </c>
      <c r="B1" s="5" t="inlineStr">
        <is>
          <t>Értékalapú szegmens</t>
        </is>
      </c>
      <c r="C1" s="5" t="inlineStr">
        <is>
          <t>Felelősség, fenntarthatóság</t>
        </is>
      </c>
      <c r="D1" s="6" t="inlineStr">
        <is>
          <t>Sürgősség</t>
        </is>
      </c>
      <c r="E1" s="6" t="inlineStr">
        <is>
          <t>A piac mérete</t>
        </is>
      </c>
      <c r="F1" s="6" t="inlineStr">
        <is>
          <t>Árazási potenciál</t>
        </is>
      </c>
      <c r="G1" s="6" t="inlineStr">
        <is>
          <t>Vásárlószerzés költsége</t>
        </is>
      </c>
      <c r="H1" s="6" t="inlineStr">
        <is>
          <t>Leszállítás költsége</t>
        </is>
      </c>
      <c r="I1" s="6" t="inlineStr">
        <is>
          <t>Egyediség, egyedi tulajdonság</t>
        </is>
      </c>
      <c r="J1" s="6" t="inlineStr">
        <is>
          <t>A piac gyorsasága</t>
        </is>
      </c>
      <c r="K1" s="6" t="inlineStr">
        <is>
          <t>Befektetési igény</t>
        </is>
      </c>
      <c r="L1" s="6" t="inlineStr">
        <is>
          <t>Upsell-potenciál</t>
        </is>
      </c>
      <c r="M1" s="6" t="inlineStr">
        <is>
          <t>Örökzöld potenciál</t>
        </is>
      </c>
      <c r="N1" s="6" t="inlineStr">
        <is>
          <t>Látványos demonstrálhatóság</t>
        </is>
      </c>
      <c r="O1" s="6" t="inlineStr">
        <is>
          <t>Dizájn, vonzó megjelenés</t>
        </is>
      </c>
      <c r="P1" s="6" t="inlineStr">
        <is>
          <t>Egyszerű használat</t>
        </is>
      </c>
      <c r="Q1" s="6" t="inlineStr">
        <is>
          <t>Problémát old meg</t>
        </is>
      </c>
      <c r="R1" s="6" t="inlineStr">
        <is>
          <t>Újdonság</t>
        </is>
      </c>
      <c r="S1" s="7" t="inlineStr">
        <is>
          <t>Iparági illeszkedés</t>
        </is>
      </c>
      <c r="T1" s="7" t="inlineStr">
        <is>
          <t>Éves árbevétel</t>
        </is>
      </c>
      <c r="U1" s="7" t="inlineStr">
        <is>
          <t>Havi hirdetési keret</t>
        </is>
      </c>
      <c r="V1" s="7" t="inlineStr">
        <is>
          <t>Marketing-érettség</t>
        </is>
      </c>
      <c r="W1" s="7" t="inlineStr">
        <is>
          <t>Jelenlegi ROAS</t>
        </is>
      </c>
      <c r="X1" s="7" t="inlineStr">
        <is>
          <t>Növekedési potenciál</t>
        </is>
      </c>
      <c r="Y1" s="7" t="inlineStr">
        <is>
          <t>Nyitottság a jutalékos modellre</t>
        </is>
      </c>
      <c r="Z1" s="8" t="inlineStr">
        <is>
          <t>Fizetési fegyelem</t>
        </is>
      </c>
      <c r="AA1" s="8" t="inlineStr">
        <is>
          <t>Együttműködés hossza</t>
        </is>
      </c>
      <c r="AB1" s="8" t="inlineStr">
        <is>
          <t>Döntéshozó, együttműködés</t>
        </is>
      </c>
      <c r="AC1" s="8" t="inlineStr">
        <is>
          <t>Kezelhetőség</t>
        </is>
      </c>
      <c r="AD1" s="8" t="inlineStr">
        <is>
          <t>Ajánlási, referenciaérték</t>
        </is>
      </c>
      <c r="AE1" s="8" t="inlineStr">
        <is>
          <t>Reális elvárások</t>
        </is>
      </c>
      <c r="AF1" s="8" t="inlineStr">
        <is>
          <t>Emberi oldal</t>
        </is>
      </c>
      <c r="AG1" s="8" t="inlineStr">
        <is>
          <t>Szakmai színvonal</t>
        </is>
      </c>
      <c r="AH1" s="8" t="inlineStr">
        <is>
          <t>Korábbi ügynökségi tapasztalat</t>
        </is>
      </c>
      <c r="AI1" s="5" t="inlineStr">
        <is>
          <t>Értékek (0–100)</t>
        </is>
      </c>
      <c r="AJ1" s="6" t="inlineStr">
        <is>
          <t>Marketingezhetőség (0–100)</t>
        </is>
      </c>
      <c r="AK1" s="7" t="inlineStr">
        <is>
          <t>Üzleti illeszkedés (0–100)</t>
        </is>
      </c>
      <c r="AL1" s="8" t="inlineStr">
        <is>
          <t>Kapcsolat (0–100)</t>
        </is>
      </c>
      <c r="AM1" s="4" t="inlineStr">
        <is>
          <t>ICP pontszám (0–100)</t>
        </is>
      </c>
      <c r="AN1" s="4" t="inlineStr">
        <is>
          <t>Rendszerpontszám (0–100)</t>
        </is>
      </c>
      <c r="AO1" s="4" t="inlineStr">
        <is>
          <t>Rang</t>
        </is>
      </c>
      <c r="AP1" s="4" t="inlineStr">
        <is>
          <t>Kizáró feltétel</t>
        </is>
      </c>
      <c r="AQ1" s="4" t="inlineStr">
        <is>
          <t>Státusz</t>
        </is>
      </c>
      <c r="AR1" s="4" t="inlineStr">
        <is>
          <t>Státusz megnevezése</t>
        </is>
      </c>
      <c r="AS1" s="4" t="inlineStr">
        <is>
          <t>Döntés</t>
        </is>
      </c>
      <c r="AT1" s="4" t="inlineStr">
        <is>
          <t>Díjmodell</t>
        </is>
      </c>
      <c r="AU1" s="4" t="inlineStr">
        <is>
          <t>Legerősebb terület</t>
        </is>
      </c>
      <c r="AV1" s="4" t="inlineStr">
        <is>
          <t>Leggyengébb terület</t>
        </is>
      </c>
      <c r="AW1" s="4" t="inlineStr">
        <is>
          <t>Munkadíj (Ft/hó)</t>
        </is>
      </c>
      <c r="AX1" s="4" t="inlineStr">
        <is>
          <t>Státuszszorzó</t>
        </is>
      </c>
      <c r="AY1" s="4" t="inlineStr">
        <is>
          <t>Keretarányos minimum (Ft/hó)</t>
        </is>
      </c>
      <c r="AZ1" s="4" t="inlineStr">
        <is>
          <t>Javasolt fix havi díj (Ft)</t>
        </is>
      </c>
      <c r="BA1" s="4" t="inlineStr">
        <is>
          <t>Díj alapja</t>
        </is>
      </c>
      <c r="BB1" s="4" t="inlineStr">
        <is>
          <t>Jelenlegi díj (Ft)</t>
        </is>
      </c>
      <c r="BC1" s="4" t="inlineStr">
        <is>
          <t>Eltérés (Ft)</t>
        </is>
      </c>
      <c r="BD1" s="4" t="inlineStr">
        <is>
          <t>Eltérés (%)</t>
        </is>
      </c>
      <c r="BE1" s="4" t="inlineStr">
        <is>
          <t>Jutalékos modell ajánlható</t>
        </is>
      </c>
      <c r="BF1" s="4" t="inlineStr">
        <is>
          <t>Jutalékos modell: fix díj (Ft/hó)</t>
        </is>
      </c>
      <c r="BG1" s="4" t="inlineStr">
        <is>
          <t>Jutalékos modell: jutalék %</t>
        </is>
      </c>
      <c r="BH1" s="4" t="inlineStr">
        <is>
          <t>Várható jutalék (Ft/hó)</t>
        </is>
      </c>
      <c r="BI1" s="4" t="inlineStr">
        <is>
          <t>Hiányzó adatok (db)</t>
        </is>
      </c>
      <c r="BK1" s="22" t="inlineStr">
        <is>
          <t>erő: szegmens</t>
        </is>
      </c>
      <c r="BL1" s="22" t="inlineStr">
        <is>
          <t>erő: felelosseg</t>
        </is>
      </c>
      <c r="BM1" s="22" t="inlineStr">
        <is>
          <t>erő: m_surgosseg</t>
        </is>
      </c>
      <c r="BN1" s="22" t="inlineStr">
        <is>
          <t>erő: m_piacmeret</t>
        </is>
      </c>
      <c r="BO1" s="22" t="inlineStr">
        <is>
          <t>erő: m_arazas</t>
        </is>
      </c>
      <c r="BP1" s="22" t="inlineStr">
        <is>
          <t>erő: m_vevoszerzes</t>
        </is>
      </c>
      <c r="BQ1" s="22" t="inlineStr">
        <is>
          <t>erő: m_szallitas</t>
        </is>
      </c>
      <c r="BR1" s="22" t="inlineStr">
        <is>
          <t>erő: m_egyediseg</t>
        </is>
      </c>
      <c r="BS1" s="22" t="inlineStr">
        <is>
          <t>erő: m_gyorsasag</t>
        </is>
      </c>
      <c r="BT1" s="22" t="inlineStr">
        <is>
          <t>erő: m_befektetes</t>
        </is>
      </c>
      <c r="BU1" s="22" t="inlineStr">
        <is>
          <t>erő: m_upsell</t>
        </is>
      </c>
      <c r="BV1" s="22" t="inlineStr">
        <is>
          <t>erő: m_orokzold</t>
        </is>
      </c>
      <c r="BW1" s="22" t="inlineStr">
        <is>
          <t>erő: m_demonstralhato</t>
        </is>
      </c>
      <c r="BX1" s="22" t="inlineStr">
        <is>
          <t>erő: m_dizajn</t>
        </is>
      </c>
      <c r="BY1" s="22" t="inlineStr">
        <is>
          <t>erő: m_egyszeru</t>
        </is>
      </c>
      <c r="BZ1" s="22" t="inlineStr">
        <is>
          <t>erő: m_problema</t>
        </is>
      </c>
      <c r="CA1" s="22" t="inlineStr">
        <is>
          <t>erő: m_ujdonsag</t>
        </is>
      </c>
      <c r="CB1" s="22" t="inlineStr">
        <is>
          <t>erő: iparagi</t>
        </is>
      </c>
      <c r="CC1" s="22" t="inlineStr">
        <is>
          <t>erő: arbevetel</t>
        </is>
      </c>
      <c r="CD1" s="22" t="inlineStr">
        <is>
          <t>erő: keret</t>
        </is>
      </c>
      <c r="CE1" s="22" t="inlineStr">
        <is>
          <t>erő: erettseg</t>
        </is>
      </c>
      <c r="CF1" s="22" t="inlineStr">
        <is>
          <t>erő: roas</t>
        </is>
      </c>
      <c r="CG1" s="22" t="inlineStr">
        <is>
          <t>erő: novekedes</t>
        </is>
      </c>
      <c r="CH1" s="22" t="inlineStr">
        <is>
          <t>erő: jutalek_nyitottsag</t>
        </is>
      </c>
      <c r="CI1" s="22" t="inlineStr">
        <is>
          <t>erő: keses</t>
        </is>
      </c>
      <c r="CJ1" s="22" t="inlineStr">
        <is>
          <t>erő: hossz</t>
        </is>
      </c>
      <c r="CK1" s="22" t="inlineStr">
        <is>
          <t>erő: egyuttmukodes</t>
        </is>
      </c>
      <c r="CL1" s="22" t="inlineStr">
        <is>
          <t>erő: kezelhetoseg</t>
        </is>
      </c>
      <c r="CM1" s="22" t="inlineStr">
        <is>
          <t>erő: ajanlas</t>
        </is>
      </c>
      <c r="CN1" s="22" t="inlineStr">
        <is>
          <t>erő: elvarasok</t>
        </is>
      </c>
      <c r="CO1" s="22" t="inlineStr">
        <is>
          <t>erő: emberi</t>
        </is>
      </c>
      <c r="CP1" s="22" t="inlineStr">
        <is>
          <t>erő: szakmai</t>
        </is>
      </c>
      <c r="CQ1" s="22" t="inlineStr">
        <is>
          <t>erő: tapasztalat</t>
        </is>
      </c>
      <c r="CR1" s="22" t="inlineStr">
        <is>
          <t>veszt: szegmens</t>
        </is>
      </c>
      <c r="CS1" s="22" t="inlineStr">
        <is>
          <t>veszt: felelosseg</t>
        </is>
      </c>
      <c r="CT1" s="22" t="inlineStr">
        <is>
          <t>veszt: m_surgosseg</t>
        </is>
      </c>
      <c r="CU1" s="22" t="inlineStr">
        <is>
          <t>veszt: m_piacmeret</t>
        </is>
      </c>
      <c r="CV1" s="22" t="inlineStr">
        <is>
          <t>veszt: m_arazas</t>
        </is>
      </c>
      <c r="CW1" s="22" t="inlineStr">
        <is>
          <t>veszt: m_vevoszerzes</t>
        </is>
      </c>
      <c r="CX1" s="22" t="inlineStr">
        <is>
          <t>veszt: m_szallitas</t>
        </is>
      </c>
      <c r="CY1" s="22" t="inlineStr">
        <is>
          <t>veszt: m_egyediseg</t>
        </is>
      </c>
      <c r="CZ1" s="22" t="inlineStr">
        <is>
          <t>veszt: m_gyorsasag</t>
        </is>
      </c>
      <c r="DA1" s="22" t="inlineStr">
        <is>
          <t>veszt: m_befektetes</t>
        </is>
      </c>
      <c r="DB1" s="22" t="inlineStr">
        <is>
          <t>veszt: m_upsell</t>
        </is>
      </c>
      <c r="DC1" s="22" t="inlineStr">
        <is>
          <t>veszt: m_orokzold</t>
        </is>
      </c>
      <c r="DD1" s="22" t="inlineStr">
        <is>
          <t>veszt: m_demonstralhato</t>
        </is>
      </c>
      <c r="DE1" s="22" t="inlineStr">
        <is>
          <t>veszt: m_dizajn</t>
        </is>
      </c>
      <c r="DF1" s="22" t="inlineStr">
        <is>
          <t>veszt: m_egyszeru</t>
        </is>
      </c>
      <c r="DG1" s="22" t="inlineStr">
        <is>
          <t>veszt: m_problema</t>
        </is>
      </c>
      <c r="DH1" s="22" t="inlineStr">
        <is>
          <t>veszt: m_ujdonsag</t>
        </is>
      </c>
      <c r="DI1" s="22" t="inlineStr">
        <is>
          <t>veszt: iparagi</t>
        </is>
      </c>
      <c r="DJ1" s="22" t="inlineStr">
        <is>
          <t>veszt: arbevetel</t>
        </is>
      </c>
      <c r="DK1" s="22" t="inlineStr">
        <is>
          <t>veszt: keret</t>
        </is>
      </c>
      <c r="DL1" s="22" t="inlineStr">
        <is>
          <t>veszt: erettseg</t>
        </is>
      </c>
      <c r="DM1" s="22" t="inlineStr">
        <is>
          <t>veszt: roas</t>
        </is>
      </c>
      <c r="DN1" s="22" t="inlineStr">
        <is>
          <t>veszt: novekedes</t>
        </is>
      </c>
      <c r="DO1" s="22" t="inlineStr">
        <is>
          <t>veszt: jutalek_nyitottsag</t>
        </is>
      </c>
      <c r="DP1" s="22" t="inlineStr">
        <is>
          <t>veszt: keses</t>
        </is>
      </c>
      <c r="DQ1" s="22" t="inlineStr">
        <is>
          <t>veszt: hossz</t>
        </is>
      </c>
      <c r="DR1" s="22" t="inlineStr">
        <is>
          <t>veszt: egyuttmukodes</t>
        </is>
      </c>
      <c r="DS1" s="22" t="inlineStr">
        <is>
          <t>veszt: kezelhetoseg</t>
        </is>
      </c>
      <c r="DT1" s="22" t="inlineStr">
        <is>
          <t>veszt: ajanlas</t>
        </is>
      </c>
      <c r="DU1" s="22" t="inlineStr">
        <is>
          <t>veszt: elvarasok</t>
        </is>
      </c>
      <c r="DV1" s="22" t="inlineStr">
        <is>
          <t>veszt: emberi</t>
        </is>
      </c>
      <c r="DW1" s="22" t="inlineStr">
        <is>
          <t>veszt: szakmai</t>
        </is>
      </c>
      <c r="DX1" s="22" t="inlineStr">
        <is>
          <t>veszt: tapasztalat</t>
        </is>
      </c>
      <c r="DY1" s="22" t="inlineStr">
        <is>
          <t>rendezőkulcs</t>
        </is>
      </c>
    </row>
    <row r="2">
      <c r="A2">
        <f>IF('Ügyfelek'!A2="","",'Ügyfelek'!A2)</f>
        <v/>
      </c>
      <c r="B2">
        <f>IF($A2="","",IF('Ügyfelek'!B2="",'Beállítások'!$B$84,IFERROR(VLOOKUP(TRIM('Ügyfelek'!B2),'Beállítások'!$A$51:$B$59,2,FALSE),'Beállítások'!$B$84)))</f>
        <v/>
      </c>
      <c r="C2">
        <f>IF($A2="","",IF('Ügyfelek'!C2="",'Beállítások'!$B$84,MIN(10,MAX(1,ROUND('Ügyfelek'!C2,0)))))</f>
        <v/>
      </c>
      <c r="D2">
        <f>IF($A2="","",IF('Ügyfelek'!D2="",'Beállítások'!$B$84,MIN(10,MAX(1,ROUND('Ügyfelek'!D2,0)))))</f>
        <v/>
      </c>
      <c r="E2">
        <f>IF($A2="","",IF('Ügyfelek'!E2="",'Beállítások'!$B$84,MIN(10,MAX(1,ROUND('Ügyfelek'!E2,0)))))</f>
        <v/>
      </c>
      <c r="F2">
        <f>IF($A2="","",IF('Ügyfelek'!F2="",'Beállítások'!$B$84,MIN(10,MAX(1,ROUND('Ügyfelek'!F2,0)))))</f>
        <v/>
      </c>
      <c r="G2">
        <f>IF($A2="","",IF('Ügyfelek'!G2="",'Beállítások'!$B$84,MIN(10,MAX(1,ROUND('Ügyfelek'!G2,0)))))</f>
        <v/>
      </c>
      <c r="H2">
        <f>IF($A2="","",IF('Ügyfelek'!H2="",'Beállítások'!$B$84,MIN(10,MAX(1,ROUND('Ügyfelek'!H2,0)))))</f>
        <v/>
      </c>
      <c r="I2">
        <f>IF($A2="","",IF('Ügyfelek'!I2="",'Beállítások'!$B$84,MIN(10,MAX(1,ROUND('Ügyfelek'!I2,0)))))</f>
        <v/>
      </c>
      <c r="J2">
        <f>IF($A2="","",IF('Ügyfelek'!J2="",'Beállítások'!$B$84,MIN(10,MAX(1,ROUND('Ügyfelek'!J2,0)))))</f>
        <v/>
      </c>
      <c r="K2">
        <f>IF($A2="","",IF('Ügyfelek'!K2="",'Beállítások'!$B$84,MIN(10,MAX(1,ROUND('Ügyfelek'!K2,0)))))</f>
        <v/>
      </c>
      <c r="L2">
        <f>IF($A2="","",IF('Ügyfelek'!L2="",'Beállítások'!$B$84,MIN(10,MAX(1,ROUND('Ügyfelek'!L2,0)))))</f>
        <v/>
      </c>
      <c r="M2">
        <f>IF($A2="","",IF('Ügyfelek'!M2="",'Beállítások'!$B$84,MIN(10,MAX(1,ROUND('Ügyfelek'!M2,0)))))</f>
        <v/>
      </c>
      <c r="N2">
        <f>IF($A2="","",IF('Ügyfelek'!N2="",'Beállítások'!$B$84,MIN(10,MAX(1,ROUND('Ügyfelek'!N2,0)))))</f>
        <v/>
      </c>
      <c r="O2">
        <f>IF($A2="","",IF('Ügyfelek'!O2="",'Beállítások'!$B$84,MIN(10,MAX(1,ROUND('Ügyfelek'!O2,0)))))</f>
        <v/>
      </c>
      <c r="P2">
        <f>IF($A2="","",IF('Ügyfelek'!P2="",'Beállítások'!$B$84,MIN(10,MAX(1,ROUND('Ügyfelek'!P2,0)))))</f>
        <v/>
      </c>
      <c r="Q2">
        <f>IF($A2="","",IF('Ügyfelek'!Q2="",'Beállítások'!$B$84,MIN(10,MAX(1,ROUND('Ügyfelek'!Q2,0)))))</f>
        <v/>
      </c>
      <c r="R2">
        <f>IF($A2="","",IF('Ügyfelek'!R2="",'Beállítások'!$B$84,MIN(10,MAX(1,ROUND('Ügyfelek'!R2,0)))))</f>
        <v/>
      </c>
      <c r="S2">
        <f>IF($A2="","",IF('Ügyfelek'!S2="",'Beállítások'!$B$84,MIN(10,MAX(1,ROUND('Ügyfelek'!S2,0)))))</f>
        <v/>
      </c>
      <c r="T2">
        <f>IF($A2="","",IF('Ügyfelek'!T2="",'Beállítások'!$B$84,VLOOKUP(MAX('Ügyfelek'!T2,'Beállítások'!$H$7),'Beállítások'!$H$7:$I$12,2,TRUE)))</f>
        <v/>
      </c>
      <c r="U2">
        <f>IF($A2="","",IF('Ügyfelek'!U2="",'Beállítások'!$B$84,VLOOKUP(MAX('Ügyfelek'!U2,'Beállítások'!$K$7),'Beállítások'!$K$7:$L$12,2,TRUE)))</f>
        <v/>
      </c>
      <c r="V2">
        <f>IF($A2="","",IF('Ügyfelek'!V2="",'Beállítások'!$B$84,MIN(10,MAX(1,ROUND('Ügyfelek'!V2,0)))))</f>
        <v/>
      </c>
      <c r="W2">
        <f>IF($A2="","",IF('Ügyfelek'!W2="",'Beállítások'!$B$84,VLOOKUP(MAX('Ügyfelek'!W2,'Beállítások'!$N$7),'Beállítások'!$N$7:$O$12,2,TRUE)))</f>
        <v/>
      </c>
      <c r="X2">
        <f>IF($A2="","",IF('Ügyfelek'!X2="",'Beállítások'!$B$84,MIN(10,MAX(1,ROUND('Ügyfelek'!X2,0)))))</f>
        <v/>
      </c>
      <c r="Y2">
        <f>IF($A2="","",IF('Ügyfelek'!Y2="",'Beállítások'!$B$84,IFERROR(VLOOKUP(TRIM('Ügyfelek'!Y2),'Beállítások'!$A$63:$B$69,2,FALSE),'Beállítások'!$B$84)))</f>
        <v/>
      </c>
      <c r="Z2">
        <f>IF($A2="","",IF('Ügyfelek'!Z2="",'Beállítások'!$B$84,VLOOKUP(MAX('Ügyfelek'!Z2,'Beállítások'!$Q$7),'Beállítások'!$Q$7:$R$12,2,TRUE)))</f>
        <v/>
      </c>
      <c r="AA2">
        <f>IF($A2="","",IF('Ügyfelek'!AA2="",'Beállítások'!$B$84,VLOOKUP(MAX('Ügyfelek'!AA2,'Beállítások'!$T$7),'Beállítások'!$T$7:$U$12,2,TRUE)))</f>
        <v/>
      </c>
      <c r="AB2">
        <f>IF($A2="","",IF('Ügyfelek'!AB2="",'Beállítások'!$B$84,MIN(10,MAX(1,ROUND('Ügyfelek'!AB2,0)))))</f>
        <v/>
      </c>
      <c r="AC2">
        <f>IF($A2="","",IF('Ügyfelek'!AC2="",'Beállítások'!$B$84,MIN(10,MAX(1,ROUND('Ügyfelek'!AC2,0)))))</f>
        <v/>
      </c>
      <c r="AD2">
        <f>IF($A2="","",IF('Ügyfelek'!AD2="",'Beállítások'!$B$84,MIN(10,MAX(1,ROUND('Ügyfelek'!AD2,0)))))</f>
        <v/>
      </c>
      <c r="AE2">
        <f>IF($A2="","",IF('Ügyfelek'!AE2="",'Beállítások'!$B$84,MIN(10,MAX(1,ROUND('Ügyfelek'!AE2,0)))))</f>
        <v/>
      </c>
      <c r="AF2">
        <f>IF($A2="","",IF('Ügyfelek'!AF2="",'Beállítások'!$B$84,MIN(10,MAX(1,ROUND('Ügyfelek'!AF2,0)))))</f>
        <v/>
      </c>
      <c r="AG2">
        <f>IF($A2="","",IF('Ügyfelek'!AG2="",'Beállítások'!$B$84,MIN(10,MAX(1,ROUND('Ügyfelek'!AG2,0)))))</f>
        <v/>
      </c>
      <c r="AH2">
        <f>IF($A2="","",IF('Ügyfelek'!AH2="",'Beállítások'!$B$84,IFERROR(VLOOKUP(TRIM('Ügyfelek'!AH2),'Beállítások'!$A$73:$B$79,2,FALSE),'Beállítások'!$B$84)))</f>
        <v/>
      </c>
      <c r="AI2" s="23">
        <f>IF($A2="","",ROUND(100*('Beállítások'!$E$6*(B2-1)+'Beállítások'!$E$7*(C2-1))/(9*'Beállítások'!$B$43),1))</f>
        <v/>
      </c>
      <c r="AJ2" s="23">
        <f>IF($A2="","",ROUND(100*('Beállítások'!$E$8*(D2-1)+'Beállítások'!$E$9*(E2-1)+'Beállítások'!$E$10*(F2-1)+'Beállítások'!$E$11*(G2-1)+'Beállítások'!$E$12*(H2-1)+'Beállítások'!$E$13*(I2-1)+'Beállítások'!$E$14*(J2-1)+'Beállítások'!$E$15*(K2-1)+'Beállítások'!$E$16*(L2-1)+'Beállítások'!$E$17*(M2-1)+'Beállítások'!$E$18*(N2-1)+'Beállítások'!$E$19*(O2-1)+'Beállítások'!$E$20*(P2-1)+'Beállítások'!$E$21*(Q2-1)+'Beállítások'!$E$22*(R2-1))/(9*'Beállítások'!$B$44),1))</f>
        <v/>
      </c>
      <c r="AK2" s="23">
        <f>IF($A2="","",ROUND(100*('Beállítások'!$E$23*(S2-1)+'Beállítások'!$E$24*(T2-1)+'Beállítások'!$E$25*(U2-1)+'Beállítások'!$E$26*(V2-1)+'Beállítások'!$E$27*(W2-1)+'Beállítások'!$E$28*(X2-1)+'Beállítások'!$E$29*(Y2-1))/(9*'Beállítások'!$B$45),1))</f>
        <v/>
      </c>
      <c r="AL2" s="23">
        <f>IF($A2="","",ROUND(100*('Beállítások'!$E$30*(Z2-1)+'Beállítások'!$E$31*(AA2-1)+'Beállítások'!$E$32*(AB2-1)+'Beállítások'!$E$33*(AC2-1)+'Beállítások'!$E$34*(AD2-1)+'Beállítások'!$E$35*(AE2-1)+'Beállítások'!$E$36*(AF2-1)+'Beállítások'!$E$37*(AG2-1)+'Beállítások'!$E$38*(AH2-1))/(9*'Beállítások'!$B$46),1))</f>
        <v/>
      </c>
      <c r="AM2" s="23">
        <f>IF($A2="","",ROUND(100*('Beállítások'!$E$6*(B2-1)+'Beállítások'!$E$7*(C2-1)+'Beállítások'!$E$8*(D2-1)+'Beállítások'!$E$9*(E2-1)+'Beállítások'!$E$10*(F2-1)+'Beállítások'!$E$11*(G2-1)+'Beállítások'!$E$12*(H2-1)+'Beállítások'!$E$13*(I2-1)+'Beállítások'!$E$14*(J2-1)+'Beállítások'!$E$15*(K2-1)+'Beállítások'!$E$16*(L2-1)+'Beállítások'!$E$17*(M2-1)+'Beállítások'!$E$18*(N2-1)+'Beállítások'!$E$19*(O2-1)+'Beállítások'!$E$20*(P2-1)+'Beállítások'!$E$21*(Q2-1)+'Beállítások'!$E$22*(R2-1)+'Beállítások'!$E$23*(S2-1)+'Beállítások'!$E$24*(T2-1)+'Beállítások'!$E$25*(U2-1)+'Beállítások'!$E$26*(V2-1)+'Beállítások'!$E$27*(W2-1)+'Beállítások'!$E$28*(X2-1)+'Beállítások'!$E$29*(Y2-1)+'Beállítások'!$E$30*(Z2-1)+'Beállítások'!$E$31*(AA2-1)+'Beállítások'!$E$32*(AB2-1)+'Beállítások'!$E$33*(AC2-1)+'Beállítások'!$E$34*(AD2-1)+'Beállítások'!$E$35*(AE2-1)+'Beállítások'!$E$36*(AF2-1)+'Beállítások'!$E$37*(AG2-1)+'Beállítások'!$E$38*(AH2-1))/(9*'Beállítások'!$E$39),1))</f>
        <v/>
      </c>
      <c r="AN2" s="23">
        <f>IF($A2="","",ROUND(100*('Beállítások'!$E$8*(D2-1)+'Beállítások'!$E$9*(E2-1)+'Beállítások'!$E$10*(F2-1)+'Beállítások'!$E$11*(G2-1)+'Beállítások'!$E$12*(H2-1)+'Beállítások'!$E$13*(I2-1)+'Beállítások'!$E$14*(J2-1)+'Beállítások'!$E$15*(K2-1)+'Beállítások'!$E$16*(L2-1)+'Beállítások'!$E$17*(M2-1)+'Beállítások'!$E$18*(N2-1)+'Beállítások'!$E$19*(O2-1)+'Beállítások'!$E$20*(P2-1)+'Beállítások'!$E$21*(Q2-1)+'Beállítások'!$E$22*(R2-1)+'Beállítások'!$E$23*(S2-1)+'Beállítások'!$E$24*(T2-1)+'Beállítások'!$E$25*(U2-1)+'Beállítások'!$E$26*(V2-1)+'Beállítások'!$E$27*(W2-1)+'Beállítások'!$E$28*(X2-1)+'Beállítások'!$E$29*(Y2-1))/(9*('Beállítások'!$B$44+'Beállítások'!$B$45)),1))</f>
        <v/>
      </c>
      <c r="AO2" s="24">
        <f>IF($A2="","",RANK(AM2,$AM$2:$AM$201))</f>
        <v/>
      </c>
      <c r="AP2">
        <f>IF($A2="","",IF(OR(AND('Ügyfelek'!B2&lt;&gt;"",B2&lt;='Beállítások'!$B$85),AND('Ügyfelek'!C2&lt;&gt;"",C2&lt;='Beállítások'!$B$86)),"Igen","Nem"))</f>
        <v/>
      </c>
      <c r="AQ2" s="24">
        <f>IF($A2="","",IF(AP2="Igen",5,IF(AN2&gt;='Beállítások'!$C$108,1,IF(AN2&gt;='Beállítások'!$C$109,2,IF(AN2&gt;='Beállítások'!$C$110,3,IF(AND(AN2&gt;='Beállítások'!$B$87,AI2&gt;='Beállítások'!$B$88,AL2&gt;='Beállítások'!$B$89),4,5))))))</f>
        <v/>
      </c>
      <c r="AR2">
        <f>IF($A2="","",INDEX('Beállítások'!$B$108:$B$112,AQ2))</f>
        <v/>
      </c>
      <c r="AS2">
        <f>IF($A2="","",IF(AQ2=5,"Elutasítjuk",IF(AND(AQ2=4,COUNTIFS('Eredmény'!$AQ$2:$AQ$201,4,'Eredmény'!$DY$2:$DY$201,"&gt;"&amp;DY2)&gt;='Beállítások'!$B$90),"Várólista (a 4-es hely foglalt)","Elfogadjuk")))</f>
        <v/>
      </c>
      <c r="AT2">
        <f>IF($A2="","",INDEX('Beállítások'!$F$108:$F$112,AQ2))</f>
        <v/>
      </c>
      <c r="AU2">
        <f>IF($A2="","",INDEX('Beállítások'!$B$6:$B$38,MATCH(MAX(BK2:CQ2),BK2:CQ2,0)))</f>
        <v/>
      </c>
      <c r="AV2">
        <f>IF($A2="","",IF(MAX(CR2:DX2)=0,"—",INDEX('Beállítások'!$B$6:$B$38,MATCH(MAX(CR2:DX2),CR2:DX2,0))))</f>
        <v/>
      </c>
      <c r="AW2" s="10">
        <f>IF($A2="","",'Beállítások'!$B$94*(TRIM('Ügyfelek'!AI2)="igen")+'Beállítások'!$B$95*(TRIM('Ügyfelek'!AJ2)="igen")+'Beállítások'!$B$96*N('Ügyfelek'!AK2)+'Beállítások'!$B$93*N('Ügyfelek'!AL2))</f>
        <v/>
      </c>
      <c r="AX2" s="25">
        <f>IF(OR($A2="",AQ2=5),"",INDEX('Beállítások'!$D$108:$D$112,AQ2))</f>
        <v/>
      </c>
      <c r="AY2" s="10">
        <f>IF($A2="","",N('Ügyfelek'!U2)*'Beállítások'!$B$98)</f>
        <v/>
      </c>
      <c r="AZ2" s="10">
        <f>IF(OR($A2="",AQ2=5),"",CEILING(ROUND(MAX('Beállítások'!$B$97,AW2*AX2,AY2),2),'Beállítások'!$B$99))</f>
        <v/>
      </c>
      <c r="BA2">
        <f>IF($A2="","",IF(AQ2=5,"Elutasítva",IF(MAX('Beállítások'!$B$97,AW2*AX2,AY2)=AW2*AX2,"Munkaigény × státuszszorzó",IF(MAX('Beállítások'!$B$97,AW2*AX2,AY2)=AY2,"Hirdetési keret arányában","Minimumdíj"))))</f>
        <v/>
      </c>
      <c r="BB2" s="10">
        <f>IF(OR($A2="",'Ügyfelek'!AM2=""),"",'Ügyfelek'!AM2)</f>
        <v/>
      </c>
      <c r="BC2" s="10">
        <f>IF(OR(BB2="",AZ2=""),"",AZ2-BB2)</f>
        <v/>
      </c>
      <c r="BD2" s="18">
        <f>IF(OR(BB2="",AZ2="",BB2=0),"",BC2/BB2)</f>
        <v/>
      </c>
      <c r="BE2">
        <f>IF(OR($A2="",AQ2=5),"",IF(AND(INDEX('Beállítások'!$E$108:$E$112,AQ2)&gt;0,Y2&gt;='Beállítások'!$B$91),"Igen","Nem"))</f>
        <v/>
      </c>
      <c r="BF2" s="10">
        <f>IF(BE2="Igen",CEILING(ROUND(AZ2*(1-'Beállítások'!$B$92),2),'Beállítások'!$B$99),"")</f>
        <v/>
      </c>
      <c r="BG2" s="20">
        <f>IF(BE2="Igen",INDEX('Beállítások'!$E$108:$E$112,AQ2),"")</f>
        <v/>
      </c>
      <c r="BH2" s="10">
        <f>IF(OR(BE2&lt;&gt;"Igen",'Ügyfelek'!AN2=""),"",'Ügyfelek'!AN2*BG2)</f>
        <v/>
      </c>
      <c r="BI2" s="24">
        <f>IF($A2="","",('Ügyfelek'!B2="")+('Ügyfelek'!C2="")+('Ügyfelek'!D2="")+('Ügyfelek'!E2="")+('Ügyfelek'!F2="")+('Ügyfelek'!G2="")+('Ügyfelek'!H2="")+('Ügyfelek'!I2="")+('Ügyfelek'!J2="")+('Ügyfelek'!K2="")+('Ügyfelek'!L2="")+('Ügyfelek'!M2="")+('Ügyfelek'!N2="")+('Ügyfelek'!O2="")+('Ügyfelek'!P2="")+('Ügyfelek'!Q2="")+('Ügyfelek'!R2="")+('Ügyfelek'!S2="")+('Ügyfelek'!T2="")+('Ügyfelek'!U2="")+('Ügyfelek'!V2="")+('Ügyfelek'!W2="")+('Ügyfelek'!X2="")+('Ügyfelek'!Y2="")+('Ügyfelek'!Z2="")+('Ügyfelek'!AA2="")+('Ügyfelek'!AB2="")+('Ügyfelek'!AC2="")+('Ügyfelek'!AD2="")+('Ügyfelek'!AE2="")+('Ügyfelek'!AF2="")+('Ügyfelek'!AG2="")+('Ügyfelek'!AH2=""))</f>
        <v/>
      </c>
      <c r="BK2">
        <f>IF($A2="","",B2+'Beállítások'!$E$6/1000)</f>
        <v/>
      </c>
      <c r="BL2">
        <f>IF($A2="","",C2+'Beállítások'!$E$7/1000)</f>
        <v/>
      </c>
      <c r="BM2">
        <f>IF($A2="","",D2+'Beállítások'!$E$8/1000)</f>
        <v/>
      </c>
      <c r="BN2">
        <f>IF($A2="","",E2+'Beállítások'!$E$9/1000)</f>
        <v/>
      </c>
      <c r="BO2">
        <f>IF($A2="","",F2+'Beállítások'!$E$10/1000)</f>
        <v/>
      </c>
      <c r="BP2">
        <f>IF($A2="","",G2+'Beállítások'!$E$11/1000)</f>
        <v/>
      </c>
      <c r="BQ2">
        <f>IF($A2="","",H2+'Beállítások'!$E$12/1000)</f>
        <v/>
      </c>
      <c r="BR2">
        <f>IF($A2="","",I2+'Beállítások'!$E$13/1000)</f>
        <v/>
      </c>
      <c r="BS2">
        <f>IF($A2="","",J2+'Beállítások'!$E$14/1000)</f>
        <v/>
      </c>
      <c r="BT2">
        <f>IF($A2="","",K2+'Beállítások'!$E$15/1000)</f>
        <v/>
      </c>
      <c r="BU2">
        <f>IF($A2="","",L2+'Beállítások'!$E$16/1000)</f>
        <v/>
      </c>
      <c r="BV2">
        <f>IF($A2="","",M2+'Beállítások'!$E$17/1000)</f>
        <v/>
      </c>
      <c r="BW2">
        <f>IF($A2="","",N2+'Beállítások'!$E$18/1000)</f>
        <v/>
      </c>
      <c r="BX2">
        <f>IF($A2="","",O2+'Beállítások'!$E$19/1000)</f>
        <v/>
      </c>
      <c r="BY2">
        <f>IF($A2="","",P2+'Beállítások'!$E$20/1000)</f>
        <v/>
      </c>
      <c r="BZ2">
        <f>IF($A2="","",Q2+'Beállítások'!$E$21/1000)</f>
        <v/>
      </c>
      <c r="CA2">
        <f>IF($A2="","",R2+'Beállítások'!$E$22/1000)</f>
        <v/>
      </c>
      <c r="CB2">
        <f>IF($A2="","",S2+'Beállítások'!$E$23/1000)</f>
        <v/>
      </c>
      <c r="CC2">
        <f>IF($A2="","",T2+'Beállítások'!$E$24/1000)</f>
        <v/>
      </c>
      <c r="CD2">
        <f>IF($A2="","",U2+'Beállítások'!$E$25/1000)</f>
        <v/>
      </c>
      <c r="CE2">
        <f>IF($A2="","",V2+'Beállítások'!$E$26/1000)</f>
        <v/>
      </c>
      <c r="CF2">
        <f>IF($A2="","",W2+'Beállítások'!$E$27/1000)</f>
        <v/>
      </c>
      <c r="CG2">
        <f>IF($A2="","",X2+'Beállítások'!$E$28/1000)</f>
        <v/>
      </c>
      <c r="CH2">
        <f>IF($A2="","",Y2+'Beállítások'!$E$29/1000)</f>
        <v/>
      </c>
      <c r="CI2">
        <f>IF($A2="","",Z2+'Beállítások'!$E$30/1000)</f>
        <v/>
      </c>
      <c r="CJ2">
        <f>IF($A2="","",AA2+'Beállítások'!$E$31/1000)</f>
        <v/>
      </c>
      <c r="CK2">
        <f>IF($A2="","",AB2+'Beállítások'!$E$32/1000)</f>
        <v/>
      </c>
      <c r="CL2">
        <f>IF($A2="","",AC2+'Beállítások'!$E$33/1000)</f>
        <v/>
      </c>
      <c r="CM2">
        <f>IF($A2="","",AD2+'Beállítások'!$E$34/1000)</f>
        <v/>
      </c>
      <c r="CN2">
        <f>IF($A2="","",AE2+'Beállítások'!$E$35/1000)</f>
        <v/>
      </c>
      <c r="CO2">
        <f>IF($A2="","",AF2+'Beállítások'!$E$36/1000)</f>
        <v/>
      </c>
      <c r="CP2">
        <f>IF($A2="","",AG2+'Beállítások'!$E$37/1000)</f>
        <v/>
      </c>
      <c r="CQ2">
        <f>IF($A2="","",AH2+'Beállítások'!$E$38/1000)</f>
        <v/>
      </c>
      <c r="CR2">
        <f>IF($A2="","",'Beállítások'!$E$6*(10-B2))</f>
        <v/>
      </c>
      <c r="CS2">
        <f>IF($A2="","",'Beállítások'!$E$7*(10-C2))</f>
        <v/>
      </c>
      <c r="CT2">
        <f>IF($A2="","",'Beállítások'!$E$8*(10-D2))</f>
        <v/>
      </c>
      <c r="CU2">
        <f>IF($A2="","",'Beállítások'!$E$9*(10-E2))</f>
        <v/>
      </c>
      <c r="CV2">
        <f>IF($A2="","",'Beállítások'!$E$10*(10-F2))</f>
        <v/>
      </c>
      <c r="CW2">
        <f>IF($A2="","",'Beállítások'!$E$11*(10-G2))</f>
        <v/>
      </c>
      <c r="CX2">
        <f>IF($A2="","",'Beállítások'!$E$12*(10-H2))</f>
        <v/>
      </c>
      <c r="CY2">
        <f>IF($A2="","",'Beállítások'!$E$13*(10-I2))</f>
        <v/>
      </c>
      <c r="CZ2">
        <f>IF($A2="","",'Beállítások'!$E$14*(10-J2))</f>
        <v/>
      </c>
      <c r="DA2">
        <f>IF($A2="","",'Beállítások'!$E$15*(10-K2))</f>
        <v/>
      </c>
      <c r="DB2">
        <f>IF($A2="","",'Beállítások'!$E$16*(10-L2))</f>
        <v/>
      </c>
      <c r="DC2">
        <f>IF($A2="","",'Beállítások'!$E$17*(10-M2))</f>
        <v/>
      </c>
      <c r="DD2">
        <f>IF($A2="","",'Beállítások'!$E$18*(10-N2))</f>
        <v/>
      </c>
      <c r="DE2">
        <f>IF($A2="","",'Beállítások'!$E$19*(10-O2))</f>
        <v/>
      </c>
      <c r="DF2">
        <f>IF($A2="","",'Beállítások'!$E$20*(10-P2))</f>
        <v/>
      </c>
      <c r="DG2">
        <f>IF($A2="","",'Beállítások'!$E$21*(10-Q2))</f>
        <v/>
      </c>
      <c r="DH2">
        <f>IF($A2="","",'Beállítások'!$E$22*(10-R2))</f>
        <v/>
      </c>
      <c r="DI2">
        <f>IF($A2="","",'Beállítások'!$E$23*(10-S2))</f>
        <v/>
      </c>
      <c r="DJ2">
        <f>IF($A2="","",'Beállítások'!$E$24*(10-T2))</f>
        <v/>
      </c>
      <c r="DK2">
        <f>IF($A2="","",'Beállítások'!$E$25*(10-U2))</f>
        <v/>
      </c>
      <c r="DL2">
        <f>IF($A2="","",'Beállítások'!$E$26*(10-V2))</f>
        <v/>
      </c>
      <c r="DM2">
        <f>IF($A2="","",'Beállítások'!$E$27*(10-W2))</f>
        <v/>
      </c>
      <c r="DN2">
        <f>IF($A2="","",'Beállítások'!$E$28*(10-X2))</f>
        <v/>
      </c>
      <c r="DO2">
        <f>IF($A2="","",'Beállítások'!$E$29*(10-Y2))</f>
        <v/>
      </c>
      <c r="DP2">
        <f>IF($A2="","",'Beállítások'!$E$30*(10-Z2))</f>
        <v/>
      </c>
      <c r="DQ2">
        <f>IF($A2="","",'Beállítások'!$E$31*(10-AA2))</f>
        <v/>
      </c>
      <c r="DR2">
        <f>IF($A2="","",'Beállítások'!$E$32*(10-AB2))</f>
        <v/>
      </c>
      <c r="DS2">
        <f>IF($A2="","",'Beállítások'!$E$33*(10-AC2))</f>
        <v/>
      </c>
      <c r="DT2">
        <f>IF($A2="","",'Beállítások'!$E$34*(10-AD2))</f>
        <v/>
      </c>
      <c r="DU2">
        <f>IF($A2="","",'Beállítások'!$E$35*(10-AE2))</f>
        <v/>
      </c>
      <c r="DV2">
        <f>IF($A2="","",'Beállítások'!$E$36*(10-AF2))</f>
        <v/>
      </c>
      <c r="DW2">
        <f>IF($A2="","",'Beállítások'!$E$37*(10-AG2))</f>
        <v/>
      </c>
      <c r="DX2">
        <f>IF($A2="","",'Beállítások'!$E$38*(10-AH2))</f>
        <v/>
      </c>
      <c r="DY2">
        <f>IF($A2="","",AM2-ROW()/100000)</f>
        <v/>
      </c>
    </row>
    <row r="3">
      <c r="A3">
        <f>IF('Ügyfelek'!A3="","",'Ügyfelek'!A3)</f>
        <v/>
      </c>
      <c r="B3">
        <f>IF($A3="","",IF('Ügyfelek'!B3="",'Beállítások'!$B$84,IFERROR(VLOOKUP(TRIM('Ügyfelek'!B3),'Beállítások'!$A$51:$B$59,2,FALSE),'Beállítások'!$B$84)))</f>
        <v/>
      </c>
      <c r="C3">
        <f>IF($A3="","",IF('Ügyfelek'!C3="",'Beállítások'!$B$84,MIN(10,MAX(1,ROUND('Ügyfelek'!C3,0)))))</f>
        <v/>
      </c>
      <c r="D3">
        <f>IF($A3="","",IF('Ügyfelek'!D3="",'Beállítások'!$B$84,MIN(10,MAX(1,ROUND('Ügyfelek'!D3,0)))))</f>
        <v/>
      </c>
      <c r="E3">
        <f>IF($A3="","",IF('Ügyfelek'!E3="",'Beállítások'!$B$84,MIN(10,MAX(1,ROUND('Ügyfelek'!E3,0)))))</f>
        <v/>
      </c>
      <c r="F3">
        <f>IF($A3="","",IF('Ügyfelek'!F3="",'Beállítások'!$B$84,MIN(10,MAX(1,ROUND('Ügyfelek'!F3,0)))))</f>
        <v/>
      </c>
      <c r="G3">
        <f>IF($A3="","",IF('Ügyfelek'!G3="",'Beállítások'!$B$84,MIN(10,MAX(1,ROUND('Ügyfelek'!G3,0)))))</f>
        <v/>
      </c>
      <c r="H3">
        <f>IF($A3="","",IF('Ügyfelek'!H3="",'Beállítások'!$B$84,MIN(10,MAX(1,ROUND('Ügyfelek'!H3,0)))))</f>
        <v/>
      </c>
      <c r="I3">
        <f>IF($A3="","",IF('Ügyfelek'!I3="",'Beállítások'!$B$84,MIN(10,MAX(1,ROUND('Ügyfelek'!I3,0)))))</f>
        <v/>
      </c>
      <c r="J3">
        <f>IF($A3="","",IF('Ügyfelek'!J3="",'Beállítások'!$B$84,MIN(10,MAX(1,ROUND('Ügyfelek'!J3,0)))))</f>
        <v/>
      </c>
      <c r="K3">
        <f>IF($A3="","",IF('Ügyfelek'!K3="",'Beállítások'!$B$84,MIN(10,MAX(1,ROUND('Ügyfelek'!K3,0)))))</f>
        <v/>
      </c>
      <c r="L3">
        <f>IF($A3="","",IF('Ügyfelek'!L3="",'Beállítások'!$B$84,MIN(10,MAX(1,ROUND('Ügyfelek'!L3,0)))))</f>
        <v/>
      </c>
      <c r="M3">
        <f>IF($A3="","",IF('Ügyfelek'!M3="",'Beállítások'!$B$84,MIN(10,MAX(1,ROUND('Ügyfelek'!M3,0)))))</f>
        <v/>
      </c>
      <c r="N3">
        <f>IF($A3="","",IF('Ügyfelek'!N3="",'Beállítások'!$B$84,MIN(10,MAX(1,ROUND('Ügyfelek'!N3,0)))))</f>
        <v/>
      </c>
      <c r="O3">
        <f>IF($A3="","",IF('Ügyfelek'!O3="",'Beállítások'!$B$84,MIN(10,MAX(1,ROUND('Ügyfelek'!O3,0)))))</f>
        <v/>
      </c>
      <c r="P3">
        <f>IF($A3="","",IF('Ügyfelek'!P3="",'Beállítások'!$B$84,MIN(10,MAX(1,ROUND('Ügyfelek'!P3,0)))))</f>
        <v/>
      </c>
      <c r="Q3">
        <f>IF($A3="","",IF('Ügyfelek'!Q3="",'Beállítások'!$B$84,MIN(10,MAX(1,ROUND('Ügyfelek'!Q3,0)))))</f>
        <v/>
      </c>
      <c r="R3">
        <f>IF($A3="","",IF('Ügyfelek'!R3="",'Beállítások'!$B$84,MIN(10,MAX(1,ROUND('Ügyfelek'!R3,0)))))</f>
        <v/>
      </c>
      <c r="S3">
        <f>IF($A3="","",IF('Ügyfelek'!S3="",'Beállítások'!$B$84,MIN(10,MAX(1,ROUND('Ügyfelek'!S3,0)))))</f>
        <v/>
      </c>
      <c r="T3">
        <f>IF($A3="","",IF('Ügyfelek'!T3="",'Beállítások'!$B$84,VLOOKUP(MAX('Ügyfelek'!T3,'Beállítások'!$H$7),'Beállítások'!$H$7:$I$12,2,TRUE)))</f>
        <v/>
      </c>
      <c r="U3">
        <f>IF($A3="","",IF('Ügyfelek'!U3="",'Beállítások'!$B$84,VLOOKUP(MAX('Ügyfelek'!U3,'Beállítások'!$K$7),'Beállítások'!$K$7:$L$12,2,TRUE)))</f>
        <v/>
      </c>
      <c r="V3">
        <f>IF($A3="","",IF('Ügyfelek'!V3="",'Beállítások'!$B$84,MIN(10,MAX(1,ROUND('Ügyfelek'!V3,0)))))</f>
        <v/>
      </c>
      <c r="W3">
        <f>IF($A3="","",IF('Ügyfelek'!W3="",'Beállítások'!$B$84,VLOOKUP(MAX('Ügyfelek'!W3,'Beállítások'!$N$7),'Beállítások'!$N$7:$O$12,2,TRUE)))</f>
        <v/>
      </c>
      <c r="X3">
        <f>IF($A3="","",IF('Ügyfelek'!X3="",'Beállítások'!$B$84,MIN(10,MAX(1,ROUND('Ügyfelek'!X3,0)))))</f>
        <v/>
      </c>
      <c r="Y3">
        <f>IF($A3="","",IF('Ügyfelek'!Y3="",'Beállítások'!$B$84,IFERROR(VLOOKUP(TRIM('Ügyfelek'!Y3),'Beállítások'!$A$63:$B$69,2,FALSE),'Beállítások'!$B$84)))</f>
        <v/>
      </c>
      <c r="Z3">
        <f>IF($A3="","",IF('Ügyfelek'!Z3="",'Beállítások'!$B$84,VLOOKUP(MAX('Ügyfelek'!Z3,'Beállítások'!$Q$7),'Beállítások'!$Q$7:$R$12,2,TRUE)))</f>
        <v/>
      </c>
      <c r="AA3">
        <f>IF($A3="","",IF('Ügyfelek'!AA3="",'Beállítások'!$B$84,VLOOKUP(MAX('Ügyfelek'!AA3,'Beállítások'!$T$7),'Beállítások'!$T$7:$U$12,2,TRUE)))</f>
        <v/>
      </c>
      <c r="AB3">
        <f>IF($A3="","",IF('Ügyfelek'!AB3="",'Beállítások'!$B$84,MIN(10,MAX(1,ROUND('Ügyfelek'!AB3,0)))))</f>
        <v/>
      </c>
      <c r="AC3">
        <f>IF($A3="","",IF('Ügyfelek'!AC3="",'Beállítások'!$B$84,MIN(10,MAX(1,ROUND('Ügyfelek'!AC3,0)))))</f>
        <v/>
      </c>
      <c r="AD3">
        <f>IF($A3="","",IF('Ügyfelek'!AD3="",'Beállítások'!$B$84,MIN(10,MAX(1,ROUND('Ügyfelek'!AD3,0)))))</f>
        <v/>
      </c>
      <c r="AE3">
        <f>IF($A3="","",IF('Ügyfelek'!AE3="",'Beállítások'!$B$84,MIN(10,MAX(1,ROUND('Ügyfelek'!AE3,0)))))</f>
        <v/>
      </c>
      <c r="AF3">
        <f>IF($A3="","",IF('Ügyfelek'!AF3="",'Beállítások'!$B$84,MIN(10,MAX(1,ROUND('Ügyfelek'!AF3,0)))))</f>
        <v/>
      </c>
      <c r="AG3">
        <f>IF($A3="","",IF('Ügyfelek'!AG3="",'Beállítások'!$B$84,MIN(10,MAX(1,ROUND('Ügyfelek'!AG3,0)))))</f>
        <v/>
      </c>
      <c r="AH3">
        <f>IF($A3="","",IF('Ügyfelek'!AH3="",'Beállítások'!$B$84,IFERROR(VLOOKUP(TRIM('Ügyfelek'!AH3),'Beállítások'!$A$73:$B$79,2,FALSE),'Beállítások'!$B$84)))</f>
        <v/>
      </c>
      <c r="AI3" s="23">
        <f>IF($A3="","",ROUND(100*('Beállítások'!$E$6*(B3-1)+'Beállítások'!$E$7*(C3-1))/(9*'Beállítások'!$B$43),1))</f>
        <v/>
      </c>
      <c r="AJ3" s="23">
        <f>IF($A3="","",ROUND(100*('Beállítások'!$E$8*(D3-1)+'Beállítások'!$E$9*(E3-1)+'Beállítások'!$E$10*(F3-1)+'Beállítások'!$E$11*(G3-1)+'Beállítások'!$E$12*(H3-1)+'Beállítások'!$E$13*(I3-1)+'Beállítások'!$E$14*(J3-1)+'Beállítások'!$E$15*(K3-1)+'Beállítások'!$E$16*(L3-1)+'Beállítások'!$E$17*(M3-1)+'Beállítások'!$E$18*(N3-1)+'Beállítások'!$E$19*(O3-1)+'Beállítások'!$E$20*(P3-1)+'Beállítások'!$E$21*(Q3-1)+'Beállítások'!$E$22*(R3-1))/(9*'Beállítások'!$B$44),1))</f>
        <v/>
      </c>
      <c r="AK3" s="23">
        <f>IF($A3="","",ROUND(100*('Beállítások'!$E$23*(S3-1)+'Beállítások'!$E$24*(T3-1)+'Beállítások'!$E$25*(U3-1)+'Beállítások'!$E$26*(V3-1)+'Beállítások'!$E$27*(W3-1)+'Beállítások'!$E$28*(X3-1)+'Beállítások'!$E$29*(Y3-1))/(9*'Beállítások'!$B$45),1))</f>
        <v/>
      </c>
      <c r="AL3" s="23">
        <f>IF($A3="","",ROUND(100*('Beállítások'!$E$30*(Z3-1)+'Beállítások'!$E$31*(AA3-1)+'Beállítások'!$E$32*(AB3-1)+'Beállítások'!$E$33*(AC3-1)+'Beállítások'!$E$34*(AD3-1)+'Beállítások'!$E$35*(AE3-1)+'Beállítások'!$E$36*(AF3-1)+'Beállítások'!$E$37*(AG3-1)+'Beállítások'!$E$38*(AH3-1))/(9*'Beállítások'!$B$46),1))</f>
        <v/>
      </c>
      <c r="AM3" s="23">
        <f>IF($A3="","",ROUND(100*('Beállítások'!$E$6*(B3-1)+'Beállítások'!$E$7*(C3-1)+'Beállítások'!$E$8*(D3-1)+'Beállítások'!$E$9*(E3-1)+'Beállítások'!$E$10*(F3-1)+'Beállítások'!$E$11*(G3-1)+'Beállítások'!$E$12*(H3-1)+'Beállítások'!$E$13*(I3-1)+'Beállítások'!$E$14*(J3-1)+'Beállítások'!$E$15*(K3-1)+'Beállítások'!$E$16*(L3-1)+'Beállítások'!$E$17*(M3-1)+'Beállítások'!$E$18*(N3-1)+'Beállítások'!$E$19*(O3-1)+'Beállítások'!$E$20*(P3-1)+'Beállítások'!$E$21*(Q3-1)+'Beállítások'!$E$22*(R3-1)+'Beállítások'!$E$23*(S3-1)+'Beállítások'!$E$24*(T3-1)+'Beállítások'!$E$25*(U3-1)+'Beállítások'!$E$26*(V3-1)+'Beállítások'!$E$27*(W3-1)+'Beállítások'!$E$28*(X3-1)+'Beállítások'!$E$29*(Y3-1)+'Beállítások'!$E$30*(Z3-1)+'Beállítások'!$E$31*(AA3-1)+'Beállítások'!$E$32*(AB3-1)+'Beállítások'!$E$33*(AC3-1)+'Beállítások'!$E$34*(AD3-1)+'Beállítások'!$E$35*(AE3-1)+'Beállítások'!$E$36*(AF3-1)+'Beállítások'!$E$37*(AG3-1)+'Beállítások'!$E$38*(AH3-1))/(9*'Beállítások'!$E$39),1))</f>
        <v/>
      </c>
      <c r="AN3" s="23">
        <f>IF($A3="","",ROUND(100*('Beállítások'!$E$8*(D3-1)+'Beállítások'!$E$9*(E3-1)+'Beállítások'!$E$10*(F3-1)+'Beállítások'!$E$11*(G3-1)+'Beállítások'!$E$12*(H3-1)+'Beállítások'!$E$13*(I3-1)+'Beállítások'!$E$14*(J3-1)+'Beállítások'!$E$15*(K3-1)+'Beállítások'!$E$16*(L3-1)+'Beállítások'!$E$17*(M3-1)+'Beállítások'!$E$18*(N3-1)+'Beállítások'!$E$19*(O3-1)+'Beállítások'!$E$20*(P3-1)+'Beállítások'!$E$21*(Q3-1)+'Beállítások'!$E$22*(R3-1)+'Beállítások'!$E$23*(S3-1)+'Beállítások'!$E$24*(T3-1)+'Beállítások'!$E$25*(U3-1)+'Beállítások'!$E$26*(V3-1)+'Beállítások'!$E$27*(W3-1)+'Beállítások'!$E$28*(X3-1)+'Beállítások'!$E$29*(Y3-1))/(9*('Beállítások'!$B$44+'Beállítások'!$B$45)),1))</f>
        <v/>
      </c>
      <c r="AO3" s="24">
        <f>IF($A3="","",RANK(AM3,$AM$2:$AM$201))</f>
        <v/>
      </c>
      <c r="AP3">
        <f>IF($A3="","",IF(OR(AND('Ügyfelek'!B3&lt;&gt;"",B3&lt;='Beállítások'!$B$85),AND('Ügyfelek'!C3&lt;&gt;"",C3&lt;='Beállítások'!$B$86)),"Igen","Nem"))</f>
        <v/>
      </c>
      <c r="AQ3" s="24">
        <f>IF($A3="","",IF(AP3="Igen",5,IF(AN3&gt;='Beállítások'!$C$108,1,IF(AN3&gt;='Beállítások'!$C$109,2,IF(AN3&gt;='Beállítások'!$C$110,3,IF(AND(AN3&gt;='Beállítások'!$B$87,AI3&gt;='Beállítások'!$B$88,AL3&gt;='Beállítások'!$B$89),4,5))))))</f>
        <v/>
      </c>
      <c r="AR3">
        <f>IF($A3="","",INDEX('Beállítások'!$B$108:$B$112,AQ3))</f>
        <v/>
      </c>
      <c r="AS3">
        <f>IF($A3="","",IF(AQ3=5,"Elutasítjuk",IF(AND(AQ3=4,COUNTIFS('Eredmény'!$AQ$2:$AQ$201,4,'Eredmény'!$DY$2:$DY$201,"&gt;"&amp;DY3)&gt;='Beállítások'!$B$90),"Várólista (a 4-es hely foglalt)","Elfogadjuk")))</f>
        <v/>
      </c>
      <c r="AT3">
        <f>IF($A3="","",INDEX('Beállítások'!$F$108:$F$112,AQ3))</f>
        <v/>
      </c>
      <c r="AU3">
        <f>IF($A3="","",INDEX('Beállítások'!$B$6:$B$38,MATCH(MAX(BK3:CQ3),BK3:CQ3,0)))</f>
        <v/>
      </c>
      <c r="AV3">
        <f>IF($A3="","",IF(MAX(CR3:DX3)=0,"—",INDEX('Beállítások'!$B$6:$B$38,MATCH(MAX(CR3:DX3),CR3:DX3,0))))</f>
        <v/>
      </c>
      <c r="AW3" s="10">
        <f>IF($A3="","",'Beállítások'!$B$94*(TRIM('Ügyfelek'!AI3)="igen")+'Beállítások'!$B$95*(TRIM('Ügyfelek'!AJ3)="igen")+'Beállítások'!$B$96*N('Ügyfelek'!AK3)+'Beállítások'!$B$93*N('Ügyfelek'!AL3))</f>
        <v/>
      </c>
      <c r="AX3" s="25">
        <f>IF(OR($A3="",AQ3=5),"",INDEX('Beállítások'!$D$108:$D$112,AQ3))</f>
        <v/>
      </c>
      <c r="AY3" s="10">
        <f>IF($A3="","",N('Ügyfelek'!U3)*'Beállítások'!$B$98)</f>
        <v/>
      </c>
      <c r="AZ3" s="10">
        <f>IF(OR($A3="",AQ3=5),"",CEILING(ROUND(MAX('Beállítások'!$B$97,AW3*AX3,AY3),2),'Beállítások'!$B$99))</f>
        <v/>
      </c>
      <c r="BA3">
        <f>IF($A3="","",IF(AQ3=5,"Elutasítva",IF(MAX('Beállítások'!$B$97,AW3*AX3,AY3)=AW3*AX3,"Munkaigény × státuszszorzó",IF(MAX('Beállítások'!$B$97,AW3*AX3,AY3)=AY3,"Hirdetési keret arányában","Minimumdíj"))))</f>
        <v/>
      </c>
      <c r="BB3" s="10">
        <f>IF(OR($A3="",'Ügyfelek'!AM3=""),"",'Ügyfelek'!AM3)</f>
        <v/>
      </c>
      <c r="BC3" s="10">
        <f>IF(OR(BB3="",AZ3=""),"",AZ3-BB3)</f>
        <v/>
      </c>
      <c r="BD3" s="18">
        <f>IF(OR(BB3="",AZ3="",BB3=0),"",BC3/BB3)</f>
        <v/>
      </c>
      <c r="BE3">
        <f>IF(OR($A3="",AQ3=5),"",IF(AND(INDEX('Beállítások'!$E$108:$E$112,AQ3)&gt;0,Y3&gt;='Beállítások'!$B$91),"Igen","Nem"))</f>
        <v/>
      </c>
      <c r="BF3" s="10">
        <f>IF(BE3="Igen",CEILING(ROUND(AZ3*(1-'Beállítások'!$B$92),2),'Beállítások'!$B$99),"")</f>
        <v/>
      </c>
      <c r="BG3" s="20">
        <f>IF(BE3="Igen",INDEX('Beállítások'!$E$108:$E$112,AQ3),"")</f>
        <v/>
      </c>
      <c r="BH3" s="10">
        <f>IF(OR(BE3&lt;&gt;"Igen",'Ügyfelek'!AN3=""),"",'Ügyfelek'!AN3*BG3)</f>
        <v/>
      </c>
      <c r="BI3" s="24">
        <f>IF($A3="","",('Ügyfelek'!B3="")+('Ügyfelek'!C3="")+('Ügyfelek'!D3="")+('Ügyfelek'!E3="")+('Ügyfelek'!F3="")+('Ügyfelek'!G3="")+('Ügyfelek'!H3="")+('Ügyfelek'!I3="")+('Ügyfelek'!J3="")+('Ügyfelek'!K3="")+('Ügyfelek'!L3="")+('Ügyfelek'!M3="")+('Ügyfelek'!N3="")+('Ügyfelek'!O3="")+('Ügyfelek'!P3="")+('Ügyfelek'!Q3="")+('Ügyfelek'!R3="")+('Ügyfelek'!S3="")+('Ügyfelek'!T3="")+('Ügyfelek'!U3="")+('Ügyfelek'!V3="")+('Ügyfelek'!W3="")+('Ügyfelek'!X3="")+('Ügyfelek'!Y3="")+('Ügyfelek'!Z3="")+('Ügyfelek'!AA3="")+('Ügyfelek'!AB3="")+('Ügyfelek'!AC3="")+('Ügyfelek'!AD3="")+('Ügyfelek'!AE3="")+('Ügyfelek'!AF3="")+('Ügyfelek'!AG3="")+('Ügyfelek'!AH3=""))</f>
        <v/>
      </c>
      <c r="BK3">
        <f>IF($A3="","",B3+'Beállítások'!$E$6/1000)</f>
        <v/>
      </c>
      <c r="BL3">
        <f>IF($A3="","",C3+'Beállítások'!$E$7/1000)</f>
        <v/>
      </c>
      <c r="BM3">
        <f>IF($A3="","",D3+'Beállítások'!$E$8/1000)</f>
        <v/>
      </c>
      <c r="BN3">
        <f>IF($A3="","",E3+'Beállítások'!$E$9/1000)</f>
        <v/>
      </c>
      <c r="BO3">
        <f>IF($A3="","",F3+'Beállítások'!$E$10/1000)</f>
        <v/>
      </c>
      <c r="BP3">
        <f>IF($A3="","",G3+'Beállítások'!$E$11/1000)</f>
        <v/>
      </c>
      <c r="BQ3">
        <f>IF($A3="","",H3+'Beállítások'!$E$12/1000)</f>
        <v/>
      </c>
      <c r="BR3">
        <f>IF($A3="","",I3+'Beállítások'!$E$13/1000)</f>
        <v/>
      </c>
      <c r="BS3">
        <f>IF($A3="","",J3+'Beállítások'!$E$14/1000)</f>
        <v/>
      </c>
      <c r="BT3">
        <f>IF($A3="","",K3+'Beállítások'!$E$15/1000)</f>
        <v/>
      </c>
      <c r="BU3">
        <f>IF($A3="","",L3+'Beállítások'!$E$16/1000)</f>
        <v/>
      </c>
      <c r="BV3">
        <f>IF($A3="","",M3+'Beállítások'!$E$17/1000)</f>
        <v/>
      </c>
      <c r="BW3">
        <f>IF($A3="","",N3+'Beállítások'!$E$18/1000)</f>
        <v/>
      </c>
      <c r="BX3">
        <f>IF($A3="","",O3+'Beállítások'!$E$19/1000)</f>
        <v/>
      </c>
      <c r="BY3">
        <f>IF($A3="","",P3+'Beállítások'!$E$20/1000)</f>
        <v/>
      </c>
      <c r="BZ3">
        <f>IF($A3="","",Q3+'Beállítások'!$E$21/1000)</f>
        <v/>
      </c>
      <c r="CA3">
        <f>IF($A3="","",R3+'Beállítások'!$E$22/1000)</f>
        <v/>
      </c>
      <c r="CB3">
        <f>IF($A3="","",S3+'Beállítások'!$E$23/1000)</f>
        <v/>
      </c>
      <c r="CC3">
        <f>IF($A3="","",T3+'Beállítások'!$E$24/1000)</f>
        <v/>
      </c>
      <c r="CD3">
        <f>IF($A3="","",U3+'Beállítások'!$E$25/1000)</f>
        <v/>
      </c>
      <c r="CE3">
        <f>IF($A3="","",V3+'Beállítások'!$E$26/1000)</f>
        <v/>
      </c>
      <c r="CF3">
        <f>IF($A3="","",W3+'Beállítások'!$E$27/1000)</f>
        <v/>
      </c>
      <c r="CG3">
        <f>IF($A3="","",X3+'Beállítások'!$E$28/1000)</f>
        <v/>
      </c>
      <c r="CH3">
        <f>IF($A3="","",Y3+'Beállítások'!$E$29/1000)</f>
        <v/>
      </c>
      <c r="CI3">
        <f>IF($A3="","",Z3+'Beállítások'!$E$30/1000)</f>
        <v/>
      </c>
      <c r="CJ3">
        <f>IF($A3="","",AA3+'Beállítások'!$E$31/1000)</f>
        <v/>
      </c>
      <c r="CK3">
        <f>IF($A3="","",AB3+'Beállítások'!$E$32/1000)</f>
        <v/>
      </c>
      <c r="CL3">
        <f>IF($A3="","",AC3+'Beállítások'!$E$33/1000)</f>
        <v/>
      </c>
      <c r="CM3">
        <f>IF($A3="","",AD3+'Beállítások'!$E$34/1000)</f>
        <v/>
      </c>
      <c r="CN3">
        <f>IF($A3="","",AE3+'Beállítások'!$E$35/1000)</f>
        <v/>
      </c>
      <c r="CO3">
        <f>IF($A3="","",AF3+'Beállítások'!$E$36/1000)</f>
        <v/>
      </c>
      <c r="CP3">
        <f>IF($A3="","",AG3+'Beállítások'!$E$37/1000)</f>
        <v/>
      </c>
      <c r="CQ3">
        <f>IF($A3="","",AH3+'Beállítások'!$E$38/1000)</f>
        <v/>
      </c>
      <c r="CR3">
        <f>IF($A3="","",'Beállítások'!$E$6*(10-B3))</f>
        <v/>
      </c>
      <c r="CS3">
        <f>IF($A3="","",'Beállítások'!$E$7*(10-C3))</f>
        <v/>
      </c>
      <c r="CT3">
        <f>IF($A3="","",'Beállítások'!$E$8*(10-D3))</f>
        <v/>
      </c>
      <c r="CU3">
        <f>IF($A3="","",'Beállítások'!$E$9*(10-E3))</f>
        <v/>
      </c>
      <c r="CV3">
        <f>IF($A3="","",'Beállítások'!$E$10*(10-F3))</f>
        <v/>
      </c>
      <c r="CW3">
        <f>IF($A3="","",'Beállítások'!$E$11*(10-G3))</f>
        <v/>
      </c>
      <c r="CX3">
        <f>IF($A3="","",'Beállítások'!$E$12*(10-H3))</f>
        <v/>
      </c>
      <c r="CY3">
        <f>IF($A3="","",'Beállítások'!$E$13*(10-I3))</f>
        <v/>
      </c>
      <c r="CZ3">
        <f>IF($A3="","",'Beállítások'!$E$14*(10-J3))</f>
        <v/>
      </c>
      <c r="DA3">
        <f>IF($A3="","",'Beállítások'!$E$15*(10-K3))</f>
        <v/>
      </c>
      <c r="DB3">
        <f>IF($A3="","",'Beállítások'!$E$16*(10-L3))</f>
        <v/>
      </c>
      <c r="DC3">
        <f>IF($A3="","",'Beállítások'!$E$17*(10-M3))</f>
        <v/>
      </c>
      <c r="DD3">
        <f>IF($A3="","",'Beállítások'!$E$18*(10-N3))</f>
        <v/>
      </c>
      <c r="DE3">
        <f>IF($A3="","",'Beállítások'!$E$19*(10-O3))</f>
        <v/>
      </c>
      <c r="DF3">
        <f>IF($A3="","",'Beállítások'!$E$20*(10-P3))</f>
        <v/>
      </c>
      <c r="DG3">
        <f>IF($A3="","",'Beállítások'!$E$21*(10-Q3))</f>
        <v/>
      </c>
      <c r="DH3">
        <f>IF($A3="","",'Beállítások'!$E$22*(10-R3))</f>
        <v/>
      </c>
      <c r="DI3">
        <f>IF($A3="","",'Beállítások'!$E$23*(10-S3))</f>
        <v/>
      </c>
      <c r="DJ3">
        <f>IF($A3="","",'Beállítások'!$E$24*(10-T3))</f>
        <v/>
      </c>
      <c r="DK3">
        <f>IF($A3="","",'Beállítások'!$E$25*(10-U3))</f>
        <v/>
      </c>
      <c r="DL3">
        <f>IF($A3="","",'Beállítások'!$E$26*(10-V3))</f>
        <v/>
      </c>
      <c r="DM3">
        <f>IF($A3="","",'Beállítások'!$E$27*(10-W3))</f>
        <v/>
      </c>
      <c r="DN3">
        <f>IF($A3="","",'Beállítások'!$E$28*(10-X3))</f>
        <v/>
      </c>
      <c r="DO3">
        <f>IF($A3="","",'Beállítások'!$E$29*(10-Y3))</f>
        <v/>
      </c>
      <c r="DP3">
        <f>IF($A3="","",'Beállítások'!$E$30*(10-Z3))</f>
        <v/>
      </c>
      <c r="DQ3">
        <f>IF($A3="","",'Beállítások'!$E$31*(10-AA3))</f>
        <v/>
      </c>
      <c r="DR3">
        <f>IF($A3="","",'Beállítások'!$E$32*(10-AB3))</f>
        <v/>
      </c>
      <c r="DS3">
        <f>IF($A3="","",'Beállítások'!$E$33*(10-AC3))</f>
        <v/>
      </c>
      <c r="DT3">
        <f>IF($A3="","",'Beállítások'!$E$34*(10-AD3))</f>
        <v/>
      </c>
      <c r="DU3">
        <f>IF($A3="","",'Beállítások'!$E$35*(10-AE3))</f>
        <v/>
      </c>
      <c r="DV3">
        <f>IF($A3="","",'Beállítások'!$E$36*(10-AF3))</f>
        <v/>
      </c>
      <c r="DW3">
        <f>IF($A3="","",'Beállítások'!$E$37*(10-AG3))</f>
        <v/>
      </c>
      <c r="DX3">
        <f>IF($A3="","",'Beállítások'!$E$38*(10-AH3))</f>
        <v/>
      </c>
      <c r="DY3">
        <f>IF($A3="","",AM3-ROW()/100000)</f>
        <v/>
      </c>
    </row>
    <row r="4">
      <c r="A4">
        <f>IF('Ügyfelek'!A4="","",'Ügyfelek'!A4)</f>
        <v/>
      </c>
      <c r="B4">
        <f>IF($A4="","",IF('Ügyfelek'!B4="",'Beállítások'!$B$84,IFERROR(VLOOKUP(TRIM('Ügyfelek'!B4),'Beállítások'!$A$51:$B$59,2,FALSE),'Beállítások'!$B$84)))</f>
        <v/>
      </c>
      <c r="C4">
        <f>IF($A4="","",IF('Ügyfelek'!C4="",'Beállítások'!$B$84,MIN(10,MAX(1,ROUND('Ügyfelek'!C4,0)))))</f>
        <v/>
      </c>
      <c r="D4">
        <f>IF($A4="","",IF('Ügyfelek'!D4="",'Beállítások'!$B$84,MIN(10,MAX(1,ROUND('Ügyfelek'!D4,0)))))</f>
        <v/>
      </c>
      <c r="E4">
        <f>IF($A4="","",IF('Ügyfelek'!E4="",'Beállítások'!$B$84,MIN(10,MAX(1,ROUND('Ügyfelek'!E4,0)))))</f>
        <v/>
      </c>
      <c r="F4">
        <f>IF($A4="","",IF('Ügyfelek'!F4="",'Beállítások'!$B$84,MIN(10,MAX(1,ROUND('Ügyfelek'!F4,0)))))</f>
        <v/>
      </c>
      <c r="G4">
        <f>IF($A4="","",IF('Ügyfelek'!G4="",'Beállítások'!$B$84,MIN(10,MAX(1,ROUND('Ügyfelek'!G4,0)))))</f>
        <v/>
      </c>
      <c r="H4">
        <f>IF($A4="","",IF('Ügyfelek'!H4="",'Beállítások'!$B$84,MIN(10,MAX(1,ROUND('Ügyfelek'!H4,0)))))</f>
        <v/>
      </c>
      <c r="I4">
        <f>IF($A4="","",IF('Ügyfelek'!I4="",'Beállítások'!$B$84,MIN(10,MAX(1,ROUND('Ügyfelek'!I4,0)))))</f>
        <v/>
      </c>
      <c r="J4">
        <f>IF($A4="","",IF('Ügyfelek'!J4="",'Beállítások'!$B$84,MIN(10,MAX(1,ROUND('Ügyfelek'!J4,0)))))</f>
        <v/>
      </c>
      <c r="K4">
        <f>IF($A4="","",IF('Ügyfelek'!K4="",'Beállítások'!$B$84,MIN(10,MAX(1,ROUND('Ügyfelek'!K4,0)))))</f>
        <v/>
      </c>
      <c r="L4">
        <f>IF($A4="","",IF('Ügyfelek'!L4="",'Beállítások'!$B$84,MIN(10,MAX(1,ROUND('Ügyfelek'!L4,0)))))</f>
        <v/>
      </c>
      <c r="M4">
        <f>IF($A4="","",IF('Ügyfelek'!M4="",'Beállítások'!$B$84,MIN(10,MAX(1,ROUND('Ügyfelek'!M4,0)))))</f>
        <v/>
      </c>
      <c r="N4">
        <f>IF($A4="","",IF('Ügyfelek'!N4="",'Beállítások'!$B$84,MIN(10,MAX(1,ROUND('Ügyfelek'!N4,0)))))</f>
        <v/>
      </c>
      <c r="O4">
        <f>IF($A4="","",IF('Ügyfelek'!O4="",'Beállítások'!$B$84,MIN(10,MAX(1,ROUND('Ügyfelek'!O4,0)))))</f>
        <v/>
      </c>
      <c r="P4">
        <f>IF($A4="","",IF('Ügyfelek'!P4="",'Beállítások'!$B$84,MIN(10,MAX(1,ROUND('Ügyfelek'!P4,0)))))</f>
        <v/>
      </c>
      <c r="Q4">
        <f>IF($A4="","",IF('Ügyfelek'!Q4="",'Beállítások'!$B$84,MIN(10,MAX(1,ROUND('Ügyfelek'!Q4,0)))))</f>
        <v/>
      </c>
      <c r="R4">
        <f>IF($A4="","",IF('Ügyfelek'!R4="",'Beállítások'!$B$84,MIN(10,MAX(1,ROUND('Ügyfelek'!R4,0)))))</f>
        <v/>
      </c>
      <c r="S4">
        <f>IF($A4="","",IF('Ügyfelek'!S4="",'Beállítások'!$B$84,MIN(10,MAX(1,ROUND('Ügyfelek'!S4,0)))))</f>
        <v/>
      </c>
      <c r="T4">
        <f>IF($A4="","",IF('Ügyfelek'!T4="",'Beállítások'!$B$84,VLOOKUP(MAX('Ügyfelek'!T4,'Beállítások'!$H$7),'Beállítások'!$H$7:$I$12,2,TRUE)))</f>
        <v/>
      </c>
      <c r="U4">
        <f>IF($A4="","",IF('Ügyfelek'!U4="",'Beállítások'!$B$84,VLOOKUP(MAX('Ügyfelek'!U4,'Beállítások'!$K$7),'Beállítások'!$K$7:$L$12,2,TRUE)))</f>
        <v/>
      </c>
      <c r="V4">
        <f>IF($A4="","",IF('Ügyfelek'!V4="",'Beállítások'!$B$84,MIN(10,MAX(1,ROUND('Ügyfelek'!V4,0)))))</f>
        <v/>
      </c>
      <c r="W4">
        <f>IF($A4="","",IF('Ügyfelek'!W4="",'Beállítások'!$B$84,VLOOKUP(MAX('Ügyfelek'!W4,'Beállítások'!$N$7),'Beállítások'!$N$7:$O$12,2,TRUE)))</f>
        <v/>
      </c>
      <c r="X4">
        <f>IF($A4="","",IF('Ügyfelek'!X4="",'Beállítások'!$B$84,MIN(10,MAX(1,ROUND('Ügyfelek'!X4,0)))))</f>
        <v/>
      </c>
      <c r="Y4">
        <f>IF($A4="","",IF('Ügyfelek'!Y4="",'Beállítások'!$B$84,IFERROR(VLOOKUP(TRIM('Ügyfelek'!Y4),'Beállítások'!$A$63:$B$69,2,FALSE),'Beállítások'!$B$84)))</f>
        <v/>
      </c>
      <c r="Z4">
        <f>IF($A4="","",IF('Ügyfelek'!Z4="",'Beállítások'!$B$84,VLOOKUP(MAX('Ügyfelek'!Z4,'Beállítások'!$Q$7),'Beállítások'!$Q$7:$R$12,2,TRUE)))</f>
        <v/>
      </c>
      <c r="AA4">
        <f>IF($A4="","",IF('Ügyfelek'!AA4="",'Beállítások'!$B$84,VLOOKUP(MAX('Ügyfelek'!AA4,'Beállítások'!$T$7),'Beállítások'!$T$7:$U$12,2,TRUE)))</f>
        <v/>
      </c>
      <c r="AB4">
        <f>IF($A4="","",IF('Ügyfelek'!AB4="",'Beállítások'!$B$84,MIN(10,MAX(1,ROUND('Ügyfelek'!AB4,0)))))</f>
        <v/>
      </c>
      <c r="AC4">
        <f>IF($A4="","",IF('Ügyfelek'!AC4="",'Beállítások'!$B$84,MIN(10,MAX(1,ROUND('Ügyfelek'!AC4,0)))))</f>
        <v/>
      </c>
      <c r="AD4">
        <f>IF($A4="","",IF('Ügyfelek'!AD4="",'Beállítások'!$B$84,MIN(10,MAX(1,ROUND('Ügyfelek'!AD4,0)))))</f>
        <v/>
      </c>
      <c r="AE4">
        <f>IF($A4="","",IF('Ügyfelek'!AE4="",'Beállítások'!$B$84,MIN(10,MAX(1,ROUND('Ügyfelek'!AE4,0)))))</f>
        <v/>
      </c>
      <c r="AF4">
        <f>IF($A4="","",IF('Ügyfelek'!AF4="",'Beállítások'!$B$84,MIN(10,MAX(1,ROUND('Ügyfelek'!AF4,0)))))</f>
        <v/>
      </c>
      <c r="AG4">
        <f>IF($A4="","",IF('Ügyfelek'!AG4="",'Beállítások'!$B$84,MIN(10,MAX(1,ROUND('Ügyfelek'!AG4,0)))))</f>
        <v/>
      </c>
      <c r="AH4">
        <f>IF($A4="","",IF('Ügyfelek'!AH4="",'Beállítások'!$B$84,IFERROR(VLOOKUP(TRIM('Ügyfelek'!AH4),'Beállítások'!$A$73:$B$79,2,FALSE),'Beállítások'!$B$84)))</f>
        <v/>
      </c>
      <c r="AI4" s="23">
        <f>IF($A4="","",ROUND(100*('Beállítások'!$E$6*(B4-1)+'Beállítások'!$E$7*(C4-1))/(9*'Beállítások'!$B$43),1))</f>
        <v/>
      </c>
      <c r="AJ4" s="23">
        <f>IF($A4="","",ROUND(100*('Beállítások'!$E$8*(D4-1)+'Beállítások'!$E$9*(E4-1)+'Beállítások'!$E$10*(F4-1)+'Beállítások'!$E$11*(G4-1)+'Beállítások'!$E$12*(H4-1)+'Beállítások'!$E$13*(I4-1)+'Beállítások'!$E$14*(J4-1)+'Beállítások'!$E$15*(K4-1)+'Beállítások'!$E$16*(L4-1)+'Beállítások'!$E$17*(M4-1)+'Beállítások'!$E$18*(N4-1)+'Beállítások'!$E$19*(O4-1)+'Beállítások'!$E$20*(P4-1)+'Beállítások'!$E$21*(Q4-1)+'Beállítások'!$E$22*(R4-1))/(9*'Beállítások'!$B$44),1))</f>
        <v/>
      </c>
      <c r="AK4" s="23">
        <f>IF($A4="","",ROUND(100*('Beállítások'!$E$23*(S4-1)+'Beállítások'!$E$24*(T4-1)+'Beállítások'!$E$25*(U4-1)+'Beállítások'!$E$26*(V4-1)+'Beállítások'!$E$27*(W4-1)+'Beállítások'!$E$28*(X4-1)+'Beállítások'!$E$29*(Y4-1))/(9*'Beállítások'!$B$45),1))</f>
        <v/>
      </c>
      <c r="AL4" s="23">
        <f>IF($A4="","",ROUND(100*('Beállítások'!$E$30*(Z4-1)+'Beállítások'!$E$31*(AA4-1)+'Beállítások'!$E$32*(AB4-1)+'Beállítások'!$E$33*(AC4-1)+'Beállítások'!$E$34*(AD4-1)+'Beállítások'!$E$35*(AE4-1)+'Beállítások'!$E$36*(AF4-1)+'Beállítások'!$E$37*(AG4-1)+'Beállítások'!$E$38*(AH4-1))/(9*'Beállítások'!$B$46),1))</f>
        <v/>
      </c>
      <c r="AM4" s="23">
        <f>IF($A4="","",ROUND(100*('Beállítások'!$E$6*(B4-1)+'Beállítások'!$E$7*(C4-1)+'Beállítások'!$E$8*(D4-1)+'Beállítások'!$E$9*(E4-1)+'Beállítások'!$E$10*(F4-1)+'Beállítások'!$E$11*(G4-1)+'Beállítások'!$E$12*(H4-1)+'Beállítások'!$E$13*(I4-1)+'Beállítások'!$E$14*(J4-1)+'Beállítások'!$E$15*(K4-1)+'Beállítások'!$E$16*(L4-1)+'Beállítások'!$E$17*(M4-1)+'Beállítások'!$E$18*(N4-1)+'Beállítások'!$E$19*(O4-1)+'Beállítások'!$E$20*(P4-1)+'Beállítások'!$E$21*(Q4-1)+'Beállítások'!$E$22*(R4-1)+'Beállítások'!$E$23*(S4-1)+'Beállítások'!$E$24*(T4-1)+'Beállítások'!$E$25*(U4-1)+'Beállítások'!$E$26*(V4-1)+'Beállítások'!$E$27*(W4-1)+'Beállítások'!$E$28*(X4-1)+'Beállítások'!$E$29*(Y4-1)+'Beállítások'!$E$30*(Z4-1)+'Beállítások'!$E$31*(AA4-1)+'Beállítások'!$E$32*(AB4-1)+'Beállítások'!$E$33*(AC4-1)+'Beállítások'!$E$34*(AD4-1)+'Beállítások'!$E$35*(AE4-1)+'Beállítások'!$E$36*(AF4-1)+'Beállítások'!$E$37*(AG4-1)+'Beállítások'!$E$38*(AH4-1))/(9*'Beállítások'!$E$39),1))</f>
        <v/>
      </c>
      <c r="AN4" s="23">
        <f>IF($A4="","",ROUND(100*('Beállítások'!$E$8*(D4-1)+'Beállítások'!$E$9*(E4-1)+'Beállítások'!$E$10*(F4-1)+'Beállítások'!$E$11*(G4-1)+'Beállítások'!$E$12*(H4-1)+'Beállítások'!$E$13*(I4-1)+'Beállítások'!$E$14*(J4-1)+'Beállítások'!$E$15*(K4-1)+'Beállítások'!$E$16*(L4-1)+'Beállítások'!$E$17*(M4-1)+'Beállítások'!$E$18*(N4-1)+'Beállítások'!$E$19*(O4-1)+'Beállítások'!$E$20*(P4-1)+'Beállítások'!$E$21*(Q4-1)+'Beállítások'!$E$22*(R4-1)+'Beállítások'!$E$23*(S4-1)+'Beállítások'!$E$24*(T4-1)+'Beállítások'!$E$25*(U4-1)+'Beállítások'!$E$26*(V4-1)+'Beállítások'!$E$27*(W4-1)+'Beállítások'!$E$28*(X4-1)+'Beállítások'!$E$29*(Y4-1))/(9*('Beállítások'!$B$44+'Beállítások'!$B$45)),1))</f>
        <v/>
      </c>
      <c r="AO4" s="24">
        <f>IF($A4="","",RANK(AM4,$AM$2:$AM$201))</f>
        <v/>
      </c>
      <c r="AP4">
        <f>IF($A4="","",IF(OR(AND('Ügyfelek'!B4&lt;&gt;"",B4&lt;='Beállítások'!$B$85),AND('Ügyfelek'!C4&lt;&gt;"",C4&lt;='Beállítások'!$B$86)),"Igen","Nem"))</f>
        <v/>
      </c>
      <c r="AQ4" s="24">
        <f>IF($A4="","",IF(AP4="Igen",5,IF(AN4&gt;='Beállítások'!$C$108,1,IF(AN4&gt;='Beállítások'!$C$109,2,IF(AN4&gt;='Beállítások'!$C$110,3,IF(AND(AN4&gt;='Beállítások'!$B$87,AI4&gt;='Beállítások'!$B$88,AL4&gt;='Beállítások'!$B$89),4,5))))))</f>
        <v/>
      </c>
      <c r="AR4">
        <f>IF($A4="","",INDEX('Beállítások'!$B$108:$B$112,AQ4))</f>
        <v/>
      </c>
      <c r="AS4">
        <f>IF($A4="","",IF(AQ4=5,"Elutasítjuk",IF(AND(AQ4=4,COUNTIFS('Eredmény'!$AQ$2:$AQ$201,4,'Eredmény'!$DY$2:$DY$201,"&gt;"&amp;DY4)&gt;='Beállítások'!$B$90),"Várólista (a 4-es hely foglalt)","Elfogadjuk")))</f>
        <v/>
      </c>
      <c r="AT4">
        <f>IF($A4="","",INDEX('Beállítások'!$F$108:$F$112,AQ4))</f>
        <v/>
      </c>
      <c r="AU4">
        <f>IF($A4="","",INDEX('Beállítások'!$B$6:$B$38,MATCH(MAX(BK4:CQ4),BK4:CQ4,0)))</f>
        <v/>
      </c>
      <c r="AV4">
        <f>IF($A4="","",IF(MAX(CR4:DX4)=0,"—",INDEX('Beállítások'!$B$6:$B$38,MATCH(MAX(CR4:DX4),CR4:DX4,0))))</f>
        <v/>
      </c>
      <c r="AW4" s="10">
        <f>IF($A4="","",'Beállítások'!$B$94*(TRIM('Ügyfelek'!AI4)="igen")+'Beállítások'!$B$95*(TRIM('Ügyfelek'!AJ4)="igen")+'Beállítások'!$B$96*N('Ügyfelek'!AK4)+'Beállítások'!$B$93*N('Ügyfelek'!AL4))</f>
        <v/>
      </c>
      <c r="AX4" s="25">
        <f>IF(OR($A4="",AQ4=5),"",INDEX('Beállítások'!$D$108:$D$112,AQ4))</f>
        <v/>
      </c>
      <c r="AY4" s="10">
        <f>IF($A4="","",N('Ügyfelek'!U4)*'Beállítások'!$B$98)</f>
        <v/>
      </c>
      <c r="AZ4" s="10">
        <f>IF(OR($A4="",AQ4=5),"",CEILING(ROUND(MAX('Beállítások'!$B$97,AW4*AX4,AY4),2),'Beállítások'!$B$99))</f>
        <v/>
      </c>
      <c r="BA4">
        <f>IF($A4="","",IF(AQ4=5,"Elutasítva",IF(MAX('Beállítások'!$B$97,AW4*AX4,AY4)=AW4*AX4,"Munkaigény × státuszszorzó",IF(MAX('Beállítások'!$B$97,AW4*AX4,AY4)=AY4,"Hirdetési keret arányában","Minimumdíj"))))</f>
        <v/>
      </c>
      <c r="BB4" s="10">
        <f>IF(OR($A4="",'Ügyfelek'!AM4=""),"",'Ügyfelek'!AM4)</f>
        <v/>
      </c>
      <c r="BC4" s="10">
        <f>IF(OR(BB4="",AZ4=""),"",AZ4-BB4)</f>
        <v/>
      </c>
      <c r="BD4" s="18">
        <f>IF(OR(BB4="",AZ4="",BB4=0),"",BC4/BB4)</f>
        <v/>
      </c>
      <c r="BE4">
        <f>IF(OR($A4="",AQ4=5),"",IF(AND(INDEX('Beállítások'!$E$108:$E$112,AQ4)&gt;0,Y4&gt;='Beállítások'!$B$91),"Igen","Nem"))</f>
        <v/>
      </c>
      <c r="BF4" s="10">
        <f>IF(BE4="Igen",CEILING(ROUND(AZ4*(1-'Beállítások'!$B$92),2),'Beállítások'!$B$99),"")</f>
        <v/>
      </c>
      <c r="BG4" s="20">
        <f>IF(BE4="Igen",INDEX('Beállítások'!$E$108:$E$112,AQ4),"")</f>
        <v/>
      </c>
      <c r="BH4" s="10">
        <f>IF(OR(BE4&lt;&gt;"Igen",'Ügyfelek'!AN4=""),"",'Ügyfelek'!AN4*BG4)</f>
        <v/>
      </c>
      <c r="BI4" s="24">
        <f>IF($A4="","",('Ügyfelek'!B4="")+('Ügyfelek'!C4="")+('Ügyfelek'!D4="")+('Ügyfelek'!E4="")+('Ügyfelek'!F4="")+('Ügyfelek'!G4="")+('Ügyfelek'!H4="")+('Ügyfelek'!I4="")+('Ügyfelek'!J4="")+('Ügyfelek'!K4="")+('Ügyfelek'!L4="")+('Ügyfelek'!M4="")+('Ügyfelek'!N4="")+('Ügyfelek'!O4="")+('Ügyfelek'!P4="")+('Ügyfelek'!Q4="")+('Ügyfelek'!R4="")+('Ügyfelek'!S4="")+('Ügyfelek'!T4="")+('Ügyfelek'!U4="")+('Ügyfelek'!V4="")+('Ügyfelek'!W4="")+('Ügyfelek'!X4="")+('Ügyfelek'!Y4="")+('Ügyfelek'!Z4="")+('Ügyfelek'!AA4="")+('Ügyfelek'!AB4="")+('Ügyfelek'!AC4="")+('Ügyfelek'!AD4="")+('Ügyfelek'!AE4="")+('Ügyfelek'!AF4="")+('Ügyfelek'!AG4="")+('Ügyfelek'!AH4=""))</f>
        <v/>
      </c>
      <c r="BK4">
        <f>IF($A4="","",B4+'Beállítások'!$E$6/1000)</f>
        <v/>
      </c>
      <c r="BL4">
        <f>IF($A4="","",C4+'Beállítások'!$E$7/1000)</f>
        <v/>
      </c>
      <c r="BM4">
        <f>IF($A4="","",D4+'Beállítások'!$E$8/1000)</f>
        <v/>
      </c>
      <c r="BN4">
        <f>IF($A4="","",E4+'Beállítások'!$E$9/1000)</f>
        <v/>
      </c>
      <c r="BO4">
        <f>IF($A4="","",F4+'Beállítások'!$E$10/1000)</f>
        <v/>
      </c>
      <c r="BP4">
        <f>IF($A4="","",G4+'Beállítások'!$E$11/1000)</f>
        <v/>
      </c>
      <c r="BQ4">
        <f>IF($A4="","",H4+'Beállítások'!$E$12/1000)</f>
        <v/>
      </c>
      <c r="BR4">
        <f>IF($A4="","",I4+'Beállítások'!$E$13/1000)</f>
        <v/>
      </c>
      <c r="BS4">
        <f>IF($A4="","",J4+'Beállítások'!$E$14/1000)</f>
        <v/>
      </c>
      <c r="BT4">
        <f>IF($A4="","",K4+'Beállítások'!$E$15/1000)</f>
        <v/>
      </c>
      <c r="BU4">
        <f>IF($A4="","",L4+'Beállítások'!$E$16/1000)</f>
        <v/>
      </c>
      <c r="BV4">
        <f>IF($A4="","",M4+'Beállítások'!$E$17/1000)</f>
        <v/>
      </c>
      <c r="BW4">
        <f>IF($A4="","",N4+'Beállítások'!$E$18/1000)</f>
        <v/>
      </c>
      <c r="BX4">
        <f>IF($A4="","",O4+'Beállítások'!$E$19/1000)</f>
        <v/>
      </c>
      <c r="BY4">
        <f>IF($A4="","",P4+'Beállítások'!$E$20/1000)</f>
        <v/>
      </c>
      <c r="BZ4">
        <f>IF($A4="","",Q4+'Beállítások'!$E$21/1000)</f>
        <v/>
      </c>
      <c r="CA4">
        <f>IF($A4="","",R4+'Beállítások'!$E$22/1000)</f>
        <v/>
      </c>
      <c r="CB4">
        <f>IF($A4="","",S4+'Beállítások'!$E$23/1000)</f>
        <v/>
      </c>
      <c r="CC4">
        <f>IF($A4="","",T4+'Beállítások'!$E$24/1000)</f>
        <v/>
      </c>
      <c r="CD4">
        <f>IF($A4="","",U4+'Beállítások'!$E$25/1000)</f>
        <v/>
      </c>
      <c r="CE4">
        <f>IF($A4="","",V4+'Beállítások'!$E$26/1000)</f>
        <v/>
      </c>
      <c r="CF4">
        <f>IF($A4="","",W4+'Beállítások'!$E$27/1000)</f>
        <v/>
      </c>
      <c r="CG4">
        <f>IF($A4="","",X4+'Beállítások'!$E$28/1000)</f>
        <v/>
      </c>
      <c r="CH4">
        <f>IF($A4="","",Y4+'Beállítások'!$E$29/1000)</f>
        <v/>
      </c>
      <c r="CI4">
        <f>IF($A4="","",Z4+'Beállítások'!$E$30/1000)</f>
        <v/>
      </c>
      <c r="CJ4">
        <f>IF($A4="","",AA4+'Beállítások'!$E$31/1000)</f>
        <v/>
      </c>
      <c r="CK4">
        <f>IF($A4="","",AB4+'Beállítások'!$E$32/1000)</f>
        <v/>
      </c>
      <c r="CL4">
        <f>IF($A4="","",AC4+'Beállítások'!$E$33/1000)</f>
        <v/>
      </c>
      <c r="CM4">
        <f>IF($A4="","",AD4+'Beállítások'!$E$34/1000)</f>
        <v/>
      </c>
      <c r="CN4">
        <f>IF($A4="","",AE4+'Beállítások'!$E$35/1000)</f>
        <v/>
      </c>
      <c r="CO4">
        <f>IF($A4="","",AF4+'Beállítások'!$E$36/1000)</f>
        <v/>
      </c>
      <c r="CP4">
        <f>IF($A4="","",AG4+'Beállítások'!$E$37/1000)</f>
        <v/>
      </c>
      <c r="CQ4">
        <f>IF($A4="","",AH4+'Beállítások'!$E$38/1000)</f>
        <v/>
      </c>
      <c r="CR4">
        <f>IF($A4="","",'Beállítások'!$E$6*(10-B4))</f>
        <v/>
      </c>
      <c r="CS4">
        <f>IF($A4="","",'Beállítások'!$E$7*(10-C4))</f>
        <v/>
      </c>
      <c r="CT4">
        <f>IF($A4="","",'Beállítások'!$E$8*(10-D4))</f>
        <v/>
      </c>
      <c r="CU4">
        <f>IF($A4="","",'Beállítások'!$E$9*(10-E4))</f>
        <v/>
      </c>
      <c r="CV4">
        <f>IF($A4="","",'Beállítások'!$E$10*(10-F4))</f>
        <v/>
      </c>
      <c r="CW4">
        <f>IF($A4="","",'Beállítások'!$E$11*(10-G4))</f>
        <v/>
      </c>
      <c r="CX4">
        <f>IF($A4="","",'Beállítások'!$E$12*(10-H4))</f>
        <v/>
      </c>
      <c r="CY4">
        <f>IF($A4="","",'Beállítások'!$E$13*(10-I4))</f>
        <v/>
      </c>
      <c r="CZ4">
        <f>IF($A4="","",'Beállítások'!$E$14*(10-J4))</f>
        <v/>
      </c>
      <c r="DA4">
        <f>IF($A4="","",'Beállítások'!$E$15*(10-K4))</f>
        <v/>
      </c>
      <c r="DB4">
        <f>IF($A4="","",'Beállítások'!$E$16*(10-L4))</f>
        <v/>
      </c>
      <c r="DC4">
        <f>IF($A4="","",'Beállítások'!$E$17*(10-M4))</f>
        <v/>
      </c>
      <c r="DD4">
        <f>IF($A4="","",'Beállítások'!$E$18*(10-N4))</f>
        <v/>
      </c>
      <c r="DE4">
        <f>IF($A4="","",'Beállítások'!$E$19*(10-O4))</f>
        <v/>
      </c>
      <c r="DF4">
        <f>IF($A4="","",'Beállítások'!$E$20*(10-P4))</f>
        <v/>
      </c>
      <c r="DG4">
        <f>IF($A4="","",'Beállítások'!$E$21*(10-Q4))</f>
        <v/>
      </c>
      <c r="DH4">
        <f>IF($A4="","",'Beállítások'!$E$22*(10-R4))</f>
        <v/>
      </c>
      <c r="DI4">
        <f>IF($A4="","",'Beállítások'!$E$23*(10-S4))</f>
        <v/>
      </c>
      <c r="DJ4">
        <f>IF($A4="","",'Beállítások'!$E$24*(10-T4))</f>
        <v/>
      </c>
      <c r="DK4">
        <f>IF($A4="","",'Beállítások'!$E$25*(10-U4))</f>
        <v/>
      </c>
      <c r="DL4">
        <f>IF($A4="","",'Beállítások'!$E$26*(10-V4))</f>
        <v/>
      </c>
      <c r="DM4">
        <f>IF($A4="","",'Beállítások'!$E$27*(10-W4))</f>
        <v/>
      </c>
      <c r="DN4">
        <f>IF($A4="","",'Beállítások'!$E$28*(10-X4))</f>
        <v/>
      </c>
      <c r="DO4">
        <f>IF($A4="","",'Beállítások'!$E$29*(10-Y4))</f>
        <v/>
      </c>
      <c r="DP4">
        <f>IF($A4="","",'Beállítások'!$E$30*(10-Z4))</f>
        <v/>
      </c>
      <c r="DQ4">
        <f>IF($A4="","",'Beállítások'!$E$31*(10-AA4))</f>
        <v/>
      </c>
      <c r="DR4">
        <f>IF($A4="","",'Beállítások'!$E$32*(10-AB4))</f>
        <v/>
      </c>
      <c r="DS4">
        <f>IF($A4="","",'Beállítások'!$E$33*(10-AC4))</f>
        <v/>
      </c>
      <c r="DT4">
        <f>IF($A4="","",'Beállítások'!$E$34*(10-AD4))</f>
        <v/>
      </c>
      <c r="DU4">
        <f>IF($A4="","",'Beállítások'!$E$35*(10-AE4))</f>
        <v/>
      </c>
      <c r="DV4">
        <f>IF($A4="","",'Beállítások'!$E$36*(10-AF4))</f>
        <v/>
      </c>
      <c r="DW4">
        <f>IF($A4="","",'Beállítások'!$E$37*(10-AG4))</f>
        <v/>
      </c>
      <c r="DX4">
        <f>IF($A4="","",'Beállítások'!$E$38*(10-AH4))</f>
        <v/>
      </c>
      <c r="DY4">
        <f>IF($A4="","",AM4-ROW()/100000)</f>
        <v/>
      </c>
    </row>
    <row r="5">
      <c r="A5">
        <f>IF('Ügyfelek'!A5="","",'Ügyfelek'!A5)</f>
        <v/>
      </c>
      <c r="B5">
        <f>IF($A5="","",IF('Ügyfelek'!B5="",'Beállítások'!$B$84,IFERROR(VLOOKUP(TRIM('Ügyfelek'!B5),'Beállítások'!$A$51:$B$59,2,FALSE),'Beállítások'!$B$84)))</f>
        <v/>
      </c>
      <c r="C5">
        <f>IF($A5="","",IF('Ügyfelek'!C5="",'Beállítások'!$B$84,MIN(10,MAX(1,ROUND('Ügyfelek'!C5,0)))))</f>
        <v/>
      </c>
      <c r="D5">
        <f>IF($A5="","",IF('Ügyfelek'!D5="",'Beállítások'!$B$84,MIN(10,MAX(1,ROUND('Ügyfelek'!D5,0)))))</f>
        <v/>
      </c>
      <c r="E5">
        <f>IF($A5="","",IF('Ügyfelek'!E5="",'Beállítások'!$B$84,MIN(10,MAX(1,ROUND('Ügyfelek'!E5,0)))))</f>
        <v/>
      </c>
      <c r="F5">
        <f>IF($A5="","",IF('Ügyfelek'!F5="",'Beállítások'!$B$84,MIN(10,MAX(1,ROUND('Ügyfelek'!F5,0)))))</f>
        <v/>
      </c>
      <c r="G5">
        <f>IF($A5="","",IF('Ügyfelek'!G5="",'Beállítások'!$B$84,MIN(10,MAX(1,ROUND('Ügyfelek'!G5,0)))))</f>
        <v/>
      </c>
      <c r="H5">
        <f>IF($A5="","",IF('Ügyfelek'!H5="",'Beállítások'!$B$84,MIN(10,MAX(1,ROUND('Ügyfelek'!H5,0)))))</f>
        <v/>
      </c>
      <c r="I5">
        <f>IF($A5="","",IF('Ügyfelek'!I5="",'Beállítások'!$B$84,MIN(10,MAX(1,ROUND('Ügyfelek'!I5,0)))))</f>
        <v/>
      </c>
      <c r="J5">
        <f>IF($A5="","",IF('Ügyfelek'!J5="",'Beállítások'!$B$84,MIN(10,MAX(1,ROUND('Ügyfelek'!J5,0)))))</f>
        <v/>
      </c>
      <c r="K5">
        <f>IF($A5="","",IF('Ügyfelek'!K5="",'Beállítások'!$B$84,MIN(10,MAX(1,ROUND('Ügyfelek'!K5,0)))))</f>
        <v/>
      </c>
      <c r="L5">
        <f>IF($A5="","",IF('Ügyfelek'!L5="",'Beállítások'!$B$84,MIN(10,MAX(1,ROUND('Ügyfelek'!L5,0)))))</f>
        <v/>
      </c>
      <c r="M5">
        <f>IF($A5="","",IF('Ügyfelek'!M5="",'Beállítások'!$B$84,MIN(10,MAX(1,ROUND('Ügyfelek'!M5,0)))))</f>
        <v/>
      </c>
      <c r="N5">
        <f>IF($A5="","",IF('Ügyfelek'!N5="",'Beállítások'!$B$84,MIN(10,MAX(1,ROUND('Ügyfelek'!N5,0)))))</f>
        <v/>
      </c>
      <c r="O5">
        <f>IF($A5="","",IF('Ügyfelek'!O5="",'Beállítások'!$B$84,MIN(10,MAX(1,ROUND('Ügyfelek'!O5,0)))))</f>
        <v/>
      </c>
      <c r="P5">
        <f>IF($A5="","",IF('Ügyfelek'!P5="",'Beállítások'!$B$84,MIN(10,MAX(1,ROUND('Ügyfelek'!P5,0)))))</f>
        <v/>
      </c>
      <c r="Q5">
        <f>IF($A5="","",IF('Ügyfelek'!Q5="",'Beállítások'!$B$84,MIN(10,MAX(1,ROUND('Ügyfelek'!Q5,0)))))</f>
        <v/>
      </c>
      <c r="R5">
        <f>IF($A5="","",IF('Ügyfelek'!R5="",'Beállítások'!$B$84,MIN(10,MAX(1,ROUND('Ügyfelek'!R5,0)))))</f>
        <v/>
      </c>
      <c r="S5">
        <f>IF($A5="","",IF('Ügyfelek'!S5="",'Beállítások'!$B$84,MIN(10,MAX(1,ROUND('Ügyfelek'!S5,0)))))</f>
        <v/>
      </c>
      <c r="T5">
        <f>IF($A5="","",IF('Ügyfelek'!T5="",'Beállítások'!$B$84,VLOOKUP(MAX('Ügyfelek'!T5,'Beállítások'!$H$7),'Beállítások'!$H$7:$I$12,2,TRUE)))</f>
        <v/>
      </c>
      <c r="U5">
        <f>IF($A5="","",IF('Ügyfelek'!U5="",'Beállítások'!$B$84,VLOOKUP(MAX('Ügyfelek'!U5,'Beállítások'!$K$7),'Beállítások'!$K$7:$L$12,2,TRUE)))</f>
        <v/>
      </c>
      <c r="V5">
        <f>IF($A5="","",IF('Ügyfelek'!V5="",'Beállítások'!$B$84,MIN(10,MAX(1,ROUND('Ügyfelek'!V5,0)))))</f>
        <v/>
      </c>
      <c r="W5">
        <f>IF($A5="","",IF('Ügyfelek'!W5="",'Beállítások'!$B$84,VLOOKUP(MAX('Ügyfelek'!W5,'Beállítások'!$N$7),'Beállítások'!$N$7:$O$12,2,TRUE)))</f>
        <v/>
      </c>
      <c r="X5">
        <f>IF($A5="","",IF('Ügyfelek'!X5="",'Beállítások'!$B$84,MIN(10,MAX(1,ROUND('Ügyfelek'!X5,0)))))</f>
        <v/>
      </c>
      <c r="Y5">
        <f>IF($A5="","",IF('Ügyfelek'!Y5="",'Beállítások'!$B$84,IFERROR(VLOOKUP(TRIM('Ügyfelek'!Y5),'Beállítások'!$A$63:$B$69,2,FALSE),'Beállítások'!$B$84)))</f>
        <v/>
      </c>
      <c r="Z5">
        <f>IF($A5="","",IF('Ügyfelek'!Z5="",'Beállítások'!$B$84,VLOOKUP(MAX('Ügyfelek'!Z5,'Beállítások'!$Q$7),'Beállítások'!$Q$7:$R$12,2,TRUE)))</f>
        <v/>
      </c>
      <c r="AA5">
        <f>IF($A5="","",IF('Ügyfelek'!AA5="",'Beállítások'!$B$84,VLOOKUP(MAX('Ügyfelek'!AA5,'Beállítások'!$T$7),'Beállítások'!$T$7:$U$12,2,TRUE)))</f>
        <v/>
      </c>
      <c r="AB5">
        <f>IF($A5="","",IF('Ügyfelek'!AB5="",'Beállítások'!$B$84,MIN(10,MAX(1,ROUND('Ügyfelek'!AB5,0)))))</f>
        <v/>
      </c>
      <c r="AC5">
        <f>IF($A5="","",IF('Ügyfelek'!AC5="",'Beállítások'!$B$84,MIN(10,MAX(1,ROUND('Ügyfelek'!AC5,0)))))</f>
        <v/>
      </c>
      <c r="AD5">
        <f>IF($A5="","",IF('Ügyfelek'!AD5="",'Beállítások'!$B$84,MIN(10,MAX(1,ROUND('Ügyfelek'!AD5,0)))))</f>
        <v/>
      </c>
      <c r="AE5">
        <f>IF($A5="","",IF('Ügyfelek'!AE5="",'Beállítások'!$B$84,MIN(10,MAX(1,ROUND('Ügyfelek'!AE5,0)))))</f>
        <v/>
      </c>
      <c r="AF5">
        <f>IF($A5="","",IF('Ügyfelek'!AF5="",'Beállítások'!$B$84,MIN(10,MAX(1,ROUND('Ügyfelek'!AF5,0)))))</f>
        <v/>
      </c>
      <c r="AG5">
        <f>IF($A5="","",IF('Ügyfelek'!AG5="",'Beállítások'!$B$84,MIN(10,MAX(1,ROUND('Ügyfelek'!AG5,0)))))</f>
        <v/>
      </c>
      <c r="AH5">
        <f>IF($A5="","",IF('Ügyfelek'!AH5="",'Beállítások'!$B$84,IFERROR(VLOOKUP(TRIM('Ügyfelek'!AH5),'Beállítások'!$A$73:$B$79,2,FALSE),'Beállítások'!$B$84)))</f>
        <v/>
      </c>
      <c r="AI5" s="23">
        <f>IF($A5="","",ROUND(100*('Beállítások'!$E$6*(B5-1)+'Beállítások'!$E$7*(C5-1))/(9*'Beállítások'!$B$43),1))</f>
        <v/>
      </c>
      <c r="AJ5" s="23">
        <f>IF($A5="","",ROUND(100*('Beállítások'!$E$8*(D5-1)+'Beállítások'!$E$9*(E5-1)+'Beállítások'!$E$10*(F5-1)+'Beállítások'!$E$11*(G5-1)+'Beállítások'!$E$12*(H5-1)+'Beállítások'!$E$13*(I5-1)+'Beállítások'!$E$14*(J5-1)+'Beállítások'!$E$15*(K5-1)+'Beállítások'!$E$16*(L5-1)+'Beállítások'!$E$17*(M5-1)+'Beállítások'!$E$18*(N5-1)+'Beállítások'!$E$19*(O5-1)+'Beállítások'!$E$20*(P5-1)+'Beállítások'!$E$21*(Q5-1)+'Beállítások'!$E$22*(R5-1))/(9*'Beállítások'!$B$44),1))</f>
        <v/>
      </c>
      <c r="AK5" s="23">
        <f>IF($A5="","",ROUND(100*('Beállítások'!$E$23*(S5-1)+'Beállítások'!$E$24*(T5-1)+'Beállítások'!$E$25*(U5-1)+'Beállítások'!$E$26*(V5-1)+'Beállítások'!$E$27*(W5-1)+'Beállítások'!$E$28*(X5-1)+'Beállítások'!$E$29*(Y5-1))/(9*'Beállítások'!$B$45),1))</f>
        <v/>
      </c>
      <c r="AL5" s="23">
        <f>IF($A5="","",ROUND(100*('Beállítások'!$E$30*(Z5-1)+'Beállítások'!$E$31*(AA5-1)+'Beállítások'!$E$32*(AB5-1)+'Beállítások'!$E$33*(AC5-1)+'Beállítások'!$E$34*(AD5-1)+'Beállítások'!$E$35*(AE5-1)+'Beállítások'!$E$36*(AF5-1)+'Beállítások'!$E$37*(AG5-1)+'Beállítások'!$E$38*(AH5-1))/(9*'Beállítások'!$B$46),1))</f>
        <v/>
      </c>
      <c r="AM5" s="23">
        <f>IF($A5="","",ROUND(100*('Beállítások'!$E$6*(B5-1)+'Beállítások'!$E$7*(C5-1)+'Beállítások'!$E$8*(D5-1)+'Beállítások'!$E$9*(E5-1)+'Beállítások'!$E$10*(F5-1)+'Beállítások'!$E$11*(G5-1)+'Beállítások'!$E$12*(H5-1)+'Beállítások'!$E$13*(I5-1)+'Beállítások'!$E$14*(J5-1)+'Beállítások'!$E$15*(K5-1)+'Beállítások'!$E$16*(L5-1)+'Beállítások'!$E$17*(M5-1)+'Beállítások'!$E$18*(N5-1)+'Beállítások'!$E$19*(O5-1)+'Beállítások'!$E$20*(P5-1)+'Beállítások'!$E$21*(Q5-1)+'Beállítások'!$E$22*(R5-1)+'Beállítások'!$E$23*(S5-1)+'Beállítások'!$E$24*(T5-1)+'Beállítások'!$E$25*(U5-1)+'Beállítások'!$E$26*(V5-1)+'Beállítások'!$E$27*(W5-1)+'Beállítások'!$E$28*(X5-1)+'Beállítások'!$E$29*(Y5-1)+'Beállítások'!$E$30*(Z5-1)+'Beállítások'!$E$31*(AA5-1)+'Beállítások'!$E$32*(AB5-1)+'Beállítások'!$E$33*(AC5-1)+'Beállítások'!$E$34*(AD5-1)+'Beállítások'!$E$35*(AE5-1)+'Beállítások'!$E$36*(AF5-1)+'Beállítások'!$E$37*(AG5-1)+'Beállítások'!$E$38*(AH5-1))/(9*'Beállítások'!$E$39),1))</f>
        <v/>
      </c>
      <c r="AN5" s="23">
        <f>IF($A5="","",ROUND(100*('Beállítások'!$E$8*(D5-1)+'Beállítások'!$E$9*(E5-1)+'Beállítások'!$E$10*(F5-1)+'Beállítások'!$E$11*(G5-1)+'Beállítások'!$E$12*(H5-1)+'Beállítások'!$E$13*(I5-1)+'Beállítások'!$E$14*(J5-1)+'Beállítások'!$E$15*(K5-1)+'Beállítások'!$E$16*(L5-1)+'Beállítások'!$E$17*(M5-1)+'Beállítások'!$E$18*(N5-1)+'Beállítások'!$E$19*(O5-1)+'Beállítások'!$E$20*(P5-1)+'Beállítások'!$E$21*(Q5-1)+'Beállítások'!$E$22*(R5-1)+'Beállítások'!$E$23*(S5-1)+'Beállítások'!$E$24*(T5-1)+'Beállítások'!$E$25*(U5-1)+'Beállítások'!$E$26*(V5-1)+'Beállítások'!$E$27*(W5-1)+'Beállítások'!$E$28*(X5-1)+'Beállítások'!$E$29*(Y5-1))/(9*('Beállítások'!$B$44+'Beállítások'!$B$45)),1))</f>
        <v/>
      </c>
      <c r="AO5" s="24">
        <f>IF($A5="","",RANK(AM5,$AM$2:$AM$201))</f>
        <v/>
      </c>
      <c r="AP5">
        <f>IF($A5="","",IF(OR(AND('Ügyfelek'!B5&lt;&gt;"",B5&lt;='Beállítások'!$B$85),AND('Ügyfelek'!C5&lt;&gt;"",C5&lt;='Beállítások'!$B$86)),"Igen","Nem"))</f>
        <v/>
      </c>
      <c r="AQ5" s="24">
        <f>IF($A5="","",IF(AP5="Igen",5,IF(AN5&gt;='Beállítások'!$C$108,1,IF(AN5&gt;='Beállítások'!$C$109,2,IF(AN5&gt;='Beállítások'!$C$110,3,IF(AND(AN5&gt;='Beállítások'!$B$87,AI5&gt;='Beállítások'!$B$88,AL5&gt;='Beállítások'!$B$89),4,5))))))</f>
        <v/>
      </c>
      <c r="AR5">
        <f>IF($A5="","",INDEX('Beállítások'!$B$108:$B$112,AQ5))</f>
        <v/>
      </c>
      <c r="AS5">
        <f>IF($A5="","",IF(AQ5=5,"Elutasítjuk",IF(AND(AQ5=4,COUNTIFS('Eredmény'!$AQ$2:$AQ$201,4,'Eredmény'!$DY$2:$DY$201,"&gt;"&amp;DY5)&gt;='Beállítások'!$B$90),"Várólista (a 4-es hely foglalt)","Elfogadjuk")))</f>
        <v/>
      </c>
      <c r="AT5">
        <f>IF($A5="","",INDEX('Beállítások'!$F$108:$F$112,AQ5))</f>
        <v/>
      </c>
      <c r="AU5">
        <f>IF($A5="","",INDEX('Beállítások'!$B$6:$B$38,MATCH(MAX(BK5:CQ5),BK5:CQ5,0)))</f>
        <v/>
      </c>
      <c r="AV5">
        <f>IF($A5="","",IF(MAX(CR5:DX5)=0,"—",INDEX('Beállítások'!$B$6:$B$38,MATCH(MAX(CR5:DX5),CR5:DX5,0))))</f>
        <v/>
      </c>
      <c r="AW5" s="10">
        <f>IF($A5="","",'Beállítások'!$B$94*(TRIM('Ügyfelek'!AI5)="igen")+'Beállítások'!$B$95*(TRIM('Ügyfelek'!AJ5)="igen")+'Beállítások'!$B$96*N('Ügyfelek'!AK5)+'Beállítások'!$B$93*N('Ügyfelek'!AL5))</f>
        <v/>
      </c>
      <c r="AX5" s="25">
        <f>IF(OR($A5="",AQ5=5),"",INDEX('Beállítások'!$D$108:$D$112,AQ5))</f>
        <v/>
      </c>
      <c r="AY5" s="10">
        <f>IF($A5="","",N('Ügyfelek'!U5)*'Beállítások'!$B$98)</f>
        <v/>
      </c>
      <c r="AZ5" s="10">
        <f>IF(OR($A5="",AQ5=5),"",CEILING(ROUND(MAX('Beállítások'!$B$97,AW5*AX5,AY5),2),'Beállítások'!$B$99))</f>
        <v/>
      </c>
      <c r="BA5">
        <f>IF($A5="","",IF(AQ5=5,"Elutasítva",IF(MAX('Beállítások'!$B$97,AW5*AX5,AY5)=AW5*AX5,"Munkaigény × státuszszorzó",IF(MAX('Beállítások'!$B$97,AW5*AX5,AY5)=AY5,"Hirdetési keret arányában","Minimumdíj"))))</f>
        <v/>
      </c>
      <c r="BB5" s="10">
        <f>IF(OR($A5="",'Ügyfelek'!AM5=""),"",'Ügyfelek'!AM5)</f>
        <v/>
      </c>
      <c r="BC5" s="10">
        <f>IF(OR(BB5="",AZ5=""),"",AZ5-BB5)</f>
        <v/>
      </c>
      <c r="BD5" s="18">
        <f>IF(OR(BB5="",AZ5="",BB5=0),"",BC5/BB5)</f>
        <v/>
      </c>
      <c r="BE5">
        <f>IF(OR($A5="",AQ5=5),"",IF(AND(INDEX('Beállítások'!$E$108:$E$112,AQ5)&gt;0,Y5&gt;='Beállítások'!$B$91),"Igen","Nem"))</f>
        <v/>
      </c>
      <c r="BF5" s="10">
        <f>IF(BE5="Igen",CEILING(ROUND(AZ5*(1-'Beállítások'!$B$92),2),'Beállítások'!$B$99),"")</f>
        <v/>
      </c>
      <c r="BG5" s="20">
        <f>IF(BE5="Igen",INDEX('Beállítások'!$E$108:$E$112,AQ5),"")</f>
        <v/>
      </c>
      <c r="BH5" s="10">
        <f>IF(OR(BE5&lt;&gt;"Igen",'Ügyfelek'!AN5=""),"",'Ügyfelek'!AN5*BG5)</f>
        <v/>
      </c>
      <c r="BI5" s="24">
        <f>IF($A5="","",('Ügyfelek'!B5="")+('Ügyfelek'!C5="")+('Ügyfelek'!D5="")+('Ügyfelek'!E5="")+('Ügyfelek'!F5="")+('Ügyfelek'!G5="")+('Ügyfelek'!H5="")+('Ügyfelek'!I5="")+('Ügyfelek'!J5="")+('Ügyfelek'!K5="")+('Ügyfelek'!L5="")+('Ügyfelek'!M5="")+('Ügyfelek'!N5="")+('Ügyfelek'!O5="")+('Ügyfelek'!P5="")+('Ügyfelek'!Q5="")+('Ügyfelek'!R5="")+('Ügyfelek'!S5="")+('Ügyfelek'!T5="")+('Ügyfelek'!U5="")+('Ügyfelek'!V5="")+('Ügyfelek'!W5="")+('Ügyfelek'!X5="")+('Ügyfelek'!Y5="")+('Ügyfelek'!Z5="")+('Ügyfelek'!AA5="")+('Ügyfelek'!AB5="")+('Ügyfelek'!AC5="")+('Ügyfelek'!AD5="")+('Ügyfelek'!AE5="")+('Ügyfelek'!AF5="")+('Ügyfelek'!AG5="")+('Ügyfelek'!AH5=""))</f>
        <v/>
      </c>
      <c r="BK5">
        <f>IF($A5="","",B5+'Beállítások'!$E$6/1000)</f>
        <v/>
      </c>
      <c r="BL5">
        <f>IF($A5="","",C5+'Beállítások'!$E$7/1000)</f>
        <v/>
      </c>
      <c r="BM5">
        <f>IF($A5="","",D5+'Beállítások'!$E$8/1000)</f>
        <v/>
      </c>
      <c r="BN5">
        <f>IF($A5="","",E5+'Beállítások'!$E$9/1000)</f>
        <v/>
      </c>
      <c r="BO5">
        <f>IF($A5="","",F5+'Beállítások'!$E$10/1000)</f>
        <v/>
      </c>
      <c r="BP5">
        <f>IF($A5="","",G5+'Beállítások'!$E$11/1000)</f>
        <v/>
      </c>
      <c r="BQ5">
        <f>IF($A5="","",H5+'Beállítások'!$E$12/1000)</f>
        <v/>
      </c>
      <c r="BR5">
        <f>IF($A5="","",I5+'Beállítások'!$E$13/1000)</f>
        <v/>
      </c>
      <c r="BS5">
        <f>IF($A5="","",J5+'Beállítások'!$E$14/1000)</f>
        <v/>
      </c>
      <c r="BT5">
        <f>IF($A5="","",K5+'Beállítások'!$E$15/1000)</f>
        <v/>
      </c>
      <c r="BU5">
        <f>IF($A5="","",L5+'Beállítások'!$E$16/1000)</f>
        <v/>
      </c>
      <c r="BV5">
        <f>IF($A5="","",M5+'Beállítások'!$E$17/1000)</f>
        <v/>
      </c>
      <c r="BW5">
        <f>IF($A5="","",N5+'Beállítások'!$E$18/1000)</f>
        <v/>
      </c>
      <c r="BX5">
        <f>IF($A5="","",O5+'Beállítások'!$E$19/1000)</f>
        <v/>
      </c>
      <c r="BY5">
        <f>IF($A5="","",P5+'Beállítások'!$E$20/1000)</f>
        <v/>
      </c>
      <c r="BZ5">
        <f>IF($A5="","",Q5+'Beállítások'!$E$21/1000)</f>
        <v/>
      </c>
      <c r="CA5">
        <f>IF($A5="","",R5+'Beállítások'!$E$22/1000)</f>
        <v/>
      </c>
      <c r="CB5">
        <f>IF($A5="","",S5+'Beállítások'!$E$23/1000)</f>
        <v/>
      </c>
      <c r="CC5">
        <f>IF($A5="","",T5+'Beállítások'!$E$24/1000)</f>
        <v/>
      </c>
      <c r="CD5">
        <f>IF($A5="","",U5+'Beállítások'!$E$25/1000)</f>
        <v/>
      </c>
      <c r="CE5">
        <f>IF($A5="","",V5+'Beállítások'!$E$26/1000)</f>
        <v/>
      </c>
      <c r="CF5">
        <f>IF($A5="","",W5+'Beállítások'!$E$27/1000)</f>
        <v/>
      </c>
      <c r="CG5">
        <f>IF($A5="","",X5+'Beállítások'!$E$28/1000)</f>
        <v/>
      </c>
      <c r="CH5">
        <f>IF($A5="","",Y5+'Beállítások'!$E$29/1000)</f>
        <v/>
      </c>
      <c r="CI5">
        <f>IF($A5="","",Z5+'Beállítások'!$E$30/1000)</f>
        <v/>
      </c>
      <c r="CJ5">
        <f>IF($A5="","",AA5+'Beállítások'!$E$31/1000)</f>
        <v/>
      </c>
      <c r="CK5">
        <f>IF($A5="","",AB5+'Beállítások'!$E$32/1000)</f>
        <v/>
      </c>
      <c r="CL5">
        <f>IF($A5="","",AC5+'Beállítások'!$E$33/1000)</f>
        <v/>
      </c>
      <c r="CM5">
        <f>IF($A5="","",AD5+'Beállítások'!$E$34/1000)</f>
        <v/>
      </c>
      <c r="CN5">
        <f>IF($A5="","",AE5+'Beállítások'!$E$35/1000)</f>
        <v/>
      </c>
      <c r="CO5">
        <f>IF($A5="","",AF5+'Beállítások'!$E$36/1000)</f>
        <v/>
      </c>
      <c r="CP5">
        <f>IF($A5="","",AG5+'Beállítások'!$E$37/1000)</f>
        <v/>
      </c>
      <c r="CQ5">
        <f>IF($A5="","",AH5+'Beállítások'!$E$38/1000)</f>
        <v/>
      </c>
      <c r="CR5">
        <f>IF($A5="","",'Beállítások'!$E$6*(10-B5))</f>
        <v/>
      </c>
      <c r="CS5">
        <f>IF($A5="","",'Beállítások'!$E$7*(10-C5))</f>
        <v/>
      </c>
      <c r="CT5">
        <f>IF($A5="","",'Beállítások'!$E$8*(10-D5))</f>
        <v/>
      </c>
      <c r="CU5">
        <f>IF($A5="","",'Beállítások'!$E$9*(10-E5))</f>
        <v/>
      </c>
      <c r="CV5">
        <f>IF($A5="","",'Beállítások'!$E$10*(10-F5))</f>
        <v/>
      </c>
      <c r="CW5">
        <f>IF($A5="","",'Beállítások'!$E$11*(10-G5))</f>
        <v/>
      </c>
      <c r="CX5">
        <f>IF($A5="","",'Beállítások'!$E$12*(10-H5))</f>
        <v/>
      </c>
      <c r="CY5">
        <f>IF($A5="","",'Beállítások'!$E$13*(10-I5))</f>
        <v/>
      </c>
      <c r="CZ5">
        <f>IF($A5="","",'Beállítások'!$E$14*(10-J5))</f>
        <v/>
      </c>
      <c r="DA5">
        <f>IF($A5="","",'Beállítások'!$E$15*(10-K5))</f>
        <v/>
      </c>
      <c r="DB5">
        <f>IF($A5="","",'Beállítások'!$E$16*(10-L5))</f>
        <v/>
      </c>
      <c r="DC5">
        <f>IF($A5="","",'Beállítások'!$E$17*(10-M5))</f>
        <v/>
      </c>
      <c r="DD5">
        <f>IF($A5="","",'Beállítások'!$E$18*(10-N5))</f>
        <v/>
      </c>
      <c r="DE5">
        <f>IF($A5="","",'Beállítások'!$E$19*(10-O5))</f>
        <v/>
      </c>
      <c r="DF5">
        <f>IF($A5="","",'Beállítások'!$E$20*(10-P5))</f>
        <v/>
      </c>
      <c r="DG5">
        <f>IF($A5="","",'Beállítások'!$E$21*(10-Q5))</f>
        <v/>
      </c>
      <c r="DH5">
        <f>IF($A5="","",'Beállítások'!$E$22*(10-R5))</f>
        <v/>
      </c>
      <c r="DI5">
        <f>IF($A5="","",'Beállítások'!$E$23*(10-S5))</f>
        <v/>
      </c>
      <c r="DJ5">
        <f>IF($A5="","",'Beállítások'!$E$24*(10-T5))</f>
        <v/>
      </c>
      <c r="DK5">
        <f>IF($A5="","",'Beállítások'!$E$25*(10-U5))</f>
        <v/>
      </c>
      <c r="DL5">
        <f>IF($A5="","",'Beállítások'!$E$26*(10-V5))</f>
        <v/>
      </c>
      <c r="DM5">
        <f>IF($A5="","",'Beállítások'!$E$27*(10-W5))</f>
        <v/>
      </c>
      <c r="DN5">
        <f>IF($A5="","",'Beállítások'!$E$28*(10-X5))</f>
        <v/>
      </c>
      <c r="DO5">
        <f>IF($A5="","",'Beállítások'!$E$29*(10-Y5))</f>
        <v/>
      </c>
      <c r="DP5">
        <f>IF($A5="","",'Beállítások'!$E$30*(10-Z5))</f>
        <v/>
      </c>
      <c r="DQ5">
        <f>IF($A5="","",'Beállítások'!$E$31*(10-AA5))</f>
        <v/>
      </c>
      <c r="DR5">
        <f>IF($A5="","",'Beállítások'!$E$32*(10-AB5))</f>
        <v/>
      </c>
      <c r="DS5">
        <f>IF($A5="","",'Beállítások'!$E$33*(10-AC5))</f>
        <v/>
      </c>
      <c r="DT5">
        <f>IF($A5="","",'Beállítások'!$E$34*(10-AD5))</f>
        <v/>
      </c>
      <c r="DU5">
        <f>IF($A5="","",'Beállítások'!$E$35*(10-AE5))</f>
        <v/>
      </c>
      <c r="DV5">
        <f>IF($A5="","",'Beállítások'!$E$36*(10-AF5))</f>
        <v/>
      </c>
      <c r="DW5">
        <f>IF($A5="","",'Beállítások'!$E$37*(10-AG5))</f>
        <v/>
      </c>
      <c r="DX5">
        <f>IF($A5="","",'Beállítások'!$E$38*(10-AH5))</f>
        <v/>
      </c>
      <c r="DY5">
        <f>IF($A5="","",AM5-ROW()/100000)</f>
        <v/>
      </c>
    </row>
    <row r="6">
      <c r="A6">
        <f>IF('Ügyfelek'!A6="","",'Ügyfelek'!A6)</f>
        <v/>
      </c>
      <c r="B6">
        <f>IF($A6="","",IF('Ügyfelek'!B6="",'Beállítások'!$B$84,IFERROR(VLOOKUP(TRIM('Ügyfelek'!B6),'Beállítások'!$A$51:$B$59,2,FALSE),'Beállítások'!$B$84)))</f>
        <v/>
      </c>
      <c r="C6">
        <f>IF($A6="","",IF('Ügyfelek'!C6="",'Beállítások'!$B$84,MIN(10,MAX(1,ROUND('Ügyfelek'!C6,0)))))</f>
        <v/>
      </c>
      <c r="D6">
        <f>IF($A6="","",IF('Ügyfelek'!D6="",'Beállítások'!$B$84,MIN(10,MAX(1,ROUND('Ügyfelek'!D6,0)))))</f>
        <v/>
      </c>
      <c r="E6">
        <f>IF($A6="","",IF('Ügyfelek'!E6="",'Beállítások'!$B$84,MIN(10,MAX(1,ROUND('Ügyfelek'!E6,0)))))</f>
        <v/>
      </c>
      <c r="F6">
        <f>IF($A6="","",IF('Ügyfelek'!F6="",'Beállítások'!$B$84,MIN(10,MAX(1,ROUND('Ügyfelek'!F6,0)))))</f>
        <v/>
      </c>
      <c r="G6">
        <f>IF($A6="","",IF('Ügyfelek'!G6="",'Beállítások'!$B$84,MIN(10,MAX(1,ROUND('Ügyfelek'!G6,0)))))</f>
        <v/>
      </c>
      <c r="H6">
        <f>IF($A6="","",IF('Ügyfelek'!H6="",'Beállítások'!$B$84,MIN(10,MAX(1,ROUND('Ügyfelek'!H6,0)))))</f>
        <v/>
      </c>
      <c r="I6">
        <f>IF($A6="","",IF('Ügyfelek'!I6="",'Beállítások'!$B$84,MIN(10,MAX(1,ROUND('Ügyfelek'!I6,0)))))</f>
        <v/>
      </c>
      <c r="J6">
        <f>IF($A6="","",IF('Ügyfelek'!J6="",'Beállítások'!$B$84,MIN(10,MAX(1,ROUND('Ügyfelek'!J6,0)))))</f>
        <v/>
      </c>
      <c r="K6">
        <f>IF($A6="","",IF('Ügyfelek'!K6="",'Beállítások'!$B$84,MIN(10,MAX(1,ROUND('Ügyfelek'!K6,0)))))</f>
        <v/>
      </c>
      <c r="L6">
        <f>IF($A6="","",IF('Ügyfelek'!L6="",'Beállítások'!$B$84,MIN(10,MAX(1,ROUND('Ügyfelek'!L6,0)))))</f>
        <v/>
      </c>
      <c r="M6">
        <f>IF($A6="","",IF('Ügyfelek'!M6="",'Beállítások'!$B$84,MIN(10,MAX(1,ROUND('Ügyfelek'!M6,0)))))</f>
        <v/>
      </c>
      <c r="N6">
        <f>IF($A6="","",IF('Ügyfelek'!N6="",'Beállítások'!$B$84,MIN(10,MAX(1,ROUND('Ügyfelek'!N6,0)))))</f>
        <v/>
      </c>
      <c r="O6">
        <f>IF($A6="","",IF('Ügyfelek'!O6="",'Beállítások'!$B$84,MIN(10,MAX(1,ROUND('Ügyfelek'!O6,0)))))</f>
        <v/>
      </c>
      <c r="P6">
        <f>IF($A6="","",IF('Ügyfelek'!P6="",'Beállítások'!$B$84,MIN(10,MAX(1,ROUND('Ügyfelek'!P6,0)))))</f>
        <v/>
      </c>
      <c r="Q6">
        <f>IF($A6="","",IF('Ügyfelek'!Q6="",'Beállítások'!$B$84,MIN(10,MAX(1,ROUND('Ügyfelek'!Q6,0)))))</f>
        <v/>
      </c>
      <c r="R6">
        <f>IF($A6="","",IF('Ügyfelek'!R6="",'Beállítások'!$B$84,MIN(10,MAX(1,ROUND('Ügyfelek'!R6,0)))))</f>
        <v/>
      </c>
      <c r="S6">
        <f>IF($A6="","",IF('Ügyfelek'!S6="",'Beállítások'!$B$84,MIN(10,MAX(1,ROUND('Ügyfelek'!S6,0)))))</f>
        <v/>
      </c>
      <c r="T6">
        <f>IF($A6="","",IF('Ügyfelek'!T6="",'Beállítások'!$B$84,VLOOKUP(MAX('Ügyfelek'!T6,'Beállítások'!$H$7),'Beállítások'!$H$7:$I$12,2,TRUE)))</f>
        <v/>
      </c>
      <c r="U6">
        <f>IF($A6="","",IF('Ügyfelek'!U6="",'Beállítások'!$B$84,VLOOKUP(MAX('Ügyfelek'!U6,'Beállítások'!$K$7),'Beállítások'!$K$7:$L$12,2,TRUE)))</f>
        <v/>
      </c>
      <c r="V6">
        <f>IF($A6="","",IF('Ügyfelek'!V6="",'Beállítások'!$B$84,MIN(10,MAX(1,ROUND('Ügyfelek'!V6,0)))))</f>
        <v/>
      </c>
      <c r="W6">
        <f>IF($A6="","",IF('Ügyfelek'!W6="",'Beállítások'!$B$84,VLOOKUP(MAX('Ügyfelek'!W6,'Beállítások'!$N$7),'Beállítások'!$N$7:$O$12,2,TRUE)))</f>
        <v/>
      </c>
      <c r="X6">
        <f>IF($A6="","",IF('Ügyfelek'!X6="",'Beállítások'!$B$84,MIN(10,MAX(1,ROUND('Ügyfelek'!X6,0)))))</f>
        <v/>
      </c>
      <c r="Y6">
        <f>IF($A6="","",IF('Ügyfelek'!Y6="",'Beállítások'!$B$84,IFERROR(VLOOKUP(TRIM('Ügyfelek'!Y6),'Beállítások'!$A$63:$B$69,2,FALSE),'Beállítások'!$B$84)))</f>
        <v/>
      </c>
      <c r="Z6">
        <f>IF($A6="","",IF('Ügyfelek'!Z6="",'Beállítások'!$B$84,VLOOKUP(MAX('Ügyfelek'!Z6,'Beállítások'!$Q$7),'Beállítások'!$Q$7:$R$12,2,TRUE)))</f>
        <v/>
      </c>
      <c r="AA6">
        <f>IF($A6="","",IF('Ügyfelek'!AA6="",'Beállítások'!$B$84,VLOOKUP(MAX('Ügyfelek'!AA6,'Beállítások'!$T$7),'Beállítások'!$T$7:$U$12,2,TRUE)))</f>
        <v/>
      </c>
      <c r="AB6">
        <f>IF($A6="","",IF('Ügyfelek'!AB6="",'Beállítások'!$B$84,MIN(10,MAX(1,ROUND('Ügyfelek'!AB6,0)))))</f>
        <v/>
      </c>
      <c r="AC6">
        <f>IF($A6="","",IF('Ügyfelek'!AC6="",'Beállítások'!$B$84,MIN(10,MAX(1,ROUND('Ügyfelek'!AC6,0)))))</f>
        <v/>
      </c>
      <c r="AD6">
        <f>IF($A6="","",IF('Ügyfelek'!AD6="",'Beállítások'!$B$84,MIN(10,MAX(1,ROUND('Ügyfelek'!AD6,0)))))</f>
        <v/>
      </c>
      <c r="AE6">
        <f>IF($A6="","",IF('Ügyfelek'!AE6="",'Beállítások'!$B$84,MIN(10,MAX(1,ROUND('Ügyfelek'!AE6,0)))))</f>
        <v/>
      </c>
      <c r="AF6">
        <f>IF($A6="","",IF('Ügyfelek'!AF6="",'Beállítások'!$B$84,MIN(10,MAX(1,ROUND('Ügyfelek'!AF6,0)))))</f>
        <v/>
      </c>
      <c r="AG6">
        <f>IF($A6="","",IF('Ügyfelek'!AG6="",'Beállítások'!$B$84,MIN(10,MAX(1,ROUND('Ügyfelek'!AG6,0)))))</f>
        <v/>
      </c>
      <c r="AH6">
        <f>IF($A6="","",IF('Ügyfelek'!AH6="",'Beállítások'!$B$84,IFERROR(VLOOKUP(TRIM('Ügyfelek'!AH6),'Beállítások'!$A$73:$B$79,2,FALSE),'Beállítások'!$B$84)))</f>
        <v/>
      </c>
      <c r="AI6" s="23">
        <f>IF($A6="","",ROUND(100*('Beállítások'!$E$6*(B6-1)+'Beállítások'!$E$7*(C6-1))/(9*'Beállítások'!$B$43),1))</f>
        <v/>
      </c>
      <c r="AJ6" s="23">
        <f>IF($A6="","",ROUND(100*('Beállítások'!$E$8*(D6-1)+'Beállítások'!$E$9*(E6-1)+'Beállítások'!$E$10*(F6-1)+'Beállítások'!$E$11*(G6-1)+'Beállítások'!$E$12*(H6-1)+'Beállítások'!$E$13*(I6-1)+'Beállítások'!$E$14*(J6-1)+'Beállítások'!$E$15*(K6-1)+'Beállítások'!$E$16*(L6-1)+'Beállítások'!$E$17*(M6-1)+'Beállítások'!$E$18*(N6-1)+'Beállítások'!$E$19*(O6-1)+'Beállítások'!$E$20*(P6-1)+'Beállítások'!$E$21*(Q6-1)+'Beállítások'!$E$22*(R6-1))/(9*'Beállítások'!$B$44),1))</f>
        <v/>
      </c>
      <c r="AK6" s="23">
        <f>IF($A6="","",ROUND(100*('Beállítások'!$E$23*(S6-1)+'Beállítások'!$E$24*(T6-1)+'Beállítások'!$E$25*(U6-1)+'Beállítások'!$E$26*(V6-1)+'Beállítások'!$E$27*(W6-1)+'Beállítások'!$E$28*(X6-1)+'Beállítások'!$E$29*(Y6-1))/(9*'Beállítások'!$B$45),1))</f>
        <v/>
      </c>
      <c r="AL6" s="23">
        <f>IF($A6="","",ROUND(100*('Beállítások'!$E$30*(Z6-1)+'Beállítások'!$E$31*(AA6-1)+'Beállítások'!$E$32*(AB6-1)+'Beállítások'!$E$33*(AC6-1)+'Beállítások'!$E$34*(AD6-1)+'Beállítások'!$E$35*(AE6-1)+'Beállítások'!$E$36*(AF6-1)+'Beállítások'!$E$37*(AG6-1)+'Beállítások'!$E$38*(AH6-1))/(9*'Beállítások'!$B$46),1))</f>
        <v/>
      </c>
      <c r="AM6" s="23">
        <f>IF($A6="","",ROUND(100*('Beállítások'!$E$6*(B6-1)+'Beállítások'!$E$7*(C6-1)+'Beállítások'!$E$8*(D6-1)+'Beállítások'!$E$9*(E6-1)+'Beállítások'!$E$10*(F6-1)+'Beállítások'!$E$11*(G6-1)+'Beállítások'!$E$12*(H6-1)+'Beállítások'!$E$13*(I6-1)+'Beállítások'!$E$14*(J6-1)+'Beállítások'!$E$15*(K6-1)+'Beállítások'!$E$16*(L6-1)+'Beállítások'!$E$17*(M6-1)+'Beállítások'!$E$18*(N6-1)+'Beállítások'!$E$19*(O6-1)+'Beállítások'!$E$20*(P6-1)+'Beállítások'!$E$21*(Q6-1)+'Beállítások'!$E$22*(R6-1)+'Beállítások'!$E$23*(S6-1)+'Beállítások'!$E$24*(T6-1)+'Beállítások'!$E$25*(U6-1)+'Beállítások'!$E$26*(V6-1)+'Beállítások'!$E$27*(W6-1)+'Beállítások'!$E$28*(X6-1)+'Beállítások'!$E$29*(Y6-1)+'Beállítások'!$E$30*(Z6-1)+'Beállítások'!$E$31*(AA6-1)+'Beállítások'!$E$32*(AB6-1)+'Beállítások'!$E$33*(AC6-1)+'Beállítások'!$E$34*(AD6-1)+'Beállítások'!$E$35*(AE6-1)+'Beállítások'!$E$36*(AF6-1)+'Beállítások'!$E$37*(AG6-1)+'Beállítások'!$E$38*(AH6-1))/(9*'Beállítások'!$E$39),1))</f>
        <v/>
      </c>
      <c r="AN6" s="23">
        <f>IF($A6="","",ROUND(100*('Beállítások'!$E$8*(D6-1)+'Beállítások'!$E$9*(E6-1)+'Beállítások'!$E$10*(F6-1)+'Beállítások'!$E$11*(G6-1)+'Beállítások'!$E$12*(H6-1)+'Beállítások'!$E$13*(I6-1)+'Beállítások'!$E$14*(J6-1)+'Beállítások'!$E$15*(K6-1)+'Beállítások'!$E$16*(L6-1)+'Beállítások'!$E$17*(M6-1)+'Beállítások'!$E$18*(N6-1)+'Beállítások'!$E$19*(O6-1)+'Beállítások'!$E$20*(P6-1)+'Beállítások'!$E$21*(Q6-1)+'Beállítások'!$E$22*(R6-1)+'Beállítások'!$E$23*(S6-1)+'Beállítások'!$E$24*(T6-1)+'Beállítások'!$E$25*(U6-1)+'Beállítások'!$E$26*(V6-1)+'Beállítások'!$E$27*(W6-1)+'Beállítások'!$E$28*(X6-1)+'Beállítások'!$E$29*(Y6-1))/(9*('Beállítások'!$B$44+'Beállítások'!$B$45)),1))</f>
        <v/>
      </c>
      <c r="AO6" s="24">
        <f>IF($A6="","",RANK(AM6,$AM$2:$AM$201))</f>
        <v/>
      </c>
      <c r="AP6">
        <f>IF($A6="","",IF(OR(AND('Ügyfelek'!B6&lt;&gt;"",B6&lt;='Beállítások'!$B$85),AND('Ügyfelek'!C6&lt;&gt;"",C6&lt;='Beállítások'!$B$86)),"Igen","Nem"))</f>
        <v/>
      </c>
      <c r="AQ6" s="24">
        <f>IF($A6="","",IF(AP6="Igen",5,IF(AN6&gt;='Beállítások'!$C$108,1,IF(AN6&gt;='Beállítások'!$C$109,2,IF(AN6&gt;='Beállítások'!$C$110,3,IF(AND(AN6&gt;='Beállítások'!$B$87,AI6&gt;='Beállítások'!$B$88,AL6&gt;='Beállítások'!$B$89),4,5))))))</f>
        <v/>
      </c>
      <c r="AR6">
        <f>IF($A6="","",INDEX('Beállítások'!$B$108:$B$112,AQ6))</f>
        <v/>
      </c>
      <c r="AS6">
        <f>IF($A6="","",IF(AQ6=5,"Elutasítjuk",IF(AND(AQ6=4,COUNTIFS('Eredmény'!$AQ$2:$AQ$201,4,'Eredmény'!$DY$2:$DY$201,"&gt;"&amp;DY6)&gt;='Beállítások'!$B$90),"Várólista (a 4-es hely foglalt)","Elfogadjuk")))</f>
        <v/>
      </c>
      <c r="AT6">
        <f>IF($A6="","",INDEX('Beállítások'!$F$108:$F$112,AQ6))</f>
        <v/>
      </c>
      <c r="AU6">
        <f>IF($A6="","",INDEX('Beállítások'!$B$6:$B$38,MATCH(MAX(BK6:CQ6),BK6:CQ6,0)))</f>
        <v/>
      </c>
      <c r="AV6">
        <f>IF($A6="","",IF(MAX(CR6:DX6)=0,"—",INDEX('Beállítások'!$B$6:$B$38,MATCH(MAX(CR6:DX6),CR6:DX6,0))))</f>
        <v/>
      </c>
      <c r="AW6" s="10">
        <f>IF($A6="","",'Beállítások'!$B$94*(TRIM('Ügyfelek'!AI6)="igen")+'Beállítások'!$B$95*(TRIM('Ügyfelek'!AJ6)="igen")+'Beállítások'!$B$96*N('Ügyfelek'!AK6)+'Beállítások'!$B$93*N('Ügyfelek'!AL6))</f>
        <v/>
      </c>
      <c r="AX6" s="25">
        <f>IF(OR($A6="",AQ6=5),"",INDEX('Beállítások'!$D$108:$D$112,AQ6))</f>
        <v/>
      </c>
      <c r="AY6" s="10">
        <f>IF($A6="","",N('Ügyfelek'!U6)*'Beállítások'!$B$98)</f>
        <v/>
      </c>
      <c r="AZ6" s="10">
        <f>IF(OR($A6="",AQ6=5),"",CEILING(ROUND(MAX('Beállítások'!$B$97,AW6*AX6,AY6),2),'Beállítások'!$B$99))</f>
        <v/>
      </c>
      <c r="BA6">
        <f>IF($A6="","",IF(AQ6=5,"Elutasítva",IF(MAX('Beállítások'!$B$97,AW6*AX6,AY6)=AW6*AX6,"Munkaigény × státuszszorzó",IF(MAX('Beállítások'!$B$97,AW6*AX6,AY6)=AY6,"Hirdetési keret arányában","Minimumdíj"))))</f>
        <v/>
      </c>
      <c r="BB6" s="10">
        <f>IF(OR($A6="",'Ügyfelek'!AM6=""),"",'Ügyfelek'!AM6)</f>
        <v/>
      </c>
      <c r="BC6" s="10">
        <f>IF(OR(BB6="",AZ6=""),"",AZ6-BB6)</f>
        <v/>
      </c>
      <c r="BD6" s="18">
        <f>IF(OR(BB6="",AZ6="",BB6=0),"",BC6/BB6)</f>
        <v/>
      </c>
      <c r="BE6">
        <f>IF(OR($A6="",AQ6=5),"",IF(AND(INDEX('Beállítások'!$E$108:$E$112,AQ6)&gt;0,Y6&gt;='Beállítások'!$B$91),"Igen","Nem"))</f>
        <v/>
      </c>
      <c r="BF6" s="10">
        <f>IF(BE6="Igen",CEILING(ROUND(AZ6*(1-'Beállítások'!$B$92),2),'Beállítások'!$B$99),"")</f>
        <v/>
      </c>
      <c r="BG6" s="20">
        <f>IF(BE6="Igen",INDEX('Beállítások'!$E$108:$E$112,AQ6),"")</f>
        <v/>
      </c>
      <c r="BH6" s="10">
        <f>IF(OR(BE6&lt;&gt;"Igen",'Ügyfelek'!AN6=""),"",'Ügyfelek'!AN6*BG6)</f>
        <v/>
      </c>
      <c r="BI6" s="24">
        <f>IF($A6="","",('Ügyfelek'!B6="")+('Ügyfelek'!C6="")+('Ügyfelek'!D6="")+('Ügyfelek'!E6="")+('Ügyfelek'!F6="")+('Ügyfelek'!G6="")+('Ügyfelek'!H6="")+('Ügyfelek'!I6="")+('Ügyfelek'!J6="")+('Ügyfelek'!K6="")+('Ügyfelek'!L6="")+('Ügyfelek'!M6="")+('Ügyfelek'!N6="")+('Ügyfelek'!O6="")+('Ügyfelek'!P6="")+('Ügyfelek'!Q6="")+('Ügyfelek'!R6="")+('Ügyfelek'!S6="")+('Ügyfelek'!T6="")+('Ügyfelek'!U6="")+('Ügyfelek'!V6="")+('Ügyfelek'!W6="")+('Ügyfelek'!X6="")+('Ügyfelek'!Y6="")+('Ügyfelek'!Z6="")+('Ügyfelek'!AA6="")+('Ügyfelek'!AB6="")+('Ügyfelek'!AC6="")+('Ügyfelek'!AD6="")+('Ügyfelek'!AE6="")+('Ügyfelek'!AF6="")+('Ügyfelek'!AG6="")+('Ügyfelek'!AH6=""))</f>
        <v/>
      </c>
      <c r="BK6">
        <f>IF($A6="","",B6+'Beállítások'!$E$6/1000)</f>
        <v/>
      </c>
      <c r="BL6">
        <f>IF($A6="","",C6+'Beállítások'!$E$7/1000)</f>
        <v/>
      </c>
      <c r="BM6">
        <f>IF($A6="","",D6+'Beállítások'!$E$8/1000)</f>
        <v/>
      </c>
      <c r="BN6">
        <f>IF($A6="","",E6+'Beállítások'!$E$9/1000)</f>
        <v/>
      </c>
      <c r="BO6">
        <f>IF($A6="","",F6+'Beállítások'!$E$10/1000)</f>
        <v/>
      </c>
      <c r="BP6">
        <f>IF($A6="","",G6+'Beállítások'!$E$11/1000)</f>
        <v/>
      </c>
      <c r="BQ6">
        <f>IF($A6="","",H6+'Beállítások'!$E$12/1000)</f>
        <v/>
      </c>
      <c r="BR6">
        <f>IF($A6="","",I6+'Beállítások'!$E$13/1000)</f>
        <v/>
      </c>
      <c r="BS6">
        <f>IF($A6="","",J6+'Beállítások'!$E$14/1000)</f>
        <v/>
      </c>
      <c r="BT6">
        <f>IF($A6="","",K6+'Beállítások'!$E$15/1000)</f>
        <v/>
      </c>
      <c r="BU6">
        <f>IF($A6="","",L6+'Beállítások'!$E$16/1000)</f>
        <v/>
      </c>
      <c r="BV6">
        <f>IF($A6="","",M6+'Beállítások'!$E$17/1000)</f>
        <v/>
      </c>
      <c r="BW6">
        <f>IF($A6="","",N6+'Beállítások'!$E$18/1000)</f>
        <v/>
      </c>
      <c r="BX6">
        <f>IF($A6="","",O6+'Beállítások'!$E$19/1000)</f>
        <v/>
      </c>
      <c r="BY6">
        <f>IF($A6="","",P6+'Beállítások'!$E$20/1000)</f>
        <v/>
      </c>
      <c r="BZ6">
        <f>IF($A6="","",Q6+'Beállítások'!$E$21/1000)</f>
        <v/>
      </c>
      <c r="CA6">
        <f>IF($A6="","",R6+'Beállítások'!$E$22/1000)</f>
        <v/>
      </c>
      <c r="CB6">
        <f>IF($A6="","",S6+'Beállítások'!$E$23/1000)</f>
        <v/>
      </c>
      <c r="CC6">
        <f>IF($A6="","",T6+'Beállítások'!$E$24/1000)</f>
        <v/>
      </c>
      <c r="CD6">
        <f>IF($A6="","",U6+'Beállítások'!$E$25/1000)</f>
        <v/>
      </c>
      <c r="CE6">
        <f>IF($A6="","",V6+'Beállítások'!$E$26/1000)</f>
        <v/>
      </c>
      <c r="CF6">
        <f>IF($A6="","",W6+'Beállítások'!$E$27/1000)</f>
        <v/>
      </c>
      <c r="CG6">
        <f>IF($A6="","",X6+'Beállítások'!$E$28/1000)</f>
        <v/>
      </c>
      <c r="CH6">
        <f>IF($A6="","",Y6+'Beállítások'!$E$29/1000)</f>
        <v/>
      </c>
      <c r="CI6">
        <f>IF($A6="","",Z6+'Beállítások'!$E$30/1000)</f>
        <v/>
      </c>
      <c r="CJ6">
        <f>IF($A6="","",AA6+'Beállítások'!$E$31/1000)</f>
        <v/>
      </c>
      <c r="CK6">
        <f>IF($A6="","",AB6+'Beállítások'!$E$32/1000)</f>
        <v/>
      </c>
      <c r="CL6">
        <f>IF($A6="","",AC6+'Beállítások'!$E$33/1000)</f>
        <v/>
      </c>
      <c r="CM6">
        <f>IF($A6="","",AD6+'Beállítások'!$E$34/1000)</f>
        <v/>
      </c>
      <c r="CN6">
        <f>IF($A6="","",AE6+'Beállítások'!$E$35/1000)</f>
        <v/>
      </c>
      <c r="CO6">
        <f>IF($A6="","",AF6+'Beállítások'!$E$36/1000)</f>
        <v/>
      </c>
      <c r="CP6">
        <f>IF($A6="","",AG6+'Beállítások'!$E$37/1000)</f>
        <v/>
      </c>
      <c r="CQ6">
        <f>IF($A6="","",AH6+'Beállítások'!$E$38/1000)</f>
        <v/>
      </c>
      <c r="CR6">
        <f>IF($A6="","",'Beállítások'!$E$6*(10-B6))</f>
        <v/>
      </c>
      <c r="CS6">
        <f>IF($A6="","",'Beállítások'!$E$7*(10-C6))</f>
        <v/>
      </c>
      <c r="CT6">
        <f>IF($A6="","",'Beállítások'!$E$8*(10-D6))</f>
        <v/>
      </c>
      <c r="CU6">
        <f>IF($A6="","",'Beállítások'!$E$9*(10-E6))</f>
        <v/>
      </c>
      <c r="CV6">
        <f>IF($A6="","",'Beállítások'!$E$10*(10-F6))</f>
        <v/>
      </c>
      <c r="CW6">
        <f>IF($A6="","",'Beállítások'!$E$11*(10-G6))</f>
        <v/>
      </c>
      <c r="CX6">
        <f>IF($A6="","",'Beállítások'!$E$12*(10-H6))</f>
        <v/>
      </c>
      <c r="CY6">
        <f>IF($A6="","",'Beállítások'!$E$13*(10-I6))</f>
        <v/>
      </c>
      <c r="CZ6">
        <f>IF($A6="","",'Beállítások'!$E$14*(10-J6))</f>
        <v/>
      </c>
      <c r="DA6">
        <f>IF($A6="","",'Beállítások'!$E$15*(10-K6))</f>
        <v/>
      </c>
      <c r="DB6">
        <f>IF($A6="","",'Beállítások'!$E$16*(10-L6))</f>
        <v/>
      </c>
      <c r="DC6">
        <f>IF($A6="","",'Beállítások'!$E$17*(10-M6))</f>
        <v/>
      </c>
      <c r="DD6">
        <f>IF($A6="","",'Beállítások'!$E$18*(10-N6))</f>
        <v/>
      </c>
      <c r="DE6">
        <f>IF($A6="","",'Beállítások'!$E$19*(10-O6))</f>
        <v/>
      </c>
      <c r="DF6">
        <f>IF($A6="","",'Beállítások'!$E$20*(10-P6))</f>
        <v/>
      </c>
      <c r="DG6">
        <f>IF($A6="","",'Beállítások'!$E$21*(10-Q6))</f>
        <v/>
      </c>
      <c r="DH6">
        <f>IF($A6="","",'Beállítások'!$E$22*(10-R6))</f>
        <v/>
      </c>
      <c r="DI6">
        <f>IF($A6="","",'Beállítások'!$E$23*(10-S6))</f>
        <v/>
      </c>
      <c r="DJ6">
        <f>IF($A6="","",'Beállítások'!$E$24*(10-T6))</f>
        <v/>
      </c>
      <c r="DK6">
        <f>IF($A6="","",'Beállítások'!$E$25*(10-U6))</f>
        <v/>
      </c>
      <c r="DL6">
        <f>IF($A6="","",'Beállítások'!$E$26*(10-V6))</f>
        <v/>
      </c>
      <c r="DM6">
        <f>IF($A6="","",'Beállítások'!$E$27*(10-W6))</f>
        <v/>
      </c>
      <c r="DN6">
        <f>IF($A6="","",'Beállítások'!$E$28*(10-X6))</f>
        <v/>
      </c>
      <c r="DO6">
        <f>IF($A6="","",'Beállítások'!$E$29*(10-Y6))</f>
        <v/>
      </c>
      <c r="DP6">
        <f>IF($A6="","",'Beállítások'!$E$30*(10-Z6))</f>
        <v/>
      </c>
      <c r="DQ6">
        <f>IF($A6="","",'Beállítások'!$E$31*(10-AA6))</f>
        <v/>
      </c>
      <c r="DR6">
        <f>IF($A6="","",'Beállítások'!$E$32*(10-AB6))</f>
        <v/>
      </c>
      <c r="DS6">
        <f>IF($A6="","",'Beállítások'!$E$33*(10-AC6))</f>
        <v/>
      </c>
      <c r="DT6">
        <f>IF($A6="","",'Beállítások'!$E$34*(10-AD6))</f>
        <v/>
      </c>
      <c r="DU6">
        <f>IF($A6="","",'Beállítások'!$E$35*(10-AE6))</f>
        <v/>
      </c>
      <c r="DV6">
        <f>IF($A6="","",'Beállítások'!$E$36*(10-AF6))</f>
        <v/>
      </c>
      <c r="DW6">
        <f>IF($A6="","",'Beállítások'!$E$37*(10-AG6))</f>
        <v/>
      </c>
      <c r="DX6">
        <f>IF($A6="","",'Beállítások'!$E$38*(10-AH6))</f>
        <v/>
      </c>
      <c r="DY6">
        <f>IF($A6="","",AM6-ROW()/100000)</f>
        <v/>
      </c>
    </row>
    <row r="7">
      <c r="A7">
        <f>IF('Ügyfelek'!A7="","",'Ügyfelek'!A7)</f>
        <v/>
      </c>
      <c r="B7">
        <f>IF($A7="","",IF('Ügyfelek'!B7="",'Beállítások'!$B$84,IFERROR(VLOOKUP(TRIM('Ügyfelek'!B7),'Beállítások'!$A$51:$B$59,2,FALSE),'Beállítások'!$B$84)))</f>
        <v/>
      </c>
      <c r="C7">
        <f>IF($A7="","",IF('Ügyfelek'!C7="",'Beállítások'!$B$84,MIN(10,MAX(1,ROUND('Ügyfelek'!C7,0)))))</f>
        <v/>
      </c>
      <c r="D7">
        <f>IF($A7="","",IF('Ügyfelek'!D7="",'Beállítások'!$B$84,MIN(10,MAX(1,ROUND('Ügyfelek'!D7,0)))))</f>
        <v/>
      </c>
      <c r="E7">
        <f>IF($A7="","",IF('Ügyfelek'!E7="",'Beállítások'!$B$84,MIN(10,MAX(1,ROUND('Ügyfelek'!E7,0)))))</f>
        <v/>
      </c>
      <c r="F7">
        <f>IF($A7="","",IF('Ügyfelek'!F7="",'Beállítások'!$B$84,MIN(10,MAX(1,ROUND('Ügyfelek'!F7,0)))))</f>
        <v/>
      </c>
      <c r="G7">
        <f>IF($A7="","",IF('Ügyfelek'!G7="",'Beállítások'!$B$84,MIN(10,MAX(1,ROUND('Ügyfelek'!G7,0)))))</f>
        <v/>
      </c>
      <c r="H7">
        <f>IF($A7="","",IF('Ügyfelek'!H7="",'Beállítások'!$B$84,MIN(10,MAX(1,ROUND('Ügyfelek'!H7,0)))))</f>
        <v/>
      </c>
      <c r="I7">
        <f>IF($A7="","",IF('Ügyfelek'!I7="",'Beállítások'!$B$84,MIN(10,MAX(1,ROUND('Ügyfelek'!I7,0)))))</f>
        <v/>
      </c>
      <c r="J7">
        <f>IF($A7="","",IF('Ügyfelek'!J7="",'Beállítások'!$B$84,MIN(10,MAX(1,ROUND('Ügyfelek'!J7,0)))))</f>
        <v/>
      </c>
      <c r="K7">
        <f>IF($A7="","",IF('Ügyfelek'!K7="",'Beállítások'!$B$84,MIN(10,MAX(1,ROUND('Ügyfelek'!K7,0)))))</f>
        <v/>
      </c>
      <c r="L7">
        <f>IF($A7="","",IF('Ügyfelek'!L7="",'Beállítások'!$B$84,MIN(10,MAX(1,ROUND('Ügyfelek'!L7,0)))))</f>
        <v/>
      </c>
      <c r="M7">
        <f>IF($A7="","",IF('Ügyfelek'!M7="",'Beállítások'!$B$84,MIN(10,MAX(1,ROUND('Ügyfelek'!M7,0)))))</f>
        <v/>
      </c>
      <c r="N7">
        <f>IF($A7="","",IF('Ügyfelek'!N7="",'Beállítások'!$B$84,MIN(10,MAX(1,ROUND('Ügyfelek'!N7,0)))))</f>
        <v/>
      </c>
      <c r="O7">
        <f>IF($A7="","",IF('Ügyfelek'!O7="",'Beállítások'!$B$84,MIN(10,MAX(1,ROUND('Ügyfelek'!O7,0)))))</f>
        <v/>
      </c>
      <c r="P7">
        <f>IF($A7="","",IF('Ügyfelek'!P7="",'Beállítások'!$B$84,MIN(10,MAX(1,ROUND('Ügyfelek'!P7,0)))))</f>
        <v/>
      </c>
      <c r="Q7">
        <f>IF($A7="","",IF('Ügyfelek'!Q7="",'Beállítások'!$B$84,MIN(10,MAX(1,ROUND('Ügyfelek'!Q7,0)))))</f>
        <v/>
      </c>
      <c r="R7">
        <f>IF($A7="","",IF('Ügyfelek'!R7="",'Beállítások'!$B$84,MIN(10,MAX(1,ROUND('Ügyfelek'!R7,0)))))</f>
        <v/>
      </c>
      <c r="S7">
        <f>IF($A7="","",IF('Ügyfelek'!S7="",'Beállítások'!$B$84,MIN(10,MAX(1,ROUND('Ügyfelek'!S7,0)))))</f>
        <v/>
      </c>
      <c r="T7">
        <f>IF($A7="","",IF('Ügyfelek'!T7="",'Beállítások'!$B$84,VLOOKUP(MAX('Ügyfelek'!T7,'Beállítások'!$H$7),'Beállítások'!$H$7:$I$12,2,TRUE)))</f>
        <v/>
      </c>
      <c r="U7">
        <f>IF($A7="","",IF('Ügyfelek'!U7="",'Beállítások'!$B$84,VLOOKUP(MAX('Ügyfelek'!U7,'Beállítások'!$K$7),'Beállítások'!$K$7:$L$12,2,TRUE)))</f>
        <v/>
      </c>
      <c r="V7">
        <f>IF($A7="","",IF('Ügyfelek'!V7="",'Beállítások'!$B$84,MIN(10,MAX(1,ROUND('Ügyfelek'!V7,0)))))</f>
        <v/>
      </c>
      <c r="W7">
        <f>IF($A7="","",IF('Ügyfelek'!W7="",'Beállítások'!$B$84,VLOOKUP(MAX('Ügyfelek'!W7,'Beállítások'!$N$7),'Beállítások'!$N$7:$O$12,2,TRUE)))</f>
        <v/>
      </c>
      <c r="X7">
        <f>IF($A7="","",IF('Ügyfelek'!X7="",'Beállítások'!$B$84,MIN(10,MAX(1,ROUND('Ügyfelek'!X7,0)))))</f>
        <v/>
      </c>
      <c r="Y7">
        <f>IF($A7="","",IF('Ügyfelek'!Y7="",'Beállítások'!$B$84,IFERROR(VLOOKUP(TRIM('Ügyfelek'!Y7),'Beállítások'!$A$63:$B$69,2,FALSE),'Beállítások'!$B$84)))</f>
        <v/>
      </c>
      <c r="Z7">
        <f>IF($A7="","",IF('Ügyfelek'!Z7="",'Beállítások'!$B$84,VLOOKUP(MAX('Ügyfelek'!Z7,'Beállítások'!$Q$7),'Beállítások'!$Q$7:$R$12,2,TRUE)))</f>
        <v/>
      </c>
      <c r="AA7">
        <f>IF($A7="","",IF('Ügyfelek'!AA7="",'Beállítások'!$B$84,VLOOKUP(MAX('Ügyfelek'!AA7,'Beállítások'!$T$7),'Beállítások'!$T$7:$U$12,2,TRUE)))</f>
        <v/>
      </c>
      <c r="AB7">
        <f>IF($A7="","",IF('Ügyfelek'!AB7="",'Beállítások'!$B$84,MIN(10,MAX(1,ROUND('Ügyfelek'!AB7,0)))))</f>
        <v/>
      </c>
      <c r="AC7">
        <f>IF($A7="","",IF('Ügyfelek'!AC7="",'Beállítások'!$B$84,MIN(10,MAX(1,ROUND('Ügyfelek'!AC7,0)))))</f>
        <v/>
      </c>
      <c r="AD7">
        <f>IF($A7="","",IF('Ügyfelek'!AD7="",'Beállítások'!$B$84,MIN(10,MAX(1,ROUND('Ügyfelek'!AD7,0)))))</f>
        <v/>
      </c>
      <c r="AE7">
        <f>IF($A7="","",IF('Ügyfelek'!AE7="",'Beállítások'!$B$84,MIN(10,MAX(1,ROUND('Ügyfelek'!AE7,0)))))</f>
        <v/>
      </c>
      <c r="AF7">
        <f>IF($A7="","",IF('Ügyfelek'!AF7="",'Beállítások'!$B$84,MIN(10,MAX(1,ROUND('Ügyfelek'!AF7,0)))))</f>
        <v/>
      </c>
      <c r="AG7">
        <f>IF($A7="","",IF('Ügyfelek'!AG7="",'Beállítások'!$B$84,MIN(10,MAX(1,ROUND('Ügyfelek'!AG7,0)))))</f>
        <v/>
      </c>
      <c r="AH7">
        <f>IF($A7="","",IF('Ügyfelek'!AH7="",'Beállítások'!$B$84,IFERROR(VLOOKUP(TRIM('Ügyfelek'!AH7),'Beállítások'!$A$73:$B$79,2,FALSE),'Beállítások'!$B$84)))</f>
        <v/>
      </c>
      <c r="AI7" s="23">
        <f>IF($A7="","",ROUND(100*('Beállítások'!$E$6*(B7-1)+'Beállítások'!$E$7*(C7-1))/(9*'Beállítások'!$B$43),1))</f>
        <v/>
      </c>
      <c r="AJ7" s="23">
        <f>IF($A7="","",ROUND(100*('Beállítások'!$E$8*(D7-1)+'Beállítások'!$E$9*(E7-1)+'Beállítások'!$E$10*(F7-1)+'Beállítások'!$E$11*(G7-1)+'Beállítások'!$E$12*(H7-1)+'Beállítások'!$E$13*(I7-1)+'Beállítások'!$E$14*(J7-1)+'Beállítások'!$E$15*(K7-1)+'Beállítások'!$E$16*(L7-1)+'Beállítások'!$E$17*(M7-1)+'Beállítások'!$E$18*(N7-1)+'Beállítások'!$E$19*(O7-1)+'Beállítások'!$E$20*(P7-1)+'Beállítások'!$E$21*(Q7-1)+'Beállítások'!$E$22*(R7-1))/(9*'Beállítások'!$B$44),1))</f>
        <v/>
      </c>
      <c r="AK7" s="23">
        <f>IF($A7="","",ROUND(100*('Beállítások'!$E$23*(S7-1)+'Beállítások'!$E$24*(T7-1)+'Beállítások'!$E$25*(U7-1)+'Beállítások'!$E$26*(V7-1)+'Beállítások'!$E$27*(W7-1)+'Beállítások'!$E$28*(X7-1)+'Beállítások'!$E$29*(Y7-1))/(9*'Beállítások'!$B$45),1))</f>
        <v/>
      </c>
      <c r="AL7" s="23">
        <f>IF($A7="","",ROUND(100*('Beállítások'!$E$30*(Z7-1)+'Beállítások'!$E$31*(AA7-1)+'Beállítások'!$E$32*(AB7-1)+'Beállítások'!$E$33*(AC7-1)+'Beállítások'!$E$34*(AD7-1)+'Beállítások'!$E$35*(AE7-1)+'Beállítások'!$E$36*(AF7-1)+'Beállítások'!$E$37*(AG7-1)+'Beállítások'!$E$38*(AH7-1))/(9*'Beállítások'!$B$46),1))</f>
        <v/>
      </c>
      <c r="AM7" s="23">
        <f>IF($A7="","",ROUND(100*('Beállítások'!$E$6*(B7-1)+'Beállítások'!$E$7*(C7-1)+'Beállítások'!$E$8*(D7-1)+'Beállítások'!$E$9*(E7-1)+'Beállítások'!$E$10*(F7-1)+'Beállítások'!$E$11*(G7-1)+'Beállítások'!$E$12*(H7-1)+'Beállítások'!$E$13*(I7-1)+'Beállítások'!$E$14*(J7-1)+'Beállítások'!$E$15*(K7-1)+'Beállítások'!$E$16*(L7-1)+'Beállítások'!$E$17*(M7-1)+'Beállítások'!$E$18*(N7-1)+'Beállítások'!$E$19*(O7-1)+'Beállítások'!$E$20*(P7-1)+'Beállítások'!$E$21*(Q7-1)+'Beállítások'!$E$22*(R7-1)+'Beállítások'!$E$23*(S7-1)+'Beállítások'!$E$24*(T7-1)+'Beállítások'!$E$25*(U7-1)+'Beállítások'!$E$26*(V7-1)+'Beállítások'!$E$27*(W7-1)+'Beállítások'!$E$28*(X7-1)+'Beállítások'!$E$29*(Y7-1)+'Beállítások'!$E$30*(Z7-1)+'Beállítások'!$E$31*(AA7-1)+'Beállítások'!$E$32*(AB7-1)+'Beállítások'!$E$33*(AC7-1)+'Beállítások'!$E$34*(AD7-1)+'Beállítások'!$E$35*(AE7-1)+'Beállítások'!$E$36*(AF7-1)+'Beállítások'!$E$37*(AG7-1)+'Beállítások'!$E$38*(AH7-1))/(9*'Beállítások'!$E$39),1))</f>
        <v/>
      </c>
      <c r="AN7" s="23">
        <f>IF($A7="","",ROUND(100*('Beállítások'!$E$8*(D7-1)+'Beállítások'!$E$9*(E7-1)+'Beállítások'!$E$10*(F7-1)+'Beállítások'!$E$11*(G7-1)+'Beállítások'!$E$12*(H7-1)+'Beállítások'!$E$13*(I7-1)+'Beállítások'!$E$14*(J7-1)+'Beállítások'!$E$15*(K7-1)+'Beállítások'!$E$16*(L7-1)+'Beállítások'!$E$17*(M7-1)+'Beállítások'!$E$18*(N7-1)+'Beállítások'!$E$19*(O7-1)+'Beállítások'!$E$20*(P7-1)+'Beállítások'!$E$21*(Q7-1)+'Beállítások'!$E$22*(R7-1)+'Beállítások'!$E$23*(S7-1)+'Beállítások'!$E$24*(T7-1)+'Beállítások'!$E$25*(U7-1)+'Beállítások'!$E$26*(V7-1)+'Beállítások'!$E$27*(W7-1)+'Beállítások'!$E$28*(X7-1)+'Beállítások'!$E$29*(Y7-1))/(9*('Beállítások'!$B$44+'Beállítások'!$B$45)),1))</f>
        <v/>
      </c>
      <c r="AO7" s="24">
        <f>IF($A7="","",RANK(AM7,$AM$2:$AM$201))</f>
        <v/>
      </c>
      <c r="AP7">
        <f>IF($A7="","",IF(OR(AND('Ügyfelek'!B7&lt;&gt;"",B7&lt;='Beállítások'!$B$85),AND('Ügyfelek'!C7&lt;&gt;"",C7&lt;='Beállítások'!$B$86)),"Igen","Nem"))</f>
        <v/>
      </c>
      <c r="AQ7" s="24">
        <f>IF($A7="","",IF(AP7="Igen",5,IF(AN7&gt;='Beállítások'!$C$108,1,IF(AN7&gt;='Beállítások'!$C$109,2,IF(AN7&gt;='Beállítások'!$C$110,3,IF(AND(AN7&gt;='Beállítások'!$B$87,AI7&gt;='Beállítások'!$B$88,AL7&gt;='Beállítások'!$B$89),4,5))))))</f>
        <v/>
      </c>
      <c r="AR7">
        <f>IF($A7="","",INDEX('Beállítások'!$B$108:$B$112,AQ7))</f>
        <v/>
      </c>
      <c r="AS7">
        <f>IF($A7="","",IF(AQ7=5,"Elutasítjuk",IF(AND(AQ7=4,COUNTIFS('Eredmény'!$AQ$2:$AQ$201,4,'Eredmény'!$DY$2:$DY$201,"&gt;"&amp;DY7)&gt;='Beállítások'!$B$90),"Várólista (a 4-es hely foglalt)","Elfogadjuk")))</f>
        <v/>
      </c>
      <c r="AT7">
        <f>IF($A7="","",INDEX('Beállítások'!$F$108:$F$112,AQ7))</f>
        <v/>
      </c>
      <c r="AU7">
        <f>IF($A7="","",INDEX('Beállítások'!$B$6:$B$38,MATCH(MAX(BK7:CQ7),BK7:CQ7,0)))</f>
        <v/>
      </c>
      <c r="AV7">
        <f>IF($A7="","",IF(MAX(CR7:DX7)=0,"—",INDEX('Beállítások'!$B$6:$B$38,MATCH(MAX(CR7:DX7),CR7:DX7,0))))</f>
        <v/>
      </c>
      <c r="AW7" s="10">
        <f>IF($A7="","",'Beállítások'!$B$94*(TRIM('Ügyfelek'!AI7)="igen")+'Beállítások'!$B$95*(TRIM('Ügyfelek'!AJ7)="igen")+'Beállítások'!$B$96*N('Ügyfelek'!AK7)+'Beállítások'!$B$93*N('Ügyfelek'!AL7))</f>
        <v/>
      </c>
      <c r="AX7" s="25">
        <f>IF(OR($A7="",AQ7=5),"",INDEX('Beállítások'!$D$108:$D$112,AQ7))</f>
        <v/>
      </c>
      <c r="AY7" s="10">
        <f>IF($A7="","",N('Ügyfelek'!U7)*'Beállítások'!$B$98)</f>
        <v/>
      </c>
      <c r="AZ7" s="10">
        <f>IF(OR($A7="",AQ7=5),"",CEILING(ROUND(MAX('Beállítások'!$B$97,AW7*AX7,AY7),2),'Beállítások'!$B$99))</f>
        <v/>
      </c>
      <c r="BA7">
        <f>IF($A7="","",IF(AQ7=5,"Elutasítva",IF(MAX('Beállítások'!$B$97,AW7*AX7,AY7)=AW7*AX7,"Munkaigény × státuszszorzó",IF(MAX('Beállítások'!$B$97,AW7*AX7,AY7)=AY7,"Hirdetési keret arányában","Minimumdíj"))))</f>
        <v/>
      </c>
      <c r="BB7" s="10">
        <f>IF(OR($A7="",'Ügyfelek'!AM7=""),"",'Ügyfelek'!AM7)</f>
        <v/>
      </c>
      <c r="BC7" s="10">
        <f>IF(OR(BB7="",AZ7=""),"",AZ7-BB7)</f>
        <v/>
      </c>
      <c r="BD7" s="18">
        <f>IF(OR(BB7="",AZ7="",BB7=0),"",BC7/BB7)</f>
        <v/>
      </c>
      <c r="BE7">
        <f>IF(OR($A7="",AQ7=5),"",IF(AND(INDEX('Beállítások'!$E$108:$E$112,AQ7)&gt;0,Y7&gt;='Beállítások'!$B$91),"Igen","Nem"))</f>
        <v/>
      </c>
      <c r="BF7" s="10">
        <f>IF(BE7="Igen",CEILING(ROUND(AZ7*(1-'Beállítások'!$B$92),2),'Beállítások'!$B$99),"")</f>
        <v/>
      </c>
      <c r="BG7" s="20">
        <f>IF(BE7="Igen",INDEX('Beállítások'!$E$108:$E$112,AQ7),"")</f>
        <v/>
      </c>
      <c r="BH7" s="10">
        <f>IF(OR(BE7&lt;&gt;"Igen",'Ügyfelek'!AN7=""),"",'Ügyfelek'!AN7*BG7)</f>
        <v/>
      </c>
      <c r="BI7" s="24">
        <f>IF($A7="","",('Ügyfelek'!B7="")+('Ügyfelek'!C7="")+('Ügyfelek'!D7="")+('Ügyfelek'!E7="")+('Ügyfelek'!F7="")+('Ügyfelek'!G7="")+('Ügyfelek'!H7="")+('Ügyfelek'!I7="")+('Ügyfelek'!J7="")+('Ügyfelek'!K7="")+('Ügyfelek'!L7="")+('Ügyfelek'!M7="")+('Ügyfelek'!N7="")+('Ügyfelek'!O7="")+('Ügyfelek'!P7="")+('Ügyfelek'!Q7="")+('Ügyfelek'!R7="")+('Ügyfelek'!S7="")+('Ügyfelek'!T7="")+('Ügyfelek'!U7="")+('Ügyfelek'!V7="")+('Ügyfelek'!W7="")+('Ügyfelek'!X7="")+('Ügyfelek'!Y7="")+('Ügyfelek'!Z7="")+('Ügyfelek'!AA7="")+('Ügyfelek'!AB7="")+('Ügyfelek'!AC7="")+('Ügyfelek'!AD7="")+('Ügyfelek'!AE7="")+('Ügyfelek'!AF7="")+('Ügyfelek'!AG7="")+('Ügyfelek'!AH7=""))</f>
        <v/>
      </c>
      <c r="BK7">
        <f>IF($A7="","",B7+'Beállítások'!$E$6/1000)</f>
        <v/>
      </c>
      <c r="BL7">
        <f>IF($A7="","",C7+'Beállítások'!$E$7/1000)</f>
        <v/>
      </c>
      <c r="BM7">
        <f>IF($A7="","",D7+'Beállítások'!$E$8/1000)</f>
        <v/>
      </c>
      <c r="BN7">
        <f>IF($A7="","",E7+'Beállítások'!$E$9/1000)</f>
        <v/>
      </c>
      <c r="BO7">
        <f>IF($A7="","",F7+'Beállítások'!$E$10/1000)</f>
        <v/>
      </c>
      <c r="BP7">
        <f>IF($A7="","",G7+'Beállítások'!$E$11/1000)</f>
        <v/>
      </c>
      <c r="BQ7">
        <f>IF($A7="","",H7+'Beállítások'!$E$12/1000)</f>
        <v/>
      </c>
      <c r="BR7">
        <f>IF($A7="","",I7+'Beállítások'!$E$13/1000)</f>
        <v/>
      </c>
      <c r="BS7">
        <f>IF($A7="","",J7+'Beállítások'!$E$14/1000)</f>
        <v/>
      </c>
      <c r="BT7">
        <f>IF($A7="","",K7+'Beállítások'!$E$15/1000)</f>
        <v/>
      </c>
      <c r="BU7">
        <f>IF($A7="","",L7+'Beállítások'!$E$16/1000)</f>
        <v/>
      </c>
      <c r="BV7">
        <f>IF($A7="","",M7+'Beállítások'!$E$17/1000)</f>
        <v/>
      </c>
      <c r="BW7">
        <f>IF($A7="","",N7+'Beállítások'!$E$18/1000)</f>
        <v/>
      </c>
      <c r="BX7">
        <f>IF($A7="","",O7+'Beállítások'!$E$19/1000)</f>
        <v/>
      </c>
      <c r="BY7">
        <f>IF($A7="","",P7+'Beállítások'!$E$20/1000)</f>
        <v/>
      </c>
      <c r="BZ7">
        <f>IF($A7="","",Q7+'Beállítások'!$E$21/1000)</f>
        <v/>
      </c>
      <c r="CA7">
        <f>IF($A7="","",R7+'Beállítások'!$E$22/1000)</f>
        <v/>
      </c>
      <c r="CB7">
        <f>IF($A7="","",S7+'Beállítások'!$E$23/1000)</f>
        <v/>
      </c>
      <c r="CC7">
        <f>IF($A7="","",T7+'Beállítások'!$E$24/1000)</f>
        <v/>
      </c>
      <c r="CD7">
        <f>IF($A7="","",U7+'Beállítások'!$E$25/1000)</f>
        <v/>
      </c>
      <c r="CE7">
        <f>IF($A7="","",V7+'Beállítások'!$E$26/1000)</f>
        <v/>
      </c>
      <c r="CF7">
        <f>IF($A7="","",W7+'Beállítások'!$E$27/1000)</f>
        <v/>
      </c>
      <c r="CG7">
        <f>IF($A7="","",X7+'Beállítások'!$E$28/1000)</f>
        <v/>
      </c>
      <c r="CH7">
        <f>IF($A7="","",Y7+'Beállítások'!$E$29/1000)</f>
        <v/>
      </c>
      <c r="CI7">
        <f>IF($A7="","",Z7+'Beállítások'!$E$30/1000)</f>
        <v/>
      </c>
      <c r="CJ7">
        <f>IF($A7="","",AA7+'Beállítások'!$E$31/1000)</f>
        <v/>
      </c>
      <c r="CK7">
        <f>IF($A7="","",AB7+'Beállítások'!$E$32/1000)</f>
        <v/>
      </c>
      <c r="CL7">
        <f>IF($A7="","",AC7+'Beállítások'!$E$33/1000)</f>
        <v/>
      </c>
      <c r="CM7">
        <f>IF($A7="","",AD7+'Beállítások'!$E$34/1000)</f>
        <v/>
      </c>
      <c r="CN7">
        <f>IF($A7="","",AE7+'Beállítások'!$E$35/1000)</f>
        <v/>
      </c>
      <c r="CO7">
        <f>IF($A7="","",AF7+'Beállítások'!$E$36/1000)</f>
        <v/>
      </c>
      <c r="CP7">
        <f>IF($A7="","",AG7+'Beállítások'!$E$37/1000)</f>
        <v/>
      </c>
      <c r="CQ7">
        <f>IF($A7="","",AH7+'Beállítások'!$E$38/1000)</f>
        <v/>
      </c>
      <c r="CR7">
        <f>IF($A7="","",'Beállítások'!$E$6*(10-B7))</f>
        <v/>
      </c>
      <c r="CS7">
        <f>IF($A7="","",'Beállítások'!$E$7*(10-C7))</f>
        <v/>
      </c>
      <c r="CT7">
        <f>IF($A7="","",'Beállítások'!$E$8*(10-D7))</f>
        <v/>
      </c>
      <c r="CU7">
        <f>IF($A7="","",'Beállítások'!$E$9*(10-E7))</f>
        <v/>
      </c>
      <c r="CV7">
        <f>IF($A7="","",'Beállítások'!$E$10*(10-F7))</f>
        <v/>
      </c>
      <c r="CW7">
        <f>IF($A7="","",'Beállítások'!$E$11*(10-G7))</f>
        <v/>
      </c>
      <c r="CX7">
        <f>IF($A7="","",'Beállítások'!$E$12*(10-H7))</f>
        <v/>
      </c>
      <c r="CY7">
        <f>IF($A7="","",'Beállítások'!$E$13*(10-I7))</f>
        <v/>
      </c>
      <c r="CZ7">
        <f>IF($A7="","",'Beállítások'!$E$14*(10-J7))</f>
        <v/>
      </c>
      <c r="DA7">
        <f>IF($A7="","",'Beállítások'!$E$15*(10-K7))</f>
        <v/>
      </c>
      <c r="DB7">
        <f>IF($A7="","",'Beállítások'!$E$16*(10-L7))</f>
        <v/>
      </c>
      <c r="DC7">
        <f>IF($A7="","",'Beállítások'!$E$17*(10-M7))</f>
        <v/>
      </c>
      <c r="DD7">
        <f>IF($A7="","",'Beállítások'!$E$18*(10-N7))</f>
        <v/>
      </c>
      <c r="DE7">
        <f>IF($A7="","",'Beállítások'!$E$19*(10-O7))</f>
        <v/>
      </c>
      <c r="DF7">
        <f>IF($A7="","",'Beállítások'!$E$20*(10-P7))</f>
        <v/>
      </c>
      <c r="DG7">
        <f>IF($A7="","",'Beállítások'!$E$21*(10-Q7))</f>
        <v/>
      </c>
      <c r="DH7">
        <f>IF($A7="","",'Beállítások'!$E$22*(10-R7))</f>
        <v/>
      </c>
      <c r="DI7">
        <f>IF($A7="","",'Beállítások'!$E$23*(10-S7))</f>
        <v/>
      </c>
      <c r="DJ7">
        <f>IF($A7="","",'Beállítások'!$E$24*(10-T7))</f>
        <v/>
      </c>
      <c r="DK7">
        <f>IF($A7="","",'Beállítások'!$E$25*(10-U7))</f>
        <v/>
      </c>
      <c r="DL7">
        <f>IF($A7="","",'Beállítások'!$E$26*(10-V7))</f>
        <v/>
      </c>
      <c r="DM7">
        <f>IF($A7="","",'Beállítások'!$E$27*(10-W7))</f>
        <v/>
      </c>
      <c r="DN7">
        <f>IF($A7="","",'Beállítások'!$E$28*(10-X7))</f>
        <v/>
      </c>
      <c r="DO7">
        <f>IF($A7="","",'Beállítások'!$E$29*(10-Y7))</f>
        <v/>
      </c>
      <c r="DP7">
        <f>IF($A7="","",'Beállítások'!$E$30*(10-Z7))</f>
        <v/>
      </c>
      <c r="DQ7">
        <f>IF($A7="","",'Beállítások'!$E$31*(10-AA7))</f>
        <v/>
      </c>
      <c r="DR7">
        <f>IF($A7="","",'Beállítások'!$E$32*(10-AB7))</f>
        <v/>
      </c>
      <c r="DS7">
        <f>IF($A7="","",'Beállítások'!$E$33*(10-AC7))</f>
        <v/>
      </c>
      <c r="DT7">
        <f>IF($A7="","",'Beállítások'!$E$34*(10-AD7))</f>
        <v/>
      </c>
      <c r="DU7">
        <f>IF($A7="","",'Beállítások'!$E$35*(10-AE7))</f>
        <v/>
      </c>
      <c r="DV7">
        <f>IF($A7="","",'Beállítások'!$E$36*(10-AF7))</f>
        <v/>
      </c>
      <c r="DW7">
        <f>IF($A7="","",'Beállítások'!$E$37*(10-AG7))</f>
        <v/>
      </c>
      <c r="DX7">
        <f>IF($A7="","",'Beállítások'!$E$38*(10-AH7))</f>
        <v/>
      </c>
      <c r="DY7">
        <f>IF($A7="","",AM7-ROW()/100000)</f>
        <v/>
      </c>
    </row>
    <row r="8">
      <c r="A8">
        <f>IF('Ügyfelek'!A8="","",'Ügyfelek'!A8)</f>
        <v/>
      </c>
      <c r="B8">
        <f>IF($A8="","",IF('Ügyfelek'!B8="",'Beállítások'!$B$84,IFERROR(VLOOKUP(TRIM('Ügyfelek'!B8),'Beállítások'!$A$51:$B$59,2,FALSE),'Beállítások'!$B$84)))</f>
        <v/>
      </c>
      <c r="C8">
        <f>IF($A8="","",IF('Ügyfelek'!C8="",'Beállítások'!$B$84,MIN(10,MAX(1,ROUND('Ügyfelek'!C8,0)))))</f>
        <v/>
      </c>
      <c r="D8">
        <f>IF($A8="","",IF('Ügyfelek'!D8="",'Beállítások'!$B$84,MIN(10,MAX(1,ROUND('Ügyfelek'!D8,0)))))</f>
        <v/>
      </c>
      <c r="E8">
        <f>IF($A8="","",IF('Ügyfelek'!E8="",'Beállítások'!$B$84,MIN(10,MAX(1,ROUND('Ügyfelek'!E8,0)))))</f>
        <v/>
      </c>
      <c r="F8">
        <f>IF($A8="","",IF('Ügyfelek'!F8="",'Beállítások'!$B$84,MIN(10,MAX(1,ROUND('Ügyfelek'!F8,0)))))</f>
        <v/>
      </c>
      <c r="G8">
        <f>IF($A8="","",IF('Ügyfelek'!G8="",'Beállítások'!$B$84,MIN(10,MAX(1,ROUND('Ügyfelek'!G8,0)))))</f>
        <v/>
      </c>
      <c r="H8">
        <f>IF($A8="","",IF('Ügyfelek'!H8="",'Beállítások'!$B$84,MIN(10,MAX(1,ROUND('Ügyfelek'!H8,0)))))</f>
        <v/>
      </c>
      <c r="I8">
        <f>IF($A8="","",IF('Ügyfelek'!I8="",'Beállítások'!$B$84,MIN(10,MAX(1,ROUND('Ügyfelek'!I8,0)))))</f>
        <v/>
      </c>
      <c r="J8">
        <f>IF($A8="","",IF('Ügyfelek'!J8="",'Beállítások'!$B$84,MIN(10,MAX(1,ROUND('Ügyfelek'!J8,0)))))</f>
        <v/>
      </c>
      <c r="K8">
        <f>IF($A8="","",IF('Ügyfelek'!K8="",'Beállítások'!$B$84,MIN(10,MAX(1,ROUND('Ügyfelek'!K8,0)))))</f>
        <v/>
      </c>
      <c r="L8">
        <f>IF($A8="","",IF('Ügyfelek'!L8="",'Beállítások'!$B$84,MIN(10,MAX(1,ROUND('Ügyfelek'!L8,0)))))</f>
        <v/>
      </c>
      <c r="M8">
        <f>IF($A8="","",IF('Ügyfelek'!M8="",'Beállítások'!$B$84,MIN(10,MAX(1,ROUND('Ügyfelek'!M8,0)))))</f>
        <v/>
      </c>
      <c r="N8">
        <f>IF($A8="","",IF('Ügyfelek'!N8="",'Beállítások'!$B$84,MIN(10,MAX(1,ROUND('Ügyfelek'!N8,0)))))</f>
        <v/>
      </c>
      <c r="O8">
        <f>IF($A8="","",IF('Ügyfelek'!O8="",'Beállítások'!$B$84,MIN(10,MAX(1,ROUND('Ügyfelek'!O8,0)))))</f>
        <v/>
      </c>
      <c r="P8">
        <f>IF($A8="","",IF('Ügyfelek'!P8="",'Beállítások'!$B$84,MIN(10,MAX(1,ROUND('Ügyfelek'!P8,0)))))</f>
        <v/>
      </c>
      <c r="Q8">
        <f>IF($A8="","",IF('Ügyfelek'!Q8="",'Beállítások'!$B$84,MIN(10,MAX(1,ROUND('Ügyfelek'!Q8,0)))))</f>
        <v/>
      </c>
      <c r="R8">
        <f>IF($A8="","",IF('Ügyfelek'!R8="",'Beállítások'!$B$84,MIN(10,MAX(1,ROUND('Ügyfelek'!R8,0)))))</f>
        <v/>
      </c>
      <c r="S8">
        <f>IF($A8="","",IF('Ügyfelek'!S8="",'Beállítások'!$B$84,MIN(10,MAX(1,ROUND('Ügyfelek'!S8,0)))))</f>
        <v/>
      </c>
      <c r="T8">
        <f>IF($A8="","",IF('Ügyfelek'!T8="",'Beállítások'!$B$84,VLOOKUP(MAX('Ügyfelek'!T8,'Beállítások'!$H$7),'Beállítások'!$H$7:$I$12,2,TRUE)))</f>
        <v/>
      </c>
      <c r="U8">
        <f>IF($A8="","",IF('Ügyfelek'!U8="",'Beállítások'!$B$84,VLOOKUP(MAX('Ügyfelek'!U8,'Beállítások'!$K$7),'Beállítások'!$K$7:$L$12,2,TRUE)))</f>
        <v/>
      </c>
      <c r="V8">
        <f>IF($A8="","",IF('Ügyfelek'!V8="",'Beállítások'!$B$84,MIN(10,MAX(1,ROUND('Ügyfelek'!V8,0)))))</f>
        <v/>
      </c>
      <c r="W8">
        <f>IF($A8="","",IF('Ügyfelek'!W8="",'Beállítások'!$B$84,VLOOKUP(MAX('Ügyfelek'!W8,'Beállítások'!$N$7),'Beállítások'!$N$7:$O$12,2,TRUE)))</f>
        <v/>
      </c>
      <c r="X8">
        <f>IF($A8="","",IF('Ügyfelek'!X8="",'Beállítások'!$B$84,MIN(10,MAX(1,ROUND('Ügyfelek'!X8,0)))))</f>
        <v/>
      </c>
      <c r="Y8">
        <f>IF($A8="","",IF('Ügyfelek'!Y8="",'Beállítások'!$B$84,IFERROR(VLOOKUP(TRIM('Ügyfelek'!Y8),'Beállítások'!$A$63:$B$69,2,FALSE),'Beállítások'!$B$84)))</f>
        <v/>
      </c>
      <c r="Z8">
        <f>IF($A8="","",IF('Ügyfelek'!Z8="",'Beállítások'!$B$84,VLOOKUP(MAX('Ügyfelek'!Z8,'Beállítások'!$Q$7),'Beállítások'!$Q$7:$R$12,2,TRUE)))</f>
        <v/>
      </c>
      <c r="AA8">
        <f>IF($A8="","",IF('Ügyfelek'!AA8="",'Beállítások'!$B$84,VLOOKUP(MAX('Ügyfelek'!AA8,'Beállítások'!$T$7),'Beállítások'!$T$7:$U$12,2,TRUE)))</f>
        <v/>
      </c>
      <c r="AB8">
        <f>IF($A8="","",IF('Ügyfelek'!AB8="",'Beállítások'!$B$84,MIN(10,MAX(1,ROUND('Ügyfelek'!AB8,0)))))</f>
        <v/>
      </c>
      <c r="AC8">
        <f>IF($A8="","",IF('Ügyfelek'!AC8="",'Beállítások'!$B$84,MIN(10,MAX(1,ROUND('Ügyfelek'!AC8,0)))))</f>
        <v/>
      </c>
      <c r="AD8">
        <f>IF($A8="","",IF('Ügyfelek'!AD8="",'Beállítások'!$B$84,MIN(10,MAX(1,ROUND('Ügyfelek'!AD8,0)))))</f>
        <v/>
      </c>
      <c r="AE8">
        <f>IF($A8="","",IF('Ügyfelek'!AE8="",'Beállítások'!$B$84,MIN(10,MAX(1,ROUND('Ügyfelek'!AE8,0)))))</f>
        <v/>
      </c>
      <c r="AF8">
        <f>IF($A8="","",IF('Ügyfelek'!AF8="",'Beállítások'!$B$84,MIN(10,MAX(1,ROUND('Ügyfelek'!AF8,0)))))</f>
        <v/>
      </c>
      <c r="AG8">
        <f>IF($A8="","",IF('Ügyfelek'!AG8="",'Beállítások'!$B$84,MIN(10,MAX(1,ROUND('Ügyfelek'!AG8,0)))))</f>
        <v/>
      </c>
      <c r="AH8">
        <f>IF($A8="","",IF('Ügyfelek'!AH8="",'Beállítások'!$B$84,IFERROR(VLOOKUP(TRIM('Ügyfelek'!AH8),'Beállítások'!$A$73:$B$79,2,FALSE),'Beállítások'!$B$84)))</f>
        <v/>
      </c>
      <c r="AI8" s="23">
        <f>IF($A8="","",ROUND(100*('Beállítások'!$E$6*(B8-1)+'Beállítások'!$E$7*(C8-1))/(9*'Beállítások'!$B$43),1))</f>
        <v/>
      </c>
      <c r="AJ8" s="23">
        <f>IF($A8="","",ROUND(100*('Beállítások'!$E$8*(D8-1)+'Beállítások'!$E$9*(E8-1)+'Beállítások'!$E$10*(F8-1)+'Beállítások'!$E$11*(G8-1)+'Beállítások'!$E$12*(H8-1)+'Beállítások'!$E$13*(I8-1)+'Beállítások'!$E$14*(J8-1)+'Beállítások'!$E$15*(K8-1)+'Beállítások'!$E$16*(L8-1)+'Beállítások'!$E$17*(M8-1)+'Beállítások'!$E$18*(N8-1)+'Beállítások'!$E$19*(O8-1)+'Beállítások'!$E$20*(P8-1)+'Beállítások'!$E$21*(Q8-1)+'Beállítások'!$E$22*(R8-1))/(9*'Beállítások'!$B$44),1))</f>
        <v/>
      </c>
      <c r="AK8" s="23">
        <f>IF($A8="","",ROUND(100*('Beállítások'!$E$23*(S8-1)+'Beállítások'!$E$24*(T8-1)+'Beállítások'!$E$25*(U8-1)+'Beállítások'!$E$26*(V8-1)+'Beállítások'!$E$27*(W8-1)+'Beállítások'!$E$28*(X8-1)+'Beállítások'!$E$29*(Y8-1))/(9*'Beállítások'!$B$45),1))</f>
        <v/>
      </c>
      <c r="AL8" s="23">
        <f>IF($A8="","",ROUND(100*('Beállítások'!$E$30*(Z8-1)+'Beállítások'!$E$31*(AA8-1)+'Beállítások'!$E$32*(AB8-1)+'Beállítások'!$E$33*(AC8-1)+'Beállítások'!$E$34*(AD8-1)+'Beállítások'!$E$35*(AE8-1)+'Beállítások'!$E$36*(AF8-1)+'Beállítások'!$E$37*(AG8-1)+'Beállítások'!$E$38*(AH8-1))/(9*'Beállítások'!$B$46),1))</f>
        <v/>
      </c>
      <c r="AM8" s="23">
        <f>IF($A8="","",ROUND(100*('Beállítások'!$E$6*(B8-1)+'Beállítások'!$E$7*(C8-1)+'Beállítások'!$E$8*(D8-1)+'Beállítások'!$E$9*(E8-1)+'Beállítások'!$E$10*(F8-1)+'Beállítások'!$E$11*(G8-1)+'Beállítások'!$E$12*(H8-1)+'Beállítások'!$E$13*(I8-1)+'Beállítások'!$E$14*(J8-1)+'Beállítások'!$E$15*(K8-1)+'Beállítások'!$E$16*(L8-1)+'Beállítások'!$E$17*(M8-1)+'Beállítások'!$E$18*(N8-1)+'Beállítások'!$E$19*(O8-1)+'Beállítások'!$E$20*(P8-1)+'Beállítások'!$E$21*(Q8-1)+'Beállítások'!$E$22*(R8-1)+'Beállítások'!$E$23*(S8-1)+'Beállítások'!$E$24*(T8-1)+'Beállítások'!$E$25*(U8-1)+'Beállítások'!$E$26*(V8-1)+'Beállítások'!$E$27*(W8-1)+'Beállítások'!$E$28*(X8-1)+'Beállítások'!$E$29*(Y8-1)+'Beállítások'!$E$30*(Z8-1)+'Beállítások'!$E$31*(AA8-1)+'Beállítások'!$E$32*(AB8-1)+'Beállítások'!$E$33*(AC8-1)+'Beállítások'!$E$34*(AD8-1)+'Beállítások'!$E$35*(AE8-1)+'Beállítások'!$E$36*(AF8-1)+'Beállítások'!$E$37*(AG8-1)+'Beállítások'!$E$38*(AH8-1))/(9*'Beállítások'!$E$39),1))</f>
        <v/>
      </c>
      <c r="AN8" s="23">
        <f>IF($A8="","",ROUND(100*('Beállítások'!$E$8*(D8-1)+'Beállítások'!$E$9*(E8-1)+'Beállítások'!$E$10*(F8-1)+'Beállítások'!$E$11*(G8-1)+'Beállítások'!$E$12*(H8-1)+'Beállítások'!$E$13*(I8-1)+'Beállítások'!$E$14*(J8-1)+'Beállítások'!$E$15*(K8-1)+'Beállítások'!$E$16*(L8-1)+'Beállítások'!$E$17*(M8-1)+'Beállítások'!$E$18*(N8-1)+'Beállítások'!$E$19*(O8-1)+'Beállítások'!$E$20*(P8-1)+'Beállítások'!$E$21*(Q8-1)+'Beállítások'!$E$22*(R8-1)+'Beállítások'!$E$23*(S8-1)+'Beállítások'!$E$24*(T8-1)+'Beállítások'!$E$25*(U8-1)+'Beállítások'!$E$26*(V8-1)+'Beállítások'!$E$27*(W8-1)+'Beállítások'!$E$28*(X8-1)+'Beállítások'!$E$29*(Y8-1))/(9*('Beállítások'!$B$44+'Beállítások'!$B$45)),1))</f>
        <v/>
      </c>
      <c r="AO8" s="24">
        <f>IF($A8="","",RANK(AM8,$AM$2:$AM$201))</f>
        <v/>
      </c>
      <c r="AP8">
        <f>IF($A8="","",IF(OR(AND('Ügyfelek'!B8&lt;&gt;"",B8&lt;='Beállítások'!$B$85),AND('Ügyfelek'!C8&lt;&gt;"",C8&lt;='Beállítások'!$B$86)),"Igen","Nem"))</f>
        <v/>
      </c>
      <c r="AQ8" s="24">
        <f>IF($A8="","",IF(AP8="Igen",5,IF(AN8&gt;='Beállítások'!$C$108,1,IF(AN8&gt;='Beállítások'!$C$109,2,IF(AN8&gt;='Beállítások'!$C$110,3,IF(AND(AN8&gt;='Beállítások'!$B$87,AI8&gt;='Beállítások'!$B$88,AL8&gt;='Beállítások'!$B$89),4,5))))))</f>
        <v/>
      </c>
      <c r="AR8">
        <f>IF($A8="","",INDEX('Beállítások'!$B$108:$B$112,AQ8))</f>
        <v/>
      </c>
      <c r="AS8">
        <f>IF($A8="","",IF(AQ8=5,"Elutasítjuk",IF(AND(AQ8=4,COUNTIFS('Eredmény'!$AQ$2:$AQ$201,4,'Eredmény'!$DY$2:$DY$201,"&gt;"&amp;DY8)&gt;='Beállítások'!$B$90),"Várólista (a 4-es hely foglalt)","Elfogadjuk")))</f>
        <v/>
      </c>
      <c r="AT8">
        <f>IF($A8="","",INDEX('Beállítások'!$F$108:$F$112,AQ8))</f>
        <v/>
      </c>
      <c r="AU8">
        <f>IF($A8="","",INDEX('Beállítások'!$B$6:$B$38,MATCH(MAX(BK8:CQ8),BK8:CQ8,0)))</f>
        <v/>
      </c>
      <c r="AV8">
        <f>IF($A8="","",IF(MAX(CR8:DX8)=0,"—",INDEX('Beállítások'!$B$6:$B$38,MATCH(MAX(CR8:DX8),CR8:DX8,0))))</f>
        <v/>
      </c>
      <c r="AW8" s="10">
        <f>IF($A8="","",'Beállítások'!$B$94*(TRIM('Ügyfelek'!AI8)="igen")+'Beállítások'!$B$95*(TRIM('Ügyfelek'!AJ8)="igen")+'Beállítások'!$B$96*N('Ügyfelek'!AK8)+'Beállítások'!$B$93*N('Ügyfelek'!AL8))</f>
        <v/>
      </c>
      <c r="AX8" s="25">
        <f>IF(OR($A8="",AQ8=5),"",INDEX('Beállítások'!$D$108:$D$112,AQ8))</f>
        <v/>
      </c>
      <c r="AY8" s="10">
        <f>IF($A8="","",N('Ügyfelek'!U8)*'Beállítások'!$B$98)</f>
        <v/>
      </c>
      <c r="AZ8" s="10">
        <f>IF(OR($A8="",AQ8=5),"",CEILING(ROUND(MAX('Beállítások'!$B$97,AW8*AX8,AY8),2),'Beállítások'!$B$99))</f>
        <v/>
      </c>
      <c r="BA8">
        <f>IF($A8="","",IF(AQ8=5,"Elutasítva",IF(MAX('Beállítások'!$B$97,AW8*AX8,AY8)=AW8*AX8,"Munkaigény × státuszszorzó",IF(MAX('Beállítások'!$B$97,AW8*AX8,AY8)=AY8,"Hirdetési keret arányában","Minimumdíj"))))</f>
        <v/>
      </c>
      <c r="BB8" s="10">
        <f>IF(OR($A8="",'Ügyfelek'!AM8=""),"",'Ügyfelek'!AM8)</f>
        <v/>
      </c>
      <c r="BC8" s="10">
        <f>IF(OR(BB8="",AZ8=""),"",AZ8-BB8)</f>
        <v/>
      </c>
      <c r="BD8" s="18">
        <f>IF(OR(BB8="",AZ8="",BB8=0),"",BC8/BB8)</f>
        <v/>
      </c>
      <c r="BE8">
        <f>IF(OR($A8="",AQ8=5),"",IF(AND(INDEX('Beállítások'!$E$108:$E$112,AQ8)&gt;0,Y8&gt;='Beállítások'!$B$91),"Igen","Nem"))</f>
        <v/>
      </c>
      <c r="BF8" s="10">
        <f>IF(BE8="Igen",CEILING(ROUND(AZ8*(1-'Beállítások'!$B$92),2),'Beállítások'!$B$99),"")</f>
        <v/>
      </c>
      <c r="BG8" s="20">
        <f>IF(BE8="Igen",INDEX('Beállítások'!$E$108:$E$112,AQ8),"")</f>
        <v/>
      </c>
      <c r="BH8" s="10">
        <f>IF(OR(BE8&lt;&gt;"Igen",'Ügyfelek'!AN8=""),"",'Ügyfelek'!AN8*BG8)</f>
        <v/>
      </c>
      <c r="BI8" s="24">
        <f>IF($A8="","",('Ügyfelek'!B8="")+('Ügyfelek'!C8="")+('Ügyfelek'!D8="")+('Ügyfelek'!E8="")+('Ügyfelek'!F8="")+('Ügyfelek'!G8="")+('Ügyfelek'!H8="")+('Ügyfelek'!I8="")+('Ügyfelek'!J8="")+('Ügyfelek'!K8="")+('Ügyfelek'!L8="")+('Ügyfelek'!M8="")+('Ügyfelek'!N8="")+('Ügyfelek'!O8="")+('Ügyfelek'!P8="")+('Ügyfelek'!Q8="")+('Ügyfelek'!R8="")+('Ügyfelek'!S8="")+('Ügyfelek'!T8="")+('Ügyfelek'!U8="")+('Ügyfelek'!V8="")+('Ügyfelek'!W8="")+('Ügyfelek'!X8="")+('Ügyfelek'!Y8="")+('Ügyfelek'!Z8="")+('Ügyfelek'!AA8="")+('Ügyfelek'!AB8="")+('Ügyfelek'!AC8="")+('Ügyfelek'!AD8="")+('Ügyfelek'!AE8="")+('Ügyfelek'!AF8="")+('Ügyfelek'!AG8="")+('Ügyfelek'!AH8=""))</f>
        <v/>
      </c>
      <c r="BK8">
        <f>IF($A8="","",B8+'Beállítások'!$E$6/1000)</f>
        <v/>
      </c>
      <c r="BL8">
        <f>IF($A8="","",C8+'Beállítások'!$E$7/1000)</f>
        <v/>
      </c>
      <c r="BM8">
        <f>IF($A8="","",D8+'Beállítások'!$E$8/1000)</f>
        <v/>
      </c>
      <c r="BN8">
        <f>IF($A8="","",E8+'Beállítások'!$E$9/1000)</f>
        <v/>
      </c>
      <c r="BO8">
        <f>IF($A8="","",F8+'Beállítások'!$E$10/1000)</f>
        <v/>
      </c>
      <c r="BP8">
        <f>IF($A8="","",G8+'Beállítások'!$E$11/1000)</f>
        <v/>
      </c>
      <c r="BQ8">
        <f>IF($A8="","",H8+'Beállítások'!$E$12/1000)</f>
        <v/>
      </c>
      <c r="BR8">
        <f>IF($A8="","",I8+'Beállítások'!$E$13/1000)</f>
        <v/>
      </c>
      <c r="BS8">
        <f>IF($A8="","",J8+'Beállítások'!$E$14/1000)</f>
        <v/>
      </c>
      <c r="BT8">
        <f>IF($A8="","",K8+'Beállítások'!$E$15/1000)</f>
        <v/>
      </c>
      <c r="BU8">
        <f>IF($A8="","",L8+'Beállítások'!$E$16/1000)</f>
        <v/>
      </c>
      <c r="BV8">
        <f>IF($A8="","",M8+'Beállítások'!$E$17/1000)</f>
        <v/>
      </c>
      <c r="BW8">
        <f>IF($A8="","",N8+'Beállítások'!$E$18/1000)</f>
        <v/>
      </c>
      <c r="BX8">
        <f>IF($A8="","",O8+'Beállítások'!$E$19/1000)</f>
        <v/>
      </c>
      <c r="BY8">
        <f>IF($A8="","",P8+'Beállítások'!$E$20/1000)</f>
        <v/>
      </c>
      <c r="BZ8">
        <f>IF($A8="","",Q8+'Beállítások'!$E$21/1000)</f>
        <v/>
      </c>
      <c r="CA8">
        <f>IF($A8="","",R8+'Beállítások'!$E$22/1000)</f>
        <v/>
      </c>
      <c r="CB8">
        <f>IF($A8="","",S8+'Beállítások'!$E$23/1000)</f>
        <v/>
      </c>
      <c r="CC8">
        <f>IF($A8="","",T8+'Beállítások'!$E$24/1000)</f>
        <v/>
      </c>
      <c r="CD8">
        <f>IF($A8="","",U8+'Beállítások'!$E$25/1000)</f>
        <v/>
      </c>
      <c r="CE8">
        <f>IF($A8="","",V8+'Beállítások'!$E$26/1000)</f>
        <v/>
      </c>
      <c r="CF8">
        <f>IF($A8="","",W8+'Beállítások'!$E$27/1000)</f>
        <v/>
      </c>
      <c r="CG8">
        <f>IF($A8="","",X8+'Beállítások'!$E$28/1000)</f>
        <v/>
      </c>
      <c r="CH8">
        <f>IF($A8="","",Y8+'Beállítások'!$E$29/1000)</f>
        <v/>
      </c>
      <c r="CI8">
        <f>IF($A8="","",Z8+'Beállítások'!$E$30/1000)</f>
        <v/>
      </c>
      <c r="CJ8">
        <f>IF($A8="","",AA8+'Beállítások'!$E$31/1000)</f>
        <v/>
      </c>
      <c r="CK8">
        <f>IF($A8="","",AB8+'Beállítások'!$E$32/1000)</f>
        <v/>
      </c>
      <c r="CL8">
        <f>IF($A8="","",AC8+'Beállítások'!$E$33/1000)</f>
        <v/>
      </c>
      <c r="CM8">
        <f>IF($A8="","",AD8+'Beállítások'!$E$34/1000)</f>
        <v/>
      </c>
      <c r="CN8">
        <f>IF($A8="","",AE8+'Beállítások'!$E$35/1000)</f>
        <v/>
      </c>
      <c r="CO8">
        <f>IF($A8="","",AF8+'Beállítások'!$E$36/1000)</f>
        <v/>
      </c>
      <c r="CP8">
        <f>IF($A8="","",AG8+'Beállítások'!$E$37/1000)</f>
        <v/>
      </c>
      <c r="CQ8">
        <f>IF($A8="","",AH8+'Beállítások'!$E$38/1000)</f>
        <v/>
      </c>
      <c r="CR8">
        <f>IF($A8="","",'Beállítások'!$E$6*(10-B8))</f>
        <v/>
      </c>
      <c r="CS8">
        <f>IF($A8="","",'Beállítások'!$E$7*(10-C8))</f>
        <v/>
      </c>
      <c r="CT8">
        <f>IF($A8="","",'Beállítások'!$E$8*(10-D8))</f>
        <v/>
      </c>
      <c r="CU8">
        <f>IF($A8="","",'Beállítások'!$E$9*(10-E8))</f>
        <v/>
      </c>
      <c r="CV8">
        <f>IF($A8="","",'Beállítások'!$E$10*(10-F8))</f>
        <v/>
      </c>
      <c r="CW8">
        <f>IF($A8="","",'Beállítások'!$E$11*(10-G8))</f>
        <v/>
      </c>
      <c r="CX8">
        <f>IF($A8="","",'Beállítások'!$E$12*(10-H8))</f>
        <v/>
      </c>
      <c r="CY8">
        <f>IF($A8="","",'Beállítások'!$E$13*(10-I8))</f>
        <v/>
      </c>
      <c r="CZ8">
        <f>IF($A8="","",'Beállítások'!$E$14*(10-J8))</f>
        <v/>
      </c>
      <c r="DA8">
        <f>IF($A8="","",'Beállítások'!$E$15*(10-K8))</f>
        <v/>
      </c>
      <c r="DB8">
        <f>IF($A8="","",'Beállítások'!$E$16*(10-L8))</f>
        <v/>
      </c>
      <c r="DC8">
        <f>IF($A8="","",'Beállítások'!$E$17*(10-M8))</f>
        <v/>
      </c>
      <c r="DD8">
        <f>IF($A8="","",'Beállítások'!$E$18*(10-N8))</f>
        <v/>
      </c>
      <c r="DE8">
        <f>IF($A8="","",'Beállítások'!$E$19*(10-O8))</f>
        <v/>
      </c>
      <c r="DF8">
        <f>IF($A8="","",'Beállítások'!$E$20*(10-P8))</f>
        <v/>
      </c>
      <c r="DG8">
        <f>IF($A8="","",'Beállítások'!$E$21*(10-Q8))</f>
        <v/>
      </c>
      <c r="DH8">
        <f>IF($A8="","",'Beállítások'!$E$22*(10-R8))</f>
        <v/>
      </c>
      <c r="DI8">
        <f>IF($A8="","",'Beállítások'!$E$23*(10-S8))</f>
        <v/>
      </c>
      <c r="DJ8">
        <f>IF($A8="","",'Beállítások'!$E$24*(10-T8))</f>
        <v/>
      </c>
      <c r="DK8">
        <f>IF($A8="","",'Beállítások'!$E$25*(10-U8))</f>
        <v/>
      </c>
      <c r="DL8">
        <f>IF($A8="","",'Beállítások'!$E$26*(10-V8))</f>
        <v/>
      </c>
      <c r="DM8">
        <f>IF($A8="","",'Beállítások'!$E$27*(10-W8))</f>
        <v/>
      </c>
      <c r="DN8">
        <f>IF($A8="","",'Beállítások'!$E$28*(10-X8))</f>
        <v/>
      </c>
      <c r="DO8">
        <f>IF($A8="","",'Beállítások'!$E$29*(10-Y8))</f>
        <v/>
      </c>
      <c r="DP8">
        <f>IF($A8="","",'Beállítások'!$E$30*(10-Z8))</f>
        <v/>
      </c>
      <c r="DQ8">
        <f>IF($A8="","",'Beállítások'!$E$31*(10-AA8))</f>
        <v/>
      </c>
      <c r="DR8">
        <f>IF($A8="","",'Beállítások'!$E$32*(10-AB8))</f>
        <v/>
      </c>
      <c r="DS8">
        <f>IF($A8="","",'Beállítások'!$E$33*(10-AC8))</f>
        <v/>
      </c>
      <c r="DT8">
        <f>IF($A8="","",'Beállítások'!$E$34*(10-AD8))</f>
        <v/>
      </c>
      <c r="DU8">
        <f>IF($A8="","",'Beállítások'!$E$35*(10-AE8))</f>
        <v/>
      </c>
      <c r="DV8">
        <f>IF($A8="","",'Beállítások'!$E$36*(10-AF8))</f>
        <v/>
      </c>
      <c r="DW8">
        <f>IF($A8="","",'Beállítások'!$E$37*(10-AG8))</f>
        <v/>
      </c>
      <c r="DX8">
        <f>IF($A8="","",'Beállítások'!$E$38*(10-AH8))</f>
        <v/>
      </c>
      <c r="DY8">
        <f>IF($A8="","",AM8-ROW()/100000)</f>
        <v/>
      </c>
    </row>
    <row r="9">
      <c r="A9">
        <f>IF('Ügyfelek'!A9="","",'Ügyfelek'!A9)</f>
        <v/>
      </c>
      <c r="B9">
        <f>IF($A9="","",IF('Ügyfelek'!B9="",'Beállítások'!$B$84,IFERROR(VLOOKUP(TRIM('Ügyfelek'!B9),'Beállítások'!$A$51:$B$59,2,FALSE),'Beállítások'!$B$84)))</f>
        <v/>
      </c>
      <c r="C9">
        <f>IF($A9="","",IF('Ügyfelek'!C9="",'Beállítások'!$B$84,MIN(10,MAX(1,ROUND('Ügyfelek'!C9,0)))))</f>
        <v/>
      </c>
      <c r="D9">
        <f>IF($A9="","",IF('Ügyfelek'!D9="",'Beállítások'!$B$84,MIN(10,MAX(1,ROUND('Ügyfelek'!D9,0)))))</f>
        <v/>
      </c>
      <c r="E9">
        <f>IF($A9="","",IF('Ügyfelek'!E9="",'Beállítások'!$B$84,MIN(10,MAX(1,ROUND('Ügyfelek'!E9,0)))))</f>
        <v/>
      </c>
      <c r="F9">
        <f>IF($A9="","",IF('Ügyfelek'!F9="",'Beállítások'!$B$84,MIN(10,MAX(1,ROUND('Ügyfelek'!F9,0)))))</f>
        <v/>
      </c>
      <c r="G9">
        <f>IF($A9="","",IF('Ügyfelek'!G9="",'Beállítások'!$B$84,MIN(10,MAX(1,ROUND('Ügyfelek'!G9,0)))))</f>
        <v/>
      </c>
      <c r="H9">
        <f>IF($A9="","",IF('Ügyfelek'!H9="",'Beállítások'!$B$84,MIN(10,MAX(1,ROUND('Ügyfelek'!H9,0)))))</f>
        <v/>
      </c>
      <c r="I9">
        <f>IF($A9="","",IF('Ügyfelek'!I9="",'Beállítások'!$B$84,MIN(10,MAX(1,ROUND('Ügyfelek'!I9,0)))))</f>
        <v/>
      </c>
      <c r="J9">
        <f>IF($A9="","",IF('Ügyfelek'!J9="",'Beállítások'!$B$84,MIN(10,MAX(1,ROUND('Ügyfelek'!J9,0)))))</f>
        <v/>
      </c>
      <c r="K9">
        <f>IF($A9="","",IF('Ügyfelek'!K9="",'Beállítások'!$B$84,MIN(10,MAX(1,ROUND('Ügyfelek'!K9,0)))))</f>
        <v/>
      </c>
      <c r="L9">
        <f>IF($A9="","",IF('Ügyfelek'!L9="",'Beállítások'!$B$84,MIN(10,MAX(1,ROUND('Ügyfelek'!L9,0)))))</f>
        <v/>
      </c>
      <c r="M9">
        <f>IF($A9="","",IF('Ügyfelek'!M9="",'Beállítások'!$B$84,MIN(10,MAX(1,ROUND('Ügyfelek'!M9,0)))))</f>
        <v/>
      </c>
      <c r="N9">
        <f>IF($A9="","",IF('Ügyfelek'!N9="",'Beállítások'!$B$84,MIN(10,MAX(1,ROUND('Ügyfelek'!N9,0)))))</f>
        <v/>
      </c>
      <c r="O9">
        <f>IF($A9="","",IF('Ügyfelek'!O9="",'Beállítások'!$B$84,MIN(10,MAX(1,ROUND('Ügyfelek'!O9,0)))))</f>
        <v/>
      </c>
      <c r="P9">
        <f>IF($A9="","",IF('Ügyfelek'!P9="",'Beállítások'!$B$84,MIN(10,MAX(1,ROUND('Ügyfelek'!P9,0)))))</f>
        <v/>
      </c>
      <c r="Q9">
        <f>IF($A9="","",IF('Ügyfelek'!Q9="",'Beállítások'!$B$84,MIN(10,MAX(1,ROUND('Ügyfelek'!Q9,0)))))</f>
        <v/>
      </c>
      <c r="R9">
        <f>IF($A9="","",IF('Ügyfelek'!R9="",'Beállítások'!$B$84,MIN(10,MAX(1,ROUND('Ügyfelek'!R9,0)))))</f>
        <v/>
      </c>
      <c r="S9">
        <f>IF($A9="","",IF('Ügyfelek'!S9="",'Beállítások'!$B$84,MIN(10,MAX(1,ROUND('Ügyfelek'!S9,0)))))</f>
        <v/>
      </c>
      <c r="T9">
        <f>IF($A9="","",IF('Ügyfelek'!T9="",'Beállítások'!$B$84,VLOOKUP(MAX('Ügyfelek'!T9,'Beállítások'!$H$7),'Beállítások'!$H$7:$I$12,2,TRUE)))</f>
        <v/>
      </c>
      <c r="U9">
        <f>IF($A9="","",IF('Ügyfelek'!U9="",'Beállítások'!$B$84,VLOOKUP(MAX('Ügyfelek'!U9,'Beállítások'!$K$7),'Beállítások'!$K$7:$L$12,2,TRUE)))</f>
        <v/>
      </c>
      <c r="V9">
        <f>IF($A9="","",IF('Ügyfelek'!V9="",'Beállítások'!$B$84,MIN(10,MAX(1,ROUND('Ügyfelek'!V9,0)))))</f>
        <v/>
      </c>
      <c r="W9">
        <f>IF($A9="","",IF('Ügyfelek'!W9="",'Beállítások'!$B$84,VLOOKUP(MAX('Ügyfelek'!W9,'Beállítások'!$N$7),'Beállítások'!$N$7:$O$12,2,TRUE)))</f>
        <v/>
      </c>
      <c r="X9">
        <f>IF($A9="","",IF('Ügyfelek'!X9="",'Beállítások'!$B$84,MIN(10,MAX(1,ROUND('Ügyfelek'!X9,0)))))</f>
        <v/>
      </c>
      <c r="Y9">
        <f>IF($A9="","",IF('Ügyfelek'!Y9="",'Beállítások'!$B$84,IFERROR(VLOOKUP(TRIM('Ügyfelek'!Y9),'Beállítások'!$A$63:$B$69,2,FALSE),'Beállítások'!$B$84)))</f>
        <v/>
      </c>
      <c r="Z9">
        <f>IF($A9="","",IF('Ügyfelek'!Z9="",'Beállítások'!$B$84,VLOOKUP(MAX('Ügyfelek'!Z9,'Beállítások'!$Q$7),'Beállítások'!$Q$7:$R$12,2,TRUE)))</f>
        <v/>
      </c>
      <c r="AA9">
        <f>IF($A9="","",IF('Ügyfelek'!AA9="",'Beállítások'!$B$84,VLOOKUP(MAX('Ügyfelek'!AA9,'Beállítások'!$T$7),'Beállítások'!$T$7:$U$12,2,TRUE)))</f>
        <v/>
      </c>
      <c r="AB9">
        <f>IF($A9="","",IF('Ügyfelek'!AB9="",'Beállítások'!$B$84,MIN(10,MAX(1,ROUND('Ügyfelek'!AB9,0)))))</f>
        <v/>
      </c>
      <c r="AC9">
        <f>IF($A9="","",IF('Ügyfelek'!AC9="",'Beállítások'!$B$84,MIN(10,MAX(1,ROUND('Ügyfelek'!AC9,0)))))</f>
        <v/>
      </c>
      <c r="AD9">
        <f>IF($A9="","",IF('Ügyfelek'!AD9="",'Beállítások'!$B$84,MIN(10,MAX(1,ROUND('Ügyfelek'!AD9,0)))))</f>
        <v/>
      </c>
      <c r="AE9">
        <f>IF($A9="","",IF('Ügyfelek'!AE9="",'Beállítások'!$B$84,MIN(10,MAX(1,ROUND('Ügyfelek'!AE9,0)))))</f>
        <v/>
      </c>
      <c r="AF9">
        <f>IF($A9="","",IF('Ügyfelek'!AF9="",'Beállítások'!$B$84,MIN(10,MAX(1,ROUND('Ügyfelek'!AF9,0)))))</f>
        <v/>
      </c>
      <c r="AG9">
        <f>IF($A9="","",IF('Ügyfelek'!AG9="",'Beállítások'!$B$84,MIN(10,MAX(1,ROUND('Ügyfelek'!AG9,0)))))</f>
        <v/>
      </c>
      <c r="AH9">
        <f>IF($A9="","",IF('Ügyfelek'!AH9="",'Beállítások'!$B$84,IFERROR(VLOOKUP(TRIM('Ügyfelek'!AH9),'Beállítások'!$A$73:$B$79,2,FALSE),'Beállítások'!$B$84)))</f>
        <v/>
      </c>
      <c r="AI9" s="23">
        <f>IF($A9="","",ROUND(100*('Beállítások'!$E$6*(B9-1)+'Beállítások'!$E$7*(C9-1))/(9*'Beállítások'!$B$43),1))</f>
        <v/>
      </c>
      <c r="AJ9" s="23">
        <f>IF($A9="","",ROUND(100*('Beállítások'!$E$8*(D9-1)+'Beállítások'!$E$9*(E9-1)+'Beállítások'!$E$10*(F9-1)+'Beállítások'!$E$11*(G9-1)+'Beállítások'!$E$12*(H9-1)+'Beállítások'!$E$13*(I9-1)+'Beállítások'!$E$14*(J9-1)+'Beállítások'!$E$15*(K9-1)+'Beállítások'!$E$16*(L9-1)+'Beállítások'!$E$17*(M9-1)+'Beállítások'!$E$18*(N9-1)+'Beállítások'!$E$19*(O9-1)+'Beállítások'!$E$20*(P9-1)+'Beállítások'!$E$21*(Q9-1)+'Beállítások'!$E$22*(R9-1))/(9*'Beállítások'!$B$44),1))</f>
        <v/>
      </c>
      <c r="AK9" s="23">
        <f>IF($A9="","",ROUND(100*('Beállítások'!$E$23*(S9-1)+'Beállítások'!$E$24*(T9-1)+'Beállítások'!$E$25*(U9-1)+'Beállítások'!$E$26*(V9-1)+'Beállítások'!$E$27*(W9-1)+'Beállítások'!$E$28*(X9-1)+'Beállítások'!$E$29*(Y9-1))/(9*'Beállítások'!$B$45),1))</f>
        <v/>
      </c>
      <c r="AL9" s="23">
        <f>IF($A9="","",ROUND(100*('Beállítások'!$E$30*(Z9-1)+'Beállítások'!$E$31*(AA9-1)+'Beállítások'!$E$32*(AB9-1)+'Beállítások'!$E$33*(AC9-1)+'Beállítások'!$E$34*(AD9-1)+'Beállítások'!$E$35*(AE9-1)+'Beállítások'!$E$36*(AF9-1)+'Beállítások'!$E$37*(AG9-1)+'Beállítások'!$E$38*(AH9-1))/(9*'Beállítások'!$B$46),1))</f>
        <v/>
      </c>
      <c r="AM9" s="23">
        <f>IF($A9="","",ROUND(100*('Beállítások'!$E$6*(B9-1)+'Beállítások'!$E$7*(C9-1)+'Beállítások'!$E$8*(D9-1)+'Beállítások'!$E$9*(E9-1)+'Beállítások'!$E$10*(F9-1)+'Beállítások'!$E$11*(G9-1)+'Beállítások'!$E$12*(H9-1)+'Beállítások'!$E$13*(I9-1)+'Beállítások'!$E$14*(J9-1)+'Beállítások'!$E$15*(K9-1)+'Beállítások'!$E$16*(L9-1)+'Beállítások'!$E$17*(M9-1)+'Beállítások'!$E$18*(N9-1)+'Beállítások'!$E$19*(O9-1)+'Beállítások'!$E$20*(P9-1)+'Beállítások'!$E$21*(Q9-1)+'Beállítások'!$E$22*(R9-1)+'Beállítások'!$E$23*(S9-1)+'Beállítások'!$E$24*(T9-1)+'Beállítások'!$E$25*(U9-1)+'Beállítások'!$E$26*(V9-1)+'Beállítások'!$E$27*(W9-1)+'Beállítások'!$E$28*(X9-1)+'Beállítások'!$E$29*(Y9-1)+'Beállítások'!$E$30*(Z9-1)+'Beállítások'!$E$31*(AA9-1)+'Beállítások'!$E$32*(AB9-1)+'Beállítások'!$E$33*(AC9-1)+'Beállítások'!$E$34*(AD9-1)+'Beállítások'!$E$35*(AE9-1)+'Beállítások'!$E$36*(AF9-1)+'Beállítások'!$E$37*(AG9-1)+'Beállítások'!$E$38*(AH9-1))/(9*'Beállítások'!$E$39),1))</f>
        <v/>
      </c>
      <c r="AN9" s="23">
        <f>IF($A9="","",ROUND(100*('Beállítások'!$E$8*(D9-1)+'Beállítások'!$E$9*(E9-1)+'Beállítások'!$E$10*(F9-1)+'Beállítások'!$E$11*(G9-1)+'Beállítások'!$E$12*(H9-1)+'Beállítások'!$E$13*(I9-1)+'Beállítások'!$E$14*(J9-1)+'Beállítások'!$E$15*(K9-1)+'Beállítások'!$E$16*(L9-1)+'Beállítások'!$E$17*(M9-1)+'Beállítások'!$E$18*(N9-1)+'Beállítások'!$E$19*(O9-1)+'Beállítások'!$E$20*(P9-1)+'Beállítások'!$E$21*(Q9-1)+'Beállítások'!$E$22*(R9-1)+'Beállítások'!$E$23*(S9-1)+'Beállítások'!$E$24*(T9-1)+'Beállítások'!$E$25*(U9-1)+'Beállítások'!$E$26*(V9-1)+'Beállítások'!$E$27*(W9-1)+'Beállítások'!$E$28*(X9-1)+'Beállítások'!$E$29*(Y9-1))/(9*('Beállítások'!$B$44+'Beállítások'!$B$45)),1))</f>
        <v/>
      </c>
      <c r="AO9" s="24">
        <f>IF($A9="","",RANK(AM9,$AM$2:$AM$201))</f>
        <v/>
      </c>
      <c r="AP9">
        <f>IF($A9="","",IF(OR(AND('Ügyfelek'!B9&lt;&gt;"",B9&lt;='Beállítások'!$B$85),AND('Ügyfelek'!C9&lt;&gt;"",C9&lt;='Beállítások'!$B$86)),"Igen","Nem"))</f>
        <v/>
      </c>
      <c r="AQ9" s="24">
        <f>IF($A9="","",IF(AP9="Igen",5,IF(AN9&gt;='Beállítások'!$C$108,1,IF(AN9&gt;='Beállítások'!$C$109,2,IF(AN9&gt;='Beállítások'!$C$110,3,IF(AND(AN9&gt;='Beállítások'!$B$87,AI9&gt;='Beállítások'!$B$88,AL9&gt;='Beállítások'!$B$89),4,5))))))</f>
        <v/>
      </c>
      <c r="AR9">
        <f>IF($A9="","",INDEX('Beállítások'!$B$108:$B$112,AQ9))</f>
        <v/>
      </c>
      <c r="AS9">
        <f>IF($A9="","",IF(AQ9=5,"Elutasítjuk",IF(AND(AQ9=4,COUNTIFS('Eredmény'!$AQ$2:$AQ$201,4,'Eredmény'!$DY$2:$DY$201,"&gt;"&amp;DY9)&gt;='Beállítások'!$B$90),"Várólista (a 4-es hely foglalt)","Elfogadjuk")))</f>
        <v/>
      </c>
      <c r="AT9">
        <f>IF($A9="","",INDEX('Beállítások'!$F$108:$F$112,AQ9))</f>
        <v/>
      </c>
      <c r="AU9">
        <f>IF($A9="","",INDEX('Beállítások'!$B$6:$B$38,MATCH(MAX(BK9:CQ9),BK9:CQ9,0)))</f>
        <v/>
      </c>
      <c r="AV9">
        <f>IF($A9="","",IF(MAX(CR9:DX9)=0,"—",INDEX('Beállítások'!$B$6:$B$38,MATCH(MAX(CR9:DX9),CR9:DX9,0))))</f>
        <v/>
      </c>
      <c r="AW9" s="10">
        <f>IF($A9="","",'Beállítások'!$B$94*(TRIM('Ügyfelek'!AI9)="igen")+'Beállítások'!$B$95*(TRIM('Ügyfelek'!AJ9)="igen")+'Beállítások'!$B$96*N('Ügyfelek'!AK9)+'Beállítások'!$B$93*N('Ügyfelek'!AL9))</f>
        <v/>
      </c>
      <c r="AX9" s="25">
        <f>IF(OR($A9="",AQ9=5),"",INDEX('Beállítások'!$D$108:$D$112,AQ9))</f>
        <v/>
      </c>
      <c r="AY9" s="10">
        <f>IF($A9="","",N('Ügyfelek'!U9)*'Beállítások'!$B$98)</f>
        <v/>
      </c>
      <c r="AZ9" s="10">
        <f>IF(OR($A9="",AQ9=5),"",CEILING(ROUND(MAX('Beállítások'!$B$97,AW9*AX9,AY9),2),'Beállítások'!$B$99))</f>
        <v/>
      </c>
      <c r="BA9">
        <f>IF($A9="","",IF(AQ9=5,"Elutasítva",IF(MAX('Beállítások'!$B$97,AW9*AX9,AY9)=AW9*AX9,"Munkaigény × státuszszorzó",IF(MAX('Beállítások'!$B$97,AW9*AX9,AY9)=AY9,"Hirdetési keret arányában","Minimumdíj"))))</f>
        <v/>
      </c>
      <c r="BB9" s="10">
        <f>IF(OR($A9="",'Ügyfelek'!AM9=""),"",'Ügyfelek'!AM9)</f>
        <v/>
      </c>
      <c r="BC9" s="10">
        <f>IF(OR(BB9="",AZ9=""),"",AZ9-BB9)</f>
        <v/>
      </c>
      <c r="BD9" s="18">
        <f>IF(OR(BB9="",AZ9="",BB9=0),"",BC9/BB9)</f>
        <v/>
      </c>
      <c r="BE9">
        <f>IF(OR($A9="",AQ9=5),"",IF(AND(INDEX('Beállítások'!$E$108:$E$112,AQ9)&gt;0,Y9&gt;='Beállítások'!$B$91),"Igen","Nem"))</f>
        <v/>
      </c>
      <c r="BF9" s="10">
        <f>IF(BE9="Igen",CEILING(ROUND(AZ9*(1-'Beállítások'!$B$92),2),'Beállítások'!$B$99),"")</f>
        <v/>
      </c>
      <c r="BG9" s="20">
        <f>IF(BE9="Igen",INDEX('Beállítások'!$E$108:$E$112,AQ9),"")</f>
        <v/>
      </c>
      <c r="BH9" s="10">
        <f>IF(OR(BE9&lt;&gt;"Igen",'Ügyfelek'!AN9=""),"",'Ügyfelek'!AN9*BG9)</f>
        <v/>
      </c>
      <c r="BI9" s="24">
        <f>IF($A9="","",('Ügyfelek'!B9="")+('Ügyfelek'!C9="")+('Ügyfelek'!D9="")+('Ügyfelek'!E9="")+('Ügyfelek'!F9="")+('Ügyfelek'!G9="")+('Ügyfelek'!H9="")+('Ügyfelek'!I9="")+('Ügyfelek'!J9="")+('Ügyfelek'!K9="")+('Ügyfelek'!L9="")+('Ügyfelek'!M9="")+('Ügyfelek'!N9="")+('Ügyfelek'!O9="")+('Ügyfelek'!P9="")+('Ügyfelek'!Q9="")+('Ügyfelek'!R9="")+('Ügyfelek'!S9="")+('Ügyfelek'!T9="")+('Ügyfelek'!U9="")+('Ügyfelek'!V9="")+('Ügyfelek'!W9="")+('Ügyfelek'!X9="")+('Ügyfelek'!Y9="")+('Ügyfelek'!Z9="")+('Ügyfelek'!AA9="")+('Ügyfelek'!AB9="")+('Ügyfelek'!AC9="")+('Ügyfelek'!AD9="")+('Ügyfelek'!AE9="")+('Ügyfelek'!AF9="")+('Ügyfelek'!AG9="")+('Ügyfelek'!AH9=""))</f>
        <v/>
      </c>
      <c r="BK9">
        <f>IF($A9="","",B9+'Beállítások'!$E$6/1000)</f>
        <v/>
      </c>
      <c r="BL9">
        <f>IF($A9="","",C9+'Beállítások'!$E$7/1000)</f>
        <v/>
      </c>
      <c r="BM9">
        <f>IF($A9="","",D9+'Beállítások'!$E$8/1000)</f>
        <v/>
      </c>
      <c r="BN9">
        <f>IF($A9="","",E9+'Beállítások'!$E$9/1000)</f>
        <v/>
      </c>
      <c r="BO9">
        <f>IF($A9="","",F9+'Beállítások'!$E$10/1000)</f>
        <v/>
      </c>
      <c r="BP9">
        <f>IF($A9="","",G9+'Beállítások'!$E$11/1000)</f>
        <v/>
      </c>
      <c r="BQ9">
        <f>IF($A9="","",H9+'Beállítások'!$E$12/1000)</f>
        <v/>
      </c>
      <c r="BR9">
        <f>IF($A9="","",I9+'Beállítások'!$E$13/1000)</f>
        <v/>
      </c>
      <c r="BS9">
        <f>IF($A9="","",J9+'Beállítások'!$E$14/1000)</f>
        <v/>
      </c>
      <c r="BT9">
        <f>IF($A9="","",K9+'Beállítások'!$E$15/1000)</f>
        <v/>
      </c>
      <c r="BU9">
        <f>IF($A9="","",L9+'Beállítások'!$E$16/1000)</f>
        <v/>
      </c>
      <c r="BV9">
        <f>IF($A9="","",M9+'Beállítások'!$E$17/1000)</f>
        <v/>
      </c>
      <c r="BW9">
        <f>IF($A9="","",N9+'Beállítások'!$E$18/1000)</f>
        <v/>
      </c>
      <c r="BX9">
        <f>IF($A9="","",O9+'Beállítások'!$E$19/1000)</f>
        <v/>
      </c>
      <c r="BY9">
        <f>IF($A9="","",P9+'Beállítások'!$E$20/1000)</f>
        <v/>
      </c>
      <c r="BZ9">
        <f>IF($A9="","",Q9+'Beállítások'!$E$21/1000)</f>
        <v/>
      </c>
      <c r="CA9">
        <f>IF($A9="","",R9+'Beállítások'!$E$22/1000)</f>
        <v/>
      </c>
      <c r="CB9">
        <f>IF($A9="","",S9+'Beállítások'!$E$23/1000)</f>
        <v/>
      </c>
      <c r="CC9">
        <f>IF($A9="","",T9+'Beállítások'!$E$24/1000)</f>
        <v/>
      </c>
      <c r="CD9">
        <f>IF($A9="","",U9+'Beállítások'!$E$25/1000)</f>
        <v/>
      </c>
      <c r="CE9">
        <f>IF($A9="","",V9+'Beállítások'!$E$26/1000)</f>
        <v/>
      </c>
      <c r="CF9">
        <f>IF($A9="","",W9+'Beállítások'!$E$27/1000)</f>
        <v/>
      </c>
      <c r="CG9">
        <f>IF($A9="","",X9+'Beállítások'!$E$28/1000)</f>
        <v/>
      </c>
      <c r="CH9">
        <f>IF($A9="","",Y9+'Beállítások'!$E$29/1000)</f>
        <v/>
      </c>
      <c r="CI9">
        <f>IF($A9="","",Z9+'Beállítások'!$E$30/1000)</f>
        <v/>
      </c>
      <c r="CJ9">
        <f>IF($A9="","",AA9+'Beállítások'!$E$31/1000)</f>
        <v/>
      </c>
      <c r="CK9">
        <f>IF($A9="","",AB9+'Beállítások'!$E$32/1000)</f>
        <v/>
      </c>
      <c r="CL9">
        <f>IF($A9="","",AC9+'Beállítások'!$E$33/1000)</f>
        <v/>
      </c>
      <c r="CM9">
        <f>IF($A9="","",AD9+'Beállítások'!$E$34/1000)</f>
        <v/>
      </c>
      <c r="CN9">
        <f>IF($A9="","",AE9+'Beállítások'!$E$35/1000)</f>
        <v/>
      </c>
      <c r="CO9">
        <f>IF($A9="","",AF9+'Beállítások'!$E$36/1000)</f>
        <v/>
      </c>
      <c r="CP9">
        <f>IF($A9="","",AG9+'Beállítások'!$E$37/1000)</f>
        <v/>
      </c>
      <c r="CQ9">
        <f>IF($A9="","",AH9+'Beállítások'!$E$38/1000)</f>
        <v/>
      </c>
      <c r="CR9">
        <f>IF($A9="","",'Beállítások'!$E$6*(10-B9))</f>
        <v/>
      </c>
      <c r="CS9">
        <f>IF($A9="","",'Beállítások'!$E$7*(10-C9))</f>
        <v/>
      </c>
      <c r="CT9">
        <f>IF($A9="","",'Beállítások'!$E$8*(10-D9))</f>
        <v/>
      </c>
      <c r="CU9">
        <f>IF($A9="","",'Beállítások'!$E$9*(10-E9))</f>
        <v/>
      </c>
      <c r="CV9">
        <f>IF($A9="","",'Beállítások'!$E$10*(10-F9))</f>
        <v/>
      </c>
      <c r="CW9">
        <f>IF($A9="","",'Beállítások'!$E$11*(10-G9))</f>
        <v/>
      </c>
      <c r="CX9">
        <f>IF($A9="","",'Beállítások'!$E$12*(10-H9))</f>
        <v/>
      </c>
      <c r="CY9">
        <f>IF($A9="","",'Beállítások'!$E$13*(10-I9))</f>
        <v/>
      </c>
      <c r="CZ9">
        <f>IF($A9="","",'Beállítások'!$E$14*(10-J9))</f>
        <v/>
      </c>
      <c r="DA9">
        <f>IF($A9="","",'Beállítások'!$E$15*(10-K9))</f>
        <v/>
      </c>
      <c r="DB9">
        <f>IF($A9="","",'Beállítások'!$E$16*(10-L9))</f>
        <v/>
      </c>
      <c r="DC9">
        <f>IF($A9="","",'Beállítások'!$E$17*(10-M9))</f>
        <v/>
      </c>
      <c r="DD9">
        <f>IF($A9="","",'Beállítások'!$E$18*(10-N9))</f>
        <v/>
      </c>
      <c r="DE9">
        <f>IF($A9="","",'Beállítások'!$E$19*(10-O9))</f>
        <v/>
      </c>
      <c r="DF9">
        <f>IF($A9="","",'Beállítások'!$E$20*(10-P9))</f>
        <v/>
      </c>
      <c r="DG9">
        <f>IF($A9="","",'Beállítások'!$E$21*(10-Q9))</f>
        <v/>
      </c>
      <c r="DH9">
        <f>IF($A9="","",'Beállítások'!$E$22*(10-R9))</f>
        <v/>
      </c>
      <c r="DI9">
        <f>IF($A9="","",'Beállítások'!$E$23*(10-S9))</f>
        <v/>
      </c>
      <c r="DJ9">
        <f>IF($A9="","",'Beállítások'!$E$24*(10-T9))</f>
        <v/>
      </c>
      <c r="DK9">
        <f>IF($A9="","",'Beállítások'!$E$25*(10-U9))</f>
        <v/>
      </c>
      <c r="DL9">
        <f>IF($A9="","",'Beállítások'!$E$26*(10-V9))</f>
        <v/>
      </c>
      <c r="DM9">
        <f>IF($A9="","",'Beállítások'!$E$27*(10-W9))</f>
        <v/>
      </c>
      <c r="DN9">
        <f>IF($A9="","",'Beállítások'!$E$28*(10-X9))</f>
        <v/>
      </c>
      <c r="DO9">
        <f>IF($A9="","",'Beállítások'!$E$29*(10-Y9))</f>
        <v/>
      </c>
      <c r="DP9">
        <f>IF($A9="","",'Beállítások'!$E$30*(10-Z9))</f>
        <v/>
      </c>
      <c r="DQ9">
        <f>IF($A9="","",'Beállítások'!$E$31*(10-AA9))</f>
        <v/>
      </c>
      <c r="DR9">
        <f>IF($A9="","",'Beállítások'!$E$32*(10-AB9))</f>
        <v/>
      </c>
      <c r="DS9">
        <f>IF($A9="","",'Beállítások'!$E$33*(10-AC9))</f>
        <v/>
      </c>
      <c r="DT9">
        <f>IF($A9="","",'Beállítások'!$E$34*(10-AD9))</f>
        <v/>
      </c>
      <c r="DU9">
        <f>IF($A9="","",'Beállítások'!$E$35*(10-AE9))</f>
        <v/>
      </c>
      <c r="DV9">
        <f>IF($A9="","",'Beállítások'!$E$36*(10-AF9))</f>
        <v/>
      </c>
      <c r="DW9">
        <f>IF($A9="","",'Beállítások'!$E$37*(10-AG9))</f>
        <v/>
      </c>
      <c r="DX9">
        <f>IF($A9="","",'Beállítások'!$E$38*(10-AH9))</f>
        <v/>
      </c>
      <c r="DY9">
        <f>IF($A9="","",AM9-ROW()/100000)</f>
        <v/>
      </c>
    </row>
    <row r="10">
      <c r="A10">
        <f>IF('Ügyfelek'!A10="","",'Ügyfelek'!A10)</f>
        <v/>
      </c>
      <c r="B10">
        <f>IF($A10="","",IF('Ügyfelek'!B10="",'Beállítások'!$B$84,IFERROR(VLOOKUP(TRIM('Ügyfelek'!B10),'Beállítások'!$A$51:$B$59,2,FALSE),'Beállítások'!$B$84)))</f>
        <v/>
      </c>
      <c r="C10">
        <f>IF($A10="","",IF('Ügyfelek'!C10="",'Beállítások'!$B$84,MIN(10,MAX(1,ROUND('Ügyfelek'!C10,0)))))</f>
        <v/>
      </c>
      <c r="D10">
        <f>IF($A10="","",IF('Ügyfelek'!D10="",'Beállítások'!$B$84,MIN(10,MAX(1,ROUND('Ügyfelek'!D10,0)))))</f>
        <v/>
      </c>
      <c r="E10">
        <f>IF($A10="","",IF('Ügyfelek'!E10="",'Beállítások'!$B$84,MIN(10,MAX(1,ROUND('Ügyfelek'!E10,0)))))</f>
        <v/>
      </c>
      <c r="F10">
        <f>IF($A10="","",IF('Ügyfelek'!F10="",'Beállítások'!$B$84,MIN(10,MAX(1,ROUND('Ügyfelek'!F10,0)))))</f>
        <v/>
      </c>
      <c r="G10">
        <f>IF($A10="","",IF('Ügyfelek'!G10="",'Beállítások'!$B$84,MIN(10,MAX(1,ROUND('Ügyfelek'!G10,0)))))</f>
        <v/>
      </c>
      <c r="H10">
        <f>IF($A10="","",IF('Ügyfelek'!H10="",'Beállítások'!$B$84,MIN(10,MAX(1,ROUND('Ügyfelek'!H10,0)))))</f>
        <v/>
      </c>
      <c r="I10">
        <f>IF($A10="","",IF('Ügyfelek'!I10="",'Beállítások'!$B$84,MIN(10,MAX(1,ROUND('Ügyfelek'!I10,0)))))</f>
        <v/>
      </c>
      <c r="J10">
        <f>IF($A10="","",IF('Ügyfelek'!J10="",'Beállítások'!$B$84,MIN(10,MAX(1,ROUND('Ügyfelek'!J10,0)))))</f>
        <v/>
      </c>
      <c r="K10">
        <f>IF($A10="","",IF('Ügyfelek'!K10="",'Beállítások'!$B$84,MIN(10,MAX(1,ROUND('Ügyfelek'!K10,0)))))</f>
        <v/>
      </c>
      <c r="L10">
        <f>IF($A10="","",IF('Ügyfelek'!L10="",'Beállítások'!$B$84,MIN(10,MAX(1,ROUND('Ügyfelek'!L10,0)))))</f>
        <v/>
      </c>
      <c r="M10">
        <f>IF($A10="","",IF('Ügyfelek'!M10="",'Beállítások'!$B$84,MIN(10,MAX(1,ROUND('Ügyfelek'!M10,0)))))</f>
        <v/>
      </c>
      <c r="N10">
        <f>IF($A10="","",IF('Ügyfelek'!N10="",'Beállítások'!$B$84,MIN(10,MAX(1,ROUND('Ügyfelek'!N10,0)))))</f>
        <v/>
      </c>
      <c r="O10">
        <f>IF($A10="","",IF('Ügyfelek'!O10="",'Beállítások'!$B$84,MIN(10,MAX(1,ROUND('Ügyfelek'!O10,0)))))</f>
        <v/>
      </c>
      <c r="P10">
        <f>IF($A10="","",IF('Ügyfelek'!P10="",'Beállítások'!$B$84,MIN(10,MAX(1,ROUND('Ügyfelek'!P10,0)))))</f>
        <v/>
      </c>
      <c r="Q10">
        <f>IF($A10="","",IF('Ügyfelek'!Q10="",'Beállítások'!$B$84,MIN(10,MAX(1,ROUND('Ügyfelek'!Q10,0)))))</f>
        <v/>
      </c>
      <c r="R10">
        <f>IF($A10="","",IF('Ügyfelek'!R10="",'Beállítások'!$B$84,MIN(10,MAX(1,ROUND('Ügyfelek'!R10,0)))))</f>
        <v/>
      </c>
      <c r="S10">
        <f>IF($A10="","",IF('Ügyfelek'!S10="",'Beállítások'!$B$84,MIN(10,MAX(1,ROUND('Ügyfelek'!S10,0)))))</f>
        <v/>
      </c>
      <c r="T10">
        <f>IF($A10="","",IF('Ügyfelek'!T10="",'Beállítások'!$B$84,VLOOKUP(MAX('Ügyfelek'!T10,'Beállítások'!$H$7),'Beállítások'!$H$7:$I$12,2,TRUE)))</f>
        <v/>
      </c>
      <c r="U10">
        <f>IF($A10="","",IF('Ügyfelek'!U10="",'Beállítások'!$B$84,VLOOKUP(MAX('Ügyfelek'!U10,'Beállítások'!$K$7),'Beállítások'!$K$7:$L$12,2,TRUE)))</f>
        <v/>
      </c>
      <c r="V10">
        <f>IF($A10="","",IF('Ügyfelek'!V10="",'Beállítások'!$B$84,MIN(10,MAX(1,ROUND('Ügyfelek'!V10,0)))))</f>
        <v/>
      </c>
      <c r="W10">
        <f>IF($A10="","",IF('Ügyfelek'!W10="",'Beállítások'!$B$84,VLOOKUP(MAX('Ügyfelek'!W10,'Beállítások'!$N$7),'Beállítások'!$N$7:$O$12,2,TRUE)))</f>
        <v/>
      </c>
      <c r="X10">
        <f>IF($A10="","",IF('Ügyfelek'!X10="",'Beállítások'!$B$84,MIN(10,MAX(1,ROUND('Ügyfelek'!X10,0)))))</f>
        <v/>
      </c>
      <c r="Y10">
        <f>IF($A10="","",IF('Ügyfelek'!Y10="",'Beállítások'!$B$84,IFERROR(VLOOKUP(TRIM('Ügyfelek'!Y10),'Beállítások'!$A$63:$B$69,2,FALSE),'Beállítások'!$B$84)))</f>
        <v/>
      </c>
      <c r="Z10">
        <f>IF($A10="","",IF('Ügyfelek'!Z10="",'Beállítások'!$B$84,VLOOKUP(MAX('Ügyfelek'!Z10,'Beállítások'!$Q$7),'Beállítások'!$Q$7:$R$12,2,TRUE)))</f>
        <v/>
      </c>
      <c r="AA10">
        <f>IF($A10="","",IF('Ügyfelek'!AA10="",'Beállítások'!$B$84,VLOOKUP(MAX('Ügyfelek'!AA10,'Beállítások'!$T$7),'Beállítások'!$T$7:$U$12,2,TRUE)))</f>
        <v/>
      </c>
      <c r="AB10">
        <f>IF($A10="","",IF('Ügyfelek'!AB10="",'Beállítások'!$B$84,MIN(10,MAX(1,ROUND('Ügyfelek'!AB10,0)))))</f>
        <v/>
      </c>
      <c r="AC10">
        <f>IF($A10="","",IF('Ügyfelek'!AC10="",'Beállítások'!$B$84,MIN(10,MAX(1,ROUND('Ügyfelek'!AC10,0)))))</f>
        <v/>
      </c>
      <c r="AD10">
        <f>IF($A10="","",IF('Ügyfelek'!AD10="",'Beállítások'!$B$84,MIN(10,MAX(1,ROUND('Ügyfelek'!AD10,0)))))</f>
        <v/>
      </c>
      <c r="AE10">
        <f>IF($A10="","",IF('Ügyfelek'!AE10="",'Beállítások'!$B$84,MIN(10,MAX(1,ROUND('Ügyfelek'!AE10,0)))))</f>
        <v/>
      </c>
      <c r="AF10">
        <f>IF($A10="","",IF('Ügyfelek'!AF10="",'Beállítások'!$B$84,MIN(10,MAX(1,ROUND('Ügyfelek'!AF10,0)))))</f>
        <v/>
      </c>
      <c r="AG10">
        <f>IF($A10="","",IF('Ügyfelek'!AG10="",'Beállítások'!$B$84,MIN(10,MAX(1,ROUND('Ügyfelek'!AG10,0)))))</f>
        <v/>
      </c>
      <c r="AH10">
        <f>IF($A10="","",IF('Ügyfelek'!AH10="",'Beállítások'!$B$84,IFERROR(VLOOKUP(TRIM('Ügyfelek'!AH10),'Beállítások'!$A$73:$B$79,2,FALSE),'Beállítások'!$B$84)))</f>
        <v/>
      </c>
      <c r="AI10" s="23">
        <f>IF($A10="","",ROUND(100*('Beállítások'!$E$6*(B10-1)+'Beállítások'!$E$7*(C10-1))/(9*'Beállítások'!$B$43),1))</f>
        <v/>
      </c>
      <c r="AJ10" s="23">
        <f>IF($A10="","",ROUND(100*('Beállítások'!$E$8*(D10-1)+'Beállítások'!$E$9*(E10-1)+'Beállítások'!$E$10*(F10-1)+'Beállítások'!$E$11*(G10-1)+'Beállítások'!$E$12*(H10-1)+'Beállítások'!$E$13*(I10-1)+'Beállítások'!$E$14*(J10-1)+'Beállítások'!$E$15*(K10-1)+'Beállítások'!$E$16*(L10-1)+'Beállítások'!$E$17*(M10-1)+'Beállítások'!$E$18*(N10-1)+'Beállítások'!$E$19*(O10-1)+'Beállítások'!$E$20*(P10-1)+'Beállítások'!$E$21*(Q10-1)+'Beállítások'!$E$22*(R10-1))/(9*'Beállítások'!$B$44),1))</f>
        <v/>
      </c>
      <c r="AK10" s="23">
        <f>IF($A10="","",ROUND(100*('Beállítások'!$E$23*(S10-1)+'Beállítások'!$E$24*(T10-1)+'Beállítások'!$E$25*(U10-1)+'Beállítások'!$E$26*(V10-1)+'Beállítások'!$E$27*(W10-1)+'Beállítások'!$E$28*(X10-1)+'Beállítások'!$E$29*(Y10-1))/(9*'Beállítások'!$B$45),1))</f>
        <v/>
      </c>
      <c r="AL10" s="23">
        <f>IF($A10="","",ROUND(100*('Beállítások'!$E$30*(Z10-1)+'Beállítások'!$E$31*(AA10-1)+'Beállítások'!$E$32*(AB10-1)+'Beállítások'!$E$33*(AC10-1)+'Beállítások'!$E$34*(AD10-1)+'Beállítások'!$E$35*(AE10-1)+'Beállítások'!$E$36*(AF10-1)+'Beállítások'!$E$37*(AG10-1)+'Beállítások'!$E$38*(AH10-1))/(9*'Beállítások'!$B$46),1))</f>
        <v/>
      </c>
      <c r="AM10" s="23">
        <f>IF($A10="","",ROUND(100*('Beállítások'!$E$6*(B10-1)+'Beállítások'!$E$7*(C10-1)+'Beállítások'!$E$8*(D10-1)+'Beállítások'!$E$9*(E10-1)+'Beállítások'!$E$10*(F10-1)+'Beállítások'!$E$11*(G10-1)+'Beállítások'!$E$12*(H10-1)+'Beállítások'!$E$13*(I10-1)+'Beállítások'!$E$14*(J10-1)+'Beállítások'!$E$15*(K10-1)+'Beállítások'!$E$16*(L10-1)+'Beállítások'!$E$17*(M10-1)+'Beállítások'!$E$18*(N10-1)+'Beállítások'!$E$19*(O10-1)+'Beállítások'!$E$20*(P10-1)+'Beállítások'!$E$21*(Q10-1)+'Beállítások'!$E$22*(R10-1)+'Beállítások'!$E$23*(S10-1)+'Beállítások'!$E$24*(T10-1)+'Beállítások'!$E$25*(U10-1)+'Beállítások'!$E$26*(V10-1)+'Beállítások'!$E$27*(W10-1)+'Beállítások'!$E$28*(X10-1)+'Beállítások'!$E$29*(Y10-1)+'Beállítások'!$E$30*(Z10-1)+'Beállítások'!$E$31*(AA10-1)+'Beállítások'!$E$32*(AB10-1)+'Beállítások'!$E$33*(AC10-1)+'Beállítások'!$E$34*(AD10-1)+'Beállítások'!$E$35*(AE10-1)+'Beállítások'!$E$36*(AF10-1)+'Beállítások'!$E$37*(AG10-1)+'Beállítások'!$E$38*(AH10-1))/(9*'Beállítások'!$E$39),1))</f>
        <v/>
      </c>
      <c r="AN10" s="23">
        <f>IF($A10="","",ROUND(100*('Beállítások'!$E$8*(D10-1)+'Beállítások'!$E$9*(E10-1)+'Beállítások'!$E$10*(F10-1)+'Beállítások'!$E$11*(G10-1)+'Beállítások'!$E$12*(H10-1)+'Beállítások'!$E$13*(I10-1)+'Beállítások'!$E$14*(J10-1)+'Beállítások'!$E$15*(K10-1)+'Beállítások'!$E$16*(L10-1)+'Beállítások'!$E$17*(M10-1)+'Beállítások'!$E$18*(N10-1)+'Beállítások'!$E$19*(O10-1)+'Beállítások'!$E$20*(P10-1)+'Beállítások'!$E$21*(Q10-1)+'Beállítások'!$E$22*(R10-1)+'Beállítások'!$E$23*(S10-1)+'Beállítások'!$E$24*(T10-1)+'Beállítások'!$E$25*(U10-1)+'Beállítások'!$E$26*(V10-1)+'Beállítások'!$E$27*(W10-1)+'Beállítások'!$E$28*(X10-1)+'Beállítások'!$E$29*(Y10-1))/(9*('Beállítások'!$B$44+'Beállítások'!$B$45)),1))</f>
        <v/>
      </c>
      <c r="AO10" s="24">
        <f>IF($A10="","",RANK(AM10,$AM$2:$AM$201))</f>
        <v/>
      </c>
      <c r="AP10">
        <f>IF($A10="","",IF(OR(AND('Ügyfelek'!B10&lt;&gt;"",B10&lt;='Beállítások'!$B$85),AND('Ügyfelek'!C10&lt;&gt;"",C10&lt;='Beállítások'!$B$86)),"Igen","Nem"))</f>
        <v/>
      </c>
      <c r="AQ10" s="24">
        <f>IF($A10="","",IF(AP10="Igen",5,IF(AN10&gt;='Beállítások'!$C$108,1,IF(AN10&gt;='Beállítások'!$C$109,2,IF(AN10&gt;='Beállítások'!$C$110,3,IF(AND(AN10&gt;='Beállítások'!$B$87,AI10&gt;='Beállítások'!$B$88,AL10&gt;='Beállítások'!$B$89),4,5))))))</f>
        <v/>
      </c>
      <c r="AR10">
        <f>IF($A10="","",INDEX('Beállítások'!$B$108:$B$112,AQ10))</f>
        <v/>
      </c>
      <c r="AS10">
        <f>IF($A10="","",IF(AQ10=5,"Elutasítjuk",IF(AND(AQ10=4,COUNTIFS('Eredmény'!$AQ$2:$AQ$201,4,'Eredmény'!$DY$2:$DY$201,"&gt;"&amp;DY10)&gt;='Beállítások'!$B$90),"Várólista (a 4-es hely foglalt)","Elfogadjuk")))</f>
        <v/>
      </c>
      <c r="AT10">
        <f>IF($A10="","",INDEX('Beállítások'!$F$108:$F$112,AQ10))</f>
        <v/>
      </c>
      <c r="AU10">
        <f>IF($A10="","",INDEX('Beállítások'!$B$6:$B$38,MATCH(MAX(BK10:CQ10),BK10:CQ10,0)))</f>
        <v/>
      </c>
      <c r="AV10">
        <f>IF($A10="","",IF(MAX(CR10:DX10)=0,"—",INDEX('Beállítások'!$B$6:$B$38,MATCH(MAX(CR10:DX10),CR10:DX10,0))))</f>
        <v/>
      </c>
      <c r="AW10" s="10">
        <f>IF($A10="","",'Beállítások'!$B$94*(TRIM('Ügyfelek'!AI10)="igen")+'Beállítások'!$B$95*(TRIM('Ügyfelek'!AJ10)="igen")+'Beállítások'!$B$96*N('Ügyfelek'!AK10)+'Beállítások'!$B$93*N('Ügyfelek'!AL10))</f>
        <v/>
      </c>
      <c r="AX10" s="25">
        <f>IF(OR($A10="",AQ10=5),"",INDEX('Beállítások'!$D$108:$D$112,AQ10))</f>
        <v/>
      </c>
      <c r="AY10" s="10">
        <f>IF($A10="","",N('Ügyfelek'!U10)*'Beállítások'!$B$98)</f>
        <v/>
      </c>
      <c r="AZ10" s="10">
        <f>IF(OR($A10="",AQ10=5),"",CEILING(ROUND(MAX('Beállítások'!$B$97,AW10*AX10,AY10),2),'Beállítások'!$B$99))</f>
        <v/>
      </c>
      <c r="BA10">
        <f>IF($A10="","",IF(AQ10=5,"Elutasítva",IF(MAX('Beállítások'!$B$97,AW10*AX10,AY10)=AW10*AX10,"Munkaigény × státuszszorzó",IF(MAX('Beállítások'!$B$97,AW10*AX10,AY10)=AY10,"Hirdetési keret arányában","Minimumdíj"))))</f>
        <v/>
      </c>
      <c r="BB10" s="10">
        <f>IF(OR($A10="",'Ügyfelek'!AM10=""),"",'Ügyfelek'!AM10)</f>
        <v/>
      </c>
      <c r="BC10" s="10">
        <f>IF(OR(BB10="",AZ10=""),"",AZ10-BB10)</f>
        <v/>
      </c>
      <c r="BD10" s="18">
        <f>IF(OR(BB10="",AZ10="",BB10=0),"",BC10/BB10)</f>
        <v/>
      </c>
      <c r="BE10">
        <f>IF(OR($A10="",AQ10=5),"",IF(AND(INDEX('Beállítások'!$E$108:$E$112,AQ10)&gt;0,Y10&gt;='Beállítások'!$B$91),"Igen","Nem"))</f>
        <v/>
      </c>
      <c r="BF10" s="10">
        <f>IF(BE10="Igen",CEILING(ROUND(AZ10*(1-'Beállítások'!$B$92),2),'Beállítások'!$B$99),"")</f>
        <v/>
      </c>
      <c r="BG10" s="20">
        <f>IF(BE10="Igen",INDEX('Beállítások'!$E$108:$E$112,AQ10),"")</f>
        <v/>
      </c>
      <c r="BH10" s="10">
        <f>IF(OR(BE10&lt;&gt;"Igen",'Ügyfelek'!AN10=""),"",'Ügyfelek'!AN10*BG10)</f>
        <v/>
      </c>
      <c r="BI10" s="24">
        <f>IF($A10="","",('Ügyfelek'!B10="")+('Ügyfelek'!C10="")+('Ügyfelek'!D10="")+('Ügyfelek'!E10="")+('Ügyfelek'!F10="")+('Ügyfelek'!G10="")+('Ügyfelek'!H10="")+('Ügyfelek'!I10="")+('Ügyfelek'!J10="")+('Ügyfelek'!K10="")+('Ügyfelek'!L10="")+('Ügyfelek'!M10="")+('Ügyfelek'!N10="")+('Ügyfelek'!O10="")+('Ügyfelek'!P10="")+('Ügyfelek'!Q10="")+('Ügyfelek'!R10="")+('Ügyfelek'!S10="")+('Ügyfelek'!T10="")+('Ügyfelek'!U10="")+('Ügyfelek'!V10="")+('Ügyfelek'!W10="")+('Ügyfelek'!X10="")+('Ügyfelek'!Y10="")+('Ügyfelek'!Z10="")+('Ügyfelek'!AA10="")+('Ügyfelek'!AB10="")+('Ügyfelek'!AC10="")+('Ügyfelek'!AD10="")+('Ügyfelek'!AE10="")+('Ügyfelek'!AF10="")+('Ügyfelek'!AG10="")+('Ügyfelek'!AH10=""))</f>
        <v/>
      </c>
      <c r="BK10">
        <f>IF($A10="","",B10+'Beállítások'!$E$6/1000)</f>
        <v/>
      </c>
      <c r="BL10">
        <f>IF($A10="","",C10+'Beállítások'!$E$7/1000)</f>
        <v/>
      </c>
      <c r="BM10">
        <f>IF($A10="","",D10+'Beállítások'!$E$8/1000)</f>
        <v/>
      </c>
      <c r="BN10">
        <f>IF($A10="","",E10+'Beállítások'!$E$9/1000)</f>
        <v/>
      </c>
      <c r="BO10">
        <f>IF($A10="","",F10+'Beállítások'!$E$10/1000)</f>
        <v/>
      </c>
      <c r="BP10">
        <f>IF($A10="","",G10+'Beállítások'!$E$11/1000)</f>
        <v/>
      </c>
      <c r="BQ10">
        <f>IF($A10="","",H10+'Beállítások'!$E$12/1000)</f>
        <v/>
      </c>
      <c r="BR10">
        <f>IF($A10="","",I10+'Beállítások'!$E$13/1000)</f>
        <v/>
      </c>
      <c r="BS10">
        <f>IF($A10="","",J10+'Beállítások'!$E$14/1000)</f>
        <v/>
      </c>
      <c r="BT10">
        <f>IF($A10="","",K10+'Beállítások'!$E$15/1000)</f>
        <v/>
      </c>
      <c r="BU10">
        <f>IF($A10="","",L10+'Beállítások'!$E$16/1000)</f>
        <v/>
      </c>
      <c r="BV10">
        <f>IF($A10="","",M10+'Beállítások'!$E$17/1000)</f>
        <v/>
      </c>
      <c r="BW10">
        <f>IF($A10="","",N10+'Beállítások'!$E$18/1000)</f>
        <v/>
      </c>
      <c r="BX10">
        <f>IF($A10="","",O10+'Beállítások'!$E$19/1000)</f>
        <v/>
      </c>
      <c r="BY10">
        <f>IF($A10="","",P10+'Beállítások'!$E$20/1000)</f>
        <v/>
      </c>
      <c r="BZ10">
        <f>IF($A10="","",Q10+'Beállítások'!$E$21/1000)</f>
        <v/>
      </c>
      <c r="CA10">
        <f>IF($A10="","",R10+'Beállítások'!$E$22/1000)</f>
        <v/>
      </c>
      <c r="CB10">
        <f>IF($A10="","",S10+'Beállítások'!$E$23/1000)</f>
        <v/>
      </c>
      <c r="CC10">
        <f>IF($A10="","",T10+'Beállítások'!$E$24/1000)</f>
        <v/>
      </c>
      <c r="CD10">
        <f>IF($A10="","",U10+'Beállítások'!$E$25/1000)</f>
        <v/>
      </c>
      <c r="CE10">
        <f>IF($A10="","",V10+'Beállítások'!$E$26/1000)</f>
        <v/>
      </c>
      <c r="CF10">
        <f>IF($A10="","",W10+'Beállítások'!$E$27/1000)</f>
        <v/>
      </c>
      <c r="CG10">
        <f>IF($A10="","",X10+'Beállítások'!$E$28/1000)</f>
        <v/>
      </c>
      <c r="CH10">
        <f>IF($A10="","",Y10+'Beállítások'!$E$29/1000)</f>
        <v/>
      </c>
      <c r="CI10">
        <f>IF($A10="","",Z10+'Beállítások'!$E$30/1000)</f>
        <v/>
      </c>
      <c r="CJ10">
        <f>IF($A10="","",AA10+'Beállítások'!$E$31/1000)</f>
        <v/>
      </c>
      <c r="CK10">
        <f>IF($A10="","",AB10+'Beállítások'!$E$32/1000)</f>
        <v/>
      </c>
      <c r="CL10">
        <f>IF($A10="","",AC10+'Beállítások'!$E$33/1000)</f>
        <v/>
      </c>
      <c r="CM10">
        <f>IF($A10="","",AD10+'Beállítások'!$E$34/1000)</f>
        <v/>
      </c>
      <c r="CN10">
        <f>IF($A10="","",AE10+'Beállítások'!$E$35/1000)</f>
        <v/>
      </c>
      <c r="CO10">
        <f>IF($A10="","",AF10+'Beállítások'!$E$36/1000)</f>
        <v/>
      </c>
      <c r="CP10">
        <f>IF($A10="","",AG10+'Beállítások'!$E$37/1000)</f>
        <v/>
      </c>
      <c r="CQ10">
        <f>IF($A10="","",AH10+'Beállítások'!$E$38/1000)</f>
        <v/>
      </c>
      <c r="CR10">
        <f>IF($A10="","",'Beállítások'!$E$6*(10-B10))</f>
        <v/>
      </c>
      <c r="CS10">
        <f>IF($A10="","",'Beállítások'!$E$7*(10-C10))</f>
        <v/>
      </c>
      <c r="CT10">
        <f>IF($A10="","",'Beállítások'!$E$8*(10-D10))</f>
        <v/>
      </c>
      <c r="CU10">
        <f>IF($A10="","",'Beállítások'!$E$9*(10-E10))</f>
        <v/>
      </c>
      <c r="CV10">
        <f>IF($A10="","",'Beállítások'!$E$10*(10-F10))</f>
        <v/>
      </c>
      <c r="CW10">
        <f>IF($A10="","",'Beállítások'!$E$11*(10-G10))</f>
        <v/>
      </c>
      <c r="CX10">
        <f>IF($A10="","",'Beállítások'!$E$12*(10-H10))</f>
        <v/>
      </c>
      <c r="CY10">
        <f>IF($A10="","",'Beállítások'!$E$13*(10-I10))</f>
        <v/>
      </c>
      <c r="CZ10">
        <f>IF($A10="","",'Beállítások'!$E$14*(10-J10))</f>
        <v/>
      </c>
      <c r="DA10">
        <f>IF($A10="","",'Beállítások'!$E$15*(10-K10))</f>
        <v/>
      </c>
      <c r="DB10">
        <f>IF($A10="","",'Beállítások'!$E$16*(10-L10))</f>
        <v/>
      </c>
      <c r="DC10">
        <f>IF($A10="","",'Beállítások'!$E$17*(10-M10))</f>
        <v/>
      </c>
      <c r="DD10">
        <f>IF($A10="","",'Beállítások'!$E$18*(10-N10))</f>
        <v/>
      </c>
      <c r="DE10">
        <f>IF($A10="","",'Beállítások'!$E$19*(10-O10))</f>
        <v/>
      </c>
      <c r="DF10">
        <f>IF($A10="","",'Beállítások'!$E$20*(10-P10))</f>
        <v/>
      </c>
      <c r="DG10">
        <f>IF($A10="","",'Beállítások'!$E$21*(10-Q10))</f>
        <v/>
      </c>
      <c r="DH10">
        <f>IF($A10="","",'Beállítások'!$E$22*(10-R10))</f>
        <v/>
      </c>
      <c r="DI10">
        <f>IF($A10="","",'Beállítások'!$E$23*(10-S10))</f>
        <v/>
      </c>
      <c r="DJ10">
        <f>IF($A10="","",'Beállítások'!$E$24*(10-T10))</f>
        <v/>
      </c>
      <c r="DK10">
        <f>IF($A10="","",'Beállítások'!$E$25*(10-U10))</f>
        <v/>
      </c>
      <c r="DL10">
        <f>IF($A10="","",'Beállítások'!$E$26*(10-V10))</f>
        <v/>
      </c>
      <c r="DM10">
        <f>IF($A10="","",'Beállítások'!$E$27*(10-W10))</f>
        <v/>
      </c>
      <c r="DN10">
        <f>IF($A10="","",'Beállítások'!$E$28*(10-X10))</f>
        <v/>
      </c>
      <c r="DO10">
        <f>IF($A10="","",'Beállítások'!$E$29*(10-Y10))</f>
        <v/>
      </c>
      <c r="DP10">
        <f>IF($A10="","",'Beállítások'!$E$30*(10-Z10))</f>
        <v/>
      </c>
      <c r="DQ10">
        <f>IF($A10="","",'Beállítások'!$E$31*(10-AA10))</f>
        <v/>
      </c>
      <c r="DR10">
        <f>IF($A10="","",'Beállítások'!$E$32*(10-AB10))</f>
        <v/>
      </c>
      <c r="DS10">
        <f>IF($A10="","",'Beállítások'!$E$33*(10-AC10))</f>
        <v/>
      </c>
      <c r="DT10">
        <f>IF($A10="","",'Beállítások'!$E$34*(10-AD10))</f>
        <v/>
      </c>
      <c r="DU10">
        <f>IF($A10="","",'Beállítások'!$E$35*(10-AE10))</f>
        <v/>
      </c>
      <c r="DV10">
        <f>IF($A10="","",'Beállítások'!$E$36*(10-AF10))</f>
        <v/>
      </c>
      <c r="DW10">
        <f>IF($A10="","",'Beállítások'!$E$37*(10-AG10))</f>
        <v/>
      </c>
      <c r="DX10">
        <f>IF($A10="","",'Beállítások'!$E$38*(10-AH10))</f>
        <v/>
      </c>
      <c r="DY10">
        <f>IF($A10="","",AM10-ROW()/100000)</f>
        <v/>
      </c>
    </row>
    <row r="11">
      <c r="A11">
        <f>IF('Ügyfelek'!A11="","",'Ügyfelek'!A11)</f>
        <v/>
      </c>
      <c r="B11">
        <f>IF($A11="","",IF('Ügyfelek'!B11="",'Beállítások'!$B$84,IFERROR(VLOOKUP(TRIM('Ügyfelek'!B11),'Beállítások'!$A$51:$B$59,2,FALSE),'Beállítások'!$B$84)))</f>
        <v/>
      </c>
      <c r="C11">
        <f>IF($A11="","",IF('Ügyfelek'!C11="",'Beállítások'!$B$84,MIN(10,MAX(1,ROUND('Ügyfelek'!C11,0)))))</f>
        <v/>
      </c>
      <c r="D11">
        <f>IF($A11="","",IF('Ügyfelek'!D11="",'Beállítások'!$B$84,MIN(10,MAX(1,ROUND('Ügyfelek'!D11,0)))))</f>
        <v/>
      </c>
      <c r="E11">
        <f>IF($A11="","",IF('Ügyfelek'!E11="",'Beállítások'!$B$84,MIN(10,MAX(1,ROUND('Ügyfelek'!E11,0)))))</f>
        <v/>
      </c>
      <c r="F11">
        <f>IF($A11="","",IF('Ügyfelek'!F11="",'Beállítások'!$B$84,MIN(10,MAX(1,ROUND('Ügyfelek'!F11,0)))))</f>
        <v/>
      </c>
      <c r="G11">
        <f>IF($A11="","",IF('Ügyfelek'!G11="",'Beállítások'!$B$84,MIN(10,MAX(1,ROUND('Ügyfelek'!G11,0)))))</f>
        <v/>
      </c>
      <c r="H11">
        <f>IF($A11="","",IF('Ügyfelek'!H11="",'Beállítások'!$B$84,MIN(10,MAX(1,ROUND('Ügyfelek'!H11,0)))))</f>
        <v/>
      </c>
      <c r="I11">
        <f>IF($A11="","",IF('Ügyfelek'!I11="",'Beállítások'!$B$84,MIN(10,MAX(1,ROUND('Ügyfelek'!I11,0)))))</f>
        <v/>
      </c>
      <c r="J11">
        <f>IF($A11="","",IF('Ügyfelek'!J11="",'Beállítások'!$B$84,MIN(10,MAX(1,ROUND('Ügyfelek'!J11,0)))))</f>
        <v/>
      </c>
      <c r="K11">
        <f>IF($A11="","",IF('Ügyfelek'!K11="",'Beállítások'!$B$84,MIN(10,MAX(1,ROUND('Ügyfelek'!K11,0)))))</f>
        <v/>
      </c>
      <c r="L11">
        <f>IF($A11="","",IF('Ügyfelek'!L11="",'Beállítások'!$B$84,MIN(10,MAX(1,ROUND('Ügyfelek'!L11,0)))))</f>
        <v/>
      </c>
      <c r="M11">
        <f>IF($A11="","",IF('Ügyfelek'!M11="",'Beállítások'!$B$84,MIN(10,MAX(1,ROUND('Ügyfelek'!M11,0)))))</f>
        <v/>
      </c>
      <c r="N11">
        <f>IF($A11="","",IF('Ügyfelek'!N11="",'Beállítások'!$B$84,MIN(10,MAX(1,ROUND('Ügyfelek'!N11,0)))))</f>
        <v/>
      </c>
      <c r="O11">
        <f>IF($A11="","",IF('Ügyfelek'!O11="",'Beállítások'!$B$84,MIN(10,MAX(1,ROUND('Ügyfelek'!O11,0)))))</f>
        <v/>
      </c>
      <c r="P11">
        <f>IF($A11="","",IF('Ügyfelek'!P11="",'Beállítások'!$B$84,MIN(10,MAX(1,ROUND('Ügyfelek'!P11,0)))))</f>
        <v/>
      </c>
      <c r="Q11">
        <f>IF($A11="","",IF('Ügyfelek'!Q11="",'Beállítások'!$B$84,MIN(10,MAX(1,ROUND('Ügyfelek'!Q11,0)))))</f>
        <v/>
      </c>
      <c r="R11">
        <f>IF($A11="","",IF('Ügyfelek'!R11="",'Beállítások'!$B$84,MIN(10,MAX(1,ROUND('Ügyfelek'!R11,0)))))</f>
        <v/>
      </c>
      <c r="S11">
        <f>IF($A11="","",IF('Ügyfelek'!S11="",'Beállítások'!$B$84,MIN(10,MAX(1,ROUND('Ügyfelek'!S11,0)))))</f>
        <v/>
      </c>
      <c r="T11">
        <f>IF($A11="","",IF('Ügyfelek'!T11="",'Beállítások'!$B$84,VLOOKUP(MAX('Ügyfelek'!T11,'Beállítások'!$H$7),'Beállítások'!$H$7:$I$12,2,TRUE)))</f>
        <v/>
      </c>
      <c r="U11">
        <f>IF($A11="","",IF('Ügyfelek'!U11="",'Beállítások'!$B$84,VLOOKUP(MAX('Ügyfelek'!U11,'Beállítások'!$K$7),'Beállítások'!$K$7:$L$12,2,TRUE)))</f>
        <v/>
      </c>
      <c r="V11">
        <f>IF($A11="","",IF('Ügyfelek'!V11="",'Beállítások'!$B$84,MIN(10,MAX(1,ROUND('Ügyfelek'!V11,0)))))</f>
        <v/>
      </c>
      <c r="W11">
        <f>IF($A11="","",IF('Ügyfelek'!W11="",'Beállítások'!$B$84,VLOOKUP(MAX('Ügyfelek'!W11,'Beállítások'!$N$7),'Beállítások'!$N$7:$O$12,2,TRUE)))</f>
        <v/>
      </c>
      <c r="X11">
        <f>IF($A11="","",IF('Ügyfelek'!X11="",'Beállítások'!$B$84,MIN(10,MAX(1,ROUND('Ügyfelek'!X11,0)))))</f>
        <v/>
      </c>
      <c r="Y11">
        <f>IF($A11="","",IF('Ügyfelek'!Y11="",'Beállítások'!$B$84,IFERROR(VLOOKUP(TRIM('Ügyfelek'!Y11),'Beállítások'!$A$63:$B$69,2,FALSE),'Beállítások'!$B$84)))</f>
        <v/>
      </c>
      <c r="Z11">
        <f>IF($A11="","",IF('Ügyfelek'!Z11="",'Beállítások'!$B$84,VLOOKUP(MAX('Ügyfelek'!Z11,'Beállítások'!$Q$7),'Beállítások'!$Q$7:$R$12,2,TRUE)))</f>
        <v/>
      </c>
      <c r="AA11">
        <f>IF($A11="","",IF('Ügyfelek'!AA11="",'Beállítások'!$B$84,VLOOKUP(MAX('Ügyfelek'!AA11,'Beállítások'!$T$7),'Beállítások'!$T$7:$U$12,2,TRUE)))</f>
        <v/>
      </c>
      <c r="AB11">
        <f>IF($A11="","",IF('Ügyfelek'!AB11="",'Beállítások'!$B$84,MIN(10,MAX(1,ROUND('Ügyfelek'!AB11,0)))))</f>
        <v/>
      </c>
      <c r="AC11">
        <f>IF($A11="","",IF('Ügyfelek'!AC11="",'Beállítások'!$B$84,MIN(10,MAX(1,ROUND('Ügyfelek'!AC11,0)))))</f>
        <v/>
      </c>
      <c r="AD11">
        <f>IF($A11="","",IF('Ügyfelek'!AD11="",'Beállítások'!$B$84,MIN(10,MAX(1,ROUND('Ügyfelek'!AD11,0)))))</f>
        <v/>
      </c>
      <c r="AE11">
        <f>IF($A11="","",IF('Ügyfelek'!AE11="",'Beállítások'!$B$84,MIN(10,MAX(1,ROUND('Ügyfelek'!AE11,0)))))</f>
        <v/>
      </c>
      <c r="AF11">
        <f>IF($A11="","",IF('Ügyfelek'!AF11="",'Beállítások'!$B$84,MIN(10,MAX(1,ROUND('Ügyfelek'!AF11,0)))))</f>
        <v/>
      </c>
      <c r="AG11">
        <f>IF($A11="","",IF('Ügyfelek'!AG11="",'Beállítások'!$B$84,MIN(10,MAX(1,ROUND('Ügyfelek'!AG11,0)))))</f>
        <v/>
      </c>
      <c r="AH11">
        <f>IF($A11="","",IF('Ügyfelek'!AH11="",'Beállítások'!$B$84,IFERROR(VLOOKUP(TRIM('Ügyfelek'!AH11),'Beállítások'!$A$73:$B$79,2,FALSE),'Beállítások'!$B$84)))</f>
        <v/>
      </c>
      <c r="AI11" s="23">
        <f>IF($A11="","",ROUND(100*('Beállítások'!$E$6*(B11-1)+'Beállítások'!$E$7*(C11-1))/(9*'Beállítások'!$B$43),1))</f>
        <v/>
      </c>
      <c r="AJ11" s="23">
        <f>IF($A11="","",ROUND(100*('Beállítások'!$E$8*(D11-1)+'Beállítások'!$E$9*(E11-1)+'Beállítások'!$E$10*(F11-1)+'Beállítások'!$E$11*(G11-1)+'Beállítások'!$E$12*(H11-1)+'Beállítások'!$E$13*(I11-1)+'Beállítások'!$E$14*(J11-1)+'Beállítások'!$E$15*(K11-1)+'Beállítások'!$E$16*(L11-1)+'Beállítások'!$E$17*(M11-1)+'Beállítások'!$E$18*(N11-1)+'Beállítások'!$E$19*(O11-1)+'Beállítások'!$E$20*(P11-1)+'Beállítások'!$E$21*(Q11-1)+'Beállítások'!$E$22*(R11-1))/(9*'Beállítások'!$B$44),1))</f>
        <v/>
      </c>
      <c r="AK11" s="23">
        <f>IF($A11="","",ROUND(100*('Beállítások'!$E$23*(S11-1)+'Beállítások'!$E$24*(T11-1)+'Beállítások'!$E$25*(U11-1)+'Beállítások'!$E$26*(V11-1)+'Beállítások'!$E$27*(W11-1)+'Beállítások'!$E$28*(X11-1)+'Beállítások'!$E$29*(Y11-1))/(9*'Beállítások'!$B$45),1))</f>
        <v/>
      </c>
      <c r="AL11" s="23">
        <f>IF($A11="","",ROUND(100*('Beállítások'!$E$30*(Z11-1)+'Beállítások'!$E$31*(AA11-1)+'Beállítások'!$E$32*(AB11-1)+'Beállítások'!$E$33*(AC11-1)+'Beállítások'!$E$34*(AD11-1)+'Beállítások'!$E$35*(AE11-1)+'Beállítások'!$E$36*(AF11-1)+'Beállítások'!$E$37*(AG11-1)+'Beállítások'!$E$38*(AH11-1))/(9*'Beállítások'!$B$46),1))</f>
        <v/>
      </c>
      <c r="AM11" s="23">
        <f>IF($A11="","",ROUND(100*('Beállítások'!$E$6*(B11-1)+'Beállítások'!$E$7*(C11-1)+'Beállítások'!$E$8*(D11-1)+'Beállítások'!$E$9*(E11-1)+'Beállítások'!$E$10*(F11-1)+'Beállítások'!$E$11*(G11-1)+'Beállítások'!$E$12*(H11-1)+'Beállítások'!$E$13*(I11-1)+'Beállítások'!$E$14*(J11-1)+'Beállítások'!$E$15*(K11-1)+'Beállítások'!$E$16*(L11-1)+'Beállítások'!$E$17*(M11-1)+'Beállítások'!$E$18*(N11-1)+'Beállítások'!$E$19*(O11-1)+'Beállítások'!$E$20*(P11-1)+'Beállítások'!$E$21*(Q11-1)+'Beállítások'!$E$22*(R11-1)+'Beállítások'!$E$23*(S11-1)+'Beállítások'!$E$24*(T11-1)+'Beállítások'!$E$25*(U11-1)+'Beállítások'!$E$26*(V11-1)+'Beállítások'!$E$27*(W11-1)+'Beállítások'!$E$28*(X11-1)+'Beállítások'!$E$29*(Y11-1)+'Beállítások'!$E$30*(Z11-1)+'Beállítások'!$E$31*(AA11-1)+'Beállítások'!$E$32*(AB11-1)+'Beállítások'!$E$33*(AC11-1)+'Beállítások'!$E$34*(AD11-1)+'Beállítások'!$E$35*(AE11-1)+'Beállítások'!$E$36*(AF11-1)+'Beállítások'!$E$37*(AG11-1)+'Beállítások'!$E$38*(AH11-1))/(9*'Beállítások'!$E$39),1))</f>
        <v/>
      </c>
      <c r="AN11" s="23">
        <f>IF($A11="","",ROUND(100*('Beállítások'!$E$8*(D11-1)+'Beállítások'!$E$9*(E11-1)+'Beállítások'!$E$10*(F11-1)+'Beállítások'!$E$11*(G11-1)+'Beállítások'!$E$12*(H11-1)+'Beállítások'!$E$13*(I11-1)+'Beállítások'!$E$14*(J11-1)+'Beállítások'!$E$15*(K11-1)+'Beállítások'!$E$16*(L11-1)+'Beállítások'!$E$17*(M11-1)+'Beállítások'!$E$18*(N11-1)+'Beállítások'!$E$19*(O11-1)+'Beállítások'!$E$20*(P11-1)+'Beállítások'!$E$21*(Q11-1)+'Beállítások'!$E$22*(R11-1)+'Beállítások'!$E$23*(S11-1)+'Beállítások'!$E$24*(T11-1)+'Beállítások'!$E$25*(U11-1)+'Beállítások'!$E$26*(V11-1)+'Beállítások'!$E$27*(W11-1)+'Beállítások'!$E$28*(X11-1)+'Beállítások'!$E$29*(Y11-1))/(9*('Beállítások'!$B$44+'Beállítások'!$B$45)),1))</f>
        <v/>
      </c>
      <c r="AO11" s="24">
        <f>IF($A11="","",RANK(AM11,$AM$2:$AM$201))</f>
        <v/>
      </c>
      <c r="AP11">
        <f>IF($A11="","",IF(OR(AND('Ügyfelek'!B11&lt;&gt;"",B11&lt;='Beállítások'!$B$85),AND('Ügyfelek'!C11&lt;&gt;"",C11&lt;='Beállítások'!$B$86)),"Igen","Nem"))</f>
        <v/>
      </c>
      <c r="AQ11" s="24">
        <f>IF($A11="","",IF(AP11="Igen",5,IF(AN11&gt;='Beállítások'!$C$108,1,IF(AN11&gt;='Beállítások'!$C$109,2,IF(AN11&gt;='Beállítások'!$C$110,3,IF(AND(AN11&gt;='Beállítások'!$B$87,AI11&gt;='Beállítások'!$B$88,AL11&gt;='Beállítások'!$B$89),4,5))))))</f>
        <v/>
      </c>
      <c r="AR11">
        <f>IF($A11="","",INDEX('Beállítások'!$B$108:$B$112,AQ11))</f>
        <v/>
      </c>
      <c r="AS11">
        <f>IF($A11="","",IF(AQ11=5,"Elutasítjuk",IF(AND(AQ11=4,COUNTIFS('Eredmény'!$AQ$2:$AQ$201,4,'Eredmény'!$DY$2:$DY$201,"&gt;"&amp;DY11)&gt;='Beállítások'!$B$90),"Várólista (a 4-es hely foglalt)","Elfogadjuk")))</f>
        <v/>
      </c>
      <c r="AT11">
        <f>IF($A11="","",INDEX('Beállítások'!$F$108:$F$112,AQ11))</f>
        <v/>
      </c>
      <c r="AU11">
        <f>IF($A11="","",INDEX('Beállítások'!$B$6:$B$38,MATCH(MAX(BK11:CQ11),BK11:CQ11,0)))</f>
        <v/>
      </c>
      <c r="AV11">
        <f>IF($A11="","",IF(MAX(CR11:DX11)=0,"—",INDEX('Beállítások'!$B$6:$B$38,MATCH(MAX(CR11:DX11),CR11:DX11,0))))</f>
        <v/>
      </c>
      <c r="AW11" s="10">
        <f>IF($A11="","",'Beállítások'!$B$94*(TRIM('Ügyfelek'!AI11)="igen")+'Beállítások'!$B$95*(TRIM('Ügyfelek'!AJ11)="igen")+'Beállítások'!$B$96*N('Ügyfelek'!AK11)+'Beállítások'!$B$93*N('Ügyfelek'!AL11))</f>
        <v/>
      </c>
      <c r="AX11" s="25">
        <f>IF(OR($A11="",AQ11=5),"",INDEX('Beállítások'!$D$108:$D$112,AQ11))</f>
        <v/>
      </c>
      <c r="AY11" s="10">
        <f>IF($A11="","",N('Ügyfelek'!U11)*'Beállítások'!$B$98)</f>
        <v/>
      </c>
      <c r="AZ11" s="10">
        <f>IF(OR($A11="",AQ11=5),"",CEILING(ROUND(MAX('Beállítások'!$B$97,AW11*AX11,AY11),2),'Beállítások'!$B$99))</f>
        <v/>
      </c>
      <c r="BA11">
        <f>IF($A11="","",IF(AQ11=5,"Elutasítva",IF(MAX('Beállítások'!$B$97,AW11*AX11,AY11)=AW11*AX11,"Munkaigény × státuszszorzó",IF(MAX('Beállítások'!$B$97,AW11*AX11,AY11)=AY11,"Hirdetési keret arányában","Minimumdíj"))))</f>
        <v/>
      </c>
      <c r="BB11" s="10">
        <f>IF(OR($A11="",'Ügyfelek'!AM11=""),"",'Ügyfelek'!AM11)</f>
        <v/>
      </c>
      <c r="BC11" s="10">
        <f>IF(OR(BB11="",AZ11=""),"",AZ11-BB11)</f>
        <v/>
      </c>
      <c r="BD11" s="18">
        <f>IF(OR(BB11="",AZ11="",BB11=0),"",BC11/BB11)</f>
        <v/>
      </c>
      <c r="BE11">
        <f>IF(OR($A11="",AQ11=5),"",IF(AND(INDEX('Beállítások'!$E$108:$E$112,AQ11)&gt;0,Y11&gt;='Beállítások'!$B$91),"Igen","Nem"))</f>
        <v/>
      </c>
      <c r="BF11" s="10">
        <f>IF(BE11="Igen",CEILING(ROUND(AZ11*(1-'Beállítások'!$B$92),2),'Beállítások'!$B$99),"")</f>
        <v/>
      </c>
      <c r="BG11" s="20">
        <f>IF(BE11="Igen",INDEX('Beállítások'!$E$108:$E$112,AQ11),"")</f>
        <v/>
      </c>
      <c r="BH11" s="10">
        <f>IF(OR(BE11&lt;&gt;"Igen",'Ügyfelek'!AN11=""),"",'Ügyfelek'!AN11*BG11)</f>
        <v/>
      </c>
      <c r="BI11" s="24">
        <f>IF($A11="","",('Ügyfelek'!B11="")+('Ügyfelek'!C11="")+('Ügyfelek'!D11="")+('Ügyfelek'!E11="")+('Ügyfelek'!F11="")+('Ügyfelek'!G11="")+('Ügyfelek'!H11="")+('Ügyfelek'!I11="")+('Ügyfelek'!J11="")+('Ügyfelek'!K11="")+('Ügyfelek'!L11="")+('Ügyfelek'!M11="")+('Ügyfelek'!N11="")+('Ügyfelek'!O11="")+('Ügyfelek'!P11="")+('Ügyfelek'!Q11="")+('Ügyfelek'!R11="")+('Ügyfelek'!S11="")+('Ügyfelek'!T11="")+('Ügyfelek'!U11="")+('Ügyfelek'!V11="")+('Ügyfelek'!W11="")+('Ügyfelek'!X11="")+('Ügyfelek'!Y11="")+('Ügyfelek'!Z11="")+('Ügyfelek'!AA11="")+('Ügyfelek'!AB11="")+('Ügyfelek'!AC11="")+('Ügyfelek'!AD11="")+('Ügyfelek'!AE11="")+('Ügyfelek'!AF11="")+('Ügyfelek'!AG11="")+('Ügyfelek'!AH11=""))</f>
        <v/>
      </c>
      <c r="BK11">
        <f>IF($A11="","",B11+'Beállítások'!$E$6/1000)</f>
        <v/>
      </c>
      <c r="BL11">
        <f>IF($A11="","",C11+'Beállítások'!$E$7/1000)</f>
        <v/>
      </c>
      <c r="BM11">
        <f>IF($A11="","",D11+'Beállítások'!$E$8/1000)</f>
        <v/>
      </c>
      <c r="BN11">
        <f>IF($A11="","",E11+'Beállítások'!$E$9/1000)</f>
        <v/>
      </c>
      <c r="BO11">
        <f>IF($A11="","",F11+'Beállítások'!$E$10/1000)</f>
        <v/>
      </c>
      <c r="BP11">
        <f>IF($A11="","",G11+'Beállítások'!$E$11/1000)</f>
        <v/>
      </c>
      <c r="BQ11">
        <f>IF($A11="","",H11+'Beállítások'!$E$12/1000)</f>
        <v/>
      </c>
      <c r="BR11">
        <f>IF($A11="","",I11+'Beállítások'!$E$13/1000)</f>
        <v/>
      </c>
      <c r="BS11">
        <f>IF($A11="","",J11+'Beállítások'!$E$14/1000)</f>
        <v/>
      </c>
      <c r="BT11">
        <f>IF($A11="","",K11+'Beállítások'!$E$15/1000)</f>
        <v/>
      </c>
      <c r="BU11">
        <f>IF($A11="","",L11+'Beállítások'!$E$16/1000)</f>
        <v/>
      </c>
      <c r="BV11">
        <f>IF($A11="","",M11+'Beállítások'!$E$17/1000)</f>
        <v/>
      </c>
      <c r="BW11">
        <f>IF($A11="","",N11+'Beállítások'!$E$18/1000)</f>
        <v/>
      </c>
      <c r="BX11">
        <f>IF($A11="","",O11+'Beállítások'!$E$19/1000)</f>
        <v/>
      </c>
      <c r="BY11">
        <f>IF($A11="","",P11+'Beállítások'!$E$20/1000)</f>
        <v/>
      </c>
      <c r="BZ11">
        <f>IF($A11="","",Q11+'Beállítások'!$E$21/1000)</f>
        <v/>
      </c>
      <c r="CA11">
        <f>IF($A11="","",R11+'Beállítások'!$E$22/1000)</f>
        <v/>
      </c>
      <c r="CB11">
        <f>IF($A11="","",S11+'Beállítások'!$E$23/1000)</f>
        <v/>
      </c>
      <c r="CC11">
        <f>IF($A11="","",T11+'Beállítások'!$E$24/1000)</f>
        <v/>
      </c>
      <c r="CD11">
        <f>IF($A11="","",U11+'Beállítások'!$E$25/1000)</f>
        <v/>
      </c>
      <c r="CE11">
        <f>IF($A11="","",V11+'Beállítások'!$E$26/1000)</f>
        <v/>
      </c>
      <c r="CF11">
        <f>IF($A11="","",W11+'Beállítások'!$E$27/1000)</f>
        <v/>
      </c>
      <c r="CG11">
        <f>IF($A11="","",X11+'Beállítások'!$E$28/1000)</f>
        <v/>
      </c>
      <c r="CH11">
        <f>IF($A11="","",Y11+'Beállítások'!$E$29/1000)</f>
        <v/>
      </c>
      <c r="CI11">
        <f>IF($A11="","",Z11+'Beállítások'!$E$30/1000)</f>
        <v/>
      </c>
      <c r="CJ11">
        <f>IF($A11="","",AA11+'Beállítások'!$E$31/1000)</f>
        <v/>
      </c>
      <c r="CK11">
        <f>IF($A11="","",AB11+'Beállítások'!$E$32/1000)</f>
        <v/>
      </c>
      <c r="CL11">
        <f>IF($A11="","",AC11+'Beállítások'!$E$33/1000)</f>
        <v/>
      </c>
      <c r="CM11">
        <f>IF($A11="","",AD11+'Beállítások'!$E$34/1000)</f>
        <v/>
      </c>
      <c r="CN11">
        <f>IF($A11="","",AE11+'Beállítások'!$E$35/1000)</f>
        <v/>
      </c>
      <c r="CO11">
        <f>IF($A11="","",AF11+'Beállítások'!$E$36/1000)</f>
        <v/>
      </c>
      <c r="CP11">
        <f>IF($A11="","",AG11+'Beállítások'!$E$37/1000)</f>
        <v/>
      </c>
      <c r="CQ11">
        <f>IF($A11="","",AH11+'Beállítások'!$E$38/1000)</f>
        <v/>
      </c>
      <c r="CR11">
        <f>IF($A11="","",'Beállítások'!$E$6*(10-B11))</f>
        <v/>
      </c>
      <c r="CS11">
        <f>IF($A11="","",'Beállítások'!$E$7*(10-C11))</f>
        <v/>
      </c>
      <c r="CT11">
        <f>IF($A11="","",'Beállítások'!$E$8*(10-D11))</f>
        <v/>
      </c>
      <c r="CU11">
        <f>IF($A11="","",'Beállítások'!$E$9*(10-E11))</f>
        <v/>
      </c>
      <c r="CV11">
        <f>IF($A11="","",'Beállítások'!$E$10*(10-F11))</f>
        <v/>
      </c>
      <c r="CW11">
        <f>IF($A11="","",'Beállítások'!$E$11*(10-G11))</f>
        <v/>
      </c>
      <c r="CX11">
        <f>IF($A11="","",'Beállítások'!$E$12*(10-H11))</f>
        <v/>
      </c>
      <c r="CY11">
        <f>IF($A11="","",'Beállítások'!$E$13*(10-I11))</f>
        <v/>
      </c>
      <c r="CZ11">
        <f>IF($A11="","",'Beállítások'!$E$14*(10-J11))</f>
        <v/>
      </c>
      <c r="DA11">
        <f>IF($A11="","",'Beállítások'!$E$15*(10-K11))</f>
        <v/>
      </c>
      <c r="DB11">
        <f>IF($A11="","",'Beállítások'!$E$16*(10-L11))</f>
        <v/>
      </c>
      <c r="DC11">
        <f>IF($A11="","",'Beállítások'!$E$17*(10-M11))</f>
        <v/>
      </c>
      <c r="DD11">
        <f>IF($A11="","",'Beállítások'!$E$18*(10-N11))</f>
        <v/>
      </c>
      <c r="DE11">
        <f>IF($A11="","",'Beállítások'!$E$19*(10-O11))</f>
        <v/>
      </c>
      <c r="DF11">
        <f>IF($A11="","",'Beállítások'!$E$20*(10-P11))</f>
        <v/>
      </c>
      <c r="DG11">
        <f>IF($A11="","",'Beállítások'!$E$21*(10-Q11))</f>
        <v/>
      </c>
      <c r="DH11">
        <f>IF($A11="","",'Beállítások'!$E$22*(10-R11))</f>
        <v/>
      </c>
      <c r="DI11">
        <f>IF($A11="","",'Beállítások'!$E$23*(10-S11))</f>
        <v/>
      </c>
      <c r="DJ11">
        <f>IF($A11="","",'Beállítások'!$E$24*(10-T11))</f>
        <v/>
      </c>
      <c r="DK11">
        <f>IF($A11="","",'Beállítások'!$E$25*(10-U11))</f>
        <v/>
      </c>
      <c r="DL11">
        <f>IF($A11="","",'Beállítások'!$E$26*(10-V11))</f>
        <v/>
      </c>
      <c r="DM11">
        <f>IF($A11="","",'Beállítások'!$E$27*(10-W11))</f>
        <v/>
      </c>
      <c r="DN11">
        <f>IF($A11="","",'Beállítások'!$E$28*(10-X11))</f>
        <v/>
      </c>
      <c r="DO11">
        <f>IF($A11="","",'Beállítások'!$E$29*(10-Y11))</f>
        <v/>
      </c>
      <c r="DP11">
        <f>IF($A11="","",'Beállítások'!$E$30*(10-Z11))</f>
        <v/>
      </c>
      <c r="DQ11">
        <f>IF($A11="","",'Beállítások'!$E$31*(10-AA11))</f>
        <v/>
      </c>
      <c r="DR11">
        <f>IF($A11="","",'Beállítások'!$E$32*(10-AB11))</f>
        <v/>
      </c>
      <c r="DS11">
        <f>IF($A11="","",'Beállítások'!$E$33*(10-AC11))</f>
        <v/>
      </c>
      <c r="DT11">
        <f>IF($A11="","",'Beállítások'!$E$34*(10-AD11))</f>
        <v/>
      </c>
      <c r="DU11">
        <f>IF($A11="","",'Beállítások'!$E$35*(10-AE11))</f>
        <v/>
      </c>
      <c r="DV11">
        <f>IF($A11="","",'Beállítások'!$E$36*(10-AF11))</f>
        <v/>
      </c>
      <c r="DW11">
        <f>IF($A11="","",'Beállítások'!$E$37*(10-AG11))</f>
        <v/>
      </c>
      <c r="DX11">
        <f>IF($A11="","",'Beállítások'!$E$38*(10-AH11))</f>
        <v/>
      </c>
      <c r="DY11">
        <f>IF($A11="","",AM11-ROW()/100000)</f>
        <v/>
      </c>
    </row>
    <row r="12">
      <c r="A12">
        <f>IF('Ügyfelek'!A12="","",'Ügyfelek'!A12)</f>
        <v/>
      </c>
      <c r="B12">
        <f>IF($A12="","",IF('Ügyfelek'!B12="",'Beállítások'!$B$84,IFERROR(VLOOKUP(TRIM('Ügyfelek'!B12),'Beállítások'!$A$51:$B$59,2,FALSE),'Beállítások'!$B$84)))</f>
        <v/>
      </c>
      <c r="C12">
        <f>IF($A12="","",IF('Ügyfelek'!C12="",'Beállítások'!$B$84,MIN(10,MAX(1,ROUND('Ügyfelek'!C12,0)))))</f>
        <v/>
      </c>
      <c r="D12">
        <f>IF($A12="","",IF('Ügyfelek'!D12="",'Beállítások'!$B$84,MIN(10,MAX(1,ROUND('Ügyfelek'!D12,0)))))</f>
        <v/>
      </c>
      <c r="E12">
        <f>IF($A12="","",IF('Ügyfelek'!E12="",'Beállítások'!$B$84,MIN(10,MAX(1,ROUND('Ügyfelek'!E12,0)))))</f>
        <v/>
      </c>
      <c r="F12">
        <f>IF($A12="","",IF('Ügyfelek'!F12="",'Beállítások'!$B$84,MIN(10,MAX(1,ROUND('Ügyfelek'!F12,0)))))</f>
        <v/>
      </c>
      <c r="G12">
        <f>IF($A12="","",IF('Ügyfelek'!G12="",'Beállítások'!$B$84,MIN(10,MAX(1,ROUND('Ügyfelek'!G12,0)))))</f>
        <v/>
      </c>
      <c r="H12">
        <f>IF($A12="","",IF('Ügyfelek'!H12="",'Beállítások'!$B$84,MIN(10,MAX(1,ROUND('Ügyfelek'!H12,0)))))</f>
        <v/>
      </c>
      <c r="I12">
        <f>IF($A12="","",IF('Ügyfelek'!I12="",'Beállítások'!$B$84,MIN(10,MAX(1,ROUND('Ügyfelek'!I12,0)))))</f>
        <v/>
      </c>
      <c r="J12">
        <f>IF($A12="","",IF('Ügyfelek'!J12="",'Beállítások'!$B$84,MIN(10,MAX(1,ROUND('Ügyfelek'!J12,0)))))</f>
        <v/>
      </c>
      <c r="K12">
        <f>IF($A12="","",IF('Ügyfelek'!K12="",'Beállítások'!$B$84,MIN(10,MAX(1,ROUND('Ügyfelek'!K12,0)))))</f>
        <v/>
      </c>
      <c r="L12">
        <f>IF($A12="","",IF('Ügyfelek'!L12="",'Beállítások'!$B$84,MIN(10,MAX(1,ROUND('Ügyfelek'!L12,0)))))</f>
        <v/>
      </c>
      <c r="M12">
        <f>IF($A12="","",IF('Ügyfelek'!M12="",'Beállítások'!$B$84,MIN(10,MAX(1,ROUND('Ügyfelek'!M12,0)))))</f>
        <v/>
      </c>
      <c r="N12">
        <f>IF($A12="","",IF('Ügyfelek'!N12="",'Beállítások'!$B$84,MIN(10,MAX(1,ROUND('Ügyfelek'!N12,0)))))</f>
        <v/>
      </c>
      <c r="O12">
        <f>IF($A12="","",IF('Ügyfelek'!O12="",'Beállítások'!$B$84,MIN(10,MAX(1,ROUND('Ügyfelek'!O12,0)))))</f>
        <v/>
      </c>
      <c r="P12">
        <f>IF($A12="","",IF('Ügyfelek'!P12="",'Beállítások'!$B$84,MIN(10,MAX(1,ROUND('Ügyfelek'!P12,0)))))</f>
        <v/>
      </c>
      <c r="Q12">
        <f>IF($A12="","",IF('Ügyfelek'!Q12="",'Beállítások'!$B$84,MIN(10,MAX(1,ROUND('Ügyfelek'!Q12,0)))))</f>
        <v/>
      </c>
      <c r="R12">
        <f>IF($A12="","",IF('Ügyfelek'!R12="",'Beállítások'!$B$84,MIN(10,MAX(1,ROUND('Ügyfelek'!R12,0)))))</f>
        <v/>
      </c>
      <c r="S12">
        <f>IF($A12="","",IF('Ügyfelek'!S12="",'Beállítások'!$B$84,MIN(10,MAX(1,ROUND('Ügyfelek'!S12,0)))))</f>
        <v/>
      </c>
      <c r="T12">
        <f>IF($A12="","",IF('Ügyfelek'!T12="",'Beállítások'!$B$84,VLOOKUP(MAX('Ügyfelek'!T12,'Beállítások'!$H$7),'Beállítások'!$H$7:$I$12,2,TRUE)))</f>
        <v/>
      </c>
      <c r="U12">
        <f>IF($A12="","",IF('Ügyfelek'!U12="",'Beállítások'!$B$84,VLOOKUP(MAX('Ügyfelek'!U12,'Beállítások'!$K$7),'Beállítások'!$K$7:$L$12,2,TRUE)))</f>
        <v/>
      </c>
      <c r="V12">
        <f>IF($A12="","",IF('Ügyfelek'!V12="",'Beállítások'!$B$84,MIN(10,MAX(1,ROUND('Ügyfelek'!V12,0)))))</f>
        <v/>
      </c>
      <c r="W12">
        <f>IF($A12="","",IF('Ügyfelek'!W12="",'Beállítások'!$B$84,VLOOKUP(MAX('Ügyfelek'!W12,'Beállítások'!$N$7),'Beállítások'!$N$7:$O$12,2,TRUE)))</f>
        <v/>
      </c>
      <c r="X12">
        <f>IF($A12="","",IF('Ügyfelek'!X12="",'Beállítások'!$B$84,MIN(10,MAX(1,ROUND('Ügyfelek'!X12,0)))))</f>
        <v/>
      </c>
      <c r="Y12">
        <f>IF($A12="","",IF('Ügyfelek'!Y12="",'Beállítások'!$B$84,IFERROR(VLOOKUP(TRIM('Ügyfelek'!Y12),'Beállítások'!$A$63:$B$69,2,FALSE),'Beállítások'!$B$84)))</f>
        <v/>
      </c>
      <c r="Z12">
        <f>IF($A12="","",IF('Ügyfelek'!Z12="",'Beállítások'!$B$84,VLOOKUP(MAX('Ügyfelek'!Z12,'Beállítások'!$Q$7),'Beállítások'!$Q$7:$R$12,2,TRUE)))</f>
        <v/>
      </c>
      <c r="AA12">
        <f>IF($A12="","",IF('Ügyfelek'!AA12="",'Beállítások'!$B$84,VLOOKUP(MAX('Ügyfelek'!AA12,'Beállítások'!$T$7),'Beállítások'!$T$7:$U$12,2,TRUE)))</f>
        <v/>
      </c>
      <c r="AB12">
        <f>IF($A12="","",IF('Ügyfelek'!AB12="",'Beállítások'!$B$84,MIN(10,MAX(1,ROUND('Ügyfelek'!AB12,0)))))</f>
        <v/>
      </c>
      <c r="AC12">
        <f>IF($A12="","",IF('Ügyfelek'!AC12="",'Beállítások'!$B$84,MIN(10,MAX(1,ROUND('Ügyfelek'!AC12,0)))))</f>
        <v/>
      </c>
      <c r="AD12">
        <f>IF($A12="","",IF('Ügyfelek'!AD12="",'Beállítások'!$B$84,MIN(10,MAX(1,ROUND('Ügyfelek'!AD12,0)))))</f>
        <v/>
      </c>
      <c r="AE12">
        <f>IF($A12="","",IF('Ügyfelek'!AE12="",'Beállítások'!$B$84,MIN(10,MAX(1,ROUND('Ügyfelek'!AE12,0)))))</f>
        <v/>
      </c>
      <c r="AF12">
        <f>IF($A12="","",IF('Ügyfelek'!AF12="",'Beállítások'!$B$84,MIN(10,MAX(1,ROUND('Ügyfelek'!AF12,0)))))</f>
        <v/>
      </c>
      <c r="AG12">
        <f>IF($A12="","",IF('Ügyfelek'!AG12="",'Beállítások'!$B$84,MIN(10,MAX(1,ROUND('Ügyfelek'!AG12,0)))))</f>
        <v/>
      </c>
      <c r="AH12">
        <f>IF($A12="","",IF('Ügyfelek'!AH12="",'Beállítások'!$B$84,IFERROR(VLOOKUP(TRIM('Ügyfelek'!AH12),'Beállítások'!$A$73:$B$79,2,FALSE),'Beállítások'!$B$84)))</f>
        <v/>
      </c>
      <c r="AI12" s="23">
        <f>IF($A12="","",ROUND(100*('Beállítások'!$E$6*(B12-1)+'Beállítások'!$E$7*(C12-1))/(9*'Beállítások'!$B$43),1))</f>
        <v/>
      </c>
      <c r="AJ12" s="23">
        <f>IF($A12="","",ROUND(100*('Beállítások'!$E$8*(D12-1)+'Beállítások'!$E$9*(E12-1)+'Beállítások'!$E$10*(F12-1)+'Beállítások'!$E$11*(G12-1)+'Beállítások'!$E$12*(H12-1)+'Beállítások'!$E$13*(I12-1)+'Beállítások'!$E$14*(J12-1)+'Beállítások'!$E$15*(K12-1)+'Beállítások'!$E$16*(L12-1)+'Beállítások'!$E$17*(M12-1)+'Beállítások'!$E$18*(N12-1)+'Beállítások'!$E$19*(O12-1)+'Beállítások'!$E$20*(P12-1)+'Beállítások'!$E$21*(Q12-1)+'Beállítások'!$E$22*(R12-1))/(9*'Beállítások'!$B$44),1))</f>
        <v/>
      </c>
      <c r="AK12" s="23">
        <f>IF($A12="","",ROUND(100*('Beállítások'!$E$23*(S12-1)+'Beállítások'!$E$24*(T12-1)+'Beállítások'!$E$25*(U12-1)+'Beállítások'!$E$26*(V12-1)+'Beállítások'!$E$27*(W12-1)+'Beállítások'!$E$28*(X12-1)+'Beállítások'!$E$29*(Y12-1))/(9*'Beállítások'!$B$45),1))</f>
        <v/>
      </c>
      <c r="AL12" s="23">
        <f>IF($A12="","",ROUND(100*('Beállítások'!$E$30*(Z12-1)+'Beállítások'!$E$31*(AA12-1)+'Beállítások'!$E$32*(AB12-1)+'Beállítások'!$E$33*(AC12-1)+'Beállítások'!$E$34*(AD12-1)+'Beállítások'!$E$35*(AE12-1)+'Beállítások'!$E$36*(AF12-1)+'Beállítások'!$E$37*(AG12-1)+'Beállítások'!$E$38*(AH12-1))/(9*'Beállítások'!$B$46),1))</f>
        <v/>
      </c>
      <c r="AM12" s="23">
        <f>IF($A12="","",ROUND(100*('Beállítások'!$E$6*(B12-1)+'Beállítások'!$E$7*(C12-1)+'Beállítások'!$E$8*(D12-1)+'Beállítások'!$E$9*(E12-1)+'Beállítások'!$E$10*(F12-1)+'Beállítások'!$E$11*(G12-1)+'Beállítások'!$E$12*(H12-1)+'Beállítások'!$E$13*(I12-1)+'Beállítások'!$E$14*(J12-1)+'Beállítások'!$E$15*(K12-1)+'Beállítások'!$E$16*(L12-1)+'Beállítások'!$E$17*(M12-1)+'Beállítások'!$E$18*(N12-1)+'Beállítások'!$E$19*(O12-1)+'Beállítások'!$E$20*(P12-1)+'Beállítások'!$E$21*(Q12-1)+'Beállítások'!$E$22*(R12-1)+'Beállítások'!$E$23*(S12-1)+'Beállítások'!$E$24*(T12-1)+'Beállítások'!$E$25*(U12-1)+'Beállítások'!$E$26*(V12-1)+'Beállítások'!$E$27*(W12-1)+'Beállítások'!$E$28*(X12-1)+'Beállítások'!$E$29*(Y12-1)+'Beállítások'!$E$30*(Z12-1)+'Beállítások'!$E$31*(AA12-1)+'Beállítások'!$E$32*(AB12-1)+'Beállítások'!$E$33*(AC12-1)+'Beállítások'!$E$34*(AD12-1)+'Beállítások'!$E$35*(AE12-1)+'Beállítások'!$E$36*(AF12-1)+'Beállítások'!$E$37*(AG12-1)+'Beállítások'!$E$38*(AH12-1))/(9*'Beállítások'!$E$39),1))</f>
        <v/>
      </c>
      <c r="AN12" s="23">
        <f>IF($A12="","",ROUND(100*('Beállítások'!$E$8*(D12-1)+'Beállítások'!$E$9*(E12-1)+'Beállítások'!$E$10*(F12-1)+'Beállítások'!$E$11*(G12-1)+'Beállítások'!$E$12*(H12-1)+'Beállítások'!$E$13*(I12-1)+'Beállítások'!$E$14*(J12-1)+'Beállítások'!$E$15*(K12-1)+'Beállítások'!$E$16*(L12-1)+'Beállítások'!$E$17*(M12-1)+'Beállítások'!$E$18*(N12-1)+'Beállítások'!$E$19*(O12-1)+'Beállítások'!$E$20*(P12-1)+'Beállítások'!$E$21*(Q12-1)+'Beállítások'!$E$22*(R12-1)+'Beállítások'!$E$23*(S12-1)+'Beállítások'!$E$24*(T12-1)+'Beállítások'!$E$25*(U12-1)+'Beállítások'!$E$26*(V12-1)+'Beállítások'!$E$27*(W12-1)+'Beállítások'!$E$28*(X12-1)+'Beállítások'!$E$29*(Y12-1))/(9*('Beállítások'!$B$44+'Beállítások'!$B$45)),1))</f>
        <v/>
      </c>
      <c r="AO12" s="24">
        <f>IF($A12="","",RANK(AM12,$AM$2:$AM$201))</f>
        <v/>
      </c>
      <c r="AP12">
        <f>IF($A12="","",IF(OR(AND('Ügyfelek'!B12&lt;&gt;"",B12&lt;='Beállítások'!$B$85),AND('Ügyfelek'!C12&lt;&gt;"",C12&lt;='Beállítások'!$B$86)),"Igen","Nem"))</f>
        <v/>
      </c>
      <c r="AQ12" s="24">
        <f>IF($A12="","",IF(AP12="Igen",5,IF(AN12&gt;='Beállítások'!$C$108,1,IF(AN12&gt;='Beállítások'!$C$109,2,IF(AN12&gt;='Beállítások'!$C$110,3,IF(AND(AN12&gt;='Beállítások'!$B$87,AI12&gt;='Beállítások'!$B$88,AL12&gt;='Beállítások'!$B$89),4,5))))))</f>
        <v/>
      </c>
      <c r="AR12">
        <f>IF($A12="","",INDEX('Beállítások'!$B$108:$B$112,AQ12))</f>
        <v/>
      </c>
      <c r="AS12">
        <f>IF($A12="","",IF(AQ12=5,"Elutasítjuk",IF(AND(AQ12=4,COUNTIFS('Eredmény'!$AQ$2:$AQ$201,4,'Eredmény'!$DY$2:$DY$201,"&gt;"&amp;DY12)&gt;='Beállítások'!$B$90),"Várólista (a 4-es hely foglalt)","Elfogadjuk")))</f>
        <v/>
      </c>
      <c r="AT12">
        <f>IF($A12="","",INDEX('Beállítások'!$F$108:$F$112,AQ12))</f>
        <v/>
      </c>
      <c r="AU12">
        <f>IF($A12="","",INDEX('Beállítások'!$B$6:$B$38,MATCH(MAX(BK12:CQ12),BK12:CQ12,0)))</f>
        <v/>
      </c>
      <c r="AV12">
        <f>IF($A12="","",IF(MAX(CR12:DX12)=0,"—",INDEX('Beállítások'!$B$6:$B$38,MATCH(MAX(CR12:DX12),CR12:DX12,0))))</f>
        <v/>
      </c>
      <c r="AW12" s="10">
        <f>IF($A12="","",'Beállítások'!$B$94*(TRIM('Ügyfelek'!AI12)="igen")+'Beállítások'!$B$95*(TRIM('Ügyfelek'!AJ12)="igen")+'Beállítások'!$B$96*N('Ügyfelek'!AK12)+'Beállítások'!$B$93*N('Ügyfelek'!AL12))</f>
        <v/>
      </c>
      <c r="AX12" s="25">
        <f>IF(OR($A12="",AQ12=5),"",INDEX('Beállítások'!$D$108:$D$112,AQ12))</f>
        <v/>
      </c>
      <c r="AY12" s="10">
        <f>IF($A12="","",N('Ügyfelek'!U12)*'Beállítások'!$B$98)</f>
        <v/>
      </c>
      <c r="AZ12" s="10">
        <f>IF(OR($A12="",AQ12=5),"",CEILING(ROUND(MAX('Beállítások'!$B$97,AW12*AX12,AY12),2),'Beállítások'!$B$99))</f>
        <v/>
      </c>
      <c r="BA12">
        <f>IF($A12="","",IF(AQ12=5,"Elutasítva",IF(MAX('Beállítások'!$B$97,AW12*AX12,AY12)=AW12*AX12,"Munkaigény × státuszszorzó",IF(MAX('Beállítások'!$B$97,AW12*AX12,AY12)=AY12,"Hirdetési keret arányában","Minimumdíj"))))</f>
        <v/>
      </c>
      <c r="BB12" s="10">
        <f>IF(OR($A12="",'Ügyfelek'!AM12=""),"",'Ügyfelek'!AM12)</f>
        <v/>
      </c>
      <c r="BC12" s="10">
        <f>IF(OR(BB12="",AZ12=""),"",AZ12-BB12)</f>
        <v/>
      </c>
      <c r="BD12" s="18">
        <f>IF(OR(BB12="",AZ12="",BB12=0),"",BC12/BB12)</f>
        <v/>
      </c>
      <c r="BE12">
        <f>IF(OR($A12="",AQ12=5),"",IF(AND(INDEX('Beállítások'!$E$108:$E$112,AQ12)&gt;0,Y12&gt;='Beállítások'!$B$91),"Igen","Nem"))</f>
        <v/>
      </c>
      <c r="BF12" s="10">
        <f>IF(BE12="Igen",CEILING(ROUND(AZ12*(1-'Beállítások'!$B$92),2),'Beállítások'!$B$99),"")</f>
        <v/>
      </c>
      <c r="BG12" s="20">
        <f>IF(BE12="Igen",INDEX('Beállítások'!$E$108:$E$112,AQ12),"")</f>
        <v/>
      </c>
      <c r="BH12" s="10">
        <f>IF(OR(BE12&lt;&gt;"Igen",'Ügyfelek'!AN12=""),"",'Ügyfelek'!AN12*BG12)</f>
        <v/>
      </c>
      <c r="BI12" s="24">
        <f>IF($A12="","",('Ügyfelek'!B12="")+('Ügyfelek'!C12="")+('Ügyfelek'!D12="")+('Ügyfelek'!E12="")+('Ügyfelek'!F12="")+('Ügyfelek'!G12="")+('Ügyfelek'!H12="")+('Ügyfelek'!I12="")+('Ügyfelek'!J12="")+('Ügyfelek'!K12="")+('Ügyfelek'!L12="")+('Ügyfelek'!M12="")+('Ügyfelek'!N12="")+('Ügyfelek'!O12="")+('Ügyfelek'!P12="")+('Ügyfelek'!Q12="")+('Ügyfelek'!R12="")+('Ügyfelek'!S12="")+('Ügyfelek'!T12="")+('Ügyfelek'!U12="")+('Ügyfelek'!V12="")+('Ügyfelek'!W12="")+('Ügyfelek'!X12="")+('Ügyfelek'!Y12="")+('Ügyfelek'!Z12="")+('Ügyfelek'!AA12="")+('Ügyfelek'!AB12="")+('Ügyfelek'!AC12="")+('Ügyfelek'!AD12="")+('Ügyfelek'!AE12="")+('Ügyfelek'!AF12="")+('Ügyfelek'!AG12="")+('Ügyfelek'!AH12=""))</f>
        <v/>
      </c>
      <c r="BK12">
        <f>IF($A12="","",B12+'Beállítások'!$E$6/1000)</f>
        <v/>
      </c>
      <c r="BL12">
        <f>IF($A12="","",C12+'Beállítások'!$E$7/1000)</f>
        <v/>
      </c>
      <c r="BM12">
        <f>IF($A12="","",D12+'Beállítások'!$E$8/1000)</f>
        <v/>
      </c>
      <c r="BN12">
        <f>IF($A12="","",E12+'Beállítások'!$E$9/1000)</f>
        <v/>
      </c>
      <c r="BO12">
        <f>IF($A12="","",F12+'Beállítások'!$E$10/1000)</f>
        <v/>
      </c>
      <c r="BP12">
        <f>IF($A12="","",G12+'Beállítások'!$E$11/1000)</f>
        <v/>
      </c>
      <c r="BQ12">
        <f>IF($A12="","",H12+'Beállítások'!$E$12/1000)</f>
        <v/>
      </c>
      <c r="BR12">
        <f>IF($A12="","",I12+'Beállítások'!$E$13/1000)</f>
        <v/>
      </c>
      <c r="BS12">
        <f>IF($A12="","",J12+'Beállítások'!$E$14/1000)</f>
        <v/>
      </c>
      <c r="BT12">
        <f>IF($A12="","",K12+'Beállítások'!$E$15/1000)</f>
        <v/>
      </c>
      <c r="BU12">
        <f>IF($A12="","",L12+'Beállítások'!$E$16/1000)</f>
        <v/>
      </c>
      <c r="BV12">
        <f>IF($A12="","",M12+'Beállítások'!$E$17/1000)</f>
        <v/>
      </c>
      <c r="BW12">
        <f>IF($A12="","",N12+'Beállítások'!$E$18/1000)</f>
        <v/>
      </c>
      <c r="BX12">
        <f>IF($A12="","",O12+'Beállítások'!$E$19/1000)</f>
        <v/>
      </c>
      <c r="BY12">
        <f>IF($A12="","",P12+'Beállítások'!$E$20/1000)</f>
        <v/>
      </c>
      <c r="BZ12">
        <f>IF($A12="","",Q12+'Beállítások'!$E$21/1000)</f>
        <v/>
      </c>
      <c r="CA12">
        <f>IF($A12="","",R12+'Beállítások'!$E$22/1000)</f>
        <v/>
      </c>
      <c r="CB12">
        <f>IF($A12="","",S12+'Beállítások'!$E$23/1000)</f>
        <v/>
      </c>
      <c r="CC12">
        <f>IF($A12="","",T12+'Beállítások'!$E$24/1000)</f>
        <v/>
      </c>
      <c r="CD12">
        <f>IF($A12="","",U12+'Beállítások'!$E$25/1000)</f>
        <v/>
      </c>
      <c r="CE12">
        <f>IF($A12="","",V12+'Beállítások'!$E$26/1000)</f>
        <v/>
      </c>
      <c r="CF12">
        <f>IF($A12="","",W12+'Beállítások'!$E$27/1000)</f>
        <v/>
      </c>
      <c r="CG12">
        <f>IF($A12="","",X12+'Beállítások'!$E$28/1000)</f>
        <v/>
      </c>
      <c r="CH12">
        <f>IF($A12="","",Y12+'Beállítások'!$E$29/1000)</f>
        <v/>
      </c>
      <c r="CI12">
        <f>IF($A12="","",Z12+'Beállítások'!$E$30/1000)</f>
        <v/>
      </c>
      <c r="CJ12">
        <f>IF($A12="","",AA12+'Beállítások'!$E$31/1000)</f>
        <v/>
      </c>
      <c r="CK12">
        <f>IF($A12="","",AB12+'Beállítások'!$E$32/1000)</f>
        <v/>
      </c>
      <c r="CL12">
        <f>IF($A12="","",AC12+'Beállítások'!$E$33/1000)</f>
        <v/>
      </c>
      <c r="CM12">
        <f>IF($A12="","",AD12+'Beállítások'!$E$34/1000)</f>
        <v/>
      </c>
      <c r="CN12">
        <f>IF($A12="","",AE12+'Beállítások'!$E$35/1000)</f>
        <v/>
      </c>
      <c r="CO12">
        <f>IF($A12="","",AF12+'Beállítások'!$E$36/1000)</f>
        <v/>
      </c>
      <c r="CP12">
        <f>IF($A12="","",AG12+'Beállítások'!$E$37/1000)</f>
        <v/>
      </c>
      <c r="CQ12">
        <f>IF($A12="","",AH12+'Beállítások'!$E$38/1000)</f>
        <v/>
      </c>
      <c r="CR12">
        <f>IF($A12="","",'Beállítások'!$E$6*(10-B12))</f>
        <v/>
      </c>
      <c r="CS12">
        <f>IF($A12="","",'Beállítások'!$E$7*(10-C12))</f>
        <v/>
      </c>
      <c r="CT12">
        <f>IF($A12="","",'Beállítások'!$E$8*(10-D12))</f>
        <v/>
      </c>
      <c r="CU12">
        <f>IF($A12="","",'Beállítások'!$E$9*(10-E12))</f>
        <v/>
      </c>
      <c r="CV12">
        <f>IF($A12="","",'Beállítások'!$E$10*(10-F12))</f>
        <v/>
      </c>
      <c r="CW12">
        <f>IF($A12="","",'Beállítások'!$E$11*(10-G12))</f>
        <v/>
      </c>
      <c r="CX12">
        <f>IF($A12="","",'Beállítások'!$E$12*(10-H12))</f>
        <v/>
      </c>
      <c r="CY12">
        <f>IF($A12="","",'Beállítások'!$E$13*(10-I12))</f>
        <v/>
      </c>
      <c r="CZ12">
        <f>IF($A12="","",'Beállítások'!$E$14*(10-J12))</f>
        <v/>
      </c>
      <c r="DA12">
        <f>IF($A12="","",'Beállítások'!$E$15*(10-K12))</f>
        <v/>
      </c>
      <c r="DB12">
        <f>IF($A12="","",'Beállítások'!$E$16*(10-L12))</f>
        <v/>
      </c>
      <c r="DC12">
        <f>IF($A12="","",'Beállítások'!$E$17*(10-M12))</f>
        <v/>
      </c>
      <c r="DD12">
        <f>IF($A12="","",'Beállítások'!$E$18*(10-N12))</f>
        <v/>
      </c>
      <c r="DE12">
        <f>IF($A12="","",'Beállítások'!$E$19*(10-O12))</f>
        <v/>
      </c>
      <c r="DF12">
        <f>IF($A12="","",'Beállítások'!$E$20*(10-P12))</f>
        <v/>
      </c>
      <c r="DG12">
        <f>IF($A12="","",'Beállítások'!$E$21*(10-Q12))</f>
        <v/>
      </c>
      <c r="DH12">
        <f>IF($A12="","",'Beállítások'!$E$22*(10-R12))</f>
        <v/>
      </c>
      <c r="DI12">
        <f>IF($A12="","",'Beállítások'!$E$23*(10-S12))</f>
        <v/>
      </c>
      <c r="DJ12">
        <f>IF($A12="","",'Beállítások'!$E$24*(10-T12))</f>
        <v/>
      </c>
      <c r="DK12">
        <f>IF($A12="","",'Beállítások'!$E$25*(10-U12))</f>
        <v/>
      </c>
      <c r="DL12">
        <f>IF($A12="","",'Beállítások'!$E$26*(10-V12))</f>
        <v/>
      </c>
      <c r="DM12">
        <f>IF($A12="","",'Beállítások'!$E$27*(10-W12))</f>
        <v/>
      </c>
      <c r="DN12">
        <f>IF($A12="","",'Beállítások'!$E$28*(10-X12))</f>
        <v/>
      </c>
      <c r="DO12">
        <f>IF($A12="","",'Beállítások'!$E$29*(10-Y12))</f>
        <v/>
      </c>
      <c r="DP12">
        <f>IF($A12="","",'Beállítások'!$E$30*(10-Z12))</f>
        <v/>
      </c>
      <c r="DQ12">
        <f>IF($A12="","",'Beállítások'!$E$31*(10-AA12))</f>
        <v/>
      </c>
      <c r="DR12">
        <f>IF($A12="","",'Beállítások'!$E$32*(10-AB12))</f>
        <v/>
      </c>
      <c r="DS12">
        <f>IF($A12="","",'Beállítások'!$E$33*(10-AC12))</f>
        <v/>
      </c>
      <c r="DT12">
        <f>IF($A12="","",'Beállítások'!$E$34*(10-AD12))</f>
        <v/>
      </c>
      <c r="DU12">
        <f>IF($A12="","",'Beállítások'!$E$35*(10-AE12))</f>
        <v/>
      </c>
      <c r="DV12">
        <f>IF($A12="","",'Beállítások'!$E$36*(10-AF12))</f>
        <v/>
      </c>
      <c r="DW12">
        <f>IF($A12="","",'Beállítások'!$E$37*(10-AG12))</f>
        <v/>
      </c>
      <c r="DX12">
        <f>IF($A12="","",'Beállítások'!$E$38*(10-AH12))</f>
        <v/>
      </c>
      <c r="DY12">
        <f>IF($A12="","",AM12-ROW()/100000)</f>
        <v/>
      </c>
    </row>
    <row r="13">
      <c r="A13">
        <f>IF('Ügyfelek'!A13="","",'Ügyfelek'!A13)</f>
        <v/>
      </c>
      <c r="B13">
        <f>IF($A13="","",IF('Ügyfelek'!B13="",'Beállítások'!$B$84,IFERROR(VLOOKUP(TRIM('Ügyfelek'!B13),'Beállítások'!$A$51:$B$59,2,FALSE),'Beállítások'!$B$84)))</f>
        <v/>
      </c>
      <c r="C13">
        <f>IF($A13="","",IF('Ügyfelek'!C13="",'Beállítások'!$B$84,MIN(10,MAX(1,ROUND('Ügyfelek'!C13,0)))))</f>
        <v/>
      </c>
      <c r="D13">
        <f>IF($A13="","",IF('Ügyfelek'!D13="",'Beállítások'!$B$84,MIN(10,MAX(1,ROUND('Ügyfelek'!D13,0)))))</f>
        <v/>
      </c>
      <c r="E13">
        <f>IF($A13="","",IF('Ügyfelek'!E13="",'Beállítások'!$B$84,MIN(10,MAX(1,ROUND('Ügyfelek'!E13,0)))))</f>
        <v/>
      </c>
      <c r="F13">
        <f>IF($A13="","",IF('Ügyfelek'!F13="",'Beállítások'!$B$84,MIN(10,MAX(1,ROUND('Ügyfelek'!F13,0)))))</f>
        <v/>
      </c>
      <c r="G13">
        <f>IF($A13="","",IF('Ügyfelek'!G13="",'Beállítások'!$B$84,MIN(10,MAX(1,ROUND('Ügyfelek'!G13,0)))))</f>
        <v/>
      </c>
      <c r="H13">
        <f>IF($A13="","",IF('Ügyfelek'!H13="",'Beállítások'!$B$84,MIN(10,MAX(1,ROUND('Ügyfelek'!H13,0)))))</f>
        <v/>
      </c>
      <c r="I13">
        <f>IF($A13="","",IF('Ügyfelek'!I13="",'Beállítások'!$B$84,MIN(10,MAX(1,ROUND('Ügyfelek'!I13,0)))))</f>
        <v/>
      </c>
      <c r="J13">
        <f>IF($A13="","",IF('Ügyfelek'!J13="",'Beállítások'!$B$84,MIN(10,MAX(1,ROUND('Ügyfelek'!J13,0)))))</f>
        <v/>
      </c>
      <c r="K13">
        <f>IF($A13="","",IF('Ügyfelek'!K13="",'Beállítások'!$B$84,MIN(10,MAX(1,ROUND('Ügyfelek'!K13,0)))))</f>
        <v/>
      </c>
      <c r="L13">
        <f>IF($A13="","",IF('Ügyfelek'!L13="",'Beállítások'!$B$84,MIN(10,MAX(1,ROUND('Ügyfelek'!L13,0)))))</f>
        <v/>
      </c>
      <c r="M13">
        <f>IF($A13="","",IF('Ügyfelek'!M13="",'Beállítások'!$B$84,MIN(10,MAX(1,ROUND('Ügyfelek'!M13,0)))))</f>
        <v/>
      </c>
      <c r="N13">
        <f>IF($A13="","",IF('Ügyfelek'!N13="",'Beállítások'!$B$84,MIN(10,MAX(1,ROUND('Ügyfelek'!N13,0)))))</f>
        <v/>
      </c>
      <c r="O13">
        <f>IF($A13="","",IF('Ügyfelek'!O13="",'Beállítások'!$B$84,MIN(10,MAX(1,ROUND('Ügyfelek'!O13,0)))))</f>
        <v/>
      </c>
      <c r="P13">
        <f>IF($A13="","",IF('Ügyfelek'!P13="",'Beállítások'!$B$84,MIN(10,MAX(1,ROUND('Ügyfelek'!P13,0)))))</f>
        <v/>
      </c>
      <c r="Q13">
        <f>IF($A13="","",IF('Ügyfelek'!Q13="",'Beállítások'!$B$84,MIN(10,MAX(1,ROUND('Ügyfelek'!Q13,0)))))</f>
        <v/>
      </c>
      <c r="R13">
        <f>IF($A13="","",IF('Ügyfelek'!R13="",'Beállítások'!$B$84,MIN(10,MAX(1,ROUND('Ügyfelek'!R13,0)))))</f>
        <v/>
      </c>
      <c r="S13">
        <f>IF($A13="","",IF('Ügyfelek'!S13="",'Beállítások'!$B$84,MIN(10,MAX(1,ROUND('Ügyfelek'!S13,0)))))</f>
        <v/>
      </c>
      <c r="T13">
        <f>IF($A13="","",IF('Ügyfelek'!T13="",'Beállítások'!$B$84,VLOOKUP(MAX('Ügyfelek'!T13,'Beállítások'!$H$7),'Beállítások'!$H$7:$I$12,2,TRUE)))</f>
        <v/>
      </c>
      <c r="U13">
        <f>IF($A13="","",IF('Ügyfelek'!U13="",'Beállítások'!$B$84,VLOOKUP(MAX('Ügyfelek'!U13,'Beállítások'!$K$7),'Beállítások'!$K$7:$L$12,2,TRUE)))</f>
        <v/>
      </c>
      <c r="V13">
        <f>IF($A13="","",IF('Ügyfelek'!V13="",'Beállítások'!$B$84,MIN(10,MAX(1,ROUND('Ügyfelek'!V13,0)))))</f>
        <v/>
      </c>
      <c r="W13">
        <f>IF($A13="","",IF('Ügyfelek'!W13="",'Beállítások'!$B$84,VLOOKUP(MAX('Ügyfelek'!W13,'Beállítások'!$N$7),'Beállítások'!$N$7:$O$12,2,TRUE)))</f>
        <v/>
      </c>
      <c r="X13">
        <f>IF($A13="","",IF('Ügyfelek'!X13="",'Beállítások'!$B$84,MIN(10,MAX(1,ROUND('Ügyfelek'!X13,0)))))</f>
        <v/>
      </c>
      <c r="Y13">
        <f>IF($A13="","",IF('Ügyfelek'!Y13="",'Beállítások'!$B$84,IFERROR(VLOOKUP(TRIM('Ügyfelek'!Y13),'Beállítások'!$A$63:$B$69,2,FALSE),'Beállítások'!$B$84)))</f>
        <v/>
      </c>
      <c r="Z13">
        <f>IF($A13="","",IF('Ügyfelek'!Z13="",'Beállítások'!$B$84,VLOOKUP(MAX('Ügyfelek'!Z13,'Beállítások'!$Q$7),'Beállítások'!$Q$7:$R$12,2,TRUE)))</f>
        <v/>
      </c>
      <c r="AA13">
        <f>IF($A13="","",IF('Ügyfelek'!AA13="",'Beállítások'!$B$84,VLOOKUP(MAX('Ügyfelek'!AA13,'Beállítások'!$T$7),'Beállítások'!$T$7:$U$12,2,TRUE)))</f>
        <v/>
      </c>
      <c r="AB13">
        <f>IF($A13="","",IF('Ügyfelek'!AB13="",'Beállítások'!$B$84,MIN(10,MAX(1,ROUND('Ügyfelek'!AB13,0)))))</f>
        <v/>
      </c>
      <c r="AC13">
        <f>IF($A13="","",IF('Ügyfelek'!AC13="",'Beállítások'!$B$84,MIN(10,MAX(1,ROUND('Ügyfelek'!AC13,0)))))</f>
        <v/>
      </c>
      <c r="AD13">
        <f>IF($A13="","",IF('Ügyfelek'!AD13="",'Beállítások'!$B$84,MIN(10,MAX(1,ROUND('Ügyfelek'!AD13,0)))))</f>
        <v/>
      </c>
      <c r="AE13">
        <f>IF($A13="","",IF('Ügyfelek'!AE13="",'Beállítások'!$B$84,MIN(10,MAX(1,ROUND('Ügyfelek'!AE13,0)))))</f>
        <v/>
      </c>
      <c r="AF13">
        <f>IF($A13="","",IF('Ügyfelek'!AF13="",'Beállítások'!$B$84,MIN(10,MAX(1,ROUND('Ügyfelek'!AF13,0)))))</f>
        <v/>
      </c>
      <c r="AG13">
        <f>IF($A13="","",IF('Ügyfelek'!AG13="",'Beállítások'!$B$84,MIN(10,MAX(1,ROUND('Ügyfelek'!AG13,0)))))</f>
        <v/>
      </c>
      <c r="AH13">
        <f>IF($A13="","",IF('Ügyfelek'!AH13="",'Beállítások'!$B$84,IFERROR(VLOOKUP(TRIM('Ügyfelek'!AH13),'Beállítások'!$A$73:$B$79,2,FALSE),'Beállítások'!$B$84)))</f>
        <v/>
      </c>
      <c r="AI13" s="23">
        <f>IF($A13="","",ROUND(100*('Beállítások'!$E$6*(B13-1)+'Beállítások'!$E$7*(C13-1))/(9*'Beállítások'!$B$43),1))</f>
        <v/>
      </c>
      <c r="AJ13" s="23">
        <f>IF($A13="","",ROUND(100*('Beállítások'!$E$8*(D13-1)+'Beállítások'!$E$9*(E13-1)+'Beállítások'!$E$10*(F13-1)+'Beállítások'!$E$11*(G13-1)+'Beállítások'!$E$12*(H13-1)+'Beállítások'!$E$13*(I13-1)+'Beállítások'!$E$14*(J13-1)+'Beállítások'!$E$15*(K13-1)+'Beállítások'!$E$16*(L13-1)+'Beállítások'!$E$17*(M13-1)+'Beállítások'!$E$18*(N13-1)+'Beállítások'!$E$19*(O13-1)+'Beállítások'!$E$20*(P13-1)+'Beállítások'!$E$21*(Q13-1)+'Beállítások'!$E$22*(R13-1))/(9*'Beállítások'!$B$44),1))</f>
        <v/>
      </c>
      <c r="AK13" s="23">
        <f>IF($A13="","",ROUND(100*('Beállítások'!$E$23*(S13-1)+'Beállítások'!$E$24*(T13-1)+'Beállítások'!$E$25*(U13-1)+'Beállítások'!$E$26*(V13-1)+'Beállítások'!$E$27*(W13-1)+'Beállítások'!$E$28*(X13-1)+'Beállítások'!$E$29*(Y13-1))/(9*'Beállítások'!$B$45),1))</f>
        <v/>
      </c>
      <c r="AL13" s="23">
        <f>IF($A13="","",ROUND(100*('Beállítások'!$E$30*(Z13-1)+'Beállítások'!$E$31*(AA13-1)+'Beállítások'!$E$32*(AB13-1)+'Beállítások'!$E$33*(AC13-1)+'Beállítások'!$E$34*(AD13-1)+'Beállítások'!$E$35*(AE13-1)+'Beállítások'!$E$36*(AF13-1)+'Beállítások'!$E$37*(AG13-1)+'Beállítások'!$E$38*(AH13-1))/(9*'Beállítások'!$B$46),1))</f>
        <v/>
      </c>
      <c r="AM13" s="23">
        <f>IF($A13="","",ROUND(100*('Beállítások'!$E$6*(B13-1)+'Beállítások'!$E$7*(C13-1)+'Beállítások'!$E$8*(D13-1)+'Beállítások'!$E$9*(E13-1)+'Beállítások'!$E$10*(F13-1)+'Beállítások'!$E$11*(G13-1)+'Beállítások'!$E$12*(H13-1)+'Beállítások'!$E$13*(I13-1)+'Beállítások'!$E$14*(J13-1)+'Beállítások'!$E$15*(K13-1)+'Beállítások'!$E$16*(L13-1)+'Beállítások'!$E$17*(M13-1)+'Beállítások'!$E$18*(N13-1)+'Beállítások'!$E$19*(O13-1)+'Beállítások'!$E$20*(P13-1)+'Beállítások'!$E$21*(Q13-1)+'Beállítások'!$E$22*(R13-1)+'Beállítások'!$E$23*(S13-1)+'Beállítások'!$E$24*(T13-1)+'Beállítások'!$E$25*(U13-1)+'Beállítások'!$E$26*(V13-1)+'Beállítások'!$E$27*(W13-1)+'Beállítások'!$E$28*(X13-1)+'Beállítások'!$E$29*(Y13-1)+'Beállítások'!$E$30*(Z13-1)+'Beállítások'!$E$31*(AA13-1)+'Beállítások'!$E$32*(AB13-1)+'Beállítások'!$E$33*(AC13-1)+'Beállítások'!$E$34*(AD13-1)+'Beállítások'!$E$35*(AE13-1)+'Beállítások'!$E$36*(AF13-1)+'Beállítások'!$E$37*(AG13-1)+'Beállítások'!$E$38*(AH13-1))/(9*'Beállítások'!$E$39),1))</f>
        <v/>
      </c>
      <c r="AN13" s="23">
        <f>IF($A13="","",ROUND(100*('Beállítások'!$E$8*(D13-1)+'Beállítások'!$E$9*(E13-1)+'Beállítások'!$E$10*(F13-1)+'Beállítások'!$E$11*(G13-1)+'Beállítások'!$E$12*(H13-1)+'Beállítások'!$E$13*(I13-1)+'Beállítások'!$E$14*(J13-1)+'Beállítások'!$E$15*(K13-1)+'Beállítások'!$E$16*(L13-1)+'Beállítások'!$E$17*(M13-1)+'Beállítások'!$E$18*(N13-1)+'Beállítások'!$E$19*(O13-1)+'Beállítások'!$E$20*(P13-1)+'Beállítások'!$E$21*(Q13-1)+'Beállítások'!$E$22*(R13-1)+'Beállítások'!$E$23*(S13-1)+'Beállítások'!$E$24*(T13-1)+'Beállítások'!$E$25*(U13-1)+'Beállítások'!$E$26*(V13-1)+'Beállítások'!$E$27*(W13-1)+'Beállítások'!$E$28*(X13-1)+'Beállítások'!$E$29*(Y13-1))/(9*('Beállítások'!$B$44+'Beállítások'!$B$45)),1))</f>
        <v/>
      </c>
      <c r="AO13" s="24">
        <f>IF($A13="","",RANK(AM13,$AM$2:$AM$201))</f>
        <v/>
      </c>
      <c r="AP13">
        <f>IF($A13="","",IF(OR(AND('Ügyfelek'!B13&lt;&gt;"",B13&lt;='Beállítások'!$B$85),AND('Ügyfelek'!C13&lt;&gt;"",C13&lt;='Beállítások'!$B$86)),"Igen","Nem"))</f>
        <v/>
      </c>
      <c r="AQ13" s="24">
        <f>IF($A13="","",IF(AP13="Igen",5,IF(AN13&gt;='Beállítások'!$C$108,1,IF(AN13&gt;='Beállítások'!$C$109,2,IF(AN13&gt;='Beállítások'!$C$110,3,IF(AND(AN13&gt;='Beállítások'!$B$87,AI13&gt;='Beállítások'!$B$88,AL13&gt;='Beállítások'!$B$89),4,5))))))</f>
        <v/>
      </c>
      <c r="AR13">
        <f>IF($A13="","",INDEX('Beállítások'!$B$108:$B$112,AQ13))</f>
        <v/>
      </c>
      <c r="AS13">
        <f>IF($A13="","",IF(AQ13=5,"Elutasítjuk",IF(AND(AQ13=4,COUNTIFS('Eredmény'!$AQ$2:$AQ$201,4,'Eredmény'!$DY$2:$DY$201,"&gt;"&amp;DY13)&gt;='Beállítások'!$B$90),"Várólista (a 4-es hely foglalt)","Elfogadjuk")))</f>
        <v/>
      </c>
      <c r="AT13">
        <f>IF($A13="","",INDEX('Beállítások'!$F$108:$F$112,AQ13))</f>
        <v/>
      </c>
      <c r="AU13">
        <f>IF($A13="","",INDEX('Beállítások'!$B$6:$B$38,MATCH(MAX(BK13:CQ13),BK13:CQ13,0)))</f>
        <v/>
      </c>
      <c r="AV13">
        <f>IF($A13="","",IF(MAX(CR13:DX13)=0,"—",INDEX('Beállítások'!$B$6:$B$38,MATCH(MAX(CR13:DX13),CR13:DX13,0))))</f>
        <v/>
      </c>
      <c r="AW13" s="10">
        <f>IF($A13="","",'Beállítások'!$B$94*(TRIM('Ügyfelek'!AI13)="igen")+'Beállítások'!$B$95*(TRIM('Ügyfelek'!AJ13)="igen")+'Beállítások'!$B$96*N('Ügyfelek'!AK13)+'Beállítások'!$B$93*N('Ügyfelek'!AL13))</f>
        <v/>
      </c>
      <c r="AX13" s="25">
        <f>IF(OR($A13="",AQ13=5),"",INDEX('Beállítások'!$D$108:$D$112,AQ13))</f>
        <v/>
      </c>
      <c r="AY13" s="10">
        <f>IF($A13="","",N('Ügyfelek'!U13)*'Beállítások'!$B$98)</f>
        <v/>
      </c>
      <c r="AZ13" s="10">
        <f>IF(OR($A13="",AQ13=5),"",CEILING(ROUND(MAX('Beállítások'!$B$97,AW13*AX13,AY13),2),'Beállítások'!$B$99))</f>
        <v/>
      </c>
      <c r="BA13">
        <f>IF($A13="","",IF(AQ13=5,"Elutasítva",IF(MAX('Beállítások'!$B$97,AW13*AX13,AY13)=AW13*AX13,"Munkaigény × státuszszorzó",IF(MAX('Beállítások'!$B$97,AW13*AX13,AY13)=AY13,"Hirdetési keret arányában","Minimumdíj"))))</f>
        <v/>
      </c>
      <c r="BB13" s="10">
        <f>IF(OR($A13="",'Ügyfelek'!AM13=""),"",'Ügyfelek'!AM13)</f>
        <v/>
      </c>
      <c r="BC13" s="10">
        <f>IF(OR(BB13="",AZ13=""),"",AZ13-BB13)</f>
        <v/>
      </c>
      <c r="BD13" s="18">
        <f>IF(OR(BB13="",AZ13="",BB13=0),"",BC13/BB13)</f>
        <v/>
      </c>
      <c r="BE13">
        <f>IF(OR($A13="",AQ13=5),"",IF(AND(INDEX('Beállítások'!$E$108:$E$112,AQ13)&gt;0,Y13&gt;='Beállítások'!$B$91),"Igen","Nem"))</f>
        <v/>
      </c>
      <c r="BF13" s="10">
        <f>IF(BE13="Igen",CEILING(ROUND(AZ13*(1-'Beállítások'!$B$92),2),'Beállítások'!$B$99),"")</f>
        <v/>
      </c>
      <c r="BG13" s="20">
        <f>IF(BE13="Igen",INDEX('Beállítások'!$E$108:$E$112,AQ13),"")</f>
        <v/>
      </c>
      <c r="BH13" s="10">
        <f>IF(OR(BE13&lt;&gt;"Igen",'Ügyfelek'!AN13=""),"",'Ügyfelek'!AN13*BG13)</f>
        <v/>
      </c>
      <c r="BI13" s="24">
        <f>IF($A13="","",('Ügyfelek'!B13="")+('Ügyfelek'!C13="")+('Ügyfelek'!D13="")+('Ügyfelek'!E13="")+('Ügyfelek'!F13="")+('Ügyfelek'!G13="")+('Ügyfelek'!H13="")+('Ügyfelek'!I13="")+('Ügyfelek'!J13="")+('Ügyfelek'!K13="")+('Ügyfelek'!L13="")+('Ügyfelek'!M13="")+('Ügyfelek'!N13="")+('Ügyfelek'!O13="")+('Ügyfelek'!P13="")+('Ügyfelek'!Q13="")+('Ügyfelek'!R13="")+('Ügyfelek'!S13="")+('Ügyfelek'!T13="")+('Ügyfelek'!U13="")+('Ügyfelek'!V13="")+('Ügyfelek'!W13="")+('Ügyfelek'!X13="")+('Ügyfelek'!Y13="")+('Ügyfelek'!Z13="")+('Ügyfelek'!AA13="")+('Ügyfelek'!AB13="")+('Ügyfelek'!AC13="")+('Ügyfelek'!AD13="")+('Ügyfelek'!AE13="")+('Ügyfelek'!AF13="")+('Ügyfelek'!AG13="")+('Ügyfelek'!AH13=""))</f>
        <v/>
      </c>
      <c r="BK13">
        <f>IF($A13="","",B13+'Beállítások'!$E$6/1000)</f>
        <v/>
      </c>
      <c r="BL13">
        <f>IF($A13="","",C13+'Beállítások'!$E$7/1000)</f>
        <v/>
      </c>
      <c r="BM13">
        <f>IF($A13="","",D13+'Beállítások'!$E$8/1000)</f>
        <v/>
      </c>
      <c r="BN13">
        <f>IF($A13="","",E13+'Beállítások'!$E$9/1000)</f>
        <v/>
      </c>
      <c r="BO13">
        <f>IF($A13="","",F13+'Beállítások'!$E$10/1000)</f>
        <v/>
      </c>
      <c r="BP13">
        <f>IF($A13="","",G13+'Beállítások'!$E$11/1000)</f>
        <v/>
      </c>
      <c r="BQ13">
        <f>IF($A13="","",H13+'Beállítások'!$E$12/1000)</f>
        <v/>
      </c>
      <c r="BR13">
        <f>IF($A13="","",I13+'Beállítások'!$E$13/1000)</f>
        <v/>
      </c>
      <c r="BS13">
        <f>IF($A13="","",J13+'Beállítások'!$E$14/1000)</f>
        <v/>
      </c>
      <c r="BT13">
        <f>IF($A13="","",K13+'Beállítások'!$E$15/1000)</f>
        <v/>
      </c>
      <c r="BU13">
        <f>IF($A13="","",L13+'Beállítások'!$E$16/1000)</f>
        <v/>
      </c>
      <c r="BV13">
        <f>IF($A13="","",M13+'Beállítások'!$E$17/1000)</f>
        <v/>
      </c>
      <c r="BW13">
        <f>IF($A13="","",N13+'Beállítások'!$E$18/1000)</f>
        <v/>
      </c>
      <c r="BX13">
        <f>IF($A13="","",O13+'Beállítások'!$E$19/1000)</f>
        <v/>
      </c>
      <c r="BY13">
        <f>IF($A13="","",P13+'Beállítások'!$E$20/1000)</f>
        <v/>
      </c>
      <c r="BZ13">
        <f>IF($A13="","",Q13+'Beállítások'!$E$21/1000)</f>
        <v/>
      </c>
      <c r="CA13">
        <f>IF($A13="","",R13+'Beállítások'!$E$22/1000)</f>
        <v/>
      </c>
      <c r="CB13">
        <f>IF($A13="","",S13+'Beállítások'!$E$23/1000)</f>
        <v/>
      </c>
      <c r="CC13">
        <f>IF($A13="","",T13+'Beállítások'!$E$24/1000)</f>
        <v/>
      </c>
      <c r="CD13">
        <f>IF($A13="","",U13+'Beállítások'!$E$25/1000)</f>
        <v/>
      </c>
      <c r="CE13">
        <f>IF($A13="","",V13+'Beállítások'!$E$26/1000)</f>
        <v/>
      </c>
      <c r="CF13">
        <f>IF($A13="","",W13+'Beállítások'!$E$27/1000)</f>
        <v/>
      </c>
      <c r="CG13">
        <f>IF($A13="","",X13+'Beállítások'!$E$28/1000)</f>
        <v/>
      </c>
      <c r="CH13">
        <f>IF($A13="","",Y13+'Beállítások'!$E$29/1000)</f>
        <v/>
      </c>
      <c r="CI13">
        <f>IF($A13="","",Z13+'Beállítások'!$E$30/1000)</f>
        <v/>
      </c>
      <c r="CJ13">
        <f>IF($A13="","",AA13+'Beállítások'!$E$31/1000)</f>
        <v/>
      </c>
      <c r="CK13">
        <f>IF($A13="","",AB13+'Beállítások'!$E$32/1000)</f>
        <v/>
      </c>
      <c r="CL13">
        <f>IF($A13="","",AC13+'Beállítások'!$E$33/1000)</f>
        <v/>
      </c>
      <c r="CM13">
        <f>IF($A13="","",AD13+'Beállítások'!$E$34/1000)</f>
        <v/>
      </c>
      <c r="CN13">
        <f>IF($A13="","",AE13+'Beállítások'!$E$35/1000)</f>
        <v/>
      </c>
      <c r="CO13">
        <f>IF($A13="","",AF13+'Beállítások'!$E$36/1000)</f>
        <v/>
      </c>
      <c r="CP13">
        <f>IF($A13="","",AG13+'Beállítások'!$E$37/1000)</f>
        <v/>
      </c>
      <c r="CQ13">
        <f>IF($A13="","",AH13+'Beállítások'!$E$38/1000)</f>
        <v/>
      </c>
      <c r="CR13">
        <f>IF($A13="","",'Beállítások'!$E$6*(10-B13))</f>
        <v/>
      </c>
      <c r="CS13">
        <f>IF($A13="","",'Beállítások'!$E$7*(10-C13))</f>
        <v/>
      </c>
      <c r="CT13">
        <f>IF($A13="","",'Beállítások'!$E$8*(10-D13))</f>
        <v/>
      </c>
      <c r="CU13">
        <f>IF($A13="","",'Beállítások'!$E$9*(10-E13))</f>
        <v/>
      </c>
      <c r="CV13">
        <f>IF($A13="","",'Beállítások'!$E$10*(10-F13))</f>
        <v/>
      </c>
      <c r="CW13">
        <f>IF($A13="","",'Beállítások'!$E$11*(10-G13))</f>
        <v/>
      </c>
      <c r="CX13">
        <f>IF($A13="","",'Beállítások'!$E$12*(10-H13))</f>
        <v/>
      </c>
      <c r="CY13">
        <f>IF($A13="","",'Beállítások'!$E$13*(10-I13))</f>
        <v/>
      </c>
      <c r="CZ13">
        <f>IF($A13="","",'Beállítások'!$E$14*(10-J13))</f>
        <v/>
      </c>
      <c r="DA13">
        <f>IF($A13="","",'Beállítások'!$E$15*(10-K13))</f>
        <v/>
      </c>
      <c r="DB13">
        <f>IF($A13="","",'Beállítások'!$E$16*(10-L13))</f>
        <v/>
      </c>
      <c r="DC13">
        <f>IF($A13="","",'Beállítások'!$E$17*(10-M13))</f>
        <v/>
      </c>
      <c r="DD13">
        <f>IF($A13="","",'Beállítások'!$E$18*(10-N13))</f>
        <v/>
      </c>
      <c r="DE13">
        <f>IF($A13="","",'Beállítások'!$E$19*(10-O13))</f>
        <v/>
      </c>
      <c r="DF13">
        <f>IF($A13="","",'Beállítások'!$E$20*(10-P13))</f>
        <v/>
      </c>
      <c r="DG13">
        <f>IF($A13="","",'Beállítások'!$E$21*(10-Q13))</f>
        <v/>
      </c>
      <c r="DH13">
        <f>IF($A13="","",'Beállítások'!$E$22*(10-R13))</f>
        <v/>
      </c>
      <c r="DI13">
        <f>IF($A13="","",'Beállítások'!$E$23*(10-S13))</f>
        <v/>
      </c>
      <c r="DJ13">
        <f>IF($A13="","",'Beállítások'!$E$24*(10-T13))</f>
        <v/>
      </c>
      <c r="DK13">
        <f>IF($A13="","",'Beállítások'!$E$25*(10-U13))</f>
        <v/>
      </c>
      <c r="DL13">
        <f>IF($A13="","",'Beállítások'!$E$26*(10-V13))</f>
        <v/>
      </c>
      <c r="DM13">
        <f>IF($A13="","",'Beállítások'!$E$27*(10-W13))</f>
        <v/>
      </c>
      <c r="DN13">
        <f>IF($A13="","",'Beállítások'!$E$28*(10-X13))</f>
        <v/>
      </c>
      <c r="DO13">
        <f>IF($A13="","",'Beállítások'!$E$29*(10-Y13))</f>
        <v/>
      </c>
      <c r="DP13">
        <f>IF($A13="","",'Beállítások'!$E$30*(10-Z13))</f>
        <v/>
      </c>
      <c r="DQ13">
        <f>IF($A13="","",'Beállítások'!$E$31*(10-AA13))</f>
        <v/>
      </c>
      <c r="DR13">
        <f>IF($A13="","",'Beállítások'!$E$32*(10-AB13))</f>
        <v/>
      </c>
      <c r="DS13">
        <f>IF($A13="","",'Beállítások'!$E$33*(10-AC13))</f>
        <v/>
      </c>
      <c r="DT13">
        <f>IF($A13="","",'Beállítások'!$E$34*(10-AD13))</f>
        <v/>
      </c>
      <c r="DU13">
        <f>IF($A13="","",'Beállítások'!$E$35*(10-AE13))</f>
        <v/>
      </c>
      <c r="DV13">
        <f>IF($A13="","",'Beállítások'!$E$36*(10-AF13))</f>
        <v/>
      </c>
      <c r="DW13">
        <f>IF($A13="","",'Beállítások'!$E$37*(10-AG13))</f>
        <v/>
      </c>
      <c r="DX13">
        <f>IF($A13="","",'Beállítások'!$E$38*(10-AH13))</f>
        <v/>
      </c>
      <c r="DY13">
        <f>IF($A13="","",AM13-ROW()/100000)</f>
        <v/>
      </c>
    </row>
    <row r="14">
      <c r="A14">
        <f>IF('Ügyfelek'!A14="","",'Ügyfelek'!A14)</f>
        <v/>
      </c>
      <c r="B14">
        <f>IF($A14="","",IF('Ügyfelek'!B14="",'Beállítások'!$B$84,IFERROR(VLOOKUP(TRIM('Ügyfelek'!B14),'Beállítások'!$A$51:$B$59,2,FALSE),'Beállítások'!$B$84)))</f>
        <v/>
      </c>
      <c r="C14">
        <f>IF($A14="","",IF('Ügyfelek'!C14="",'Beállítások'!$B$84,MIN(10,MAX(1,ROUND('Ügyfelek'!C14,0)))))</f>
        <v/>
      </c>
      <c r="D14">
        <f>IF($A14="","",IF('Ügyfelek'!D14="",'Beállítások'!$B$84,MIN(10,MAX(1,ROUND('Ügyfelek'!D14,0)))))</f>
        <v/>
      </c>
      <c r="E14">
        <f>IF($A14="","",IF('Ügyfelek'!E14="",'Beállítások'!$B$84,MIN(10,MAX(1,ROUND('Ügyfelek'!E14,0)))))</f>
        <v/>
      </c>
      <c r="F14">
        <f>IF($A14="","",IF('Ügyfelek'!F14="",'Beállítások'!$B$84,MIN(10,MAX(1,ROUND('Ügyfelek'!F14,0)))))</f>
        <v/>
      </c>
      <c r="G14">
        <f>IF($A14="","",IF('Ügyfelek'!G14="",'Beállítások'!$B$84,MIN(10,MAX(1,ROUND('Ügyfelek'!G14,0)))))</f>
        <v/>
      </c>
      <c r="H14">
        <f>IF($A14="","",IF('Ügyfelek'!H14="",'Beállítások'!$B$84,MIN(10,MAX(1,ROUND('Ügyfelek'!H14,0)))))</f>
        <v/>
      </c>
      <c r="I14">
        <f>IF($A14="","",IF('Ügyfelek'!I14="",'Beállítások'!$B$84,MIN(10,MAX(1,ROUND('Ügyfelek'!I14,0)))))</f>
        <v/>
      </c>
      <c r="J14">
        <f>IF($A14="","",IF('Ügyfelek'!J14="",'Beállítások'!$B$84,MIN(10,MAX(1,ROUND('Ügyfelek'!J14,0)))))</f>
        <v/>
      </c>
      <c r="K14">
        <f>IF($A14="","",IF('Ügyfelek'!K14="",'Beállítások'!$B$84,MIN(10,MAX(1,ROUND('Ügyfelek'!K14,0)))))</f>
        <v/>
      </c>
      <c r="L14">
        <f>IF($A14="","",IF('Ügyfelek'!L14="",'Beállítások'!$B$84,MIN(10,MAX(1,ROUND('Ügyfelek'!L14,0)))))</f>
        <v/>
      </c>
      <c r="M14">
        <f>IF($A14="","",IF('Ügyfelek'!M14="",'Beállítások'!$B$84,MIN(10,MAX(1,ROUND('Ügyfelek'!M14,0)))))</f>
        <v/>
      </c>
      <c r="N14">
        <f>IF($A14="","",IF('Ügyfelek'!N14="",'Beállítások'!$B$84,MIN(10,MAX(1,ROUND('Ügyfelek'!N14,0)))))</f>
        <v/>
      </c>
      <c r="O14">
        <f>IF($A14="","",IF('Ügyfelek'!O14="",'Beállítások'!$B$84,MIN(10,MAX(1,ROUND('Ügyfelek'!O14,0)))))</f>
        <v/>
      </c>
      <c r="P14">
        <f>IF($A14="","",IF('Ügyfelek'!P14="",'Beállítások'!$B$84,MIN(10,MAX(1,ROUND('Ügyfelek'!P14,0)))))</f>
        <v/>
      </c>
      <c r="Q14">
        <f>IF($A14="","",IF('Ügyfelek'!Q14="",'Beállítások'!$B$84,MIN(10,MAX(1,ROUND('Ügyfelek'!Q14,0)))))</f>
        <v/>
      </c>
      <c r="R14">
        <f>IF($A14="","",IF('Ügyfelek'!R14="",'Beállítások'!$B$84,MIN(10,MAX(1,ROUND('Ügyfelek'!R14,0)))))</f>
        <v/>
      </c>
      <c r="S14">
        <f>IF($A14="","",IF('Ügyfelek'!S14="",'Beállítások'!$B$84,MIN(10,MAX(1,ROUND('Ügyfelek'!S14,0)))))</f>
        <v/>
      </c>
      <c r="T14">
        <f>IF($A14="","",IF('Ügyfelek'!T14="",'Beállítások'!$B$84,VLOOKUP(MAX('Ügyfelek'!T14,'Beállítások'!$H$7),'Beállítások'!$H$7:$I$12,2,TRUE)))</f>
        <v/>
      </c>
      <c r="U14">
        <f>IF($A14="","",IF('Ügyfelek'!U14="",'Beállítások'!$B$84,VLOOKUP(MAX('Ügyfelek'!U14,'Beállítások'!$K$7),'Beállítások'!$K$7:$L$12,2,TRUE)))</f>
        <v/>
      </c>
      <c r="V14">
        <f>IF($A14="","",IF('Ügyfelek'!V14="",'Beállítások'!$B$84,MIN(10,MAX(1,ROUND('Ügyfelek'!V14,0)))))</f>
        <v/>
      </c>
      <c r="W14">
        <f>IF($A14="","",IF('Ügyfelek'!W14="",'Beállítások'!$B$84,VLOOKUP(MAX('Ügyfelek'!W14,'Beállítások'!$N$7),'Beállítások'!$N$7:$O$12,2,TRUE)))</f>
        <v/>
      </c>
      <c r="X14">
        <f>IF($A14="","",IF('Ügyfelek'!X14="",'Beállítások'!$B$84,MIN(10,MAX(1,ROUND('Ügyfelek'!X14,0)))))</f>
        <v/>
      </c>
      <c r="Y14">
        <f>IF($A14="","",IF('Ügyfelek'!Y14="",'Beállítások'!$B$84,IFERROR(VLOOKUP(TRIM('Ügyfelek'!Y14),'Beállítások'!$A$63:$B$69,2,FALSE),'Beállítások'!$B$84)))</f>
        <v/>
      </c>
      <c r="Z14">
        <f>IF($A14="","",IF('Ügyfelek'!Z14="",'Beállítások'!$B$84,VLOOKUP(MAX('Ügyfelek'!Z14,'Beállítások'!$Q$7),'Beállítások'!$Q$7:$R$12,2,TRUE)))</f>
        <v/>
      </c>
      <c r="AA14">
        <f>IF($A14="","",IF('Ügyfelek'!AA14="",'Beállítások'!$B$84,VLOOKUP(MAX('Ügyfelek'!AA14,'Beállítások'!$T$7),'Beállítások'!$T$7:$U$12,2,TRUE)))</f>
        <v/>
      </c>
      <c r="AB14">
        <f>IF($A14="","",IF('Ügyfelek'!AB14="",'Beállítások'!$B$84,MIN(10,MAX(1,ROUND('Ügyfelek'!AB14,0)))))</f>
        <v/>
      </c>
      <c r="AC14">
        <f>IF($A14="","",IF('Ügyfelek'!AC14="",'Beállítások'!$B$84,MIN(10,MAX(1,ROUND('Ügyfelek'!AC14,0)))))</f>
        <v/>
      </c>
      <c r="AD14">
        <f>IF($A14="","",IF('Ügyfelek'!AD14="",'Beállítások'!$B$84,MIN(10,MAX(1,ROUND('Ügyfelek'!AD14,0)))))</f>
        <v/>
      </c>
      <c r="AE14">
        <f>IF($A14="","",IF('Ügyfelek'!AE14="",'Beállítások'!$B$84,MIN(10,MAX(1,ROUND('Ügyfelek'!AE14,0)))))</f>
        <v/>
      </c>
      <c r="AF14">
        <f>IF($A14="","",IF('Ügyfelek'!AF14="",'Beállítások'!$B$84,MIN(10,MAX(1,ROUND('Ügyfelek'!AF14,0)))))</f>
        <v/>
      </c>
      <c r="AG14">
        <f>IF($A14="","",IF('Ügyfelek'!AG14="",'Beállítások'!$B$84,MIN(10,MAX(1,ROUND('Ügyfelek'!AG14,0)))))</f>
        <v/>
      </c>
      <c r="AH14">
        <f>IF($A14="","",IF('Ügyfelek'!AH14="",'Beállítások'!$B$84,IFERROR(VLOOKUP(TRIM('Ügyfelek'!AH14),'Beállítások'!$A$73:$B$79,2,FALSE),'Beállítások'!$B$84)))</f>
        <v/>
      </c>
      <c r="AI14" s="23">
        <f>IF($A14="","",ROUND(100*('Beállítások'!$E$6*(B14-1)+'Beállítások'!$E$7*(C14-1))/(9*'Beállítások'!$B$43),1))</f>
        <v/>
      </c>
      <c r="AJ14" s="23">
        <f>IF($A14="","",ROUND(100*('Beállítások'!$E$8*(D14-1)+'Beállítások'!$E$9*(E14-1)+'Beállítások'!$E$10*(F14-1)+'Beállítások'!$E$11*(G14-1)+'Beállítások'!$E$12*(H14-1)+'Beállítások'!$E$13*(I14-1)+'Beállítások'!$E$14*(J14-1)+'Beállítások'!$E$15*(K14-1)+'Beállítások'!$E$16*(L14-1)+'Beállítások'!$E$17*(M14-1)+'Beállítások'!$E$18*(N14-1)+'Beállítások'!$E$19*(O14-1)+'Beállítások'!$E$20*(P14-1)+'Beállítások'!$E$21*(Q14-1)+'Beállítások'!$E$22*(R14-1))/(9*'Beállítások'!$B$44),1))</f>
        <v/>
      </c>
      <c r="AK14" s="23">
        <f>IF($A14="","",ROUND(100*('Beállítások'!$E$23*(S14-1)+'Beállítások'!$E$24*(T14-1)+'Beállítások'!$E$25*(U14-1)+'Beállítások'!$E$26*(V14-1)+'Beállítások'!$E$27*(W14-1)+'Beállítások'!$E$28*(X14-1)+'Beállítások'!$E$29*(Y14-1))/(9*'Beállítások'!$B$45),1))</f>
        <v/>
      </c>
      <c r="AL14" s="23">
        <f>IF($A14="","",ROUND(100*('Beállítások'!$E$30*(Z14-1)+'Beállítások'!$E$31*(AA14-1)+'Beállítások'!$E$32*(AB14-1)+'Beállítások'!$E$33*(AC14-1)+'Beállítások'!$E$34*(AD14-1)+'Beállítások'!$E$35*(AE14-1)+'Beállítások'!$E$36*(AF14-1)+'Beállítások'!$E$37*(AG14-1)+'Beállítások'!$E$38*(AH14-1))/(9*'Beállítások'!$B$46),1))</f>
        <v/>
      </c>
      <c r="AM14" s="23">
        <f>IF($A14="","",ROUND(100*('Beállítások'!$E$6*(B14-1)+'Beállítások'!$E$7*(C14-1)+'Beállítások'!$E$8*(D14-1)+'Beállítások'!$E$9*(E14-1)+'Beállítások'!$E$10*(F14-1)+'Beállítások'!$E$11*(G14-1)+'Beállítások'!$E$12*(H14-1)+'Beállítások'!$E$13*(I14-1)+'Beállítások'!$E$14*(J14-1)+'Beállítások'!$E$15*(K14-1)+'Beállítások'!$E$16*(L14-1)+'Beállítások'!$E$17*(M14-1)+'Beállítások'!$E$18*(N14-1)+'Beállítások'!$E$19*(O14-1)+'Beállítások'!$E$20*(P14-1)+'Beállítások'!$E$21*(Q14-1)+'Beállítások'!$E$22*(R14-1)+'Beállítások'!$E$23*(S14-1)+'Beállítások'!$E$24*(T14-1)+'Beállítások'!$E$25*(U14-1)+'Beállítások'!$E$26*(V14-1)+'Beállítások'!$E$27*(W14-1)+'Beállítások'!$E$28*(X14-1)+'Beállítások'!$E$29*(Y14-1)+'Beállítások'!$E$30*(Z14-1)+'Beállítások'!$E$31*(AA14-1)+'Beállítások'!$E$32*(AB14-1)+'Beállítások'!$E$33*(AC14-1)+'Beállítások'!$E$34*(AD14-1)+'Beállítások'!$E$35*(AE14-1)+'Beállítások'!$E$36*(AF14-1)+'Beállítások'!$E$37*(AG14-1)+'Beállítások'!$E$38*(AH14-1))/(9*'Beállítások'!$E$39),1))</f>
        <v/>
      </c>
      <c r="AN14" s="23">
        <f>IF($A14="","",ROUND(100*('Beállítások'!$E$8*(D14-1)+'Beállítások'!$E$9*(E14-1)+'Beállítások'!$E$10*(F14-1)+'Beállítások'!$E$11*(G14-1)+'Beállítások'!$E$12*(H14-1)+'Beállítások'!$E$13*(I14-1)+'Beállítások'!$E$14*(J14-1)+'Beállítások'!$E$15*(K14-1)+'Beállítások'!$E$16*(L14-1)+'Beállítások'!$E$17*(M14-1)+'Beállítások'!$E$18*(N14-1)+'Beállítások'!$E$19*(O14-1)+'Beállítások'!$E$20*(P14-1)+'Beállítások'!$E$21*(Q14-1)+'Beállítások'!$E$22*(R14-1)+'Beállítások'!$E$23*(S14-1)+'Beállítások'!$E$24*(T14-1)+'Beállítások'!$E$25*(U14-1)+'Beállítások'!$E$26*(V14-1)+'Beállítások'!$E$27*(W14-1)+'Beállítások'!$E$28*(X14-1)+'Beállítások'!$E$29*(Y14-1))/(9*('Beállítások'!$B$44+'Beállítások'!$B$45)),1))</f>
        <v/>
      </c>
      <c r="AO14" s="24">
        <f>IF($A14="","",RANK(AM14,$AM$2:$AM$201))</f>
        <v/>
      </c>
      <c r="AP14">
        <f>IF($A14="","",IF(OR(AND('Ügyfelek'!B14&lt;&gt;"",B14&lt;='Beállítások'!$B$85),AND('Ügyfelek'!C14&lt;&gt;"",C14&lt;='Beállítások'!$B$86)),"Igen","Nem"))</f>
        <v/>
      </c>
      <c r="AQ14" s="24">
        <f>IF($A14="","",IF(AP14="Igen",5,IF(AN14&gt;='Beállítások'!$C$108,1,IF(AN14&gt;='Beállítások'!$C$109,2,IF(AN14&gt;='Beállítások'!$C$110,3,IF(AND(AN14&gt;='Beállítások'!$B$87,AI14&gt;='Beállítások'!$B$88,AL14&gt;='Beállítások'!$B$89),4,5))))))</f>
        <v/>
      </c>
      <c r="AR14">
        <f>IF($A14="","",INDEX('Beállítások'!$B$108:$B$112,AQ14))</f>
        <v/>
      </c>
      <c r="AS14">
        <f>IF($A14="","",IF(AQ14=5,"Elutasítjuk",IF(AND(AQ14=4,COUNTIFS('Eredmény'!$AQ$2:$AQ$201,4,'Eredmény'!$DY$2:$DY$201,"&gt;"&amp;DY14)&gt;='Beállítások'!$B$90),"Várólista (a 4-es hely foglalt)","Elfogadjuk")))</f>
        <v/>
      </c>
      <c r="AT14">
        <f>IF($A14="","",INDEX('Beállítások'!$F$108:$F$112,AQ14))</f>
        <v/>
      </c>
      <c r="AU14">
        <f>IF($A14="","",INDEX('Beállítások'!$B$6:$B$38,MATCH(MAX(BK14:CQ14),BK14:CQ14,0)))</f>
        <v/>
      </c>
      <c r="AV14">
        <f>IF($A14="","",IF(MAX(CR14:DX14)=0,"—",INDEX('Beállítások'!$B$6:$B$38,MATCH(MAX(CR14:DX14),CR14:DX14,0))))</f>
        <v/>
      </c>
      <c r="AW14" s="10">
        <f>IF($A14="","",'Beállítások'!$B$94*(TRIM('Ügyfelek'!AI14)="igen")+'Beállítások'!$B$95*(TRIM('Ügyfelek'!AJ14)="igen")+'Beállítások'!$B$96*N('Ügyfelek'!AK14)+'Beállítások'!$B$93*N('Ügyfelek'!AL14))</f>
        <v/>
      </c>
      <c r="AX14" s="25">
        <f>IF(OR($A14="",AQ14=5),"",INDEX('Beállítások'!$D$108:$D$112,AQ14))</f>
        <v/>
      </c>
      <c r="AY14" s="10">
        <f>IF($A14="","",N('Ügyfelek'!U14)*'Beállítások'!$B$98)</f>
        <v/>
      </c>
      <c r="AZ14" s="10">
        <f>IF(OR($A14="",AQ14=5),"",CEILING(ROUND(MAX('Beállítások'!$B$97,AW14*AX14,AY14),2),'Beállítások'!$B$99))</f>
        <v/>
      </c>
      <c r="BA14">
        <f>IF($A14="","",IF(AQ14=5,"Elutasítva",IF(MAX('Beállítások'!$B$97,AW14*AX14,AY14)=AW14*AX14,"Munkaigény × státuszszorzó",IF(MAX('Beállítások'!$B$97,AW14*AX14,AY14)=AY14,"Hirdetési keret arányában","Minimumdíj"))))</f>
        <v/>
      </c>
      <c r="BB14" s="10">
        <f>IF(OR($A14="",'Ügyfelek'!AM14=""),"",'Ügyfelek'!AM14)</f>
        <v/>
      </c>
      <c r="BC14" s="10">
        <f>IF(OR(BB14="",AZ14=""),"",AZ14-BB14)</f>
        <v/>
      </c>
      <c r="BD14" s="18">
        <f>IF(OR(BB14="",AZ14="",BB14=0),"",BC14/BB14)</f>
        <v/>
      </c>
      <c r="BE14">
        <f>IF(OR($A14="",AQ14=5),"",IF(AND(INDEX('Beállítások'!$E$108:$E$112,AQ14)&gt;0,Y14&gt;='Beállítások'!$B$91),"Igen","Nem"))</f>
        <v/>
      </c>
      <c r="BF14" s="10">
        <f>IF(BE14="Igen",CEILING(ROUND(AZ14*(1-'Beállítások'!$B$92),2),'Beállítások'!$B$99),"")</f>
        <v/>
      </c>
      <c r="BG14" s="20">
        <f>IF(BE14="Igen",INDEX('Beállítások'!$E$108:$E$112,AQ14),"")</f>
        <v/>
      </c>
      <c r="BH14" s="10">
        <f>IF(OR(BE14&lt;&gt;"Igen",'Ügyfelek'!AN14=""),"",'Ügyfelek'!AN14*BG14)</f>
        <v/>
      </c>
      <c r="BI14" s="24">
        <f>IF($A14="","",('Ügyfelek'!B14="")+('Ügyfelek'!C14="")+('Ügyfelek'!D14="")+('Ügyfelek'!E14="")+('Ügyfelek'!F14="")+('Ügyfelek'!G14="")+('Ügyfelek'!H14="")+('Ügyfelek'!I14="")+('Ügyfelek'!J14="")+('Ügyfelek'!K14="")+('Ügyfelek'!L14="")+('Ügyfelek'!M14="")+('Ügyfelek'!N14="")+('Ügyfelek'!O14="")+('Ügyfelek'!P14="")+('Ügyfelek'!Q14="")+('Ügyfelek'!R14="")+('Ügyfelek'!S14="")+('Ügyfelek'!T14="")+('Ügyfelek'!U14="")+('Ügyfelek'!V14="")+('Ügyfelek'!W14="")+('Ügyfelek'!X14="")+('Ügyfelek'!Y14="")+('Ügyfelek'!Z14="")+('Ügyfelek'!AA14="")+('Ügyfelek'!AB14="")+('Ügyfelek'!AC14="")+('Ügyfelek'!AD14="")+('Ügyfelek'!AE14="")+('Ügyfelek'!AF14="")+('Ügyfelek'!AG14="")+('Ügyfelek'!AH14=""))</f>
        <v/>
      </c>
      <c r="BK14">
        <f>IF($A14="","",B14+'Beállítások'!$E$6/1000)</f>
        <v/>
      </c>
      <c r="BL14">
        <f>IF($A14="","",C14+'Beállítások'!$E$7/1000)</f>
        <v/>
      </c>
      <c r="BM14">
        <f>IF($A14="","",D14+'Beállítások'!$E$8/1000)</f>
        <v/>
      </c>
      <c r="BN14">
        <f>IF($A14="","",E14+'Beállítások'!$E$9/1000)</f>
        <v/>
      </c>
      <c r="BO14">
        <f>IF($A14="","",F14+'Beállítások'!$E$10/1000)</f>
        <v/>
      </c>
      <c r="BP14">
        <f>IF($A14="","",G14+'Beállítások'!$E$11/1000)</f>
        <v/>
      </c>
      <c r="BQ14">
        <f>IF($A14="","",H14+'Beállítások'!$E$12/1000)</f>
        <v/>
      </c>
      <c r="BR14">
        <f>IF($A14="","",I14+'Beállítások'!$E$13/1000)</f>
        <v/>
      </c>
      <c r="BS14">
        <f>IF($A14="","",J14+'Beállítások'!$E$14/1000)</f>
        <v/>
      </c>
      <c r="BT14">
        <f>IF($A14="","",K14+'Beállítások'!$E$15/1000)</f>
        <v/>
      </c>
      <c r="BU14">
        <f>IF($A14="","",L14+'Beállítások'!$E$16/1000)</f>
        <v/>
      </c>
      <c r="BV14">
        <f>IF($A14="","",M14+'Beállítások'!$E$17/1000)</f>
        <v/>
      </c>
      <c r="BW14">
        <f>IF($A14="","",N14+'Beállítások'!$E$18/1000)</f>
        <v/>
      </c>
      <c r="BX14">
        <f>IF($A14="","",O14+'Beállítások'!$E$19/1000)</f>
        <v/>
      </c>
      <c r="BY14">
        <f>IF($A14="","",P14+'Beállítások'!$E$20/1000)</f>
        <v/>
      </c>
      <c r="BZ14">
        <f>IF($A14="","",Q14+'Beállítások'!$E$21/1000)</f>
        <v/>
      </c>
      <c r="CA14">
        <f>IF($A14="","",R14+'Beállítások'!$E$22/1000)</f>
        <v/>
      </c>
      <c r="CB14">
        <f>IF($A14="","",S14+'Beállítások'!$E$23/1000)</f>
        <v/>
      </c>
      <c r="CC14">
        <f>IF($A14="","",T14+'Beállítások'!$E$24/1000)</f>
        <v/>
      </c>
      <c r="CD14">
        <f>IF($A14="","",U14+'Beállítások'!$E$25/1000)</f>
        <v/>
      </c>
      <c r="CE14">
        <f>IF($A14="","",V14+'Beállítások'!$E$26/1000)</f>
        <v/>
      </c>
      <c r="CF14">
        <f>IF($A14="","",W14+'Beállítások'!$E$27/1000)</f>
        <v/>
      </c>
      <c r="CG14">
        <f>IF($A14="","",X14+'Beállítások'!$E$28/1000)</f>
        <v/>
      </c>
      <c r="CH14">
        <f>IF($A14="","",Y14+'Beállítások'!$E$29/1000)</f>
        <v/>
      </c>
      <c r="CI14">
        <f>IF($A14="","",Z14+'Beállítások'!$E$30/1000)</f>
        <v/>
      </c>
      <c r="CJ14">
        <f>IF($A14="","",AA14+'Beállítások'!$E$31/1000)</f>
        <v/>
      </c>
      <c r="CK14">
        <f>IF($A14="","",AB14+'Beállítások'!$E$32/1000)</f>
        <v/>
      </c>
      <c r="CL14">
        <f>IF($A14="","",AC14+'Beállítások'!$E$33/1000)</f>
        <v/>
      </c>
      <c r="CM14">
        <f>IF($A14="","",AD14+'Beállítások'!$E$34/1000)</f>
        <v/>
      </c>
      <c r="CN14">
        <f>IF($A14="","",AE14+'Beállítások'!$E$35/1000)</f>
        <v/>
      </c>
      <c r="CO14">
        <f>IF($A14="","",AF14+'Beállítások'!$E$36/1000)</f>
        <v/>
      </c>
      <c r="CP14">
        <f>IF($A14="","",AG14+'Beállítások'!$E$37/1000)</f>
        <v/>
      </c>
      <c r="CQ14">
        <f>IF($A14="","",AH14+'Beállítások'!$E$38/1000)</f>
        <v/>
      </c>
      <c r="CR14">
        <f>IF($A14="","",'Beállítások'!$E$6*(10-B14))</f>
        <v/>
      </c>
      <c r="CS14">
        <f>IF($A14="","",'Beállítások'!$E$7*(10-C14))</f>
        <v/>
      </c>
      <c r="CT14">
        <f>IF($A14="","",'Beállítások'!$E$8*(10-D14))</f>
        <v/>
      </c>
      <c r="CU14">
        <f>IF($A14="","",'Beállítások'!$E$9*(10-E14))</f>
        <v/>
      </c>
      <c r="CV14">
        <f>IF($A14="","",'Beállítások'!$E$10*(10-F14))</f>
        <v/>
      </c>
      <c r="CW14">
        <f>IF($A14="","",'Beállítások'!$E$11*(10-G14))</f>
        <v/>
      </c>
      <c r="CX14">
        <f>IF($A14="","",'Beállítások'!$E$12*(10-H14))</f>
        <v/>
      </c>
      <c r="CY14">
        <f>IF($A14="","",'Beállítások'!$E$13*(10-I14))</f>
        <v/>
      </c>
      <c r="CZ14">
        <f>IF($A14="","",'Beállítások'!$E$14*(10-J14))</f>
        <v/>
      </c>
      <c r="DA14">
        <f>IF($A14="","",'Beállítások'!$E$15*(10-K14))</f>
        <v/>
      </c>
      <c r="DB14">
        <f>IF($A14="","",'Beállítások'!$E$16*(10-L14))</f>
        <v/>
      </c>
      <c r="DC14">
        <f>IF($A14="","",'Beállítások'!$E$17*(10-M14))</f>
        <v/>
      </c>
      <c r="DD14">
        <f>IF($A14="","",'Beállítások'!$E$18*(10-N14))</f>
        <v/>
      </c>
      <c r="DE14">
        <f>IF($A14="","",'Beállítások'!$E$19*(10-O14))</f>
        <v/>
      </c>
      <c r="DF14">
        <f>IF($A14="","",'Beállítások'!$E$20*(10-P14))</f>
        <v/>
      </c>
      <c r="DG14">
        <f>IF($A14="","",'Beállítások'!$E$21*(10-Q14))</f>
        <v/>
      </c>
      <c r="DH14">
        <f>IF($A14="","",'Beállítások'!$E$22*(10-R14))</f>
        <v/>
      </c>
      <c r="DI14">
        <f>IF($A14="","",'Beállítások'!$E$23*(10-S14))</f>
        <v/>
      </c>
      <c r="DJ14">
        <f>IF($A14="","",'Beállítások'!$E$24*(10-T14))</f>
        <v/>
      </c>
      <c r="DK14">
        <f>IF($A14="","",'Beállítások'!$E$25*(10-U14))</f>
        <v/>
      </c>
      <c r="DL14">
        <f>IF($A14="","",'Beállítások'!$E$26*(10-V14))</f>
        <v/>
      </c>
      <c r="DM14">
        <f>IF($A14="","",'Beállítások'!$E$27*(10-W14))</f>
        <v/>
      </c>
      <c r="DN14">
        <f>IF($A14="","",'Beállítások'!$E$28*(10-X14))</f>
        <v/>
      </c>
      <c r="DO14">
        <f>IF($A14="","",'Beállítások'!$E$29*(10-Y14))</f>
        <v/>
      </c>
      <c r="DP14">
        <f>IF($A14="","",'Beállítások'!$E$30*(10-Z14))</f>
        <v/>
      </c>
      <c r="DQ14">
        <f>IF($A14="","",'Beállítások'!$E$31*(10-AA14))</f>
        <v/>
      </c>
      <c r="DR14">
        <f>IF($A14="","",'Beállítások'!$E$32*(10-AB14))</f>
        <v/>
      </c>
      <c r="DS14">
        <f>IF($A14="","",'Beállítások'!$E$33*(10-AC14))</f>
        <v/>
      </c>
      <c r="DT14">
        <f>IF($A14="","",'Beállítások'!$E$34*(10-AD14))</f>
        <v/>
      </c>
      <c r="DU14">
        <f>IF($A14="","",'Beállítások'!$E$35*(10-AE14))</f>
        <v/>
      </c>
      <c r="DV14">
        <f>IF($A14="","",'Beállítások'!$E$36*(10-AF14))</f>
        <v/>
      </c>
      <c r="DW14">
        <f>IF($A14="","",'Beállítások'!$E$37*(10-AG14))</f>
        <v/>
      </c>
      <c r="DX14">
        <f>IF($A14="","",'Beállítások'!$E$38*(10-AH14))</f>
        <v/>
      </c>
      <c r="DY14">
        <f>IF($A14="","",AM14-ROW()/100000)</f>
        <v/>
      </c>
    </row>
    <row r="15">
      <c r="A15">
        <f>IF('Ügyfelek'!A15="","",'Ügyfelek'!A15)</f>
        <v/>
      </c>
      <c r="B15">
        <f>IF($A15="","",IF('Ügyfelek'!B15="",'Beállítások'!$B$84,IFERROR(VLOOKUP(TRIM('Ügyfelek'!B15),'Beállítások'!$A$51:$B$59,2,FALSE),'Beállítások'!$B$84)))</f>
        <v/>
      </c>
      <c r="C15">
        <f>IF($A15="","",IF('Ügyfelek'!C15="",'Beállítások'!$B$84,MIN(10,MAX(1,ROUND('Ügyfelek'!C15,0)))))</f>
        <v/>
      </c>
      <c r="D15">
        <f>IF($A15="","",IF('Ügyfelek'!D15="",'Beállítások'!$B$84,MIN(10,MAX(1,ROUND('Ügyfelek'!D15,0)))))</f>
        <v/>
      </c>
      <c r="E15">
        <f>IF($A15="","",IF('Ügyfelek'!E15="",'Beállítások'!$B$84,MIN(10,MAX(1,ROUND('Ügyfelek'!E15,0)))))</f>
        <v/>
      </c>
      <c r="F15">
        <f>IF($A15="","",IF('Ügyfelek'!F15="",'Beállítások'!$B$84,MIN(10,MAX(1,ROUND('Ügyfelek'!F15,0)))))</f>
        <v/>
      </c>
      <c r="G15">
        <f>IF($A15="","",IF('Ügyfelek'!G15="",'Beállítások'!$B$84,MIN(10,MAX(1,ROUND('Ügyfelek'!G15,0)))))</f>
        <v/>
      </c>
      <c r="H15">
        <f>IF($A15="","",IF('Ügyfelek'!H15="",'Beállítások'!$B$84,MIN(10,MAX(1,ROUND('Ügyfelek'!H15,0)))))</f>
        <v/>
      </c>
      <c r="I15">
        <f>IF($A15="","",IF('Ügyfelek'!I15="",'Beállítások'!$B$84,MIN(10,MAX(1,ROUND('Ügyfelek'!I15,0)))))</f>
        <v/>
      </c>
      <c r="J15">
        <f>IF($A15="","",IF('Ügyfelek'!J15="",'Beállítások'!$B$84,MIN(10,MAX(1,ROUND('Ügyfelek'!J15,0)))))</f>
        <v/>
      </c>
      <c r="K15">
        <f>IF($A15="","",IF('Ügyfelek'!K15="",'Beállítások'!$B$84,MIN(10,MAX(1,ROUND('Ügyfelek'!K15,0)))))</f>
        <v/>
      </c>
      <c r="L15">
        <f>IF($A15="","",IF('Ügyfelek'!L15="",'Beállítások'!$B$84,MIN(10,MAX(1,ROUND('Ügyfelek'!L15,0)))))</f>
        <v/>
      </c>
      <c r="M15">
        <f>IF($A15="","",IF('Ügyfelek'!M15="",'Beállítások'!$B$84,MIN(10,MAX(1,ROUND('Ügyfelek'!M15,0)))))</f>
        <v/>
      </c>
      <c r="N15">
        <f>IF($A15="","",IF('Ügyfelek'!N15="",'Beállítások'!$B$84,MIN(10,MAX(1,ROUND('Ügyfelek'!N15,0)))))</f>
        <v/>
      </c>
      <c r="O15">
        <f>IF($A15="","",IF('Ügyfelek'!O15="",'Beállítások'!$B$84,MIN(10,MAX(1,ROUND('Ügyfelek'!O15,0)))))</f>
        <v/>
      </c>
      <c r="P15">
        <f>IF($A15="","",IF('Ügyfelek'!P15="",'Beállítások'!$B$84,MIN(10,MAX(1,ROUND('Ügyfelek'!P15,0)))))</f>
        <v/>
      </c>
      <c r="Q15">
        <f>IF($A15="","",IF('Ügyfelek'!Q15="",'Beállítások'!$B$84,MIN(10,MAX(1,ROUND('Ügyfelek'!Q15,0)))))</f>
        <v/>
      </c>
      <c r="R15">
        <f>IF($A15="","",IF('Ügyfelek'!R15="",'Beállítások'!$B$84,MIN(10,MAX(1,ROUND('Ügyfelek'!R15,0)))))</f>
        <v/>
      </c>
      <c r="S15">
        <f>IF($A15="","",IF('Ügyfelek'!S15="",'Beállítások'!$B$84,MIN(10,MAX(1,ROUND('Ügyfelek'!S15,0)))))</f>
        <v/>
      </c>
      <c r="T15">
        <f>IF($A15="","",IF('Ügyfelek'!T15="",'Beállítások'!$B$84,VLOOKUP(MAX('Ügyfelek'!T15,'Beállítások'!$H$7),'Beállítások'!$H$7:$I$12,2,TRUE)))</f>
        <v/>
      </c>
      <c r="U15">
        <f>IF($A15="","",IF('Ügyfelek'!U15="",'Beállítások'!$B$84,VLOOKUP(MAX('Ügyfelek'!U15,'Beállítások'!$K$7),'Beállítások'!$K$7:$L$12,2,TRUE)))</f>
        <v/>
      </c>
      <c r="V15">
        <f>IF($A15="","",IF('Ügyfelek'!V15="",'Beállítások'!$B$84,MIN(10,MAX(1,ROUND('Ügyfelek'!V15,0)))))</f>
        <v/>
      </c>
      <c r="W15">
        <f>IF($A15="","",IF('Ügyfelek'!W15="",'Beállítások'!$B$84,VLOOKUP(MAX('Ügyfelek'!W15,'Beállítások'!$N$7),'Beállítások'!$N$7:$O$12,2,TRUE)))</f>
        <v/>
      </c>
      <c r="X15">
        <f>IF($A15="","",IF('Ügyfelek'!X15="",'Beállítások'!$B$84,MIN(10,MAX(1,ROUND('Ügyfelek'!X15,0)))))</f>
        <v/>
      </c>
      <c r="Y15">
        <f>IF($A15="","",IF('Ügyfelek'!Y15="",'Beállítások'!$B$84,IFERROR(VLOOKUP(TRIM('Ügyfelek'!Y15),'Beállítások'!$A$63:$B$69,2,FALSE),'Beállítások'!$B$84)))</f>
        <v/>
      </c>
      <c r="Z15">
        <f>IF($A15="","",IF('Ügyfelek'!Z15="",'Beállítások'!$B$84,VLOOKUP(MAX('Ügyfelek'!Z15,'Beállítások'!$Q$7),'Beállítások'!$Q$7:$R$12,2,TRUE)))</f>
        <v/>
      </c>
      <c r="AA15">
        <f>IF($A15="","",IF('Ügyfelek'!AA15="",'Beállítások'!$B$84,VLOOKUP(MAX('Ügyfelek'!AA15,'Beállítások'!$T$7),'Beállítások'!$T$7:$U$12,2,TRUE)))</f>
        <v/>
      </c>
      <c r="AB15">
        <f>IF($A15="","",IF('Ügyfelek'!AB15="",'Beállítások'!$B$84,MIN(10,MAX(1,ROUND('Ügyfelek'!AB15,0)))))</f>
        <v/>
      </c>
      <c r="AC15">
        <f>IF($A15="","",IF('Ügyfelek'!AC15="",'Beállítások'!$B$84,MIN(10,MAX(1,ROUND('Ügyfelek'!AC15,0)))))</f>
        <v/>
      </c>
      <c r="AD15">
        <f>IF($A15="","",IF('Ügyfelek'!AD15="",'Beállítások'!$B$84,MIN(10,MAX(1,ROUND('Ügyfelek'!AD15,0)))))</f>
        <v/>
      </c>
      <c r="AE15">
        <f>IF($A15="","",IF('Ügyfelek'!AE15="",'Beállítások'!$B$84,MIN(10,MAX(1,ROUND('Ügyfelek'!AE15,0)))))</f>
        <v/>
      </c>
      <c r="AF15">
        <f>IF($A15="","",IF('Ügyfelek'!AF15="",'Beállítások'!$B$84,MIN(10,MAX(1,ROUND('Ügyfelek'!AF15,0)))))</f>
        <v/>
      </c>
      <c r="AG15">
        <f>IF($A15="","",IF('Ügyfelek'!AG15="",'Beállítások'!$B$84,MIN(10,MAX(1,ROUND('Ügyfelek'!AG15,0)))))</f>
        <v/>
      </c>
      <c r="AH15">
        <f>IF($A15="","",IF('Ügyfelek'!AH15="",'Beállítások'!$B$84,IFERROR(VLOOKUP(TRIM('Ügyfelek'!AH15),'Beállítások'!$A$73:$B$79,2,FALSE),'Beállítások'!$B$84)))</f>
        <v/>
      </c>
      <c r="AI15" s="23">
        <f>IF($A15="","",ROUND(100*('Beállítások'!$E$6*(B15-1)+'Beállítások'!$E$7*(C15-1))/(9*'Beállítások'!$B$43),1))</f>
        <v/>
      </c>
      <c r="AJ15" s="23">
        <f>IF($A15="","",ROUND(100*('Beállítások'!$E$8*(D15-1)+'Beállítások'!$E$9*(E15-1)+'Beállítások'!$E$10*(F15-1)+'Beállítások'!$E$11*(G15-1)+'Beállítások'!$E$12*(H15-1)+'Beállítások'!$E$13*(I15-1)+'Beállítások'!$E$14*(J15-1)+'Beállítások'!$E$15*(K15-1)+'Beállítások'!$E$16*(L15-1)+'Beállítások'!$E$17*(M15-1)+'Beállítások'!$E$18*(N15-1)+'Beállítások'!$E$19*(O15-1)+'Beállítások'!$E$20*(P15-1)+'Beállítások'!$E$21*(Q15-1)+'Beállítások'!$E$22*(R15-1))/(9*'Beállítások'!$B$44),1))</f>
        <v/>
      </c>
      <c r="AK15" s="23">
        <f>IF($A15="","",ROUND(100*('Beállítások'!$E$23*(S15-1)+'Beállítások'!$E$24*(T15-1)+'Beállítások'!$E$25*(U15-1)+'Beállítások'!$E$26*(V15-1)+'Beállítások'!$E$27*(W15-1)+'Beállítások'!$E$28*(X15-1)+'Beállítások'!$E$29*(Y15-1))/(9*'Beállítások'!$B$45),1))</f>
        <v/>
      </c>
      <c r="AL15" s="23">
        <f>IF($A15="","",ROUND(100*('Beállítások'!$E$30*(Z15-1)+'Beállítások'!$E$31*(AA15-1)+'Beállítások'!$E$32*(AB15-1)+'Beállítások'!$E$33*(AC15-1)+'Beállítások'!$E$34*(AD15-1)+'Beállítások'!$E$35*(AE15-1)+'Beállítások'!$E$36*(AF15-1)+'Beállítások'!$E$37*(AG15-1)+'Beállítások'!$E$38*(AH15-1))/(9*'Beállítások'!$B$46),1))</f>
        <v/>
      </c>
      <c r="AM15" s="23">
        <f>IF($A15="","",ROUND(100*('Beállítások'!$E$6*(B15-1)+'Beállítások'!$E$7*(C15-1)+'Beállítások'!$E$8*(D15-1)+'Beállítások'!$E$9*(E15-1)+'Beállítások'!$E$10*(F15-1)+'Beállítások'!$E$11*(G15-1)+'Beállítások'!$E$12*(H15-1)+'Beállítások'!$E$13*(I15-1)+'Beállítások'!$E$14*(J15-1)+'Beállítások'!$E$15*(K15-1)+'Beállítások'!$E$16*(L15-1)+'Beállítások'!$E$17*(M15-1)+'Beállítások'!$E$18*(N15-1)+'Beállítások'!$E$19*(O15-1)+'Beállítások'!$E$20*(P15-1)+'Beállítások'!$E$21*(Q15-1)+'Beállítások'!$E$22*(R15-1)+'Beállítások'!$E$23*(S15-1)+'Beállítások'!$E$24*(T15-1)+'Beállítások'!$E$25*(U15-1)+'Beállítások'!$E$26*(V15-1)+'Beállítások'!$E$27*(W15-1)+'Beállítások'!$E$28*(X15-1)+'Beállítások'!$E$29*(Y15-1)+'Beállítások'!$E$30*(Z15-1)+'Beállítások'!$E$31*(AA15-1)+'Beállítások'!$E$32*(AB15-1)+'Beállítások'!$E$33*(AC15-1)+'Beállítások'!$E$34*(AD15-1)+'Beállítások'!$E$35*(AE15-1)+'Beállítások'!$E$36*(AF15-1)+'Beállítások'!$E$37*(AG15-1)+'Beállítások'!$E$38*(AH15-1))/(9*'Beállítások'!$E$39),1))</f>
        <v/>
      </c>
      <c r="AN15" s="23">
        <f>IF($A15="","",ROUND(100*('Beállítások'!$E$8*(D15-1)+'Beállítások'!$E$9*(E15-1)+'Beállítások'!$E$10*(F15-1)+'Beállítások'!$E$11*(G15-1)+'Beállítások'!$E$12*(H15-1)+'Beállítások'!$E$13*(I15-1)+'Beállítások'!$E$14*(J15-1)+'Beállítások'!$E$15*(K15-1)+'Beállítások'!$E$16*(L15-1)+'Beállítások'!$E$17*(M15-1)+'Beállítások'!$E$18*(N15-1)+'Beállítások'!$E$19*(O15-1)+'Beállítások'!$E$20*(P15-1)+'Beállítások'!$E$21*(Q15-1)+'Beállítások'!$E$22*(R15-1)+'Beállítások'!$E$23*(S15-1)+'Beállítások'!$E$24*(T15-1)+'Beállítások'!$E$25*(U15-1)+'Beállítások'!$E$26*(V15-1)+'Beállítások'!$E$27*(W15-1)+'Beállítások'!$E$28*(X15-1)+'Beállítások'!$E$29*(Y15-1))/(9*('Beállítások'!$B$44+'Beállítások'!$B$45)),1))</f>
        <v/>
      </c>
      <c r="AO15" s="24">
        <f>IF($A15="","",RANK(AM15,$AM$2:$AM$201))</f>
        <v/>
      </c>
      <c r="AP15">
        <f>IF($A15="","",IF(OR(AND('Ügyfelek'!B15&lt;&gt;"",B15&lt;='Beállítások'!$B$85),AND('Ügyfelek'!C15&lt;&gt;"",C15&lt;='Beállítások'!$B$86)),"Igen","Nem"))</f>
        <v/>
      </c>
      <c r="AQ15" s="24">
        <f>IF($A15="","",IF(AP15="Igen",5,IF(AN15&gt;='Beállítások'!$C$108,1,IF(AN15&gt;='Beállítások'!$C$109,2,IF(AN15&gt;='Beállítások'!$C$110,3,IF(AND(AN15&gt;='Beállítások'!$B$87,AI15&gt;='Beállítások'!$B$88,AL15&gt;='Beállítások'!$B$89),4,5))))))</f>
        <v/>
      </c>
      <c r="AR15">
        <f>IF($A15="","",INDEX('Beállítások'!$B$108:$B$112,AQ15))</f>
        <v/>
      </c>
      <c r="AS15">
        <f>IF($A15="","",IF(AQ15=5,"Elutasítjuk",IF(AND(AQ15=4,COUNTIFS('Eredmény'!$AQ$2:$AQ$201,4,'Eredmény'!$DY$2:$DY$201,"&gt;"&amp;DY15)&gt;='Beállítások'!$B$90),"Várólista (a 4-es hely foglalt)","Elfogadjuk")))</f>
        <v/>
      </c>
      <c r="AT15">
        <f>IF($A15="","",INDEX('Beállítások'!$F$108:$F$112,AQ15))</f>
        <v/>
      </c>
      <c r="AU15">
        <f>IF($A15="","",INDEX('Beállítások'!$B$6:$B$38,MATCH(MAX(BK15:CQ15),BK15:CQ15,0)))</f>
        <v/>
      </c>
      <c r="AV15">
        <f>IF($A15="","",IF(MAX(CR15:DX15)=0,"—",INDEX('Beállítások'!$B$6:$B$38,MATCH(MAX(CR15:DX15),CR15:DX15,0))))</f>
        <v/>
      </c>
      <c r="AW15" s="10">
        <f>IF($A15="","",'Beállítások'!$B$94*(TRIM('Ügyfelek'!AI15)="igen")+'Beállítások'!$B$95*(TRIM('Ügyfelek'!AJ15)="igen")+'Beállítások'!$B$96*N('Ügyfelek'!AK15)+'Beállítások'!$B$93*N('Ügyfelek'!AL15))</f>
        <v/>
      </c>
      <c r="AX15" s="25">
        <f>IF(OR($A15="",AQ15=5),"",INDEX('Beállítások'!$D$108:$D$112,AQ15))</f>
        <v/>
      </c>
      <c r="AY15" s="10">
        <f>IF($A15="","",N('Ügyfelek'!U15)*'Beállítások'!$B$98)</f>
        <v/>
      </c>
      <c r="AZ15" s="10">
        <f>IF(OR($A15="",AQ15=5),"",CEILING(ROUND(MAX('Beállítások'!$B$97,AW15*AX15,AY15),2),'Beállítások'!$B$99))</f>
        <v/>
      </c>
      <c r="BA15">
        <f>IF($A15="","",IF(AQ15=5,"Elutasítva",IF(MAX('Beállítások'!$B$97,AW15*AX15,AY15)=AW15*AX15,"Munkaigény × státuszszorzó",IF(MAX('Beállítások'!$B$97,AW15*AX15,AY15)=AY15,"Hirdetési keret arányában","Minimumdíj"))))</f>
        <v/>
      </c>
      <c r="BB15" s="10">
        <f>IF(OR($A15="",'Ügyfelek'!AM15=""),"",'Ügyfelek'!AM15)</f>
        <v/>
      </c>
      <c r="BC15" s="10">
        <f>IF(OR(BB15="",AZ15=""),"",AZ15-BB15)</f>
        <v/>
      </c>
      <c r="BD15" s="18">
        <f>IF(OR(BB15="",AZ15="",BB15=0),"",BC15/BB15)</f>
        <v/>
      </c>
      <c r="BE15">
        <f>IF(OR($A15="",AQ15=5),"",IF(AND(INDEX('Beállítások'!$E$108:$E$112,AQ15)&gt;0,Y15&gt;='Beállítások'!$B$91),"Igen","Nem"))</f>
        <v/>
      </c>
      <c r="BF15" s="10">
        <f>IF(BE15="Igen",CEILING(ROUND(AZ15*(1-'Beállítások'!$B$92),2),'Beállítások'!$B$99),"")</f>
        <v/>
      </c>
      <c r="BG15" s="20">
        <f>IF(BE15="Igen",INDEX('Beállítások'!$E$108:$E$112,AQ15),"")</f>
        <v/>
      </c>
      <c r="BH15" s="10">
        <f>IF(OR(BE15&lt;&gt;"Igen",'Ügyfelek'!AN15=""),"",'Ügyfelek'!AN15*BG15)</f>
        <v/>
      </c>
      <c r="BI15" s="24">
        <f>IF($A15="","",('Ügyfelek'!B15="")+('Ügyfelek'!C15="")+('Ügyfelek'!D15="")+('Ügyfelek'!E15="")+('Ügyfelek'!F15="")+('Ügyfelek'!G15="")+('Ügyfelek'!H15="")+('Ügyfelek'!I15="")+('Ügyfelek'!J15="")+('Ügyfelek'!K15="")+('Ügyfelek'!L15="")+('Ügyfelek'!M15="")+('Ügyfelek'!N15="")+('Ügyfelek'!O15="")+('Ügyfelek'!P15="")+('Ügyfelek'!Q15="")+('Ügyfelek'!R15="")+('Ügyfelek'!S15="")+('Ügyfelek'!T15="")+('Ügyfelek'!U15="")+('Ügyfelek'!V15="")+('Ügyfelek'!W15="")+('Ügyfelek'!X15="")+('Ügyfelek'!Y15="")+('Ügyfelek'!Z15="")+('Ügyfelek'!AA15="")+('Ügyfelek'!AB15="")+('Ügyfelek'!AC15="")+('Ügyfelek'!AD15="")+('Ügyfelek'!AE15="")+('Ügyfelek'!AF15="")+('Ügyfelek'!AG15="")+('Ügyfelek'!AH15=""))</f>
        <v/>
      </c>
      <c r="BK15">
        <f>IF($A15="","",B15+'Beállítások'!$E$6/1000)</f>
        <v/>
      </c>
      <c r="BL15">
        <f>IF($A15="","",C15+'Beállítások'!$E$7/1000)</f>
        <v/>
      </c>
      <c r="BM15">
        <f>IF($A15="","",D15+'Beállítások'!$E$8/1000)</f>
        <v/>
      </c>
      <c r="BN15">
        <f>IF($A15="","",E15+'Beállítások'!$E$9/1000)</f>
        <v/>
      </c>
      <c r="BO15">
        <f>IF($A15="","",F15+'Beállítások'!$E$10/1000)</f>
        <v/>
      </c>
      <c r="BP15">
        <f>IF($A15="","",G15+'Beállítások'!$E$11/1000)</f>
        <v/>
      </c>
      <c r="BQ15">
        <f>IF($A15="","",H15+'Beállítások'!$E$12/1000)</f>
        <v/>
      </c>
      <c r="BR15">
        <f>IF($A15="","",I15+'Beállítások'!$E$13/1000)</f>
        <v/>
      </c>
      <c r="BS15">
        <f>IF($A15="","",J15+'Beállítások'!$E$14/1000)</f>
        <v/>
      </c>
      <c r="BT15">
        <f>IF($A15="","",K15+'Beállítások'!$E$15/1000)</f>
        <v/>
      </c>
      <c r="BU15">
        <f>IF($A15="","",L15+'Beállítások'!$E$16/1000)</f>
        <v/>
      </c>
      <c r="BV15">
        <f>IF($A15="","",M15+'Beállítások'!$E$17/1000)</f>
        <v/>
      </c>
      <c r="BW15">
        <f>IF($A15="","",N15+'Beállítások'!$E$18/1000)</f>
        <v/>
      </c>
      <c r="BX15">
        <f>IF($A15="","",O15+'Beállítások'!$E$19/1000)</f>
        <v/>
      </c>
      <c r="BY15">
        <f>IF($A15="","",P15+'Beállítások'!$E$20/1000)</f>
        <v/>
      </c>
      <c r="BZ15">
        <f>IF($A15="","",Q15+'Beállítások'!$E$21/1000)</f>
        <v/>
      </c>
      <c r="CA15">
        <f>IF($A15="","",R15+'Beállítások'!$E$22/1000)</f>
        <v/>
      </c>
      <c r="CB15">
        <f>IF($A15="","",S15+'Beállítások'!$E$23/1000)</f>
        <v/>
      </c>
      <c r="CC15">
        <f>IF($A15="","",T15+'Beállítások'!$E$24/1000)</f>
        <v/>
      </c>
      <c r="CD15">
        <f>IF($A15="","",U15+'Beállítások'!$E$25/1000)</f>
        <v/>
      </c>
      <c r="CE15">
        <f>IF($A15="","",V15+'Beállítások'!$E$26/1000)</f>
        <v/>
      </c>
      <c r="CF15">
        <f>IF($A15="","",W15+'Beállítások'!$E$27/1000)</f>
        <v/>
      </c>
      <c r="CG15">
        <f>IF($A15="","",X15+'Beállítások'!$E$28/1000)</f>
        <v/>
      </c>
      <c r="CH15">
        <f>IF($A15="","",Y15+'Beállítások'!$E$29/1000)</f>
        <v/>
      </c>
      <c r="CI15">
        <f>IF($A15="","",Z15+'Beállítások'!$E$30/1000)</f>
        <v/>
      </c>
      <c r="CJ15">
        <f>IF($A15="","",AA15+'Beállítások'!$E$31/1000)</f>
        <v/>
      </c>
      <c r="CK15">
        <f>IF($A15="","",AB15+'Beállítások'!$E$32/1000)</f>
        <v/>
      </c>
      <c r="CL15">
        <f>IF($A15="","",AC15+'Beállítások'!$E$33/1000)</f>
        <v/>
      </c>
      <c r="CM15">
        <f>IF($A15="","",AD15+'Beállítások'!$E$34/1000)</f>
        <v/>
      </c>
      <c r="CN15">
        <f>IF($A15="","",AE15+'Beállítások'!$E$35/1000)</f>
        <v/>
      </c>
      <c r="CO15">
        <f>IF($A15="","",AF15+'Beállítások'!$E$36/1000)</f>
        <v/>
      </c>
      <c r="CP15">
        <f>IF($A15="","",AG15+'Beállítások'!$E$37/1000)</f>
        <v/>
      </c>
      <c r="CQ15">
        <f>IF($A15="","",AH15+'Beállítások'!$E$38/1000)</f>
        <v/>
      </c>
      <c r="CR15">
        <f>IF($A15="","",'Beállítások'!$E$6*(10-B15))</f>
        <v/>
      </c>
      <c r="CS15">
        <f>IF($A15="","",'Beállítások'!$E$7*(10-C15))</f>
        <v/>
      </c>
      <c r="CT15">
        <f>IF($A15="","",'Beállítások'!$E$8*(10-D15))</f>
        <v/>
      </c>
      <c r="CU15">
        <f>IF($A15="","",'Beállítások'!$E$9*(10-E15))</f>
        <v/>
      </c>
      <c r="CV15">
        <f>IF($A15="","",'Beállítások'!$E$10*(10-F15))</f>
        <v/>
      </c>
      <c r="CW15">
        <f>IF($A15="","",'Beállítások'!$E$11*(10-G15))</f>
        <v/>
      </c>
      <c r="CX15">
        <f>IF($A15="","",'Beállítások'!$E$12*(10-H15))</f>
        <v/>
      </c>
      <c r="CY15">
        <f>IF($A15="","",'Beállítások'!$E$13*(10-I15))</f>
        <v/>
      </c>
      <c r="CZ15">
        <f>IF($A15="","",'Beállítások'!$E$14*(10-J15))</f>
        <v/>
      </c>
      <c r="DA15">
        <f>IF($A15="","",'Beállítások'!$E$15*(10-K15))</f>
        <v/>
      </c>
      <c r="DB15">
        <f>IF($A15="","",'Beállítások'!$E$16*(10-L15))</f>
        <v/>
      </c>
      <c r="DC15">
        <f>IF($A15="","",'Beállítások'!$E$17*(10-M15))</f>
        <v/>
      </c>
      <c r="DD15">
        <f>IF($A15="","",'Beállítások'!$E$18*(10-N15))</f>
        <v/>
      </c>
      <c r="DE15">
        <f>IF($A15="","",'Beállítások'!$E$19*(10-O15))</f>
        <v/>
      </c>
      <c r="DF15">
        <f>IF($A15="","",'Beállítások'!$E$20*(10-P15))</f>
        <v/>
      </c>
      <c r="DG15">
        <f>IF($A15="","",'Beállítások'!$E$21*(10-Q15))</f>
        <v/>
      </c>
      <c r="DH15">
        <f>IF($A15="","",'Beállítások'!$E$22*(10-R15))</f>
        <v/>
      </c>
      <c r="DI15">
        <f>IF($A15="","",'Beállítások'!$E$23*(10-S15))</f>
        <v/>
      </c>
      <c r="DJ15">
        <f>IF($A15="","",'Beállítások'!$E$24*(10-T15))</f>
        <v/>
      </c>
      <c r="DK15">
        <f>IF($A15="","",'Beállítások'!$E$25*(10-U15))</f>
        <v/>
      </c>
      <c r="DL15">
        <f>IF($A15="","",'Beállítások'!$E$26*(10-V15))</f>
        <v/>
      </c>
      <c r="DM15">
        <f>IF($A15="","",'Beállítások'!$E$27*(10-W15))</f>
        <v/>
      </c>
      <c r="DN15">
        <f>IF($A15="","",'Beállítások'!$E$28*(10-X15))</f>
        <v/>
      </c>
      <c r="DO15">
        <f>IF($A15="","",'Beállítások'!$E$29*(10-Y15))</f>
        <v/>
      </c>
      <c r="DP15">
        <f>IF($A15="","",'Beállítások'!$E$30*(10-Z15))</f>
        <v/>
      </c>
      <c r="DQ15">
        <f>IF($A15="","",'Beállítások'!$E$31*(10-AA15))</f>
        <v/>
      </c>
      <c r="DR15">
        <f>IF($A15="","",'Beállítások'!$E$32*(10-AB15))</f>
        <v/>
      </c>
      <c r="DS15">
        <f>IF($A15="","",'Beállítások'!$E$33*(10-AC15))</f>
        <v/>
      </c>
      <c r="DT15">
        <f>IF($A15="","",'Beállítások'!$E$34*(10-AD15))</f>
        <v/>
      </c>
      <c r="DU15">
        <f>IF($A15="","",'Beállítások'!$E$35*(10-AE15))</f>
        <v/>
      </c>
      <c r="DV15">
        <f>IF($A15="","",'Beállítások'!$E$36*(10-AF15))</f>
        <v/>
      </c>
      <c r="DW15">
        <f>IF($A15="","",'Beállítások'!$E$37*(10-AG15))</f>
        <v/>
      </c>
      <c r="DX15">
        <f>IF($A15="","",'Beállítások'!$E$38*(10-AH15))</f>
        <v/>
      </c>
      <c r="DY15">
        <f>IF($A15="","",AM15-ROW()/100000)</f>
        <v/>
      </c>
    </row>
    <row r="16">
      <c r="A16">
        <f>IF('Ügyfelek'!A16="","",'Ügyfelek'!A16)</f>
        <v/>
      </c>
      <c r="B16">
        <f>IF($A16="","",IF('Ügyfelek'!B16="",'Beállítások'!$B$84,IFERROR(VLOOKUP(TRIM('Ügyfelek'!B16),'Beállítások'!$A$51:$B$59,2,FALSE),'Beállítások'!$B$84)))</f>
        <v/>
      </c>
      <c r="C16">
        <f>IF($A16="","",IF('Ügyfelek'!C16="",'Beállítások'!$B$84,MIN(10,MAX(1,ROUND('Ügyfelek'!C16,0)))))</f>
        <v/>
      </c>
      <c r="D16">
        <f>IF($A16="","",IF('Ügyfelek'!D16="",'Beállítások'!$B$84,MIN(10,MAX(1,ROUND('Ügyfelek'!D16,0)))))</f>
        <v/>
      </c>
      <c r="E16">
        <f>IF($A16="","",IF('Ügyfelek'!E16="",'Beállítások'!$B$84,MIN(10,MAX(1,ROUND('Ügyfelek'!E16,0)))))</f>
        <v/>
      </c>
      <c r="F16">
        <f>IF($A16="","",IF('Ügyfelek'!F16="",'Beállítások'!$B$84,MIN(10,MAX(1,ROUND('Ügyfelek'!F16,0)))))</f>
        <v/>
      </c>
      <c r="G16">
        <f>IF($A16="","",IF('Ügyfelek'!G16="",'Beállítások'!$B$84,MIN(10,MAX(1,ROUND('Ügyfelek'!G16,0)))))</f>
        <v/>
      </c>
      <c r="H16">
        <f>IF($A16="","",IF('Ügyfelek'!H16="",'Beállítások'!$B$84,MIN(10,MAX(1,ROUND('Ügyfelek'!H16,0)))))</f>
        <v/>
      </c>
      <c r="I16">
        <f>IF($A16="","",IF('Ügyfelek'!I16="",'Beállítások'!$B$84,MIN(10,MAX(1,ROUND('Ügyfelek'!I16,0)))))</f>
        <v/>
      </c>
      <c r="J16">
        <f>IF($A16="","",IF('Ügyfelek'!J16="",'Beállítások'!$B$84,MIN(10,MAX(1,ROUND('Ügyfelek'!J16,0)))))</f>
        <v/>
      </c>
      <c r="K16">
        <f>IF($A16="","",IF('Ügyfelek'!K16="",'Beállítások'!$B$84,MIN(10,MAX(1,ROUND('Ügyfelek'!K16,0)))))</f>
        <v/>
      </c>
      <c r="L16">
        <f>IF($A16="","",IF('Ügyfelek'!L16="",'Beállítások'!$B$84,MIN(10,MAX(1,ROUND('Ügyfelek'!L16,0)))))</f>
        <v/>
      </c>
      <c r="M16">
        <f>IF($A16="","",IF('Ügyfelek'!M16="",'Beállítások'!$B$84,MIN(10,MAX(1,ROUND('Ügyfelek'!M16,0)))))</f>
        <v/>
      </c>
      <c r="N16">
        <f>IF($A16="","",IF('Ügyfelek'!N16="",'Beállítások'!$B$84,MIN(10,MAX(1,ROUND('Ügyfelek'!N16,0)))))</f>
        <v/>
      </c>
      <c r="O16">
        <f>IF($A16="","",IF('Ügyfelek'!O16="",'Beállítások'!$B$84,MIN(10,MAX(1,ROUND('Ügyfelek'!O16,0)))))</f>
        <v/>
      </c>
      <c r="P16">
        <f>IF($A16="","",IF('Ügyfelek'!P16="",'Beállítások'!$B$84,MIN(10,MAX(1,ROUND('Ügyfelek'!P16,0)))))</f>
        <v/>
      </c>
      <c r="Q16">
        <f>IF($A16="","",IF('Ügyfelek'!Q16="",'Beállítások'!$B$84,MIN(10,MAX(1,ROUND('Ügyfelek'!Q16,0)))))</f>
        <v/>
      </c>
      <c r="R16">
        <f>IF($A16="","",IF('Ügyfelek'!R16="",'Beállítások'!$B$84,MIN(10,MAX(1,ROUND('Ügyfelek'!R16,0)))))</f>
        <v/>
      </c>
      <c r="S16">
        <f>IF($A16="","",IF('Ügyfelek'!S16="",'Beállítások'!$B$84,MIN(10,MAX(1,ROUND('Ügyfelek'!S16,0)))))</f>
        <v/>
      </c>
      <c r="T16">
        <f>IF($A16="","",IF('Ügyfelek'!T16="",'Beállítások'!$B$84,VLOOKUP(MAX('Ügyfelek'!T16,'Beállítások'!$H$7),'Beállítások'!$H$7:$I$12,2,TRUE)))</f>
        <v/>
      </c>
      <c r="U16">
        <f>IF($A16="","",IF('Ügyfelek'!U16="",'Beállítások'!$B$84,VLOOKUP(MAX('Ügyfelek'!U16,'Beállítások'!$K$7),'Beállítások'!$K$7:$L$12,2,TRUE)))</f>
        <v/>
      </c>
      <c r="V16">
        <f>IF($A16="","",IF('Ügyfelek'!V16="",'Beállítások'!$B$84,MIN(10,MAX(1,ROUND('Ügyfelek'!V16,0)))))</f>
        <v/>
      </c>
      <c r="W16">
        <f>IF($A16="","",IF('Ügyfelek'!W16="",'Beállítások'!$B$84,VLOOKUP(MAX('Ügyfelek'!W16,'Beállítások'!$N$7),'Beállítások'!$N$7:$O$12,2,TRUE)))</f>
        <v/>
      </c>
      <c r="X16">
        <f>IF($A16="","",IF('Ügyfelek'!X16="",'Beállítások'!$B$84,MIN(10,MAX(1,ROUND('Ügyfelek'!X16,0)))))</f>
        <v/>
      </c>
      <c r="Y16">
        <f>IF($A16="","",IF('Ügyfelek'!Y16="",'Beállítások'!$B$84,IFERROR(VLOOKUP(TRIM('Ügyfelek'!Y16),'Beállítások'!$A$63:$B$69,2,FALSE),'Beállítások'!$B$84)))</f>
        <v/>
      </c>
      <c r="Z16">
        <f>IF($A16="","",IF('Ügyfelek'!Z16="",'Beállítások'!$B$84,VLOOKUP(MAX('Ügyfelek'!Z16,'Beállítások'!$Q$7),'Beállítások'!$Q$7:$R$12,2,TRUE)))</f>
        <v/>
      </c>
      <c r="AA16">
        <f>IF($A16="","",IF('Ügyfelek'!AA16="",'Beállítások'!$B$84,VLOOKUP(MAX('Ügyfelek'!AA16,'Beállítások'!$T$7),'Beállítások'!$T$7:$U$12,2,TRUE)))</f>
        <v/>
      </c>
      <c r="AB16">
        <f>IF($A16="","",IF('Ügyfelek'!AB16="",'Beállítások'!$B$84,MIN(10,MAX(1,ROUND('Ügyfelek'!AB16,0)))))</f>
        <v/>
      </c>
      <c r="AC16">
        <f>IF($A16="","",IF('Ügyfelek'!AC16="",'Beállítások'!$B$84,MIN(10,MAX(1,ROUND('Ügyfelek'!AC16,0)))))</f>
        <v/>
      </c>
      <c r="AD16">
        <f>IF($A16="","",IF('Ügyfelek'!AD16="",'Beállítások'!$B$84,MIN(10,MAX(1,ROUND('Ügyfelek'!AD16,0)))))</f>
        <v/>
      </c>
      <c r="AE16">
        <f>IF($A16="","",IF('Ügyfelek'!AE16="",'Beállítások'!$B$84,MIN(10,MAX(1,ROUND('Ügyfelek'!AE16,0)))))</f>
        <v/>
      </c>
      <c r="AF16">
        <f>IF($A16="","",IF('Ügyfelek'!AF16="",'Beállítások'!$B$84,MIN(10,MAX(1,ROUND('Ügyfelek'!AF16,0)))))</f>
        <v/>
      </c>
      <c r="AG16">
        <f>IF($A16="","",IF('Ügyfelek'!AG16="",'Beállítások'!$B$84,MIN(10,MAX(1,ROUND('Ügyfelek'!AG16,0)))))</f>
        <v/>
      </c>
      <c r="AH16">
        <f>IF($A16="","",IF('Ügyfelek'!AH16="",'Beállítások'!$B$84,IFERROR(VLOOKUP(TRIM('Ügyfelek'!AH16),'Beállítások'!$A$73:$B$79,2,FALSE),'Beállítások'!$B$84)))</f>
        <v/>
      </c>
      <c r="AI16" s="23">
        <f>IF($A16="","",ROUND(100*('Beállítások'!$E$6*(B16-1)+'Beállítások'!$E$7*(C16-1))/(9*'Beállítások'!$B$43),1))</f>
        <v/>
      </c>
      <c r="AJ16" s="23">
        <f>IF($A16="","",ROUND(100*('Beállítások'!$E$8*(D16-1)+'Beállítások'!$E$9*(E16-1)+'Beállítások'!$E$10*(F16-1)+'Beállítások'!$E$11*(G16-1)+'Beállítások'!$E$12*(H16-1)+'Beállítások'!$E$13*(I16-1)+'Beállítások'!$E$14*(J16-1)+'Beállítások'!$E$15*(K16-1)+'Beállítások'!$E$16*(L16-1)+'Beállítások'!$E$17*(M16-1)+'Beállítások'!$E$18*(N16-1)+'Beállítások'!$E$19*(O16-1)+'Beállítások'!$E$20*(P16-1)+'Beállítások'!$E$21*(Q16-1)+'Beállítások'!$E$22*(R16-1))/(9*'Beállítások'!$B$44),1))</f>
        <v/>
      </c>
      <c r="AK16" s="23">
        <f>IF($A16="","",ROUND(100*('Beállítások'!$E$23*(S16-1)+'Beállítások'!$E$24*(T16-1)+'Beállítások'!$E$25*(U16-1)+'Beállítások'!$E$26*(V16-1)+'Beállítások'!$E$27*(W16-1)+'Beállítások'!$E$28*(X16-1)+'Beállítások'!$E$29*(Y16-1))/(9*'Beállítások'!$B$45),1))</f>
        <v/>
      </c>
      <c r="AL16" s="23">
        <f>IF($A16="","",ROUND(100*('Beállítások'!$E$30*(Z16-1)+'Beállítások'!$E$31*(AA16-1)+'Beállítások'!$E$32*(AB16-1)+'Beállítások'!$E$33*(AC16-1)+'Beállítások'!$E$34*(AD16-1)+'Beállítások'!$E$35*(AE16-1)+'Beállítások'!$E$36*(AF16-1)+'Beállítások'!$E$37*(AG16-1)+'Beállítások'!$E$38*(AH16-1))/(9*'Beállítások'!$B$46),1))</f>
        <v/>
      </c>
      <c r="AM16" s="23">
        <f>IF($A16="","",ROUND(100*('Beállítások'!$E$6*(B16-1)+'Beállítások'!$E$7*(C16-1)+'Beállítások'!$E$8*(D16-1)+'Beállítások'!$E$9*(E16-1)+'Beállítások'!$E$10*(F16-1)+'Beállítások'!$E$11*(G16-1)+'Beállítások'!$E$12*(H16-1)+'Beállítások'!$E$13*(I16-1)+'Beállítások'!$E$14*(J16-1)+'Beállítások'!$E$15*(K16-1)+'Beállítások'!$E$16*(L16-1)+'Beállítások'!$E$17*(M16-1)+'Beállítások'!$E$18*(N16-1)+'Beállítások'!$E$19*(O16-1)+'Beállítások'!$E$20*(P16-1)+'Beállítások'!$E$21*(Q16-1)+'Beállítások'!$E$22*(R16-1)+'Beállítások'!$E$23*(S16-1)+'Beállítások'!$E$24*(T16-1)+'Beállítások'!$E$25*(U16-1)+'Beállítások'!$E$26*(V16-1)+'Beállítások'!$E$27*(W16-1)+'Beállítások'!$E$28*(X16-1)+'Beállítások'!$E$29*(Y16-1)+'Beállítások'!$E$30*(Z16-1)+'Beállítások'!$E$31*(AA16-1)+'Beállítások'!$E$32*(AB16-1)+'Beállítások'!$E$33*(AC16-1)+'Beállítások'!$E$34*(AD16-1)+'Beállítások'!$E$35*(AE16-1)+'Beállítások'!$E$36*(AF16-1)+'Beállítások'!$E$37*(AG16-1)+'Beállítások'!$E$38*(AH16-1))/(9*'Beállítások'!$E$39),1))</f>
        <v/>
      </c>
      <c r="AN16" s="23">
        <f>IF($A16="","",ROUND(100*('Beállítások'!$E$8*(D16-1)+'Beállítások'!$E$9*(E16-1)+'Beállítások'!$E$10*(F16-1)+'Beállítások'!$E$11*(G16-1)+'Beállítások'!$E$12*(H16-1)+'Beállítások'!$E$13*(I16-1)+'Beállítások'!$E$14*(J16-1)+'Beállítások'!$E$15*(K16-1)+'Beállítások'!$E$16*(L16-1)+'Beállítások'!$E$17*(M16-1)+'Beállítások'!$E$18*(N16-1)+'Beállítások'!$E$19*(O16-1)+'Beállítások'!$E$20*(P16-1)+'Beállítások'!$E$21*(Q16-1)+'Beállítások'!$E$22*(R16-1)+'Beállítások'!$E$23*(S16-1)+'Beállítások'!$E$24*(T16-1)+'Beállítások'!$E$25*(U16-1)+'Beállítások'!$E$26*(V16-1)+'Beállítások'!$E$27*(W16-1)+'Beállítások'!$E$28*(X16-1)+'Beállítások'!$E$29*(Y16-1))/(9*('Beállítások'!$B$44+'Beállítások'!$B$45)),1))</f>
        <v/>
      </c>
      <c r="AO16" s="24">
        <f>IF($A16="","",RANK(AM16,$AM$2:$AM$201))</f>
        <v/>
      </c>
      <c r="AP16">
        <f>IF($A16="","",IF(OR(AND('Ügyfelek'!B16&lt;&gt;"",B16&lt;='Beállítások'!$B$85),AND('Ügyfelek'!C16&lt;&gt;"",C16&lt;='Beállítások'!$B$86)),"Igen","Nem"))</f>
        <v/>
      </c>
      <c r="AQ16" s="24">
        <f>IF($A16="","",IF(AP16="Igen",5,IF(AN16&gt;='Beállítások'!$C$108,1,IF(AN16&gt;='Beállítások'!$C$109,2,IF(AN16&gt;='Beállítások'!$C$110,3,IF(AND(AN16&gt;='Beállítások'!$B$87,AI16&gt;='Beállítások'!$B$88,AL16&gt;='Beállítások'!$B$89),4,5))))))</f>
        <v/>
      </c>
      <c r="AR16">
        <f>IF($A16="","",INDEX('Beállítások'!$B$108:$B$112,AQ16))</f>
        <v/>
      </c>
      <c r="AS16">
        <f>IF($A16="","",IF(AQ16=5,"Elutasítjuk",IF(AND(AQ16=4,COUNTIFS('Eredmény'!$AQ$2:$AQ$201,4,'Eredmény'!$DY$2:$DY$201,"&gt;"&amp;DY16)&gt;='Beállítások'!$B$90),"Várólista (a 4-es hely foglalt)","Elfogadjuk")))</f>
        <v/>
      </c>
      <c r="AT16">
        <f>IF($A16="","",INDEX('Beállítások'!$F$108:$F$112,AQ16))</f>
        <v/>
      </c>
      <c r="AU16">
        <f>IF($A16="","",INDEX('Beállítások'!$B$6:$B$38,MATCH(MAX(BK16:CQ16),BK16:CQ16,0)))</f>
        <v/>
      </c>
      <c r="AV16">
        <f>IF($A16="","",IF(MAX(CR16:DX16)=0,"—",INDEX('Beállítások'!$B$6:$B$38,MATCH(MAX(CR16:DX16),CR16:DX16,0))))</f>
        <v/>
      </c>
      <c r="AW16" s="10">
        <f>IF($A16="","",'Beállítások'!$B$94*(TRIM('Ügyfelek'!AI16)="igen")+'Beállítások'!$B$95*(TRIM('Ügyfelek'!AJ16)="igen")+'Beállítások'!$B$96*N('Ügyfelek'!AK16)+'Beállítások'!$B$93*N('Ügyfelek'!AL16))</f>
        <v/>
      </c>
      <c r="AX16" s="25">
        <f>IF(OR($A16="",AQ16=5),"",INDEX('Beállítások'!$D$108:$D$112,AQ16))</f>
        <v/>
      </c>
      <c r="AY16" s="10">
        <f>IF($A16="","",N('Ügyfelek'!U16)*'Beállítások'!$B$98)</f>
        <v/>
      </c>
      <c r="AZ16" s="10">
        <f>IF(OR($A16="",AQ16=5),"",CEILING(ROUND(MAX('Beállítások'!$B$97,AW16*AX16,AY16),2),'Beállítások'!$B$99))</f>
        <v/>
      </c>
      <c r="BA16">
        <f>IF($A16="","",IF(AQ16=5,"Elutasítva",IF(MAX('Beállítások'!$B$97,AW16*AX16,AY16)=AW16*AX16,"Munkaigény × státuszszorzó",IF(MAX('Beállítások'!$B$97,AW16*AX16,AY16)=AY16,"Hirdetési keret arányában","Minimumdíj"))))</f>
        <v/>
      </c>
      <c r="BB16" s="10">
        <f>IF(OR($A16="",'Ügyfelek'!AM16=""),"",'Ügyfelek'!AM16)</f>
        <v/>
      </c>
      <c r="BC16" s="10">
        <f>IF(OR(BB16="",AZ16=""),"",AZ16-BB16)</f>
        <v/>
      </c>
      <c r="BD16" s="18">
        <f>IF(OR(BB16="",AZ16="",BB16=0),"",BC16/BB16)</f>
        <v/>
      </c>
      <c r="BE16">
        <f>IF(OR($A16="",AQ16=5),"",IF(AND(INDEX('Beállítások'!$E$108:$E$112,AQ16)&gt;0,Y16&gt;='Beállítások'!$B$91),"Igen","Nem"))</f>
        <v/>
      </c>
      <c r="BF16" s="10">
        <f>IF(BE16="Igen",CEILING(ROUND(AZ16*(1-'Beállítások'!$B$92),2),'Beállítások'!$B$99),"")</f>
        <v/>
      </c>
      <c r="BG16" s="20">
        <f>IF(BE16="Igen",INDEX('Beállítások'!$E$108:$E$112,AQ16),"")</f>
        <v/>
      </c>
      <c r="BH16" s="10">
        <f>IF(OR(BE16&lt;&gt;"Igen",'Ügyfelek'!AN16=""),"",'Ügyfelek'!AN16*BG16)</f>
        <v/>
      </c>
      <c r="BI16" s="24">
        <f>IF($A16="","",('Ügyfelek'!B16="")+('Ügyfelek'!C16="")+('Ügyfelek'!D16="")+('Ügyfelek'!E16="")+('Ügyfelek'!F16="")+('Ügyfelek'!G16="")+('Ügyfelek'!H16="")+('Ügyfelek'!I16="")+('Ügyfelek'!J16="")+('Ügyfelek'!K16="")+('Ügyfelek'!L16="")+('Ügyfelek'!M16="")+('Ügyfelek'!N16="")+('Ügyfelek'!O16="")+('Ügyfelek'!P16="")+('Ügyfelek'!Q16="")+('Ügyfelek'!R16="")+('Ügyfelek'!S16="")+('Ügyfelek'!T16="")+('Ügyfelek'!U16="")+('Ügyfelek'!V16="")+('Ügyfelek'!W16="")+('Ügyfelek'!X16="")+('Ügyfelek'!Y16="")+('Ügyfelek'!Z16="")+('Ügyfelek'!AA16="")+('Ügyfelek'!AB16="")+('Ügyfelek'!AC16="")+('Ügyfelek'!AD16="")+('Ügyfelek'!AE16="")+('Ügyfelek'!AF16="")+('Ügyfelek'!AG16="")+('Ügyfelek'!AH16=""))</f>
        <v/>
      </c>
      <c r="BK16">
        <f>IF($A16="","",B16+'Beállítások'!$E$6/1000)</f>
        <v/>
      </c>
      <c r="BL16">
        <f>IF($A16="","",C16+'Beállítások'!$E$7/1000)</f>
        <v/>
      </c>
      <c r="BM16">
        <f>IF($A16="","",D16+'Beállítások'!$E$8/1000)</f>
        <v/>
      </c>
      <c r="BN16">
        <f>IF($A16="","",E16+'Beállítások'!$E$9/1000)</f>
        <v/>
      </c>
      <c r="BO16">
        <f>IF($A16="","",F16+'Beállítások'!$E$10/1000)</f>
        <v/>
      </c>
      <c r="BP16">
        <f>IF($A16="","",G16+'Beállítások'!$E$11/1000)</f>
        <v/>
      </c>
      <c r="BQ16">
        <f>IF($A16="","",H16+'Beállítások'!$E$12/1000)</f>
        <v/>
      </c>
      <c r="BR16">
        <f>IF($A16="","",I16+'Beállítások'!$E$13/1000)</f>
        <v/>
      </c>
      <c r="BS16">
        <f>IF($A16="","",J16+'Beállítások'!$E$14/1000)</f>
        <v/>
      </c>
      <c r="BT16">
        <f>IF($A16="","",K16+'Beállítások'!$E$15/1000)</f>
        <v/>
      </c>
      <c r="BU16">
        <f>IF($A16="","",L16+'Beállítások'!$E$16/1000)</f>
        <v/>
      </c>
      <c r="BV16">
        <f>IF($A16="","",M16+'Beállítások'!$E$17/1000)</f>
        <v/>
      </c>
      <c r="BW16">
        <f>IF($A16="","",N16+'Beállítások'!$E$18/1000)</f>
        <v/>
      </c>
      <c r="BX16">
        <f>IF($A16="","",O16+'Beállítások'!$E$19/1000)</f>
        <v/>
      </c>
      <c r="BY16">
        <f>IF($A16="","",P16+'Beállítások'!$E$20/1000)</f>
        <v/>
      </c>
      <c r="BZ16">
        <f>IF($A16="","",Q16+'Beállítások'!$E$21/1000)</f>
        <v/>
      </c>
      <c r="CA16">
        <f>IF($A16="","",R16+'Beállítások'!$E$22/1000)</f>
        <v/>
      </c>
      <c r="CB16">
        <f>IF($A16="","",S16+'Beállítások'!$E$23/1000)</f>
        <v/>
      </c>
      <c r="CC16">
        <f>IF($A16="","",T16+'Beállítások'!$E$24/1000)</f>
        <v/>
      </c>
      <c r="CD16">
        <f>IF($A16="","",U16+'Beállítások'!$E$25/1000)</f>
        <v/>
      </c>
      <c r="CE16">
        <f>IF($A16="","",V16+'Beállítások'!$E$26/1000)</f>
        <v/>
      </c>
      <c r="CF16">
        <f>IF($A16="","",W16+'Beállítások'!$E$27/1000)</f>
        <v/>
      </c>
      <c r="CG16">
        <f>IF($A16="","",X16+'Beállítások'!$E$28/1000)</f>
        <v/>
      </c>
      <c r="CH16">
        <f>IF($A16="","",Y16+'Beállítások'!$E$29/1000)</f>
        <v/>
      </c>
      <c r="CI16">
        <f>IF($A16="","",Z16+'Beállítások'!$E$30/1000)</f>
        <v/>
      </c>
      <c r="CJ16">
        <f>IF($A16="","",AA16+'Beállítások'!$E$31/1000)</f>
        <v/>
      </c>
      <c r="CK16">
        <f>IF($A16="","",AB16+'Beállítások'!$E$32/1000)</f>
        <v/>
      </c>
      <c r="CL16">
        <f>IF($A16="","",AC16+'Beállítások'!$E$33/1000)</f>
        <v/>
      </c>
      <c r="CM16">
        <f>IF($A16="","",AD16+'Beállítások'!$E$34/1000)</f>
        <v/>
      </c>
      <c r="CN16">
        <f>IF($A16="","",AE16+'Beállítások'!$E$35/1000)</f>
        <v/>
      </c>
      <c r="CO16">
        <f>IF($A16="","",AF16+'Beállítások'!$E$36/1000)</f>
        <v/>
      </c>
      <c r="CP16">
        <f>IF($A16="","",AG16+'Beállítások'!$E$37/1000)</f>
        <v/>
      </c>
      <c r="CQ16">
        <f>IF($A16="","",AH16+'Beállítások'!$E$38/1000)</f>
        <v/>
      </c>
      <c r="CR16">
        <f>IF($A16="","",'Beállítások'!$E$6*(10-B16))</f>
        <v/>
      </c>
      <c r="CS16">
        <f>IF($A16="","",'Beállítások'!$E$7*(10-C16))</f>
        <v/>
      </c>
      <c r="CT16">
        <f>IF($A16="","",'Beállítások'!$E$8*(10-D16))</f>
        <v/>
      </c>
      <c r="CU16">
        <f>IF($A16="","",'Beállítások'!$E$9*(10-E16))</f>
        <v/>
      </c>
      <c r="CV16">
        <f>IF($A16="","",'Beállítások'!$E$10*(10-F16))</f>
        <v/>
      </c>
      <c r="CW16">
        <f>IF($A16="","",'Beállítások'!$E$11*(10-G16))</f>
        <v/>
      </c>
      <c r="CX16">
        <f>IF($A16="","",'Beállítások'!$E$12*(10-H16))</f>
        <v/>
      </c>
      <c r="CY16">
        <f>IF($A16="","",'Beállítások'!$E$13*(10-I16))</f>
        <v/>
      </c>
      <c r="CZ16">
        <f>IF($A16="","",'Beállítások'!$E$14*(10-J16))</f>
        <v/>
      </c>
      <c r="DA16">
        <f>IF($A16="","",'Beállítások'!$E$15*(10-K16))</f>
        <v/>
      </c>
      <c r="DB16">
        <f>IF($A16="","",'Beállítások'!$E$16*(10-L16))</f>
        <v/>
      </c>
      <c r="DC16">
        <f>IF($A16="","",'Beállítások'!$E$17*(10-M16))</f>
        <v/>
      </c>
      <c r="DD16">
        <f>IF($A16="","",'Beállítások'!$E$18*(10-N16))</f>
        <v/>
      </c>
      <c r="DE16">
        <f>IF($A16="","",'Beállítások'!$E$19*(10-O16))</f>
        <v/>
      </c>
      <c r="DF16">
        <f>IF($A16="","",'Beállítások'!$E$20*(10-P16))</f>
        <v/>
      </c>
      <c r="DG16">
        <f>IF($A16="","",'Beállítások'!$E$21*(10-Q16))</f>
        <v/>
      </c>
      <c r="DH16">
        <f>IF($A16="","",'Beállítások'!$E$22*(10-R16))</f>
        <v/>
      </c>
      <c r="DI16">
        <f>IF($A16="","",'Beállítások'!$E$23*(10-S16))</f>
        <v/>
      </c>
      <c r="DJ16">
        <f>IF($A16="","",'Beállítások'!$E$24*(10-T16))</f>
        <v/>
      </c>
      <c r="DK16">
        <f>IF($A16="","",'Beállítások'!$E$25*(10-U16))</f>
        <v/>
      </c>
      <c r="DL16">
        <f>IF($A16="","",'Beállítások'!$E$26*(10-V16))</f>
        <v/>
      </c>
      <c r="DM16">
        <f>IF($A16="","",'Beállítások'!$E$27*(10-W16))</f>
        <v/>
      </c>
      <c r="DN16">
        <f>IF($A16="","",'Beállítások'!$E$28*(10-X16))</f>
        <v/>
      </c>
      <c r="DO16">
        <f>IF($A16="","",'Beállítások'!$E$29*(10-Y16))</f>
        <v/>
      </c>
      <c r="DP16">
        <f>IF($A16="","",'Beállítások'!$E$30*(10-Z16))</f>
        <v/>
      </c>
      <c r="DQ16">
        <f>IF($A16="","",'Beállítások'!$E$31*(10-AA16))</f>
        <v/>
      </c>
      <c r="DR16">
        <f>IF($A16="","",'Beállítások'!$E$32*(10-AB16))</f>
        <v/>
      </c>
      <c r="DS16">
        <f>IF($A16="","",'Beállítások'!$E$33*(10-AC16))</f>
        <v/>
      </c>
      <c r="DT16">
        <f>IF($A16="","",'Beállítások'!$E$34*(10-AD16))</f>
        <v/>
      </c>
      <c r="DU16">
        <f>IF($A16="","",'Beállítások'!$E$35*(10-AE16))</f>
        <v/>
      </c>
      <c r="DV16">
        <f>IF($A16="","",'Beállítások'!$E$36*(10-AF16))</f>
        <v/>
      </c>
      <c r="DW16">
        <f>IF($A16="","",'Beállítások'!$E$37*(10-AG16))</f>
        <v/>
      </c>
      <c r="DX16">
        <f>IF($A16="","",'Beállítások'!$E$38*(10-AH16))</f>
        <v/>
      </c>
      <c r="DY16">
        <f>IF($A16="","",AM16-ROW()/100000)</f>
        <v/>
      </c>
    </row>
    <row r="17">
      <c r="A17">
        <f>IF('Ügyfelek'!A17="","",'Ügyfelek'!A17)</f>
        <v/>
      </c>
      <c r="B17">
        <f>IF($A17="","",IF('Ügyfelek'!B17="",'Beállítások'!$B$84,IFERROR(VLOOKUP(TRIM('Ügyfelek'!B17),'Beállítások'!$A$51:$B$59,2,FALSE),'Beállítások'!$B$84)))</f>
        <v/>
      </c>
      <c r="C17">
        <f>IF($A17="","",IF('Ügyfelek'!C17="",'Beállítások'!$B$84,MIN(10,MAX(1,ROUND('Ügyfelek'!C17,0)))))</f>
        <v/>
      </c>
      <c r="D17">
        <f>IF($A17="","",IF('Ügyfelek'!D17="",'Beállítások'!$B$84,MIN(10,MAX(1,ROUND('Ügyfelek'!D17,0)))))</f>
        <v/>
      </c>
      <c r="E17">
        <f>IF($A17="","",IF('Ügyfelek'!E17="",'Beállítások'!$B$84,MIN(10,MAX(1,ROUND('Ügyfelek'!E17,0)))))</f>
        <v/>
      </c>
      <c r="F17">
        <f>IF($A17="","",IF('Ügyfelek'!F17="",'Beállítások'!$B$84,MIN(10,MAX(1,ROUND('Ügyfelek'!F17,0)))))</f>
        <v/>
      </c>
      <c r="G17">
        <f>IF($A17="","",IF('Ügyfelek'!G17="",'Beállítások'!$B$84,MIN(10,MAX(1,ROUND('Ügyfelek'!G17,0)))))</f>
        <v/>
      </c>
      <c r="H17">
        <f>IF($A17="","",IF('Ügyfelek'!H17="",'Beállítások'!$B$84,MIN(10,MAX(1,ROUND('Ügyfelek'!H17,0)))))</f>
        <v/>
      </c>
      <c r="I17">
        <f>IF($A17="","",IF('Ügyfelek'!I17="",'Beállítások'!$B$84,MIN(10,MAX(1,ROUND('Ügyfelek'!I17,0)))))</f>
        <v/>
      </c>
      <c r="J17">
        <f>IF($A17="","",IF('Ügyfelek'!J17="",'Beállítások'!$B$84,MIN(10,MAX(1,ROUND('Ügyfelek'!J17,0)))))</f>
        <v/>
      </c>
      <c r="K17">
        <f>IF($A17="","",IF('Ügyfelek'!K17="",'Beállítások'!$B$84,MIN(10,MAX(1,ROUND('Ügyfelek'!K17,0)))))</f>
        <v/>
      </c>
      <c r="L17">
        <f>IF($A17="","",IF('Ügyfelek'!L17="",'Beállítások'!$B$84,MIN(10,MAX(1,ROUND('Ügyfelek'!L17,0)))))</f>
        <v/>
      </c>
      <c r="M17">
        <f>IF($A17="","",IF('Ügyfelek'!M17="",'Beállítások'!$B$84,MIN(10,MAX(1,ROUND('Ügyfelek'!M17,0)))))</f>
        <v/>
      </c>
      <c r="N17">
        <f>IF($A17="","",IF('Ügyfelek'!N17="",'Beállítások'!$B$84,MIN(10,MAX(1,ROUND('Ügyfelek'!N17,0)))))</f>
        <v/>
      </c>
      <c r="O17">
        <f>IF($A17="","",IF('Ügyfelek'!O17="",'Beállítások'!$B$84,MIN(10,MAX(1,ROUND('Ügyfelek'!O17,0)))))</f>
        <v/>
      </c>
      <c r="P17">
        <f>IF($A17="","",IF('Ügyfelek'!P17="",'Beállítások'!$B$84,MIN(10,MAX(1,ROUND('Ügyfelek'!P17,0)))))</f>
        <v/>
      </c>
      <c r="Q17">
        <f>IF($A17="","",IF('Ügyfelek'!Q17="",'Beállítások'!$B$84,MIN(10,MAX(1,ROUND('Ügyfelek'!Q17,0)))))</f>
        <v/>
      </c>
      <c r="R17">
        <f>IF($A17="","",IF('Ügyfelek'!R17="",'Beállítások'!$B$84,MIN(10,MAX(1,ROUND('Ügyfelek'!R17,0)))))</f>
        <v/>
      </c>
      <c r="S17">
        <f>IF($A17="","",IF('Ügyfelek'!S17="",'Beállítások'!$B$84,MIN(10,MAX(1,ROUND('Ügyfelek'!S17,0)))))</f>
        <v/>
      </c>
      <c r="T17">
        <f>IF($A17="","",IF('Ügyfelek'!T17="",'Beállítások'!$B$84,VLOOKUP(MAX('Ügyfelek'!T17,'Beállítások'!$H$7),'Beállítások'!$H$7:$I$12,2,TRUE)))</f>
        <v/>
      </c>
      <c r="U17">
        <f>IF($A17="","",IF('Ügyfelek'!U17="",'Beállítások'!$B$84,VLOOKUP(MAX('Ügyfelek'!U17,'Beállítások'!$K$7),'Beállítások'!$K$7:$L$12,2,TRUE)))</f>
        <v/>
      </c>
      <c r="V17">
        <f>IF($A17="","",IF('Ügyfelek'!V17="",'Beállítások'!$B$84,MIN(10,MAX(1,ROUND('Ügyfelek'!V17,0)))))</f>
        <v/>
      </c>
      <c r="W17">
        <f>IF($A17="","",IF('Ügyfelek'!W17="",'Beállítások'!$B$84,VLOOKUP(MAX('Ügyfelek'!W17,'Beállítások'!$N$7),'Beállítások'!$N$7:$O$12,2,TRUE)))</f>
        <v/>
      </c>
      <c r="X17">
        <f>IF($A17="","",IF('Ügyfelek'!X17="",'Beállítások'!$B$84,MIN(10,MAX(1,ROUND('Ügyfelek'!X17,0)))))</f>
        <v/>
      </c>
      <c r="Y17">
        <f>IF($A17="","",IF('Ügyfelek'!Y17="",'Beállítások'!$B$84,IFERROR(VLOOKUP(TRIM('Ügyfelek'!Y17),'Beállítások'!$A$63:$B$69,2,FALSE),'Beállítások'!$B$84)))</f>
        <v/>
      </c>
      <c r="Z17">
        <f>IF($A17="","",IF('Ügyfelek'!Z17="",'Beállítások'!$B$84,VLOOKUP(MAX('Ügyfelek'!Z17,'Beállítások'!$Q$7),'Beállítások'!$Q$7:$R$12,2,TRUE)))</f>
        <v/>
      </c>
      <c r="AA17">
        <f>IF($A17="","",IF('Ügyfelek'!AA17="",'Beállítások'!$B$84,VLOOKUP(MAX('Ügyfelek'!AA17,'Beállítások'!$T$7),'Beállítások'!$T$7:$U$12,2,TRUE)))</f>
        <v/>
      </c>
      <c r="AB17">
        <f>IF($A17="","",IF('Ügyfelek'!AB17="",'Beállítások'!$B$84,MIN(10,MAX(1,ROUND('Ügyfelek'!AB17,0)))))</f>
        <v/>
      </c>
      <c r="AC17">
        <f>IF($A17="","",IF('Ügyfelek'!AC17="",'Beállítások'!$B$84,MIN(10,MAX(1,ROUND('Ügyfelek'!AC17,0)))))</f>
        <v/>
      </c>
      <c r="AD17">
        <f>IF($A17="","",IF('Ügyfelek'!AD17="",'Beállítások'!$B$84,MIN(10,MAX(1,ROUND('Ügyfelek'!AD17,0)))))</f>
        <v/>
      </c>
      <c r="AE17">
        <f>IF($A17="","",IF('Ügyfelek'!AE17="",'Beállítások'!$B$84,MIN(10,MAX(1,ROUND('Ügyfelek'!AE17,0)))))</f>
        <v/>
      </c>
      <c r="AF17">
        <f>IF($A17="","",IF('Ügyfelek'!AF17="",'Beállítások'!$B$84,MIN(10,MAX(1,ROUND('Ügyfelek'!AF17,0)))))</f>
        <v/>
      </c>
      <c r="AG17">
        <f>IF($A17="","",IF('Ügyfelek'!AG17="",'Beállítások'!$B$84,MIN(10,MAX(1,ROUND('Ügyfelek'!AG17,0)))))</f>
        <v/>
      </c>
      <c r="AH17">
        <f>IF($A17="","",IF('Ügyfelek'!AH17="",'Beállítások'!$B$84,IFERROR(VLOOKUP(TRIM('Ügyfelek'!AH17),'Beállítások'!$A$73:$B$79,2,FALSE),'Beállítások'!$B$84)))</f>
        <v/>
      </c>
      <c r="AI17" s="23">
        <f>IF($A17="","",ROUND(100*('Beállítások'!$E$6*(B17-1)+'Beállítások'!$E$7*(C17-1))/(9*'Beállítások'!$B$43),1))</f>
        <v/>
      </c>
      <c r="AJ17" s="23">
        <f>IF($A17="","",ROUND(100*('Beállítások'!$E$8*(D17-1)+'Beállítások'!$E$9*(E17-1)+'Beállítások'!$E$10*(F17-1)+'Beállítások'!$E$11*(G17-1)+'Beállítások'!$E$12*(H17-1)+'Beállítások'!$E$13*(I17-1)+'Beállítások'!$E$14*(J17-1)+'Beállítások'!$E$15*(K17-1)+'Beállítások'!$E$16*(L17-1)+'Beállítások'!$E$17*(M17-1)+'Beállítások'!$E$18*(N17-1)+'Beállítások'!$E$19*(O17-1)+'Beállítások'!$E$20*(P17-1)+'Beállítások'!$E$21*(Q17-1)+'Beállítások'!$E$22*(R17-1))/(9*'Beállítások'!$B$44),1))</f>
        <v/>
      </c>
      <c r="AK17" s="23">
        <f>IF($A17="","",ROUND(100*('Beállítások'!$E$23*(S17-1)+'Beállítások'!$E$24*(T17-1)+'Beállítások'!$E$25*(U17-1)+'Beállítások'!$E$26*(V17-1)+'Beállítások'!$E$27*(W17-1)+'Beállítások'!$E$28*(X17-1)+'Beállítások'!$E$29*(Y17-1))/(9*'Beállítások'!$B$45),1))</f>
        <v/>
      </c>
      <c r="AL17" s="23">
        <f>IF($A17="","",ROUND(100*('Beállítások'!$E$30*(Z17-1)+'Beállítások'!$E$31*(AA17-1)+'Beállítások'!$E$32*(AB17-1)+'Beállítások'!$E$33*(AC17-1)+'Beállítások'!$E$34*(AD17-1)+'Beállítások'!$E$35*(AE17-1)+'Beállítások'!$E$36*(AF17-1)+'Beállítások'!$E$37*(AG17-1)+'Beállítások'!$E$38*(AH17-1))/(9*'Beállítások'!$B$46),1))</f>
        <v/>
      </c>
      <c r="AM17" s="23">
        <f>IF($A17="","",ROUND(100*('Beállítások'!$E$6*(B17-1)+'Beállítások'!$E$7*(C17-1)+'Beállítások'!$E$8*(D17-1)+'Beállítások'!$E$9*(E17-1)+'Beállítások'!$E$10*(F17-1)+'Beállítások'!$E$11*(G17-1)+'Beállítások'!$E$12*(H17-1)+'Beállítások'!$E$13*(I17-1)+'Beállítások'!$E$14*(J17-1)+'Beállítások'!$E$15*(K17-1)+'Beállítások'!$E$16*(L17-1)+'Beállítások'!$E$17*(M17-1)+'Beállítások'!$E$18*(N17-1)+'Beállítások'!$E$19*(O17-1)+'Beállítások'!$E$20*(P17-1)+'Beállítások'!$E$21*(Q17-1)+'Beállítások'!$E$22*(R17-1)+'Beállítások'!$E$23*(S17-1)+'Beállítások'!$E$24*(T17-1)+'Beállítások'!$E$25*(U17-1)+'Beállítások'!$E$26*(V17-1)+'Beállítások'!$E$27*(W17-1)+'Beállítások'!$E$28*(X17-1)+'Beállítások'!$E$29*(Y17-1)+'Beállítások'!$E$30*(Z17-1)+'Beállítások'!$E$31*(AA17-1)+'Beállítások'!$E$32*(AB17-1)+'Beállítások'!$E$33*(AC17-1)+'Beállítások'!$E$34*(AD17-1)+'Beállítások'!$E$35*(AE17-1)+'Beállítások'!$E$36*(AF17-1)+'Beállítások'!$E$37*(AG17-1)+'Beállítások'!$E$38*(AH17-1))/(9*'Beállítások'!$E$39),1))</f>
        <v/>
      </c>
      <c r="AN17" s="23">
        <f>IF($A17="","",ROUND(100*('Beállítások'!$E$8*(D17-1)+'Beállítások'!$E$9*(E17-1)+'Beállítások'!$E$10*(F17-1)+'Beállítások'!$E$11*(G17-1)+'Beállítások'!$E$12*(H17-1)+'Beállítások'!$E$13*(I17-1)+'Beállítások'!$E$14*(J17-1)+'Beállítások'!$E$15*(K17-1)+'Beállítások'!$E$16*(L17-1)+'Beállítások'!$E$17*(M17-1)+'Beállítások'!$E$18*(N17-1)+'Beállítások'!$E$19*(O17-1)+'Beállítások'!$E$20*(P17-1)+'Beállítások'!$E$21*(Q17-1)+'Beállítások'!$E$22*(R17-1)+'Beállítások'!$E$23*(S17-1)+'Beállítások'!$E$24*(T17-1)+'Beállítások'!$E$25*(U17-1)+'Beállítások'!$E$26*(V17-1)+'Beállítások'!$E$27*(W17-1)+'Beállítások'!$E$28*(X17-1)+'Beállítások'!$E$29*(Y17-1))/(9*('Beállítások'!$B$44+'Beállítások'!$B$45)),1))</f>
        <v/>
      </c>
      <c r="AO17" s="24">
        <f>IF($A17="","",RANK(AM17,$AM$2:$AM$201))</f>
        <v/>
      </c>
      <c r="AP17">
        <f>IF($A17="","",IF(OR(AND('Ügyfelek'!B17&lt;&gt;"",B17&lt;='Beállítások'!$B$85),AND('Ügyfelek'!C17&lt;&gt;"",C17&lt;='Beállítások'!$B$86)),"Igen","Nem"))</f>
        <v/>
      </c>
      <c r="AQ17" s="24">
        <f>IF($A17="","",IF(AP17="Igen",5,IF(AN17&gt;='Beállítások'!$C$108,1,IF(AN17&gt;='Beállítások'!$C$109,2,IF(AN17&gt;='Beállítások'!$C$110,3,IF(AND(AN17&gt;='Beállítások'!$B$87,AI17&gt;='Beállítások'!$B$88,AL17&gt;='Beállítások'!$B$89),4,5))))))</f>
        <v/>
      </c>
      <c r="AR17">
        <f>IF($A17="","",INDEX('Beállítások'!$B$108:$B$112,AQ17))</f>
        <v/>
      </c>
      <c r="AS17">
        <f>IF($A17="","",IF(AQ17=5,"Elutasítjuk",IF(AND(AQ17=4,COUNTIFS('Eredmény'!$AQ$2:$AQ$201,4,'Eredmény'!$DY$2:$DY$201,"&gt;"&amp;DY17)&gt;='Beállítások'!$B$90),"Várólista (a 4-es hely foglalt)","Elfogadjuk")))</f>
        <v/>
      </c>
      <c r="AT17">
        <f>IF($A17="","",INDEX('Beállítások'!$F$108:$F$112,AQ17))</f>
        <v/>
      </c>
      <c r="AU17">
        <f>IF($A17="","",INDEX('Beállítások'!$B$6:$B$38,MATCH(MAX(BK17:CQ17),BK17:CQ17,0)))</f>
        <v/>
      </c>
      <c r="AV17">
        <f>IF($A17="","",IF(MAX(CR17:DX17)=0,"—",INDEX('Beállítások'!$B$6:$B$38,MATCH(MAX(CR17:DX17),CR17:DX17,0))))</f>
        <v/>
      </c>
      <c r="AW17" s="10">
        <f>IF($A17="","",'Beállítások'!$B$94*(TRIM('Ügyfelek'!AI17)="igen")+'Beállítások'!$B$95*(TRIM('Ügyfelek'!AJ17)="igen")+'Beállítások'!$B$96*N('Ügyfelek'!AK17)+'Beállítások'!$B$93*N('Ügyfelek'!AL17))</f>
        <v/>
      </c>
      <c r="AX17" s="25">
        <f>IF(OR($A17="",AQ17=5),"",INDEX('Beállítások'!$D$108:$D$112,AQ17))</f>
        <v/>
      </c>
      <c r="AY17" s="10">
        <f>IF($A17="","",N('Ügyfelek'!U17)*'Beállítások'!$B$98)</f>
        <v/>
      </c>
      <c r="AZ17" s="10">
        <f>IF(OR($A17="",AQ17=5),"",CEILING(ROUND(MAX('Beállítások'!$B$97,AW17*AX17,AY17),2),'Beállítások'!$B$99))</f>
        <v/>
      </c>
      <c r="BA17">
        <f>IF($A17="","",IF(AQ17=5,"Elutasítva",IF(MAX('Beállítások'!$B$97,AW17*AX17,AY17)=AW17*AX17,"Munkaigény × státuszszorzó",IF(MAX('Beállítások'!$B$97,AW17*AX17,AY17)=AY17,"Hirdetési keret arányában","Minimumdíj"))))</f>
        <v/>
      </c>
      <c r="BB17" s="10">
        <f>IF(OR($A17="",'Ügyfelek'!AM17=""),"",'Ügyfelek'!AM17)</f>
        <v/>
      </c>
      <c r="BC17" s="10">
        <f>IF(OR(BB17="",AZ17=""),"",AZ17-BB17)</f>
        <v/>
      </c>
      <c r="BD17" s="18">
        <f>IF(OR(BB17="",AZ17="",BB17=0),"",BC17/BB17)</f>
        <v/>
      </c>
      <c r="BE17">
        <f>IF(OR($A17="",AQ17=5),"",IF(AND(INDEX('Beállítások'!$E$108:$E$112,AQ17)&gt;0,Y17&gt;='Beállítások'!$B$91),"Igen","Nem"))</f>
        <v/>
      </c>
      <c r="BF17" s="10">
        <f>IF(BE17="Igen",CEILING(ROUND(AZ17*(1-'Beállítások'!$B$92),2),'Beállítások'!$B$99),"")</f>
        <v/>
      </c>
      <c r="BG17" s="20">
        <f>IF(BE17="Igen",INDEX('Beállítások'!$E$108:$E$112,AQ17),"")</f>
        <v/>
      </c>
      <c r="BH17" s="10">
        <f>IF(OR(BE17&lt;&gt;"Igen",'Ügyfelek'!AN17=""),"",'Ügyfelek'!AN17*BG17)</f>
        <v/>
      </c>
      <c r="BI17" s="24">
        <f>IF($A17="","",('Ügyfelek'!B17="")+('Ügyfelek'!C17="")+('Ügyfelek'!D17="")+('Ügyfelek'!E17="")+('Ügyfelek'!F17="")+('Ügyfelek'!G17="")+('Ügyfelek'!H17="")+('Ügyfelek'!I17="")+('Ügyfelek'!J17="")+('Ügyfelek'!K17="")+('Ügyfelek'!L17="")+('Ügyfelek'!M17="")+('Ügyfelek'!N17="")+('Ügyfelek'!O17="")+('Ügyfelek'!P17="")+('Ügyfelek'!Q17="")+('Ügyfelek'!R17="")+('Ügyfelek'!S17="")+('Ügyfelek'!T17="")+('Ügyfelek'!U17="")+('Ügyfelek'!V17="")+('Ügyfelek'!W17="")+('Ügyfelek'!X17="")+('Ügyfelek'!Y17="")+('Ügyfelek'!Z17="")+('Ügyfelek'!AA17="")+('Ügyfelek'!AB17="")+('Ügyfelek'!AC17="")+('Ügyfelek'!AD17="")+('Ügyfelek'!AE17="")+('Ügyfelek'!AF17="")+('Ügyfelek'!AG17="")+('Ügyfelek'!AH17=""))</f>
        <v/>
      </c>
      <c r="BK17">
        <f>IF($A17="","",B17+'Beállítások'!$E$6/1000)</f>
        <v/>
      </c>
      <c r="BL17">
        <f>IF($A17="","",C17+'Beállítások'!$E$7/1000)</f>
        <v/>
      </c>
      <c r="BM17">
        <f>IF($A17="","",D17+'Beállítások'!$E$8/1000)</f>
        <v/>
      </c>
      <c r="BN17">
        <f>IF($A17="","",E17+'Beállítások'!$E$9/1000)</f>
        <v/>
      </c>
      <c r="BO17">
        <f>IF($A17="","",F17+'Beállítások'!$E$10/1000)</f>
        <v/>
      </c>
      <c r="BP17">
        <f>IF($A17="","",G17+'Beállítások'!$E$11/1000)</f>
        <v/>
      </c>
      <c r="BQ17">
        <f>IF($A17="","",H17+'Beállítások'!$E$12/1000)</f>
        <v/>
      </c>
      <c r="BR17">
        <f>IF($A17="","",I17+'Beállítások'!$E$13/1000)</f>
        <v/>
      </c>
      <c r="BS17">
        <f>IF($A17="","",J17+'Beállítások'!$E$14/1000)</f>
        <v/>
      </c>
      <c r="BT17">
        <f>IF($A17="","",K17+'Beállítások'!$E$15/1000)</f>
        <v/>
      </c>
      <c r="BU17">
        <f>IF($A17="","",L17+'Beállítások'!$E$16/1000)</f>
        <v/>
      </c>
      <c r="BV17">
        <f>IF($A17="","",M17+'Beállítások'!$E$17/1000)</f>
        <v/>
      </c>
      <c r="BW17">
        <f>IF($A17="","",N17+'Beállítások'!$E$18/1000)</f>
        <v/>
      </c>
      <c r="BX17">
        <f>IF($A17="","",O17+'Beállítások'!$E$19/1000)</f>
        <v/>
      </c>
      <c r="BY17">
        <f>IF($A17="","",P17+'Beállítások'!$E$20/1000)</f>
        <v/>
      </c>
      <c r="BZ17">
        <f>IF($A17="","",Q17+'Beállítások'!$E$21/1000)</f>
        <v/>
      </c>
      <c r="CA17">
        <f>IF($A17="","",R17+'Beállítások'!$E$22/1000)</f>
        <v/>
      </c>
      <c r="CB17">
        <f>IF($A17="","",S17+'Beállítások'!$E$23/1000)</f>
        <v/>
      </c>
      <c r="CC17">
        <f>IF($A17="","",T17+'Beállítások'!$E$24/1000)</f>
        <v/>
      </c>
      <c r="CD17">
        <f>IF($A17="","",U17+'Beállítások'!$E$25/1000)</f>
        <v/>
      </c>
      <c r="CE17">
        <f>IF($A17="","",V17+'Beállítások'!$E$26/1000)</f>
        <v/>
      </c>
      <c r="CF17">
        <f>IF($A17="","",W17+'Beállítások'!$E$27/1000)</f>
        <v/>
      </c>
      <c r="CG17">
        <f>IF($A17="","",X17+'Beállítások'!$E$28/1000)</f>
        <v/>
      </c>
      <c r="CH17">
        <f>IF($A17="","",Y17+'Beállítások'!$E$29/1000)</f>
        <v/>
      </c>
      <c r="CI17">
        <f>IF($A17="","",Z17+'Beállítások'!$E$30/1000)</f>
        <v/>
      </c>
      <c r="CJ17">
        <f>IF($A17="","",AA17+'Beállítások'!$E$31/1000)</f>
        <v/>
      </c>
      <c r="CK17">
        <f>IF($A17="","",AB17+'Beállítások'!$E$32/1000)</f>
        <v/>
      </c>
      <c r="CL17">
        <f>IF($A17="","",AC17+'Beállítások'!$E$33/1000)</f>
        <v/>
      </c>
      <c r="CM17">
        <f>IF($A17="","",AD17+'Beállítások'!$E$34/1000)</f>
        <v/>
      </c>
      <c r="CN17">
        <f>IF($A17="","",AE17+'Beállítások'!$E$35/1000)</f>
        <v/>
      </c>
      <c r="CO17">
        <f>IF($A17="","",AF17+'Beállítások'!$E$36/1000)</f>
        <v/>
      </c>
      <c r="CP17">
        <f>IF($A17="","",AG17+'Beállítások'!$E$37/1000)</f>
        <v/>
      </c>
      <c r="CQ17">
        <f>IF($A17="","",AH17+'Beállítások'!$E$38/1000)</f>
        <v/>
      </c>
      <c r="CR17">
        <f>IF($A17="","",'Beállítások'!$E$6*(10-B17))</f>
        <v/>
      </c>
      <c r="CS17">
        <f>IF($A17="","",'Beállítások'!$E$7*(10-C17))</f>
        <v/>
      </c>
      <c r="CT17">
        <f>IF($A17="","",'Beállítások'!$E$8*(10-D17))</f>
        <v/>
      </c>
      <c r="CU17">
        <f>IF($A17="","",'Beállítások'!$E$9*(10-E17))</f>
        <v/>
      </c>
      <c r="CV17">
        <f>IF($A17="","",'Beállítások'!$E$10*(10-F17))</f>
        <v/>
      </c>
      <c r="CW17">
        <f>IF($A17="","",'Beállítások'!$E$11*(10-G17))</f>
        <v/>
      </c>
      <c r="CX17">
        <f>IF($A17="","",'Beállítások'!$E$12*(10-H17))</f>
        <v/>
      </c>
      <c r="CY17">
        <f>IF($A17="","",'Beállítások'!$E$13*(10-I17))</f>
        <v/>
      </c>
      <c r="CZ17">
        <f>IF($A17="","",'Beállítások'!$E$14*(10-J17))</f>
        <v/>
      </c>
      <c r="DA17">
        <f>IF($A17="","",'Beállítások'!$E$15*(10-K17))</f>
        <v/>
      </c>
      <c r="DB17">
        <f>IF($A17="","",'Beállítások'!$E$16*(10-L17))</f>
        <v/>
      </c>
      <c r="DC17">
        <f>IF($A17="","",'Beállítások'!$E$17*(10-M17))</f>
        <v/>
      </c>
      <c r="DD17">
        <f>IF($A17="","",'Beállítások'!$E$18*(10-N17))</f>
        <v/>
      </c>
      <c r="DE17">
        <f>IF($A17="","",'Beállítások'!$E$19*(10-O17))</f>
        <v/>
      </c>
      <c r="DF17">
        <f>IF($A17="","",'Beállítások'!$E$20*(10-P17))</f>
        <v/>
      </c>
      <c r="DG17">
        <f>IF($A17="","",'Beállítások'!$E$21*(10-Q17))</f>
        <v/>
      </c>
      <c r="DH17">
        <f>IF($A17="","",'Beállítások'!$E$22*(10-R17))</f>
        <v/>
      </c>
      <c r="DI17">
        <f>IF($A17="","",'Beállítások'!$E$23*(10-S17))</f>
        <v/>
      </c>
      <c r="DJ17">
        <f>IF($A17="","",'Beállítások'!$E$24*(10-T17))</f>
        <v/>
      </c>
      <c r="DK17">
        <f>IF($A17="","",'Beállítások'!$E$25*(10-U17))</f>
        <v/>
      </c>
      <c r="DL17">
        <f>IF($A17="","",'Beállítások'!$E$26*(10-V17))</f>
        <v/>
      </c>
      <c r="DM17">
        <f>IF($A17="","",'Beállítások'!$E$27*(10-W17))</f>
        <v/>
      </c>
      <c r="DN17">
        <f>IF($A17="","",'Beállítások'!$E$28*(10-X17))</f>
        <v/>
      </c>
      <c r="DO17">
        <f>IF($A17="","",'Beállítások'!$E$29*(10-Y17))</f>
        <v/>
      </c>
      <c r="DP17">
        <f>IF($A17="","",'Beállítások'!$E$30*(10-Z17))</f>
        <v/>
      </c>
      <c r="DQ17">
        <f>IF($A17="","",'Beállítások'!$E$31*(10-AA17))</f>
        <v/>
      </c>
      <c r="DR17">
        <f>IF($A17="","",'Beállítások'!$E$32*(10-AB17))</f>
        <v/>
      </c>
      <c r="DS17">
        <f>IF($A17="","",'Beállítások'!$E$33*(10-AC17))</f>
        <v/>
      </c>
      <c r="DT17">
        <f>IF($A17="","",'Beállítások'!$E$34*(10-AD17))</f>
        <v/>
      </c>
      <c r="DU17">
        <f>IF($A17="","",'Beállítások'!$E$35*(10-AE17))</f>
        <v/>
      </c>
      <c r="DV17">
        <f>IF($A17="","",'Beállítások'!$E$36*(10-AF17))</f>
        <v/>
      </c>
      <c r="DW17">
        <f>IF($A17="","",'Beállítások'!$E$37*(10-AG17))</f>
        <v/>
      </c>
      <c r="DX17">
        <f>IF($A17="","",'Beállítások'!$E$38*(10-AH17))</f>
        <v/>
      </c>
      <c r="DY17">
        <f>IF($A17="","",AM17-ROW()/100000)</f>
        <v/>
      </c>
    </row>
    <row r="18">
      <c r="A18">
        <f>IF('Ügyfelek'!A18="","",'Ügyfelek'!A18)</f>
        <v/>
      </c>
      <c r="B18">
        <f>IF($A18="","",IF('Ügyfelek'!B18="",'Beállítások'!$B$84,IFERROR(VLOOKUP(TRIM('Ügyfelek'!B18),'Beállítások'!$A$51:$B$59,2,FALSE),'Beállítások'!$B$84)))</f>
        <v/>
      </c>
      <c r="C18">
        <f>IF($A18="","",IF('Ügyfelek'!C18="",'Beállítások'!$B$84,MIN(10,MAX(1,ROUND('Ügyfelek'!C18,0)))))</f>
        <v/>
      </c>
      <c r="D18">
        <f>IF($A18="","",IF('Ügyfelek'!D18="",'Beállítások'!$B$84,MIN(10,MAX(1,ROUND('Ügyfelek'!D18,0)))))</f>
        <v/>
      </c>
      <c r="E18">
        <f>IF($A18="","",IF('Ügyfelek'!E18="",'Beállítások'!$B$84,MIN(10,MAX(1,ROUND('Ügyfelek'!E18,0)))))</f>
        <v/>
      </c>
      <c r="F18">
        <f>IF($A18="","",IF('Ügyfelek'!F18="",'Beállítások'!$B$84,MIN(10,MAX(1,ROUND('Ügyfelek'!F18,0)))))</f>
        <v/>
      </c>
      <c r="G18">
        <f>IF($A18="","",IF('Ügyfelek'!G18="",'Beállítások'!$B$84,MIN(10,MAX(1,ROUND('Ügyfelek'!G18,0)))))</f>
        <v/>
      </c>
      <c r="H18">
        <f>IF($A18="","",IF('Ügyfelek'!H18="",'Beállítások'!$B$84,MIN(10,MAX(1,ROUND('Ügyfelek'!H18,0)))))</f>
        <v/>
      </c>
      <c r="I18">
        <f>IF($A18="","",IF('Ügyfelek'!I18="",'Beállítások'!$B$84,MIN(10,MAX(1,ROUND('Ügyfelek'!I18,0)))))</f>
        <v/>
      </c>
      <c r="J18">
        <f>IF($A18="","",IF('Ügyfelek'!J18="",'Beállítások'!$B$84,MIN(10,MAX(1,ROUND('Ügyfelek'!J18,0)))))</f>
        <v/>
      </c>
      <c r="K18">
        <f>IF($A18="","",IF('Ügyfelek'!K18="",'Beállítások'!$B$84,MIN(10,MAX(1,ROUND('Ügyfelek'!K18,0)))))</f>
        <v/>
      </c>
      <c r="L18">
        <f>IF($A18="","",IF('Ügyfelek'!L18="",'Beállítások'!$B$84,MIN(10,MAX(1,ROUND('Ügyfelek'!L18,0)))))</f>
        <v/>
      </c>
      <c r="M18">
        <f>IF($A18="","",IF('Ügyfelek'!M18="",'Beállítások'!$B$84,MIN(10,MAX(1,ROUND('Ügyfelek'!M18,0)))))</f>
        <v/>
      </c>
      <c r="N18">
        <f>IF($A18="","",IF('Ügyfelek'!N18="",'Beállítások'!$B$84,MIN(10,MAX(1,ROUND('Ügyfelek'!N18,0)))))</f>
        <v/>
      </c>
      <c r="O18">
        <f>IF($A18="","",IF('Ügyfelek'!O18="",'Beállítások'!$B$84,MIN(10,MAX(1,ROUND('Ügyfelek'!O18,0)))))</f>
        <v/>
      </c>
      <c r="P18">
        <f>IF($A18="","",IF('Ügyfelek'!P18="",'Beállítások'!$B$84,MIN(10,MAX(1,ROUND('Ügyfelek'!P18,0)))))</f>
        <v/>
      </c>
      <c r="Q18">
        <f>IF($A18="","",IF('Ügyfelek'!Q18="",'Beállítások'!$B$84,MIN(10,MAX(1,ROUND('Ügyfelek'!Q18,0)))))</f>
        <v/>
      </c>
      <c r="R18">
        <f>IF($A18="","",IF('Ügyfelek'!R18="",'Beállítások'!$B$84,MIN(10,MAX(1,ROUND('Ügyfelek'!R18,0)))))</f>
        <v/>
      </c>
      <c r="S18">
        <f>IF($A18="","",IF('Ügyfelek'!S18="",'Beállítások'!$B$84,MIN(10,MAX(1,ROUND('Ügyfelek'!S18,0)))))</f>
        <v/>
      </c>
      <c r="T18">
        <f>IF($A18="","",IF('Ügyfelek'!T18="",'Beállítások'!$B$84,VLOOKUP(MAX('Ügyfelek'!T18,'Beállítások'!$H$7),'Beállítások'!$H$7:$I$12,2,TRUE)))</f>
        <v/>
      </c>
      <c r="U18">
        <f>IF($A18="","",IF('Ügyfelek'!U18="",'Beállítások'!$B$84,VLOOKUP(MAX('Ügyfelek'!U18,'Beállítások'!$K$7),'Beállítások'!$K$7:$L$12,2,TRUE)))</f>
        <v/>
      </c>
      <c r="V18">
        <f>IF($A18="","",IF('Ügyfelek'!V18="",'Beállítások'!$B$84,MIN(10,MAX(1,ROUND('Ügyfelek'!V18,0)))))</f>
        <v/>
      </c>
      <c r="W18">
        <f>IF($A18="","",IF('Ügyfelek'!W18="",'Beállítások'!$B$84,VLOOKUP(MAX('Ügyfelek'!W18,'Beállítások'!$N$7),'Beállítások'!$N$7:$O$12,2,TRUE)))</f>
        <v/>
      </c>
      <c r="X18">
        <f>IF($A18="","",IF('Ügyfelek'!X18="",'Beállítások'!$B$84,MIN(10,MAX(1,ROUND('Ügyfelek'!X18,0)))))</f>
        <v/>
      </c>
      <c r="Y18">
        <f>IF($A18="","",IF('Ügyfelek'!Y18="",'Beállítások'!$B$84,IFERROR(VLOOKUP(TRIM('Ügyfelek'!Y18),'Beállítások'!$A$63:$B$69,2,FALSE),'Beállítások'!$B$84)))</f>
        <v/>
      </c>
      <c r="Z18">
        <f>IF($A18="","",IF('Ügyfelek'!Z18="",'Beállítások'!$B$84,VLOOKUP(MAX('Ügyfelek'!Z18,'Beállítások'!$Q$7),'Beállítások'!$Q$7:$R$12,2,TRUE)))</f>
        <v/>
      </c>
      <c r="AA18">
        <f>IF($A18="","",IF('Ügyfelek'!AA18="",'Beállítások'!$B$84,VLOOKUP(MAX('Ügyfelek'!AA18,'Beállítások'!$T$7),'Beállítások'!$T$7:$U$12,2,TRUE)))</f>
        <v/>
      </c>
      <c r="AB18">
        <f>IF($A18="","",IF('Ügyfelek'!AB18="",'Beállítások'!$B$84,MIN(10,MAX(1,ROUND('Ügyfelek'!AB18,0)))))</f>
        <v/>
      </c>
      <c r="AC18">
        <f>IF($A18="","",IF('Ügyfelek'!AC18="",'Beállítások'!$B$84,MIN(10,MAX(1,ROUND('Ügyfelek'!AC18,0)))))</f>
        <v/>
      </c>
      <c r="AD18">
        <f>IF($A18="","",IF('Ügyfelek'!AD18="",'Beállítások'!$B$84,MIN(10,MAX(1,ROUND('Ügyfelek'!AD18,0)))))</f>
        <v/>
      </c>
      <c r="AE18">
        <f>IF($A18="","",IF('Ügyfelek'!AE18="",'Beállítások'!$B$84,MIN(10,MAX(1,ROUND('Ügyfelek'!AE18,0)))))</f>
        <v/>
      </c>
      <c r="AF18">
        <f>IF($A18="","",IF('Ügyfelek'!AF18="",'Beállítások'!$B$84,MIN(10,MAX(1,ROUND('Ügyfelek'!AF18,0)))))</f>
        <v/>
      </c>
      <c r="AG18">
        <f>IF($A18="","",IF('Ügyfelek'!AG18="",'Beállítások'!$B$84,MIN(10,MAX(1,ROUND('Ügyfelek'!AG18,0)))))</f>
        <v/>
      </c>
      <c r="AH18">
        <f>IF($A18="","",IF('Ügyfelek'!AH18="",'Beállítások'!$B$84,IFERROR(VLOOKUP(TRIM('Ügyfelek'!AH18),'Beállítások'!$A$73:$B$79,2,FALSE),'Beállítások'!$B$84)))</f>
        <v/>
      </c>
      <c r="AI18" s="23">
        <f>IF($A18="","",ROUND(100*('Beállítások'!$E$6*(B18-1)+'Beállítások'!$E$7*(C18-1))/(9*'Beállítások'!$B$43),1))</f>
        <v/>
      </c>
      <c r="AJ18" s="23">
        <f>IF($A18="","",ROUND(100*('Beállítások'!$E$8*(D18-1)+'Beállítások'!$E$9*(E18-1)+'Beállítások'!$E$10*(F18-1)+'Beállítások'!$E$11*(G18-1)+'Beállítások'!$E$12*(H18-1)+'Beállítások'!$E$13*(I18-1)+'Beállítások'!$E$14*(J18-1)+'Beállítások'!$E$15*(K18-1)+'Beállítások'!$E$16*(L18-1)+'Beállítások'!$E$17*(M18-1)+'Beállítások'!$E$18*(N18-1)+'Beállítások'!$E$19*(O18-1)+'Beállítások'!$E$20*(P18-1)+'Beállítások'!$E$21*(Q18-1)+'Beállítások'!$E$22*(R18-1))/(9*'Beállítások'!$B$44),1))</f>
        <v/>
      </c>
      <c r="AK18" s="23">
        <f>IF($A18="","",ROUND(100*('Beállítások'!$E$23*(S18-1)+'Beállítások'!$E$24*(T18-1)+'Beállítások'!$E$25*(U18-1)+'Beállítások'!$E$26*(V18-1)+'Beállítások'!$E$27*(W18-1)+'Beállítások'!$E$28*(X18-1)+'Beállítások'!$E$29*(Y18-1))/(9*'Beállítások'!$B$45),1))</f>
        <v/>
      </c>
      <c r="AL18" s="23">
        <f>IF($A18="","",ROUND(100*('Beállítások'!$E$30*(Z18-1)+'Beállítások'!$E$31*(AA18-1)+'Beállítások'!$E$32*(AB18-1)+'Beállítások'!$E$33*(AC18-1)+'Beállítások'!$E$34*(AD18-1)+'Beállítások'!$E$35*(AE18-1)+'Beállítások'!$E$36*(AF18-1)+'Beállítások'!$E$37*(AG18-1)+'Beállítások'!$E$38*(AH18-1))/(9*'Beállítások'!$B$46),1))</f>
        <v/>
      </c>
      <c r="AM18" s="23">
        <f>IF($A18="","",ROUND(100*('Beállítások'!$E$6*(B18-1)+'Beállítások'!$E$7*(C18-1)+'Beállítások'!$E$8*(D18-1)+'Beállítások'!$E$9*(E18-1)+'Beállítások'!$E$10*(F18-1)+'Beállítások'!$E$11*(G18-1)+'Beállítások'!$E$12*(H18-1)+'Beállítások'!$E$13*(I18-1)+'Beállítások'!$E$14*(J18-1)+'Beállítások'!$E$15*(K18-1)+'Beállítások'!$E$16*(L18-1)+'Beállítások'!$E$17*(M18-1)+'Beállítások'!$E$18*(N18-1)+'Beállítások'!$E$19*(O18-1)+'Beállítások'!$E$20*(P18-1)+'Beállítások'!$E$21*(Q18-1)+'Beállítások'!$E$22*(R18-1)+'Beállítások'!$E$23*(S18-1)+'Beállítások'!$E$24*(T18-1)+'Beállítások'!$E$25*(U18-1)+'Beállítások'!$E$26*(V18-1)+'Beállítások'!$E$27*(W18-1)+'Beállítások'!$E$28*(X18-1)+'Beállítások'!$E$29*(Y18-1)+'Beállítások'!$E$30*(Z18-1)+'Beállítások'!$E$31*(AA18-1)+'Beállítások'!$E$32*(AB18-1)+'Beállítások'!$E$33*(AC18-1)+'Beállítások'!$E$34*(AD18-1)+'Beállítások'!$E$35*(AE18-1)+'Beállítások'!$E$36*(AF18-1)+'Beállítások'!$E$37*(AG18-1)+'Beállítások'!$E$38*(AH18-1))/(9*'Beállítások'!$E$39),1))</f>
        <v/>
      </c>
      <c r="AN18" s="23">
        <f>IF($A18="","",ROUND(100*('Beállítások'!$E$8*(D18-1)+'Beállítások'!$E$9*(E18-1)+'Beállítások'!$E$10*(F18-1)+'Beállítások'!$E$11*(G18-1)+'Beállítások'!$E$12*(H18-1)+'Beállítások'!$E$13*(I18-1)+'Beállítások'!$E$14*(J18-1)+'Beállítások'!$E$15*(K18-1)+'Beállítások'!$E$16*(L18-1)+'Beállítások'!$E$17*(M18-1)+'Beállítások'!$E$18*(N18-1)+'Beállítások'!$E$19*(O18-1)+'Beállítások'!$E$20*(P18-1)+'Beállítások'!$E$21*(Q18-1)+'Beállítások'!$E$22*(R18-1)+'Beállítások'!$E$23*(S18-1)+'Beállítások'!$E$24*(T18-1)+'Beállítások'!$E$25*(U18-1)+'Beállítások'!$E$26*(V18-1)+'Beállítások'!$E$27*(W18-1)+'Beállítások'!$E$28*(X18-1)+'Beállítások'!$E$29*(Y18-1))/(9*('Beállítások'!$B$44+'Beállítások'!$B$45)),1))</f>
        <v/>
      </c>
      <c r="AO18" s="24">
        <f>IF($A18="","",RANK(AM18,$AM$2:$AM$201))</f>
        <v/>
      </c>
      <c r="AP18">
        <f>IF($A18="","",IF(OR(AND('Ügyfelek'!B18&lt;&gt;"",B18&lt;='Beállítások'!$B$85),AND('Ügyfelek'!C18&lt;&gt;"",C18&lt;='Beállítások'!$B$86)),"Igen","Nem"))</f>
        <v/>
      </c>
      <c r="AQ18" s="24">
        <f>IF($A18="","",IF(AP18="Igen",5,IF(AN18&gt;='Beállítások'!$C$108,1,IF(AN18&gt;='Beállítások'!$C$109,2,IF(AN18&gt;='Beállítások'!$C$110,3,IF(AND(AN18&gt;='Beállítások'!$B$87,AI18&gt;='Beállítások'!$B$88,AL18&gt;='Beállítások'!$B$89),4,5))))))</f>
        <v/>
      </c>
      <c r="AR18">
        <f>IF($A18="","",INDEX('Beállítások'!$B$108:$B$112,AQ18))</f>
        <v/>
      </c>
      <c r="AS18">
        <f>IF($A18="","",IF(AQ18=5,"Elutasítjuk",IF(AND(AQ18=4,COUNTIFS('Eredmény'!$AQ$2:$AQ$201,4,'Eredmény'!$DY$2:$DY$201,"&gt;"&amp;DY18)&gt;='Beállítások'!$B$90),"Várólista (a 4-es hely foglalt)","Elfogadjuk")))</f>
        <v/>
      </c>
      <c r="AT18">
        <f>IF($A18="","",INDEX('Beállítások'!$F$108:$F$112,AQ18))</f>
        <v/>
      </c>
      <c r="AU18">
        <f>IF($A18="","",INDEX('Beállítások'!$B$6:$B$38,MATCH(MAX(BK18:CQ18),BK18:CQ18,0)))</f>
        <v/>
      </c>
      <c r="AV18">
        <f>IF($A18="","",IF(MAX(CR18:DX18)=0,"—",INDEX('Beállítások'!$B$6:$B$38,MATCH(MAX(CR18:DX18),CR18:DX18,0))))</f>
        <v/>
      </c>
      <c r="AW18" s="10">
        <f>IF($A18="","",'Beállítások'!$B$94*(TRIM('Ügyfelek'!AI18)="igen")+'Beállítások'!$B$95*(TRIM('Ügyfelek'!AJ18)="igen")+'Beállítások'!$B$96*N('Ügyfelek'!AK18)+'Beállítások'!$B$93*N('Ügyfelek'!AL18))</f>
        <v/>
      </c>
      <c r="AX18" s="25">
        <f>IF(OR($A18="",AQ18=5),"",INDEX('Beállítások'!$D$108:$D$112,AQ18))</f>
        <v/>
      </c>
      <c r="AY18" s="10">
        <f>IF($A18="","",N('Ügyfelek'!U18)*'Beállítások'!$B$98)</f>
        <v/>
      </c>
      <c r="AZ18" s="10">
        <f>IF(OR($A18="",AQ18=5),"",CEILING(ROUND(MAX('Beállítások'!$B$97,AW18*AX18,AY18),2),'Beállítások'!$B$99))</f>
        <v/>
      </c>
      <c r="BA18">
        <f>IF($A18="","",IF(AQ18=5,"Elutasítva",IF(MAX('Beállítások'!$B$97,AW18*AX18,AY18)=AW18*AX18,"Munkaigény × státuszszorzó",IF(MAX('Beállítások'!$B$97,AW18*AX18,AY18)=AY18,"Hirdetési keret arányában","Minimumdíj"))))</f>
        <v/>
      </c>
      <c r="BB18" s="10">
        <f>IF(OR($A18="",'Ügyfelek'!AM18=""),"",'Ügyfelek'!AM18)</f>
        <v/>
      </c>
      <c r="BC18" s="10">
        <f>IF(OR(BB18="",AZ18=""),"",AZ18-BB18)</f>
        <v/>
      </c>
      <c r="BD18" s="18">
        <f>IF(OR(BB18="",AZ18="",BB18=0),"",BC18/BB18)</f>
        <v/>
      </c>
      <c r="BE18">
        <f>IF(OR($A18="",AQ18=5),"",IF(AND(INDEX('Beállítások'!$E$108:$E$112,AQ18)&gt;0,Y18&gt;='Beállítások'!$B$91),"Igen","Nem"))</f>
        <v/>
      </c>
      <c r="BF18" s="10">
        <f>IF(BE18="Igen",CEILING(ROUND(AZ18*(1-'Beállítások'!$B$92),2),'Beállítások'!$B$99),"")</f>
        <v/>
      </c>
      <c r="BG18" s="20">
        <f>IF(BE18="Igen",INDEX('Beállítások'!$E$108:$E$112,AQ18),"")</f>
        <v/>
      </c>
      <c r="BH18" s="10">
        <f>IF(OR(BE18&lt;&gt;"Igen",'Ügyfelek'!AN18=""),"",'Ügyfelek'!AN18*BG18)</f>
        <v/>
      </c>
      <c r="BI18" s="24">
        <f>IF($A18="","",('Ügyfelek'!B18="")+('Ügyfelek'!C18="")+('Ügyfelek'!D18="")+('Ügyfelek'!E18="")+('Ügyfelek'!F18="")+('Ügyfelek'!G18="")+('Ügyfelek'!H18="")+('Ügyfelek'!I18="")+('Ügyfelek'!J18="")+('Ügyfelek'!K18="")+('Ügyfelek'!L18="")+('Ügyfelek'!M18="")+('Ügyfelek'!N18="")+('Ügyfelek'!O18="")+('Ügyfelek'!P18="")+('Ügyfelek'!Q18="")+('Ügyfelek'!R18="")+('Ügyfelek'!S18="")+('Ügyfelek'!T18="")+('Ügyfelek'!U18="")+('Ügyfelek'!V18="")+('Ügyfelek'!W18="")+('Ügyfelek'!X18="")+('Ügyfelek'!Y18="")+('Ügyfelek'!Z18="")+('Ügyfelek'!AA18="")+('Ügyfelek'!AB18="")+('Ügyfelek'!AC18="")+('Ügyfelek'!AD18="")+('Ügyfelek'!AE18="")+('Ügyfelek'!AF18="")+('Ügyfelek'!AG18="")+('Ügyfelek'!AH18=""))</f>
        <v/>
      </c>
      <c r="BK18">
        <f>IF($A18="","",B18+'Beállítások'!$E$6/1000)</f>
        <v/>
      </c>
      <c r="BL18">
        <f>IF($A18="","",C18+'Beállítások'!$E$7/1000)</f>
        <v/>
      </c>
      <c r="BM18">
        <f>IF($A18="","",D18+'Beállítások'!$E$8/1000)</f>
        <v/>
      </c>
      <c r="BN18">
        <f>IF($A18="","",E18+'Beállítások'!$E$9/1000)</f>
        <v/>
      </c>
      <c r="BO18">
        <f>IF($A18="","",F18+'Beállítások'!$E$10/1000)</f>
        <v/>
      </c>
      <c r="BP18">
        <f>IF($A18="","",G18+'Beállítások'!$E$11/1000)</f>
        <v/>
      </c>
      <c r="BQ18">
        <f>IF($A18="","",H18+'Beállítások'!$E$12/1000)</f>
        <v/>
      </c>
      <c r="BR18">
        <f>IF($A18="","",I18+'Beállítások'!$E$13/1000)</f>
        <v/>
      </c>
      <c r="BS18">
        <f>IF($A18="","",J18+'Beállítások'!$E$14/1000)</f>
        <v/>
      </c>
      <c r="BT18">
        <f>IF($A18="","",K18+'Beállítások'!$E$15/1000)</f>
        <v/>
      </c>
      <c r="BU18">
        <f>IF($A18="","",L18+'Beállítások'!$E$16/1000)</f>
        <v/>
      </c>
      <c r="BV18">
        <f>IF($A18="","",M18+'Beállítások'!$E$17/1000)</f>
        <v/>
      </c>
      <c r="BW18">
        <f>IF($A18="","",N18+'Beállítások'!$E$18/1000)</f>
        <v/>
      </c>
      <c r="BX18">
        <f>IF($A18="","",O18+'Beállítások'!$E$19/1000)</f>
        <v/>
      </c>
      <c r="BY18">
        <f>IF($A18="","",P18+'Beállítások'!$E$20/1000)</f>
        <v/>
      </c>
      <c r="BZ18">
        <f>IF($A18="","",Q18+'Beállítások'!$E$21/1000)</f>
        <v/>
      </c>
      <c r="CA18">
        <f>IF($A18="","",R18+'Beállítások'!$E$22/1000)</f>
        <v/>
      </c>
      <c r="CB18">
        <f>IF($A18="","",S18+'Beállítások'!$E$23/1000)</f>
        <v/>
      </c>
      <c r="CC18">
        <f>IF($A18="","",T18+'Beállítások'!$E$24/1000)</f>
        <v/>
      </c>
      <c r="CD18">
        <f>IF($A18="","",U18+'Beállítások'!$E$25/1000)</f>
        <v/>
      </c>
      <c r="CE18">
        <f>IF($A18="","",V18+'Beállítások'!$E$26/1000)</f>
        <v/>
      </c>
      <c r="CF18">
        <f>IF($A18="","",W18+'Beállítások'!$E$27/1000)</f>
        <v/>
      </c>
      <c r="CG18">
        <f>IF($A18="","",X18+'Beállítások'!$E$28/1000)</f>
        <v/>
      </c>
      <c r="CH18">
        <f>IF($A18="","",Y18+'Beállítások'!$E$29/1000)</f>
        <v/>
      </c>
      <c r="CI18">
        <f>IF($A18="","",Z18+'Beállítások'!$E$30/1000)</f>
        <v/>
      </c>
      <c r="CJ18">
        <f>IF($A18="","",AA18+'Beállítások'!$E$31/1000)</f>
        <v/>
      </c>
      <c r="CK18">
        <f>IF($A18="","",AB18+'Beállítások'!$E$32/1000)</f>
        <v/>
      </c>
      <c r="CL18">
        <f>IF($A18="","",AC18+'Beállítások'!$E$33/1000)</f>
        <v/>
      </c>
      <c r="CM18">
        <f>IF($A18="","",AD18+'Beállítások'!$E$34/1000)</f>
        <v/>
      </c>
      <c r="CN18">
        <f>IF($A18="","",AE18+'Beállítások'!$E$35/1000)</f>
        <v/>
      </c>
      <c r="CO18">
        <f>IF($A18="","",AF18+'Beállítások'!$E$36/1000)</f>
        <v/>
      </c>
      <c r="CP18">
        <f>IF($A18="","",AG18+'Beállítások'!$E$37/1000)</f>
        <v/>
      </c>
      <c r="CQ18">
        <f>IF($A18="","",AH18+'Beállítások'!$E$38/1000)</f>
        <v/>
      </c>
      <c r="CR18">
        <f>IF($A18="","",'Beállítások'!$E$6*(10-B18))</f>
        <v/>
      </c>
      <c r="CS18">
        <f>IF($A18="","",'Beállítások'!$E$7*(10-C18))</f>
        <v/>
      </c>
      <c r="CT18">
        <f>IF($A18="","",'Beállítások'!$E$8*(10-D18))</f>
        <v/>
      </c>
      <c r="CU18">
        <f>IF($A18="","",'Beállítások'!$E$9*(10-E18))</f>
        <v/>
      </c>
      <c r="CV18">
        <f>IF($A18="","",'Beállítások'!$E$10*(10-F18))</f>
        <v/>
      </c>
      <c r="CW18">
        <f>IF($A18="","",'Beállítások'!$E$11*(10-G18))</f>
        <v/>
      </c>
      <c r="CX18">
        <f>IF($A18="","",'Beállítások'!$E$12*(10-H18))</f>
        <v/>
      </c>
      <c r="CY18">
        <f>IF($A18="","",'Beállítások'!$E$13*(10-I18))</f>
        <v/>
      </c>
      <c r="CZ18">
        <f>IF($A18="","",'Beállítások'!$E$14*(10-J18))</f>
        <v/>
      </c>
      <c r="DA18">
        <f>IF($A18="","",'Beállítások'!$E$15*(10-K18))</f>
        <v/>
      </c>
      <c r="DB18">
        <f>IF($A18="","",'Beállítások'!$E$16*(10-L18))</f>
        <v/>
      </c>
      <c r="DC18">
        <f>IF($A18="","",'Beállítások'!$E$17*(10-M18))</f>
        <v/>
      </c>
      <c r="DD18">
        <f>IF($A18="","",'Beállítások'!$E$18*(10-N18))</f>
        <v/>
      </c>
      <c r="DE18">
        <f>IF($A18="","",'Beállítások'!$E$19*(10-O18))</f>
        <v/>
      </c>
      <c r="DF18">
        <f>IF($A18="","",'Beállítások'!$E$20*(10-P18))</f>
        <v/>
      </c>
      <c r="DG18">
        <f>IF($A18="","",'Beállítások'!$E$21*(10-Q18))</f>
        <v/>
      </c>
      <c r="DH18">
        <f>IF($A18="","",'Beállítások'!$E$22*(10-R18))</f>
        <v/>
      </c>
      <c r="DI18">
        <f>IF($A18="","",'Beállítások'!$E$23*(10-S18))</f>
        <v/>
      </c>
      <c r="DJ18">
        <f>IF($A18="","",'Beállítások'!$E$24*(10-T18))</f>
        <v/>
      </c>
      <c r="DK18">
        <f>IF($A18="","",'Beállítások'!$E$25*(10-U18))</f>
        <v/>
      </c>
      <c r="DL18">
        <f>IF($A18="","",'Beállítások'!$E$26*(10-V18))</f>
        <v/>
      </c>
      <c r="DM18">
        <f>IF($A18="","",'Beállítások'!$E$27*(10-W18))</f>
        <v/>
      </c>
      <c r="DN18">
        <f>IF($A18="","",'Beállítások'!$E$28*(10-X18))</f>
        <v/>
      </c>
      <c r="DO18">
        <f>IF($A18="","",'Beállítások'!$E$29*(10-Y18))</f>
        <v/>
      </c>
      <c r="DP18">
        <f>IF($A18="","",'Beállítások'!$E$30*(10-Z18))</f>
        <v/>
      </c>
      <c r="DQ18">
        <f>IF($A18="","",'Beállítások'!$E$31*(10-AA18))</f>
        <v/>
      </c>
      <c r="DR18">
        <f>IF($A18="","",'Beállítások'!$E$32*(10-AB18))</f>
        <v/>
      </c>
      <c r="DS18">
        <f>IF($A18="","",'Beállítások'!$E$33*(10-AC18))</f>
        <v/>
      </c>
      <c r="DT18">
        <f>IF($A18="","",'Beállítások'!$E$34*(10-AD18))</f>
        <v/>
      </c>
      <c r="DU18">
        <f>IF($A18="","",'Beállítások'!$E$35*(10-AE18))</f>
        <v/>
      </c>
      <c r="DV18">
        <f>IF($A18="","",'Beállítások'!$E$36*(10-AF18))</f>
        <v/>
      </c>
      <c r="DW18">
        <f>IF($A18="","",'Beállítások'!$E$37*(10-AG18))</f>
        <v/>
      </c>
      <c r="DX18">
        <f>IF($A18="","",'Beállítások'!$E$38*(10-AH18))</f>
        <v/>
      </c>
      <c r="DY18">
        <f>IF($A18="","",AM18-ROW()/100000)</f>
        <v/>
      </c>
    </row>
    <row r="19">
      <c r="A19">
        <f>IF('Ügyfelek'!A19="","",'Ügyfelek'!A19)</f>
        <v/>
      </c>
      <c r="B19">
        <f>IF($A19="","",IF('Ügyfelek'!B19="",'Beállítások'!$B$84,IFERROR(VLOOKUP(TRIM('Ügyfelek'!B19),'Beállítások'!$A$51:$B$59,2,FALSE),'Beállítások'!$B$84)))</f>
        <v/>
      </c>
      <c r="C19">
        <f>IF($A19="","",IF('Ügyfelek'!C19="",'Beállítások'!$B$84,MIN(10,MAX(1,ROUND('Ügyfelek'!C19,0)))))</f>
        <v/>
      </c>
      <c r="D19">
        <f>IF($A19="","",IF('Ügyfelek'!D19="",'Beállítások'!$B$84,MIN(10,MAX(1,ROUND('Ügyfelek'!D19,0)))))</f>
        <v/>
      </c>
      <c r="E19">
        <f>IF($A19="","",IF('Ügyfelek'!E19="",'Beállítások'!$B$84,MIN(10,MAX(1,ROUND('Ügyfelek'!E19,0)))))</f>
        <v/>
      </c>
      <c r="F19">
        <f>IF($A19="","",IF('Ügyfelek'!F19="",'Beállítások'!$B$84,MIN(10,MAX(1,ROUND('Ügyfelek'!F19,0)))))</f>
        <v/>
      </c>
      <c r="G19">
        <f>IF($A19="","",IF('Ügyfelek'!G19="",'Beállítások'!$B$84,MIN(10,MAX(1,ROUND('Ügyfelek'!G19,0)))))</f>
        <v/>
      </c>
      <c r="H19">
        <f>IF($A19="","",IF('Ügyfelek'!H19="",'Beállítások'!$B$84,MIN(10,MAX(1,ROUND('Ügyfelek'!H19,0)))))</f>
        <v/>
      </c>
      <c r="I19">
        <f>IF($A19="","",IF('Ügyfelek'!I19="",'Beállítások'!$B$84,MIN(10,MAX(1,ROUND('Ügyfelek'!I19,0)))))</f>
        <v/>
      </c>
      <c r="J19">
        <f>IF($A19="","",IF('Ügyfelek'!J19="",'Beállítások'!$B$84,MIN(10,MAX(1,ROUND('Ügyfelek'!J19,0)))))</f>
        <v/>
      </c>
      <c r="K19">
        <f>IF($A19="","",IF('Ügyfelek'!K19="",'Beállítások'!$B$84,MIN(10,MAX(1,ROUND('Ügyfelek'!K19,0)))))</f>
        <v/>
      </c>
      <c r="L19">
        <f>IF($A19="","",IF('Ügyfelek'!L19="",'Beállítások'!$B$84,MIN(10,MAX(1,ROUND('Ügyfelek'!L19,0)))))</f>
        <v/>
      </c>
      <c r="M19">
        <f>IF($A19="","",IF('Ügyfelek'!M19="",'Beállítások'!$B$84,MIN(10,MAX(1,ROUND('Ügyfelek'!M19,0)))))</f>
        <v/>
      </c>
      <c r="N19">
        <f>IF($A19="","",IF('Ügyfelek'!N19="",'Beállítások'!$B$84,MIN(10,MAX(1,ROUND('Ügyfelek'!N19,0)))))</f>
        <v/>
      </c>
      <c r="O19">
        <f>IF($A19="","",IF('Ügyfelek'!O19="",'Beállítások'!$B$84,MIN(10,MAX(1,ROUND('Ügyfelek'!O19,0)))))</f>
        <v/>
      </c>
      <c r="P19">
        <f>IF($A19="","",IF('Ügyfelek'!P19="",'Beállítások'!$B$84,MIN(10,MAX(1,ROUND('Ügyfelek'!P19,0)))))</f>
        <v/>
      </c>
      <c r="Q19">
        <f>IF($A19="","",IF('Ügyfelek'!Q19="",'Beállítások'!$B$84,MIN(10,MAX(1,ROUND('Ügyfelek'!Q19,0)))))</f>
        <v/>
      </c>
      <c r="R19">
        <f>IF($A19="","",IF('Ügyfelek'!R19="",'Beállítások'!$B$84,MIN(10,MAX(1,ROUND('Ügyfelek'!R19,0)))))</f>
        <v/>
      </c>
      <c r="S19">
        <f>IF($A19="","",IF('Ügyfelek'!S19="",'Beállítások'!$B$84,MIN(10,MAX(1,ROUND('Ügyfelek'!S19,0)))))</f>
        <v/>
      </c>
      <c r="T19">
        <f>IF($A19="","",IF('Ügyfelek'!T19="",'Beállítások'!$B$84,VLOOKUP(MAX('Ügyfelek'!T19,'Beállítások'!$H$7),'Beállítások'!$H$7:$I$12,2,TRUE)))</f>
        <v/>
      </c>
      <c r="U19">
        <f>IF($A19="","",IF('Ügyfelek'!U19="",'Beállítások'!$B$84,VLOOKUP(MAX('Ügyfelek'!U19,'Beállítások'!$K$7),'Beállítások'!$K$7:$L$12,2,TRUE)))</f>
        <v/>
      </c>
      <c r="V19">
        <f>IF($A19="","",IF('Ügyfelek'!V19="",'Beállítások'!$B$84,MIN(10,MAX(1,ROUND('Ügyfelek'!V19,0)))))</f>
        <v/>
      </c>
      <c r="W19">
        <f>IF($A19="","",IF('Ügyfelek'!W19="",'Beállítások'!$B$84,VLOOKUP(MAX('Ügyfelek'!W19,'Beállítások'!$N$7),'Beállítások'!$N$7:$O$12,2,TRUE)))</f>
        <v/>
      </c>
      <c r="X19">
        <f>IF($A19="","",IF('Ügyfelek'!X19="",'Beállítások'!$B$84,MIN(10,MAX(1,ROUND('Ügyfelek'!X19,0)))))</f>
        <v/>
      </c>
      <c r="Y19">
        <f>IF($A19="","",IF('Ügyfelek'!Y19="",'Beállítások'!$B$84,IFERROR(VLOOKUP(TRIM('Ügyfelek'!Y19),'Beállítások'!$A$63:$B$69,2,FALSE),'Beállítások'!$B$84)))</f>
        <v/>
      </c>
      <c r="Z19">
        <f>IF($A19="","",IF('Ügyfelek'!Z19="",'Beállítások'!$B$84,VLOOKUP(MAX('Ügyfelek'!Z19,'Beállítások'!$Q$7),'Beállítások'!$Q$7:$R$12,2,TRUE)))</f>
        <v/>
      </c>
      <c r="AA19">
        <f>IF($A19="","",IF('Ügyfelek'!AA19="",'Beállítások'!$B$84,VLOOKUP(MAX('Ügyfelek'!AA19,'Beállítások'!$T$7),'Beállítások'!$T$7:$U$12,2,TRUE)))</f>
        <v/>
      </c>
      <c r="AB19">
        <f>IF($A19="","",IF('Ügyfelek'!AB19="",'Beállítások'!$B$84,MIN(10,MAX(1,ROUND('Ügyfelek'!AB19,0)))))</f>
        <v/>
      </c>
      <c r="AC19">
        <f>IF($A19="","",IF('Ügyfelek'!AC19="",'Beállítások'!$B$84,MIN(10,MAX(1,ROUND('Ügyfelek'!AC19,0)))))</f>
        <v/>
      </c>
      <c r="AD19">
        <f>IF($A19="","",IF('Ügyfelek'!AD19="",'Beállítások'!$B$84,MIN(10,MAX(1,ROUND('Ügyfelek'!AD19,0)))))</f>
        <v/>
      </c>
      <c r="AE19">
        <f>IF($A19="","",IF('Ügyfelek'!AE19="",'Beállítások'!$B$84,MIN(10,MAX(1,ROUND('Ügyfelek'!AE19,0)))))</f>
        <v/>
      </c>
      <c r="AF19">
        <f>IF($A19="","",IF('Ügyfelek'!AF19="",'Beállítások'!$B$84,MIN(10,MAX(1,ROUND('Ügyfelek'!AF19,0)))))</f>
        <v/>
      </c>
      <c r="AG19">
        <f>IF($A19="","",IF('Ügyfelek'!AG19="",'Beállítások'!$B$84,MIN(10,MAX(1,ROUND('Ügyfelek'!AG19,0)))))</f>
        <v/>
      </c>
      <c r="AH19">
        <f>IF($A19="","",IF('Ügyfelek'!AH19="",'Beállítások'!$B$84,IFERROR(VLOOKUP(TRIM('Ügyfelek'!AH19),'Beállítások'!$A$73:$B$79,2,FALSE),'Beállítások'!$B$84)))</f>
        <v/>
      </c>
      <c r="AI19" s="23">
        <f>IF($A19="","",ROUND(100*('Beállítások'!$E$6*(B19-1)+'Beállítások'!$E$7*(C19-1))/(9*'Beállítások'!$B$43),1))</f>
        <v/>
      </c>
      <c r="AJ19" s="23">
        <f>IF($A19="","",ROUND(100*('Beállítások'!$E$8*(D19-1)+'Beállítások'!$E$9*(E19-1)+'Beállítások'!$E$10*(F19-1)+'Beállítások'!$E$11*(G19-1)+'Beállítások'!$E$12*(H19-1)+'Beállítások'!$E$13*(I19-1)+'Beállítások'!$E$14*(J19-1)+'Beállítások'!$E$15*(K19-1)+'Beállítások'!$E$16*(L19-1)+'Beállítások'!$E$17*(M19-1)+'Beállítások'!$E$18*(N19-1)+'Beállítások'!$E$19*(O19-1)+'Beállítások'!$E$20*(P19-1)+'Beállítások'!$E$21*(Q19-1)+'Beállítások'!$E$22*(R19-1))/(9*'Beállítások'!$B$44),1))</f>
        <v/>
      </c>
      <c r="AK19" s="23">
        <f>IF($A19="","",ROUND(100*('Beállítások'!$E$23*(S19-1)+'Beállítások'!$E$24*(T19-1)+'Beállítások'!$E$25*(U19-1)+'Beállítások'!$E$26*(V19-1)+'Beállítások'!$E$27*(W19-1)+'Beállítások'!$E$28*(X19-1)+'Beállítások'!$E$29*(Y19-1))/(9*'Beállítások'!$B$45),1))</f>
        <v/>
      </c>
      <c r="AL19" s="23">
        <f>IF($A19="","",ROUND(100*('Beállítások'!$E$30*(Z19-1)+'Beállítások'!$E$31*(AA19-1)+'Beállítások'!$E$32*(AB19-1)+'Beállítások'!$E$33*(AC19-1)+'Beállítások'!$E$34*(AD19-1)+'Beállítások'!$E$35*(AE19-1)+'Beállítások'!$E$36*(AF19-1)+'Beállítások'!$E$37*(AG19-1)+'Beállítások'!$E$38*(AH19-1))/(9*'Beállítások'!$B$46),1))</f>
        <v/>
      </c>
      <c r="AM19" s="23">
        <f>IF($A19="","",ROUND(100*('Beállítások'!$E$6*(B19-1)+'Beállítások'!$E$7*(C19-1)+'Beállítások'!$E$8*(D19-1)+'Beállítások'!$E$9*(E19-1)+'Beállítások'!$E$10*(F19-1)+'Beállítások'!$E$11*(G19-1)+'Beállítások'!$E$12*(H19-1)+'Beállítások'!$E$13*(I19-1)+'Beállítások'!$E$14*(J19-1)+'Beállítások'!$E$15*(K19-1)+'Beállítások'!$E$16*(L19-1)+'Beállítások'!$E$17*(M19-1)+'Beállítások'!$E$18*(N19-1)+'Beállítások'!$E$19*(O19-1)+'Beállítások'!$E$20*(P19-1)+'Beállítások'!$E$21*(Q19-1)+'Beállítások'!$E$22*(R19-1)+'Beállítások'!$E$23*(S19-1)+'Beállítások'!$E$24*(T19-1)+'Beállítások'!$E$25*(U19-1)+'Beállítások'!$E$26*(V19-1)+'Beállítások'!$E$27*(W19-1)+'Beállítások'!$E$28*(X19-1)+'Beállítások'!$E$29*(Y19-1)+'Beállítások'!$E$30*(Z19-1)+'Beállítások'!$E$31*(AA19-1)+'Beállítások'!$E$32*(AB19-1)+'Beállítások'!$E$33*(AC19-1)+'Beállítások'!$E$34*(AD19-1)+'Beállítások'!$E$35*(AE19-1)+'Beállítások'!$E$36*(AF19-1)+'Beállítások'!$E$37*(AG19-1)+'Beállítások'!$E$38*(AH19-1))/(9*'Beállítások'!$E$39),1))</f>
        <v/>
      </c>
      <c r="AN19" s="23">
        <f>IF($A19="","",ROUND(100*('Beállítások'!$E$8*(D19-1)+'Beállítások'!$E$9*(E19-1)+'Beállítások'!$E$10*(F19-1)+'Beállítások'!$E$11*(G19-1)+'Beállítások'!$E$12*(H19-1)+'Beállítások'!$E$13*(I19-1)+'Beállítások'!$E$14*(J19-1)+'Beállítások'!$E$15*(K19-1)+'Beállítások'!$E$16*(L19-1)+'Beállítások'!$E$17*(M19-1)+'Beállítások'!$E$18*(N19-1)+'Beállítások'!$E$19*(O19-1)+'Beállítások'!$E$20*(P19-1)+'Beállítások'!$E$21*(Q19-1)+'Beállítások'!$E$22*(R19-1)+'Beállítások'!$E$23*(S19-1)+'Beállítások'!$E$24*(T19-1)+'Beállítások'!$E$25*(U19-1)+'Beállítások'!$E$26*(V19-1)+'Beállítások'!$E$27*(W19-1)+'Beállítások'!$E$28*(X19-1)+'Beállítások'!$E$29*(Y19-1))/(9*('Beállítások'!$B$44+'Beállítások'!$B$45)),1))</f>
        <v/>
      </c>
      <c r="AO19" s="24">
        <f>IF($A19="","",RANK(AM19,$AM$2:$AM$201))</f>
        <v/>
      </c>
      <c r="AP19">
        <f>IF($A19="","",IF(OR(AND('Ügyfelek'!B19&lt;&gt;"",B19&lt;='Beállítások'!$B$85),AND('Ügyfelek'!C19&lt;&gt;"",C19&lt;='Beállítások'!$B$86)),"Igen","Nem"))</f>
        <v/>
      </c>
      <c r="AQ19" s="24">
        <f>IF($A19="","",IF(AP19="Igen",5,IF(AN19&gt;='Beállítások'!$C$108,1,IF(AN19&gt;='Beállítások'!$C$109,2,IF(AN19&gt;='Beállítások'!$C$110,3,IF(AND(AN19&gt;='Beállítások'!$B$87,AI19&gt;='Beállítások'!$B$88,AL19&gt;='Beállítások'!$B$89),4,5))))))</f>
        <v/>
      </c>
      <c r="AR19">
        <f>IF($A19="","",INDEX('Beállítások'!$B$108:$B$112,AQ19))</f>
        <v/>
      </c>
      <c r="AS19">
        <f>IF($A19="","",IF(AQ19=5,"Elutasítjuk",IF(AND(AQ19=4,COUNTIFS('Eredmény'!$AQ$2:$AQ$201,4,'Eredmény'!$DY$2:$DY$201,"&gt;"&amp;DY19)&gt;='Beállítások'!$B$90),"Várólista (a 4-es hely foglalt)","Elfogadjuk")))</f>
        <v/>
      </c>
      <c r="AT19">
        <f>IF($A19="","",INDEX('Beállítások'!$F$108:$F$112,AQ19))</f>
        <v/>
      </c>
      <c r="AU19">
        <f>IF($A19="","",INDEX('Beállítások'!$B$6:$B$38,MATCH(MAX(BK19:CQ19),BK19:CQ19,0)))</f>
        <v/>
      </c>
      <c r="AV19">
        <f>IF($A19="","",IF(MAX(CR19:DX19)=0,"—",INDEX('Beállítások'!$B$6:$B$38,MATCH(MAX(CR19:DX19),CR19:DX19,0))))</f>
        <v/>
      </c>
      <c r="AW19" s="10">
        <f>IF($A19="","",'Beállítások'!$B$94*(TRIM('Ügyfelek'!AI19)="igen")+'Beállítások'!$B$95*(TRIM('Ügyfelek'!AJ19)="igen")+'Beállítások'!$B$96*N('Ügyfelek'!AK19)+'Beállítások'!$B$93*N('Ügyfelek'!AL19))</f>
        <v/>
      </c>
      <c r="AX19" s="25">
        <f>IF(OR($A19="",AQ19=5),"",INDEX('Beállítások'!$D$108:$D$112,AQ19))</f>
        <v/>
      </c>
      <c r="AY19" s="10">
        <f>IF($A19="","",N('Ügyfelek'!U19)*'Beállítások'!$B$98)</f>
        <v/>
      </c>
      <c r="AZ19" s="10">
        <f>IF(OR($A19="",AQ19=5),"",CEILING(ROUND(MAX('Beállítások'!$B$97,AW19*AX19,AY19),2),'Beállítások'!$B$99))</f>
        <v/>
      </c>
      <c r="BA19">
        <f>IF($A19="","",IF(AQ19=5,"Elutasítva",IF(MAX('Beállítások'!$B$97,AW19*AX19,AY19)=AW19*AX19,"Munkaigény × státuszszorzó",IF(MAX('Beállítások'!$B$97,AW19*AX19,AY19)=AY19,"Hirdetési keret arányában","Minimumdíj"))))</f>
        <v/>
      </c>
      <c r="BB19" s="10">
        <f>IF(OR($A19="",'Ügyfelek'!AM19=""),"",'Ügyfelek'!AM19)</f>
        <v/>
      </c>
      <c r="BC19" s="10">
        <f>IF(OR(BB19="",AZ19=""),"",AZ19-BB19)</f>
        <v/>
      </c>
      <c r="BD19" s="18">
        <f>IF(OR(BB19="",AZ19="",BB19=0),"",BC19/BB19)</f>
        <v/>
      </c>
      <c r="BE19">
        <f>IF(OR($A19="",AQ19=5),"",IF(AND(INDEX('Beállítások'!$E$108:$E$112,AQ19)&gt;0,Y19&gt;='Beállítások'!$B$91),"Igen","Nem"))</f>
        <v/>
      </c>
      <c r="BF19" s="10">
        <f>IF(BE19="Igen",CEILING(ROUND(AZ19*(1-'Beállítások'!$B$92),2),'Beállítások'!$B$99),"")</f>
        <v/>
      </c>
      <c r="BG19" s="20">
        <f>IF(BE19="Igen",INDEX('Beállítások'!$E$108:$E$112,AQ19),"")</f>
        <v/>
      </c>
      <c r="BH19" s="10">
        <f>IF(OR(BE19&lt;&gt;"Igen",'Ügyfelek'!AN19=""),"",'Ügyfelek'!AN19*BG19)</f>
        <v/>
      </c>
      <c r="BI19" s="24">
        <f>IF($A19="","",('Ügyfelek'!B19="")+('Ügyfelek'!C19="")+('Ügyfelek'!D19="")+('Ügyfelek'!E19="")+('Ügyfelek'!F19="")+('Ügyfelek'!G19="")+('Ügyfelek'!H19="")+('Ügyfelek'!I19="")+('Ügyfelek'!J19="")+('Ügyfelek'!K19="")+('Ügyfelek'!L19="")+('Ügyfelek'!M19="")+('Ügyfelek'!N19="")+('Ügyfelek'!O19="")+('Ügyfelek'!P19="")+('Ügyfelek'!Q19="")+('Ügyfelek'!R19="")+('Ügyfelek'!S19="")+('Ügyfelek'!T19="")+('Ügyfelek'!U19="")+('Ügyfelek'!V19="")+('Ügyfelek'!W19="")+('Ügyfelek'!X19="")+('Ügyfelek'!Y19="")+('Ügyfelek'!Z19="")+('Ügyfelek'!AA19="")+('Ügyfelek'!AB19="")+('Ügyfelek'!AC19="")+('Ügyfelek'!AD19="")+('Ügyfelek'!AE19="")+('Ügyfelek'!AF19="")+('Ügyfelek'!AG19="")+('Ügyfelek'!AH19=""))</f>
        <v/>
      </c>
      <c r="BK19">
        <f>IF($A19="","",B19+'Beállítások'!$E$6/1000)</f>
        <v/>
      </c>
      <c r="BL19">
        <f>IF($A19="","",C19+'Beállítások'!$E$7/1000)</f>
        <v/>
      </c>
      <c r="BM19">
        <f>IF($A19="","",D19+'Beállítások'!$E$8/1000)</f>
        <v/>
      </c>
      <c r="BN19">
        <f>IF($A19="","",E19+'Beállítások'!$E$9/1000)</f>
        <v/>
      </c>
      <c r="BO19">
        <f>IF($A19="","",F19+'Beállítások'!$E$10/1000)</f>
        <v/>
      </c>
      <c r="BP19">
        <f>IF($A19="","",G19+'Beállítások'!$E$11/1000)</f>
        <v/>
      </c>
      <c r="BQ19">
        <f>IF($A19="","",H19+'Beállítások'!$E$12/1000)</f>
        <v/>
      </c>
      <c r="BR19">
        <f>IF($A19="","",I19+'Beállítások'!$E$13/1000)</f>
        <v/>
      </c>
      <c r="BS19">
        <f>IF($A19="","",J19+'Beállítások'!$E$14/1000)</f>
        <v/>
      </c>
      <c r="BT19">
        <f>IF($A19="","",K19+'Beállítások'!$E$15/1000)</f>
        <v/>
      </c>
      <c r="BU19">
        <f>IF($A19="","",L19+'Beállítások'!$E$16/1000)</f>
        <v/>
      </c>
      <c r="BV19">
        <f>IF($A19="","",M19+'Beállítások'!$E$17/1000)</f>
        <v/>
      </c>
      <c r="BW19">
        <f>IF($A19="","",N19+'Beállítások'!$E$18/1000)</f>
        <v/>
      </c>
      <c r="BX19">
        <f>IF($A19="","",O19+'Beállítások'!$E$19/1000)</f>
        <v/>
      </c>
      <c r="BY19">
        <f>IF($A19="","",P19+'Beállítások'!$E$20/1000)</f>
        <v/>
      </c>
      <c r="BZ19">
        <f>IF($A19="","",Q19+'Beállítások'!$E$21/1000)</f>
        <v/>
      </c>
      <c r="CA19">
        <f>IF($A19="","",R19+'Beállítások'!$E$22/1000)</f>
        <v/>
      </c>
      <c r="CB19">
        <f>IF($A19="","",S19+'Beállítások'!$E$23/1000)</f>
        <v/>
      </c>
      <c r="CC19">
        <f>IF($A19="","",T19+'Beállítások'!$E$24/1000)</f>
        <v/>
      </c>
      <c r="CD19">
        <f>IF($A19="","",U19+'Beállítások'!$E$25/1000)</f>
        <v/>
      </c>
      <c r="CE19">
        <f>IF($A19="","",V19+'Beállítások'!$E$26/1000)</f>
        <v/>
      </c>
      <c r="CF19">
        <f>IF($A19="","",W19+'Beállítások'!$E$27/1000)</f>
        <v/>
      </c>
      <c r="CG19">
        <f>IF($A19="","",X19+'Beállítások'!$E$28/1000)</f>
        <v/>
      </c>
      <c r="CH19">
        <f>IF($A19="","",Y19+'Beállítások'!$E$29/1000)</f>
        <v/>
      </c>
      <c r="CI19">
        <f>IF($A19="","",Z19+'Beállítások'!$E$30/1000)</f>
        <v/>
      </c>
      <c r="CJ19">
        <f>IF($A19="","",AA19+'Beállítások'!$E$31/1000)</f>
        <v/>
      </c>
      <c r="CK19">
        <f>IF($A19="","",AB19+'Beállítások'!$E$32/1000)</f>
        <v/>
      </c>
      <c r="CL19">
        <f>IF($A19="","",AC19+'Beállítások'!$E$33/1000)</f>
        <v/>
      </c>
      <c r="CM19">
        <f>IF($A19="","",AD19+'Beállítások'!$E$34/1000)</f>
        <v/>
      </c>
      <c r="CN19">
        <f>IF($A19="","",AE19+'Beállítások'!$E$35/1000)</f>
        <v/>
      </c>
      <c r="CO19">
        <f>IF($A19="","",AF19+'Beállítások'!$E$36/1000)</f>
        <v/>
      </c>
      <c r="CP19">
        <f>IF($A19="","",AG19+'Beállítások'!$E$37/1000)</f>
        <v/>
      </c>
      <c r="CQ19">
        <f>IF($A19="","",AH19+'Beállítások'!$E$38/1000)</f>
        <v/>
      </c>
      <c r="CR19">
        <f>IF($A19="","",'Beállítások'!$E$6*(10-B19))</f>
        <v/>
      </c>
      <c r="CS19">
        <f>IF($A19="","",'Beállítások'!$E$7*(10-C19))</f>
        <v/>
      </c>
      <c r="CT19">
        <f>IF($A19="","",'Beállítások'!$E$8*(10-D19))</f>
        <v/>
      </c>
      <c r="CU19">
        <f>IF($A19="","",'Beállítások'!$E$9*(10-E19))</f>
        <v/>
      </c>
      <c r="CV19">
        <f>IF($A19="","",'Beállítások'!$E$10*(10-F19))</f>
        <v/>
      </c>
      <c r="CW19">
        <f>IF($A19="","",'Beállítások'!$E$11*(10-G19))</f>
        <v/>
      </c>
      <c r="CX19">
        <f>IF($A19="","",'Beállítások'!$E$12*(10-H19))</f>
        <v/>
      </c>
      <c r="CY19">
        <f>IF($A19="","",'Beállítások'!$E$13*(10-I19))</f>
        <v/>
      </c>
      <c r="CZ19">
        <f>IF($A19="","",'Beállítások'!$E$14*(10-J19))</f>
        <v/>
      </c>
      <c r="DA19">
        <f>IF($A19="","",'Beállítások'!$E$15*(10-K19))</f>
        <v/>
      </c>
      <c r="DB19">
        <f>IF($A19="","",'Beállítások'!$E$16*(10-L19))</f>
        <v/>
      </c>
      <c r="DC19">
        <f>IF($A19="","",'Beállítások'!$E$17*(10-M19))</f>
        <v/>
      </c>
      <c r="DD19">
        <f>IF($A19="","",'Beállítások'!$E$18*(10-N19))</f>
        <v/>
      </c>
      <c r="DE19">
        <f>IF($A19="","",'Beállítások'!$E$19*(10-O19))</f>
        <v/>
      </c>
      <c r="DF19">
        <f>IF($A19="","",'Beállítások'!$E$20*(10-P19))</f>
        <v/>
      </c>
      <c r="DG19">
        <f>IF($A19="","",'Beállítások'!$E$21*(10-Q19))</f>
        <v/>
      </c>
      <c r="DH19">
        <f>IF($A19="","",'Beállítások'!$E$22*(10-R19))</f>
        <v/>
      </c>
      <c r="DI19">
        <f>IF($A19="","",'Beállítások'!$E$23*(10-S19))</f>
        <v/>
      </c>
      <c r="DJ19">
        <f>IF($A19="","",'Beállítások'!$E$24*(10-T19))</f>
        <v/>
      </c>
      <c r="DK19">
        <f>IF($A19="","",'Beállítások'!$E$25*(10-U19))</f>
        <v/>
      </c>
      <c r="DL19">
        <f>IF($A19="","",'Beállítások'!$E$26*(10-V19))</f>
        <v/>
      </c>
      <c r="DM19">
        <f>IF($A19="","",'Beállítások'!$E$27*(10-W19))</f>
        <v/>
      </c>
      <c r="DN19">
        <f>IF($A19="","",'Beállítások'!$E$28*(10-X19))</f>
        <v/>
      </c>
      <c r="DO19">
        <f>IF($A19="","",'Beállítások'!$E$29*(10-Y19))</f>
        <v/>
      </c>
      <c r="DP19">
        <f>IF($A19="","",'Beállítások'!$E$30*(10-Z19))</f>
        <v/>
      </c>
      <c r="DQ19">
        <f>IF($A19="","",'Beállítások'!$E$31*(10-AA19))</f>
        <v/>
      </c>
      <c r="DR19">
        <f>IF($A19="","",'Beállítások'!$E$32*(10-AB19))</f>
        <v/>
      </c>
      <c r="DS19">
        <f>IF($A19="","",'Beállítások'!$E$33*(10-AC19))</f>
        <v/>
      </c>
      <c r="DT19">
        <f>IF($A19="","",'Beállítások'!$E$34*(10-AD19))</f>
        <v/>
      </c>
      <c r="DU19">
        <f>IF($A19="","",'Beállítások'!$E$35*(10-AE19))</f>
        <v/>
      </c>
      <c r="DV19">
        <f>IF($A19="","",'Beállítások'!$E$36*(10-AF19))</f>
        <v/>
      </c>
      <c r="DW19">
        <f>IF($A19="","",'Beállítások'!$E$37*(10-AG19))</f>
        <v/>
      </c>
      <c r="DX19">
        <f>IF($A19="","",'Beállítások'!$E$38*(10-AH19))</f>
        <v/>
      </c>
      <c r="DY19">
        <f>IF($A19="","",AM19-ROW()/100000)</f>
        <v/>
      </c>
    </row>
    <row r="20">
      <c r="A20">
        <f>IF('Ügyfelek'!A20="","",'Ügyfelek'!A20)</f>
        <v/>
      </c>
      <c r="B20">
        <f>IF($A20="","",IF('Ügyfelek'!B20="",'Beállítások'!$B$84,IFERROR(VLOOKUP(TRIM('Ügyfelek'!B20),'Beállítások'!$A$51:$B$59,2,FALSE),'Beállítások'!$B$84)))</f>
        <v/>
      </c>
      <c r="C20">
        <f>IF($A20="","",IF('Ügyfelek'!C20="",'Beállítások'!$B$84,MIN(10,MAX(1,ROUND('Ügyfelek'!C20,0)))))</f>
        <v/>
      </c>
      <c r="D20">
        <f>IF($A20="","",IF('Ügyfelek'!D20="",'Beállítások'!$B$84,MIN(10,MAX(1,ROUND('Ügyfelek'!D20,0)))))</f>
        <v/>
      </c>
      <c r="E20">
        <f>IF($A20="","",IF('Ügyfelek'!E20="",'Beállítások'!$B$84,MIN(10,MAX(1,ROUND('Ügyfelek'!E20,0)))))</f>
        <v/>
      </c>
      <c r="F20">
        <f>IF($A20="","",IF('Ügyfelek'!F20="",'Beállítások'!$B$84,MIN(10,MAX(1,ROUND('Ügyfelek'!F20,0)))))</f>
        <v/>
      </c>
      <c r="G20">
        <f>IF($A20="","",IF('Ügyfelek'!G20="",'Beállítások'!$B$84,MIN(10,MAX(1,ROUND('Ügyfelek'!G20,0)))))</f>
        <v/>
      </c>
      <c r="H20">
        <f>IF($A20="","",IF('Ügyfelek'!H20="",'Beállítások'!$B$84,MIN(10,MAX(1,ROUND('Ügyfelek'!H20,0)))))</f>
        <v/>
      </c>
      <c r="I20">
        <f>IF($A20="","",IF('Ügyfelek'!I20="",'Beállítások'!$B$84,MIN(10,MAX(1,ROUND('Ügyfelek'!I20,0)))))</f>
        <v/>
      </c>
      <c r="J20">
        <f>IF($A20="","",IF('Ügyfelek'!J20="",'Beállítások'!$B$84,MIN(10,MAX(1,ROUND('Ügyfelek'!J20,0)))))</f>
        <v/>
      </c>
      <c r="K20">
        <f>IF($A20="","",IF('Ügyfelek'!K20="",'Beállítások'!$B$84,MIN(10,MAX(1,ROUND('Ügyfelek'!K20,0)))))</f>
        <v/>
      </c>
      <c r="L20">
        <f>IF($A20="","",IF('Ügyfelek'!L20="",'Beállítások'!$B$84,MIN(10,MAX(1,ROUND('Ügyfelek'!L20,0)))))</f>
        <v/>
      </c>
      <c r="M20">
        <f>IF($A20="","",IF('Ügyfelek'!M20="",'Beállítások'!$B$84,MIN(10,MAX(1,ROUND('Ügyfelek'!M20,0)))))</f>
        <v/>
      </c>
      <c r="N20">
        <f>IF($A20="","",IF('Ügyfelek'!N20="",'Beállítások'!$B$84,MIN(10,MAX(1,ROUND('Ügyfelek'!N20,0)))))</f>
        <v/>
      </c>
      <c r="O20">
        <f>IF($A20="","",IF('Ügyfelek'!O20="",'Beállítások'!$B$84,MIN(10,MAX(1,ROUND('Ügyfelek'!O20,0)))))</f>
        <v/>
      </c>
      <c r="P20">
        <f>IF($A20="","",IF('Ügyfelek'!P20="",'Beállítások'!$B$84,MIN(10,MAX(1,ROUND('Ügyfelek'!P20,0)))))</f>
        <v/>
      </c>
      <c r="Q20">
        <f>IF($A20="","",IF('Ügyfelek'!Q20="",'Beállítások'!$B$84,MIN(10,MAX(1,ROUND('Ügyfelek'!Q20,0)))))</f>
        <v/>
      </c>
      <c r="R20">
        <f>IF($A20="","",IF('Ügyfelek'!R20="",'Beállítások'!$B$84,MIN(10,MAX(1,ROUND('Ügyfelek'!R20,0)))))</f>
        <v/>
      </c>
      <c r="S20">
        <f>IF($A20="","",IF('Ügyfelek'!S20="",'Beállítások'!$B$84,MIN(10,MAX(1,ROUND('Ügyfelek'!S20,0)))))</f>
        <v/>
      </c>
      <c r="T20">
        <f>IF($A20="","",IF('Ügyfelek'!T20="",'Beállítások'!$B$84,VLOOKUP(MAX('Ügyfelek'!T20,'Beállítások'!$H$7),'Beállítások'!$H$7:$I$12,2,TRUE)))</f>
        <v/>
      </c>
      <c r="U20">
        <f>IF($A20="","",IF('Ügyfelek'!U20="",'Beállítások'!$B$84,VLOOKUP(MAX('Ügyfelek'!U20,'Beállítások'!$K$7),'Beállítások'!$K$7:$L$12,2,TRUE)))</f>
        <v/>
      </c>
      <c r="V20">
        <f>IF($A20="","",IF('Ügyfelek'!V20="",'Beállítások'!$B$84,MIN(10,MAX(1,ROUND('Ügyfelek'!V20,0)))))</f>
        <v/>
      </c>
      <c r="W20">
        <f>IF($A20="","",IF('Ügyfelek'!W20="",'Beállítások'!$B$84,VLOOKUP(MAX('Ügyfelek'!W20,'Beállítások'!$N$7),'Beállítások'!$N$7:$O$12,2,TRUE)))</f>
        <v/>
      </c>
      <c r="X20">
        <f>IF($A20="","",IF('Ügyfelek'!X20="",'Beállítások'!$B$84,MIN(10,MAX(1,ROUND('Ügyfelek'!X20,0)))))</f>
        <v/>
      </c>
      <c r="Y20">
        <f>IF($A20="","",IF('Ügyfelek'!Y20="",'Beállítások'!$B$84,IFERROR(VLOOKUP(TRIM('Ügyfelek'!Y20),'Beállítások'!$A$63:$B$69,2,FALSE),'Beállítások'!$B$84)))</f>
        <v/>
      </c>
      <c r="Z20">
        <f>IF($A20="","",IF('Ügyfelek'!Z20="",'Beállítások'!$B$84,VLOOKUP(MAX('Ügyfelek'!Z20,'Beállítások'!$Q$7),'Beállítások'!$Q$7:$R$12,2,TRUE)))</f>
        <v/>
      </c>
      <c r="AA20">
        <f>IF($A20="","",IF('Ügyfelek'!AA20="",'Beállítások'!$B$84,VLOOKUP(MAX('Ügyfelek'!AA20,'Beállítások'!$T$7),'Beállítások'!$T$7:$U$12,2,TRUE)))</f>
        <v/>
      </c>
      <c r="AB20">
        <f>IF($A20="","",IF('Ügyfelek'!AB20="",'Beállítások'!$B$84,MIN(10,MAX(1,ROUND('Ügyfelek'!AB20,0)))))</f>
        <v/>
      </c>
      <c r="AC20">
        <f>IF($A20="","",IF('Ügyfelek'!AC20="",'Beállítások'!$B$84,MIN(10,MAX(1,ROUND('Ügyfelek'!AC20,0)))))</f>
        <v/>
      </c>
      <c r="AD20">
        <f>IF($A20="","",IF('Ügyfelek'!AD20="",'Beállítások'!$B$84,MIN(10,MAX(1,ROUND('Ügyfelek'!AD20,0)))))</f>
        <v/>
      </c>
      <c r="AE20">
        <f>IF($A20="","",IF('Ügyfelek'!AE20="",'Beállítások'!$B$84,MIN(10,MAX(1,ROUND('Ügyfelek'!AE20,0)))))</f>
        <v/>
      </c>
      <c r="AF20">
        <f>IF($A20="","",IF('Ügyfelek'!AF20="",'Beállítások'!$B$84,MIN(10,MAX(1,ROUND('Ügyfelek'!AF20,0)))))</f>
        <v/>
      </c>
      <c r="AG20">
        <f>IF($A20="","",IF('Ügyfelek'!AG20="",'Beállítások'!$B$84,MIN(10,MAX(1,ROUND('Ügyfelek'!AG20,0)))))</f>
        <v/>
      </c>
      <c r="AH20">
        <f>IF($A20="","",IF('Ügyfelek'!AH20="",'Beállítások'!$B$84,IFERROR(VLOOKUP(TRIM('Ügyfelek'!AH20),'Beállítások'!$A$73:$B$79,2,FALSE),'Beállítások'!$B$84)))</f>
        <v/>
      </c>
      <c r="AI20" s="23">
        <f>IF($A20="","",ROUND(100*('Beállítások'!$E$6*(B20-1)+'Beállítások'!$E$7*(C20-1))/(9*'Beállítások'!$B$43),1))</f>
        <v/>
      </c>
      <c r="AJ20" s="23">
        <f>IF($A20="","",ROUND(100*('Beállítások'!$E$8*(D20-1)+'Beállítások'!$E$9*(E20-1)+'Beállítások'!$E$10*(F20-1)+'Beállítások'!$E$11*(G20-1)+'Beállítások'!$E$12*(H20-1)+'Beállítások'!$E$13*(I20-1)+'Beállítások'!$E$14*(J20-1)+'Beállítások'!$E$15*(K20-1)+'Beállítások'!$E$16*(L20-1)+'Beállítások'!$E$17*(M20-1)+'Beállítások'!$E$18*(N20-1)+'Beállítások'!$E$19*(O20-1)+'Beállítások'!$E$20*(P20-1)+'Beállítások'!$E$21*(Q20-1)+'Beállítások'!$E$22*(R20-1))/(9*'Beállítások'!$B$44),1))</f>
        <v/>
      </c>
      <c r="AK20" s="23">
        <f>IF($A20="","",ROUND(100*('Beállítások'!$E$23*(S20-1)+'Beállítások'!$E$24*(T20-1)+'Beállítások'!$E$25*(U20-1)+'Beállítások'!$E$26*(V20-1)+'Beállítások'!$E$27*(W20-1)+'Beállítások'!$E$28*(X20-1)+'Beállítások'!$E$29*(Y20-1))/(9*'Beállítások'!$B$45),1))</f>
        <v/>
      </c>
      <c r="AL20" s="23">
        <f>IF($A20="","",ROUND(100*('Beállítások'!$E$30*(Z20-1)+'Beállítások'!$E$31*(AA20-1)+'Beállítások'!$E$32*(AB20-1)+'Beállítások'!$E$33*(AC20-1)+'Beállítások'!$E$34*(AD20-1)+'Beállítások'!$E$35*(AE20-1)+'Beállítások'!$E$36*(AF20-1)+'Beállítások'!$E$37*(AG20-1)+'Beállítások'!$E$38*(AH20-1))/(9*'Beállítások'!$B$46),1))</f>
        <v/>
      </c>
      <c r="AM20" s="23">
        <f>IF($A20="","",ROUND(100*('Beállítások'!$E$6*(B20-1)+'Beállítások'!$E$7*(C20-1)+'Beállítások'!$E$8*(D20-1)+'Beállítások'!$E$9*(E20-1)+'Beállítások'!$E$10*(F20-1)+'Beállítások'!$E$11*(G20-1)+'Beállítások'!$E$12*(H20-1)+'Beállítások'!$E$13*(I20-1)+'Beállítások'!$E$14*(J20-1)+'Beállítások'!$E$15*(K20-1)+'Beállítások'!$E$16*(L20-1)+'Beállítások'!$E$17*(M20-1)+'Beállítások'!$E$18*(N20-1)+'Beállítások'!$E$19*(O20-1)+'Beállítások'!$E$20*(P20-1)+'Beállítások'!$E$21*(Q20-1)+'Beállítások'!$E$22*(R20-1)+'Beállítások'!$E$23*(S20-1)+'Beállítások'!$E$24*(T20-1)+'Beállítások'!$E$25*(U20-1)+'Beállítások'!$E$26*(V20-1)+'Beállítások'!$E$27*(W20-1)+'Beállítások'!$E$28*(X20-1)+'Beállítások'!$E$29*(Y20-1)+'Beállítások'!$E$30*(Z20-1)+'Beállítások'!$E$31*(AA20-1)+'Beállítások'!$E$32*(AB20-1)+'Beállítások'!$E$33*(AC20-1)+'Beállítások'!$E$34*(AD20-1)+'Beállítások'!$E$35*(AE20-1)+'Beállítások'!$E$36*(AF20-1)+'Beállítások'!$E$37*(AG20-1)+'Beállítások'!$E$38*(AH20-1))/(9*'Beállítások'!$E$39),1))</f>
        <v/>
      </c>
      <c r="AN20" s="23">
        <f>IF($A20="","",ROUND(100*('Beállítások'!$E$8*(D20-1)+'Beállítások'!$E$9*(E20-1)+'Beállítások'!$E$10*(F20-1)+'Beállítások'!$E$11*(G20-1)+'Beállítások'!$E$12*(H20-1)+'Beállítások'!$E$13*(I20-1)+'Beállítások'!$E$14*(J20-1)+'Beállítások'!$E$15*(K20-1)+'Beállítások'!$E$16*(L20-1)+'Beállítások'!$E$17*(M20-1)+'Beállítások'!$E$18*(N20-1)+'Beállítások'!$E$19*(O20-1)+'Beállítások'!$E$20*(P20-1)+'Beállítások'!$E$21*(Q20-1)+'Beállítások'!$E$22*(R20-1)+'Beállítások'!$E$23*(S20-1)+'Beállítások'!$E$24*(T20-1)+'Beállítások'!$E$25*(U20-1)+'Beállítások'!$E$26*(V20-1)+'Beállítások'!$E$27*(W20-1)+'Beállítások'!$E$28*(X20-1)+'Beállítások'!$E$29*(Y20-1))/(9*('Beállítások'!$B$44+'Beállítások'!$B$45)),1))</f>
        <v/>
      </c>
      <c r="AO20" s="24">
        <f>IF($A20="","",RANK(AM20,$AM$2:$AM$201))</f>
        <v/>
      </c>
      <c r="AP20">
        <f>IF($A20="","",IF(OR(AND('Ügyfelek'!B20&lt;&gt;"",B20&lt;='Beállítások'!$B$85),AND('Ügyfelek'!C20&lt;&gt;"",C20&lt;='Beállítások'!$B$86)),"Igen","Nem"))</f>
        <v/>
      </c>
      <c r="AQ20" s="24">
        <f>IF($A20="","",IF(AP20="Igen",5,IF(AN20&gt;='Beállítások'!$C$108,1,IF(AN20&gt;='Beállítások'!$C$109,2,IF(AN20&gt;='Beállítások'!$C$110,3,IF(AND(AN20&gt;='Beállítások'!$B$87,AI20&gt;='Beállítások'!$B$88,AL20&gt;='Beállítások'!$B$89),4,5))))))</f>
        <v/>
      </c>
      <c r="AR20">
        <f>IF($A20="","",INDEX('Beállítások'!$B$108:$B$112,AQ20))</f>
        <v/>
      </c>
      <c r="AS20">
        <f>IF($A20="","",IF(AQ20=5,"Elutasítjuk",IF(AND(AQ20=4,COUNTIFS('Eredmény'!$AQ$2:$AQ$201,4,'Eredmény'!$DY$2:$DY$201,"&gt;"&amp;DY20)&gt;='Beállítások'!$B$90),"Várólista (a 4-es hely foglalt)","Elfogadjuk")))</f>
        <v/>
      </c>
      <c r="AT20">
        <f>IF($A20="","",INDEX('Beállítások'!$F$108:$F$112,AQ20))</f>
        <v/>
      </c>
      <c r="AU20">
        <f>IF($A20="","",INDEX('Beállítások'!$B$6:$B$38,MATCH(MAX(BK20:CQ20),BK20:CQ20,0)))</f>
        <v/>
      </c>
      <c r="AV20">
        <f>IF($A20="","",IF(MAX(CR20:DX20)=0,"—",INDEX('Beállítások'!$B$6:$B$38,MATCH(MAX(CR20:DX20),CR20:DX20,0))))</f>
        <v/>
      </c>
      <c r="AW20" s="10">
        <f>IF($A20="","",'Beállítások'!$B$94*(TRIM('Ügyfelek'!AI20)="igen")+'Beállítások'!$B$95*(TRIM('Ügyfelek'!AJ20)="igen")+'Beállítások'!$B$96*N('Ügyfelek'!AK20)+'Beállítások'!$B$93*N('Ügyfelek'!AL20))</f>
        <v/>
      </c>
      <c r="AX20" s="25">
        <f>IF(OR($A20="",AQ20=5),"",INDEX('Beállítások'!$D$108:$D$112,AQ20))</f>
        <v/>
      </c>
      <c r="AY20" s="10">
        <f>IF($A20="","",N('Ügyfelek'!U20)*'Beállítások'!$B$98)</f>
        <v/>
      </c>
      <c r="AZ20" s="10">
        <f>IF(OR($A20="",AQ20=5),"",CEILING(ROUND(MAX('Beállítások'!$B$97,AW20*AX20,AY20),2),'Beállítások'!$B$99))</f>
        <v/>
      </c>
      <c r="BA20">
        <f>IF($A20="","",IF(AQ20=5,"Elutasítva",IF(MAX('Beállítások'!$B$97,AW20*AX20,AY20)=AW20*AX20,"Munkaigény × státuszszorzó",IF(MAX('Beállítások'!$B$97,AW20*AX20,AY20)=AY20,"Hirdetési keret arányában","Minimumdíj"))))</f>
        <v/>
      </c>
      <c r="BB20" s="10">
        <f>IF(OR($A20="",'Ügyfelek'!AM20=""),"",'Ügyfelek'!AM20)</f>
        <v/>
      </c>
      <c r="BC20" s="10">
        <f>IF(OR(BB20="",AZ20=""),"",AZ20-BB20)</f>
        <v/>
      </c>
      <c r="BD20" s="18">
        <f>IF(OR(BB20="",AZ20="",BB20=0),"",BC20/BB20)</f>
        <v/>
      </c>
      <c r="BE20">
        <f>IF(OR($A20="",AQ20=5),"",IF(AND(INDEX('Beállítások'!$E$108:$E$112,AQ20)&gt;0,Y20&gt;='Beállítások'!$B$91),"Igen","Nem"))</f>
        <v/>
      </c>
      <c r="BF20" s="10">
        <f>IF(BE20="Igen",CEILING(ROUND(AZ20*(1-'Beállítások'!$B$92),2),'Beállítások'!$B$99),"")</f>
        <v/>
      </c>
      <c r="BG20" s="20">
        <f>IF(BE20="Igen",INDEX('Beállítások'!$E$108:$E$112,AQ20),"")</f>
        <v/>
      </c>
      <c r="BH20" s="10">
        <f>IF(OR(BE20&lt;&gt;"Igen",'Ügyfelek'!AN20=""),"",'Ügyfelek'!AN20*BG20)</f>
        <v/>
      </c>
      <c r="BI20" s="24">
        <f>IF($A20="","",('Ügyfelek'!B20="")+('Ügyfelek'!C20="")+('Ügyfelek'!D20="")+('Ügyfelek'!E20="")+('Ügyfelek'!F20="")+('Ügyfelek'!G20="")+('Ügyfelek'!H20="")+('Ügyfelek'!I20="")+('Ügyfelek'!J20="")+('Ügyfelek'!K20="")+('Ügyfelek'!L20="")+('Ügyfelek'!M20="")+('Ügyfelek'!N20="")+('Ügyfelek'!O20="")+('Ügyfelek'!P20="")+('Ügyfelek'!Q20="")+('Ügyfelek'!R20="")+('Ügyfelek'!S20="")+('Ügyfelek'!T20="")+('Ügyfelek'!U20="")+('Ügyfelek'!V20="")+('Ügyfelek'!W20="")+('Ügyfelek'!X20="")+('Ügyfelek'!Y20="")+('Ügyfelek'!Z20="")+('Ügyfelek'!AA20="")+('Ügyfelek'!AB20="")+('Ügyfelek'!AC20="")+('Ügyfelek'!AD20="")+('Ügyfelek'!AE20="")+('Ügyfelek'!AF20="")+('Ügyfelek'!AG20="")+('Ügyfelek'!AH20=""))</f>
        <v/>
      </c>
      <c r="BK20">
        <f>IF($A20="","",B20+'Beállítások'!$E$6/1000)</f>
        <v/>
      </c>
      <c r="BL20">
        <f>IF($A20="","",C20+'Beállítások'!$E$7/1000)</f>
        <v/>
      </c>
      <c r="BM20">
        <f>IF($A20="","",D20+'Beállítások'!$E$8/1000)</f>
        <v/>
      </c>
      <c r="BN20">
        <f>IF($A20="","",E20+'Beállítások'!$E$9/1000)</f>
        <v/>
      </c>
      <c r="BO20">
        <f>IF($A20="","",F20+'Beállítások'!$E$10/1000)</f>
        <v/>
      </c>
      <c r="BP20">
        <f>IF($A20="","",G20+'Beállítások'!$E$11/1000)</f>
        <v/>
      </c>
      <c r="BQ20">
        <f>IF($A20="","",H20+'Beállítások'!$E$12/1000)</f>
        <v/>
      </c>
      <c r="BR20">
        <f>IF($A20="","",I20+'Beállítások'!$E$13/1000)</f>
        <v/>
      </c>
      <c r="BS20">
        <f>IF($A20="","",J20+'Beállítások'!$E$14/1000)</f>
        <v/>
      </c>
      <c r="BT20">
        <f>IF($A20="","",K20+'Beállítások'!$E$15/1000)</f>
        <v/>
      </c>
      <c r="BU20">
        <f>IF($A20="","",L20+'Beállítások'!$E$16/1000)</f>
        <v/>
      </c>
      <c r="BV20">
        <f>IF($A20="","",M20+'Beállítások'!$E$17/1000)</f>
        <v/>
      </c>
      <c r="BW20">
        <f>IF($A20="","",N20+'Beállítások'!$E$18/1000)</f>
        <v/>
      </c>
      <c r="BX20">
        <f>IF($A20="","",O20+'Beállítások'!$E$19/1000)</f>
        <v/>
      </c>
      <c r="BY20">
        <f>IF($A20="","",P20+'Beállítások'!$E$20/1000)</f>
        <v/>
      </c>
      <c r="BZ20">
        <f>IF($A20="","",Q20+'Beállítások'!$E$21/1000)</f>
        <v/>
      </c>
      <c r="CA20">
        <f>IF($A20="","",R20+'Beállítások'!$E$22/1000)</f>
        <v/>
      </c>
      <c r="CB20">
        <f>IF($A20="","",S20+'Beállítások'!$E$23/1000)</f>
        <v/>
      </c>
      <c r="CC20">
        <f>IF($A20="","",T20+'Beállítások'!$E$24/1000)</f>
        <v/>
      </c>
      <c r="CD20">
        <f>IF($A20="","",U20+'Beállítások'!$E$25/1000)</f>
        <v/>
      </c>
      <c r="CE20">
        <f>IF($A20="","",V20+'Beállítások'!$E$26/1000)</f>
        <v/>
      </c>
      <c r="CF20">
        <f>IF($A20="","",W20+'Beállítások'!$E$27/1000)</f>
        <v/>
      </c>
      <c r="CG20">
        <f>IF($A20="","",X20+'Beállítások'!$E$28/1000)</f>
        <v/>
      </c>
      <c r="CH20">
        <f>IF($A20="","",Y20+'Beállítások'!$E$29/1000)</f>
        <v/>
      </c>
      <c r="CI20">
        <f>IF($A20="","",Z20+'Beállítások'!$E$30/1000)</f>
        <v/>
      </c>
      <c r="CJ20">
        <f>IF($A20="","",AA20+'Beállítások'!$E$31/1000)</f>
        <v/>
      </c>
      <c r="CK20">
        <f>IF($A20="","",AB20+'Beállítások'!$E$32/1000)</f>
        <v/>
      </c>
      <c r="CL20">
        <f>IF($A20="","",AC20+'Beállítások'!$E$33/1000)</f>
        <v/>
      </c>
      <c r="CM20">
        <f>IF($A20="","",AD20+'Beállítások'!$E$34/1000)</f>
        <v/>
      </c>
      <c r="CN20">
        <f>IF($A20="","",AE20+'Beállítások'!$E$35/1000)</f>
        <v/>
      </c>
      <c r="CO20">
        <f>IF($A20="","",AF20+'Beállítások'!$E$36/1000)</f>
        <v/>
      </c>
      <c r="CP20">
        <f>IF($A20="","",AG20+'Beállítások'!$E$37/1000)</f>
        <v/>
      </c>
      <c r="CQ20">
        <f>IF($A20="","",AH20+'Beállítások'!$E$38/1000)</f>
        <v/>
      </c>
      <c r="CR20">
        <f>IF($A20="","",'Beállítások'!$E$6*(10-B20))</f>
        <v/>
      </c>
      <c r="CS20">
        <f>IF($A20="","",'Beállítások'!$E$7*(10-C20))</f>
        <v/>
      </c>
      <c r="CT20">
        <f>IF($A20="","",'Beállítások'!$E$8*(10-D20))</f>
        <v/>
      </c>
      <c r="CU20">
        <f>IF($A20="","",'Beállítások'!$E$9*(10-E20))</f>
        <v/>
      </c>
      <c r="CV20">
        <f>IF($A20="","",'Beállítások'!$E$10*(10-F20))</f>
        <v/>
      </c>
      <c r="CW20">
        <f>IF($A20="","",'Beállítások'!$E$11*(10-G20))</f>
        <v/>
      </c>
      <c r="CX20">
        <f>IF($A20="","",'Beállítások'!$E$12*(10-H20))</f>
        <v/>
      </c>
      <c r="CY20">
        <f>IF($A20="","",'Beállítások'!$E$13*(10-I20))</f>
        <v/>
      </c>
      <c r="CZ20">
        <f>IF($A20="","",'Beállítások'!$E$14*(10-J20))</f>
        <v/>
      </c>
      <c r="DA20">
        <f>IF($A20="","",'Beállítások'!$E$15*(10-K20))</f>
        <v/>
      </c>
      <c r="DB20">
        <f>IF($A20="","",'Beállítások'!$E$16*(10-L20))</f>
        <v/>
      </c>
      <c r="DC20">
        <f>IF($A20="","",'Beállítások'!$E$17*(10-M20))</f>
        <v/>
      </c>
      <c r="DD20">
        <f>IF($A20="","",'Beállítások'!$E$18*(10-N20))</f>
        <v/>
      </c>
      <c r="DE20">
        <f>IF($A20="","",'Beállítások'!$E$19*(10-O20))</f>
        <v/>
      </c>
      <c r="DF20">
        <f>IF($A20="","",'Beállítások'!$E$20*(10-P20))</f>
        <v/>
      </c>
      <c r="DG20">
        <f>IF($A20="","",'Beállítások'!$E$21*(10-Q20))</f>
        <v/>
      </c>
      <c r="DH20">
        <f>IF($A20="","",'Beállítások'!$E$22*(10-R20))</f>
        <v/>
      </c>
      <c r="DI20">
        <f>IF($A20="","",'Beállítások'!$E$23*(10-S20))</f>
        <v/>
      </c>
      <c r="DJ20">
        <f>IF($A20="","",'Beállítások'!$E$24*(10-T20))</f>
        <v/>
      </c>
      <c r="DK20">
        <f>IF($A20="","",'Beállítások'!$E$25*(10-U20))</f>
        <v/>
      </c>
      <c r="DL20">
        <f>IF($A20="","",'Beállítások'!$E$26*(10-V20))</f>
        <v/>
      </c>
      <c r="DM20">
        <f>IF($A20="","",'Beállítások'!$E$27*(10-W20))</f>
        <v/>
      </c>
      <c r="DN20">
        <f>IF($A20="","",'Beállítások'!$E$28*(10-X20))</f>
        <v/>
      </c>
      <c r="DO20">
        <f>IF($A20="","",'Beállítások'!$E$29*(10-Y20))</f>
        <v/>
      </c>
      <c r="DP20">
        <f>IF($A20="","",'Beállítások'!$E$30*(10-Z20))</f>
        <v/>
      </c>
      <c r="DQ20">
        <f>IF($A20="","",'Beállítások'!$E$31*(10-AA20))</f>
        <v/>
      </c>
      <c r="DR20">
        <f>IF($A20="","",'Beállítások'!$E$32*(10-AB20))</f>
        <v/>
      </c>
      <c r="DS20">
        <f>IF($A20="","",'Beállítások'!$E$33*(10-AC20))</f>
        <v/>
      </c>
      <c r="DT20">
        <f>IF($A20="","",'Beállítások'!$E$34*(10-AD20))</f>
        <v/>
      </c>
      <c r="DU20">
        <f>IF($A20="","",'Beállítások'!$E$35*(10-AE20))</f>
        <v/>
      </c>
      <c r="DV20">
        <f>IF($A20="","",'Beállítások'!$E$36*(10-AF20))</f>
        <v/>
      </c>
      <c r="DW20">
        <f>IF($A20="","",'Beállítások'!$E$37*(10-AG20))</f>
        <v/>
      </c>
      <c r="DX20">
        <f>IF($A20="","",'Beállítások'!$E$38*(10-AH20))</f>
        <v/>
      </c>
      <c r="DY20">
        <f>IF($A20="","",AM20-ROW()/100000)</f>
        <v/>
      </c>
    </row>
    <row r="21">
      <c r="A21">
        <f>IF('Ügyfelek'!A21="","",'Ügyfelek'!A21)</f>
        <v/>
      </c>
      <c r="B21">
        <f>IF($A21="","",IF('Ügyfelek'!B21="",'Beállítások'!$B$84,IFERROR(VLOOKUP(TRIM('Ügyfelek'!B21),'Beállítások'!$A$51:$B$59,2,FALSE),'Beállítások'!$B$84)))</f>
        <v/>
      </c>
      <c r="C21">
        <f>IF($A21="","",IF('Ügyfelek'!C21="",'Beállítások'!$B$84,MIN(10,MAX(1,ROUND('Ügyfelek'!C21,0)))))</f>
        <v/>
      </c>
      <c r="D21">
        <f>IF($A21="","",IF('Ügyfelek'!D21="",'Beállítások'!$B$84,MIN(10,MAX(1,ROUND('Ügyfelek'!D21,0)))))</f>
        <v/>
      </c>
      <c r="E21">
        <f>IF($A21="","",IF('Ügyfelek'!E21="",'Beállítások'!$B$84,MIN(10,MAX(1,ROUND('Ügyfelek'!E21,0)))))</f>
        <v/>
      </c>
      <c r="F21">
        <f>IF($A21="","",IF('Ügyfelek'!F21="",'Beállítások'!$B$84,MIN(10,MAX(1,ROUND('Ügyfelek'!F21,0)))))</f>
        <v/>
      </c>
      <c r="G21">
        <f>IF($A21="","",IF('Ügyfelek'!G21="",'Beállítások'!$B$84,MIN(10,MAX(1,ROUND('Ügyfelek'!G21,0)))))</f>
        <v/>
      </c>
      <c r="H21">
        <f>IF($A21="","",IF('Ügyfelek'!H21="",'Beállítások'!$B$84,MIN(10,MAX(1,ROUND('Ügyfelek'!H21,0)))))</f>
        <v/>
      </c>
      <c r="I21">
        <f>IF($A21="","",IF('Ügyfelek'!I21="",'Beállítások'!$B$84,MIN(10,MAX(1,ROUND('Ügyfelek'!I21,0)))))</f>
        <v/>
      </c>
      <c r="J21">
        <f>IF($A21="","",IF('Ügyfelek'!J21="",'Beállítások'!$B$84,MIN(10,MAX(1,ROUND('Ügyfelek'!J21,0)))))</f>
        <v/>
      </c>
      <c r="K21">
        <f>IF($A21="","",IF('Ügyfelek'!K21="",'Beállítások'!$B$84,MIN(10,MAX(1,ROUND('Ügyfelek'!K21,0)))))</f>
        <v/>
      </c>
      <c r="L21">
        <f>IF($A21="","",IF('Ügyfelek'!L21="",'Beállítások'!$B$84,MIN(10,MAX(1,ROUND('Ügyfelek'!L21,0)))))</f>
        <v/>
      </c>
      <c r="M21">
        <f>IF($A21="","",IF('Ügyfelek'!M21="",'Beállítások'!$B$84,MIN(10,MAX(1,ROUND('Ügyfelek'!M21,0)))))</f>
        <v/>
      </c>
      <c r="N21">
        <f>IF($A21="","",IF('Ügyfelek'!N21="",'Beállítások'!$B$84,MIN(10,MAX(1,ROUND('Ügyfelek'!N21,0)))))</f>
        <v/>
      </c>
      <c r="O21">
        <f>IF($A21="","",IF('Ügyfelek'!O21="",'Beállítások'!$B$84,MIN(10,MAX(1,ROUND('Ügyfelek'!O21,0)))))</f>
        <v/>
      </c>
      <c r="P21">
        <f>IF($A21="","",IF('Ügyfelek'!P21="",'Beállítások'!$B$84,MIN(10,MAX(1,ROUND('Ügyfelek'!P21,0)))))</f>
        <v/>
      </c>
      <c r="Q21">
        <f>IF($A21="","",IF('Ügyfelek'!Q21="",'Beállítások'!$B$84,MIN(10,MAX(1,ROUND('Ügyfelek'!Q21,0)))))</f>
        <v/>
      </c>
      <c r="R21">
        <f>IF($A21="","",IF('Ügyfelek'!R21="",'Beállítások'!$B$84,MIN(10,MAX(1,ROUND('Ügyfelek'!R21,0)))))</f>
        <v/>
      </c>
      <c r="S21">
        <f>IF($A21="","",IF('Ügyfelek'!S21="",'Beállítások'!$B$84,MIN(10,MAX(1,ROUND('Ügyfelek'!S21,0)))))</f>
        <v/>
      </c>
      <c r="T21">
        <f>IF($A21="","",IF('Ügyfelek'!T21="",'Beállítások'!$B$84,VLOOKUP(MAX('Ügyfelek'!T21,'Beállítások'!$H$7),'Beállítások'!$H$7:$I$12,2,TRUE)))</f>
        <v/>
      </c>
      <c r="U21">
        <f>IF($A21="","",IF('Ügyfelek'!U21="",'Beállítások'!$B$84,VLOOKUP(MAX('Ügyfelek'!U21,'Beállítások'!$K$7),'Beállítások'!$K$7:$L$12,2,TRUE)))</f>
        <v/>
      </c>
      <c r="V21">
        <f>IF($A21="","",IF('Ügyfelek'!V21="",'Beállítások'!$B$84,MIN(10,MAX(1,ROUND('Ügyfelek'!V21,0)))))</f>
        <v/>
      </c>
      <c r="W21">
        <f>IF($A21="","",IF('Ügyfelek'!W21="",'Beállítások'!$B$84,VLOOKUP(MAX('Ügyfelek'!W21,'Beállítások'!$N$7),'Beállítások'!$N$7:$O$12,2,TRUE)))</f>
        <v/>
      </c>
      <c r="X21">
        <f>IF($A21="","",IF('Ügyfelek'!X21="",'Beállítások'!$B$84,MIN(10,MAX(1,ROUND('Ügyfelek'!X21,0)))))</f>
        <v/>
      </c>
      <c r="Y21">
        <f>IF($A21="","",IF('Ügyfelek'!Y21="",'Beállítások'!$B$84,IFERROR(VLOOKUP(TRIM('Ügyfelek'!Y21),'Beállítások'!$A$63:$B$69,2,FALSE),'Beállítások'!$B$84)))</f>
        <v/>
      </c>
      <c r="Z21">
        <f>IF($A21="","",IF('Ügyfelek'!Z21="",'Beállítások'!$B$84,VLOOKUP(MAX('Ügyfelek'!Z21,'Beállítások'!$Q$7),'Beállítások'!$Q$7:$R$12,2,TRUE)))</f>
        <v/>
      </c>
      <c r="AA21">
        <f>IF($A21="","",IF('Ügyfelek'!AA21="",'Beállítások'!$B$84,VLOOKUP(MAX('Ügyfelek'!AA21,'Beállítások'!$T$7),'Beállítások'!$T$7:$U$12,2,TRUE)))</f>
        <v/>
      </c>
      <c r="AB21">
        <f>IF($A21="","",IF('Ügyfelek'!AB21="",'Beállítások'!$B$84,MIN(10,MAX(1,ROUND('Ügyfelek'!AB21,0)))))</f>
        <v/>
      </c>
      <c r="AC21">
        <f>IF($A21="","",IF('Ügyfelek'!AC21="",'Beállítások'!$B$84,MIN(10,MAX(1,ROUND('Ügyfelek'!AC21,0)))))</f>
        <v/>
      </c>
      <c r="AD21">
        <f>IF($A21="","",IF('Ügyfelek'!AD21="",'Beállítások'!$B$84,MIN(10,MAX(1,ROUND('Ügyfelek'!AD21,0)))))</f>
        <v/>
      </c>
      <c r="AE21">
        <f>IF($A21="","",IF('Ügyfelek'!AE21="",'Beállítások'!$B$84,MIN(10,MAX(1,ROUND('Ügyfelek'!AE21,0)))))</f>
        <v/>
      </c>
      <c r="AF21">
        <f>IF($A21="","",IF('Ügyfelek'!AF21="",'Beállítások'!$B$84,MIN(10,MAX(1,ROUND('Ügyfelek'!AF21,0)))))</f>
        <v/>
      </c>
      <c r="AG21">
        <f>IF($A21="","",IF('Ügyfelek'!AG21="",'Beállítások'!$B$84,MIN(10,MAX(1,ROUND('Ügyfelek'!AG21,0)))))</f>
        <v/>
      </c>
      <c r="AH21">
        <f>IF($A21="","",IF('Ügyfelek'!AH21="",'Beállítások'!$B$84,IFERROR(VLOOKUP(TRIM('Ügyfelek'!AH21),'Beállítások'!$A$73:$B$79,2,FALSE),'Beállítások'!$B$84)))</f>
        <v/>
      </c>
      <c r="AI21" s="23">
        <f>IF($A21="","",ROUND(100*('Beállítások'!$E$6*(B21-1)+'Beállítások'!$E$7*(C21-1))/(9*'Beállítások'!$B$43),1))</f>
        <v/>
      </c>
      <c r="AJ21" s="23">
        <f>IF($A21="","",ROUND(100*('Beállítások'!$E$8*(D21-1)+'Beállítások'!$E$9*(E21-1)+'Beállítások'!$E$10*(F21-1)+'Beállítások'!$E$11*(G21-1)+'Beállítások'!$E$12*(H21-1)+'Beállítások'!$E$13*(I21-1)+'Beállítások'!$E$14*(J21-1)+'Beállítások'!$E$15*(K21-1)+'Beállítások'!$E$16*(L21-1)+'Beállítások'!$E$17*(M21-1)+'Beállítások'!$E$18*(N21-1)+'Beállítások'!$E$19*(O21-1)+'Beállítások'!$E$20*(P21-1)+'Beállítások'!$E$21*(Q21-1)+'Beállítások'!$E$22*(R21-1))/(9*'Beállítások'!$B$44),1))</f>
        <v/>
      </c>
      <c r="AK21" s="23">
        <f>IF($A21="","",ROUND(100*('Beállítások'!$E$23*(S21-1)+'Beállítások'!$E$24*(T21-1)+'Beállítások'!$E$25*(U21-1)+'Beállítások'!$E$26*(V21-1)+'Beállítások'!$E$27*(W21-1)+'Beállítások'!$E$28*(X21-1)+'Beállítások'!$E$29*(Y21-1))/(9*'Beállítások'!$B$45),1))</f>
        <v/>
      </c>
      <c r="AL21" s="23">
        <f>IF($A21="","",ROUND(100*('Beállítások'!$E$30*(Z21-1)+'Beállítások'!$E$31*(AA21-1)+'Beállítások'!$E$32*(AB21-1)+'Beállítások'!$E$33*(AC21-1)+'Beállítások'!$E$34*(AD21-1)+'Beállítások'!$E$35*(AE21-1)+'Beállítások'!$E$36*(AF21-1)+'Beállítások'!$E$37*(AG21-1)+'Beállítások'!$E$38*(AH21-1))/(9*'Beállítások'!$B$46),1))</f>
        <v/>
      </c>
      <c r="AM21" s="23">
        <f>IF($A21="","",ROUND(100*('Beállítások'!$E$6*(B21-1)+'Beállítások'!$E$7*(C21-1)+'Beállítások'!$E$8*(D21-1)+'Beállítások'!$E$9*(E21-1)+'Beállítások'!$E$10*(F21-1)+'Beállítások'!$E$11*(G21-1)+'Beállítások'!$E$12*(H21-1)+'Beállítások'!$E$13*(I21-1)+'Beállítások'!$E$14*(J21-1)+'Beállítások'!$E$15*(K21-1)+'Beállítások'!$E$16*(L21-1)+'Beállítások'!$E$17*(M21-1)+'Beállítások'!$E$18*(N21-1)+'Beállítások'!$E$19*(O21-1)+'Beállítások'!$E$20*(P21-1)+'Beállítások'!$E$21*(Q21-1)+'Beállítások'!$E$22*(R21-1)+'Beállítások'!$E$23*(S21-1)+'Beállítások'!$E$24*(T21-1)+'Beállítások'!$E$25*(U21-1)+'Beállítások'!$E$26*(V21-1)+'Beállítások'!$E$27*(W21-1)+'Beállítások'!$E$28*(X21-1)+'Beállítások'!$E$29*(Y21-1)+'Beállítások'!$E$30*(Z21-1)+'Beállítások'!$E$31*(AA21-1)+'Beállítások'!$E$32*(AB21-1)+'Beállítások'!$E$33*(AC21-1)+'Beállítások'!$E$34*(AD21-1)+'Beállítások'!$E$35*(AE21-1)+'Beállítások'!$E$36*(AF21-1)+'Beállítások'!$E$37*(AG21-1)+'Beállítások'!$E$38*(AH21-1))/(9*'Beállítások'!$E$39),1))</f>
        <v/>
      </c>
      <c r="AN21" s="23">
        <f>IF($A21="","",ROUND(100*('Beállítások'!$E$8*(D21-1)+'Beállítások'!$E$9*(E21-1)+'Beállítások'!$E$10*(F21-1)+'Beállítások'!$E$11*(G21-1)+'Beállítások'!$E$12*(H21-1)+'Beállítások'!$E$13*(I21-1)+'Beállítások'!$E$14*(J21-1)+'Beállítások'!$E$15*(K21-1)+'Beállítások'!$E$16*(L21-1)+'Beállítások'!$E$17*(M21-1)+'Beállítások'!$E$18*(N21-1)+'Beállítások'!$E$19*(O21-1)+'Beállítások'!$E$20*(P21-1)+'Beállítások'!$E$21*(Q21-1)+'Beállítások'!$E$22*(R21-1)+'Beállítások'!$E$23*(S21-1)+'Beállítások'!$E$24*(T21-1)+'Beállítások'!$E$25*(U21-1)+'Beállítások'!$E$26*(V21-1)+'Beállítások'!$E$27*(W21-1)+'Beállítások'!$E$28*(X21-1)+'Beállítások'!$E$29*(Y21-1))/(9*('Beállítások'!$B$44+'Beállítások'!$B$45)),1))</f>
        <v/>
      </c>
      <c r="AO21" s="24">
        <f>IF($A21="","",RANK(AM21,$AM$2:$AM$201))</f>
        <v/>
      </c>
      <c r="AP21">
        <f>IF($A21="","",IF(OR(AND('Ügyfelek'!B21&lt;&gt;"",B21&lt;='Beállítások'!$B$85),AND('Ügyfelek'!C21&lt;&gt;"",C21&lt;='Beállítások'!$B$86)),"Igen","Nem"))</f>
        <v/>
      </c>
      <c r="AQ21" s="24">
        <f>IF($A21="","",IF(AP21="Igen",5,IF(AN21&gt;='Beállítások'!$C$108,1,IF(AN21&gt;='Beállítások'!$C$109,2,IF(AN21&gt;='Beállítások'!$C$110,3,IF(AND(AN21&gt;='Beállítások'!$B$87,AI21&gt;='Beállítások'!$B$88,AL21&gt;='Beállítások'!$B$89),4,5))))))</f>
        <v/>
      </c>
      <c r="AR21">
        <f>IF($A21="","",INDEX('Beállítások'!$B$108:$B$112,AQ21))</f>
        <v/>
      </c>
      <c r="AS21">
        <f>IF($A21="","",IF(AQ21=5,"Elutasítjuk",IF(AND(AQ21=4,COUNTIFS('Eredmény'!$AQ$2:$AQ$201,4,'Eredmény'!$DY$2:$DY$201,"&gt;"&amp;DY21)&gt;='Beállítások'!$B$90),"Várólista (a 4-es hely foglalt)","Elfogadjuk")))</f>
        <v/>
      </c>
      <c r="AT21">
        <f>IF($A21="","",INDEX('Beállítások'!$F$108:$F$112,AQ21))</f>
        <v/>
      </c>
      <c r="AU21">
        <f>IF($A21="","",INDEX('Beállítások'!$B$6:$B$38,MATCH(MAX(BK21:CQ21),BK21:CQ21,0)))</f>
        <v/>
      </c>
      <c r="AV21">
        <f>IF($A21="","",IF(MAX(CR21:DX21)=0,"—",INDEX('Beállítások'!$B$6:$B$38,MATCH(MAX(CR21:DX21),CR21:DX21,0))))</f>
        <v/>
      </c>
      <c r="AW21" s="10">
        <f>IF($A21="","",'Beállítások'!$B$94*(TRIM('Ügyfelek'!AI21)="igen")+'Beállítások'!$B$95*(TRIM('Ügyfelek'!AJ21)="igen")+'Beállítások'!$B$96*N('Ügyfelek'!AK21)+'Beállítások'!$B$93*N('Ügyfelek'!AL21))</f>
        <v/>
      </c>
      <c r="AX21" s="25">
        <f>IF(OR($A21="",AQ21=5),"",INDEX('Beállítások'!$D$108:$D$112,AQ21))</f>
        <v/>
      </c>
      <c r="AY21" s="10">
        <f>IF($A21="","",N('Ügyfelek'!U21)*'Beállítások'!$B$98)</f>
        <v/>
      </c>
      <c r="AZ21" s="10">
        <f>IF(OR($A21="",AQ21=5),"",CEILING(ROUND(MAX('Beállítások'!$B$97,AW21*AX21,AY21),2),'Beállítások'!$B$99))</f>
        <v/>
      </c>
      <c r="BA21">
        <f>IF($A21="","",IF(AQ21=5,"Elutasítva",IF(MAX('Beállítások'!$B$97,AW21*AX21,AY21)=AW21*AX21,"Munkaigény × státuszszorzó",IF(MAX('Beállítások'!$B$97,AW21*AX21,AY21)=AY21,"Hirdetési keret arányában","Minimumdíj"))))</f>
        <v/>
      </c>
      <c r="BB21" s="10">
        <f>IF(OR($A21="",'Ügyfelek'!AM21=""),"",'Ügyfelek'!AM21)</f>
        <v/>
      </c>
      <c r="BC21" s="10">
        <f>IF(OR(BB21="",AZ21=""),"",AZ21-BB21)</f>
        <v/>
      </c>
      <c r="BD21" s="18">
        <f>IF(OR(BB21="",AZ21="",BB21=0),"",BC21/BB21)</f>
        <v/>
      </c>
      <c r="BE21">
        <f>IF(OR($A21="",AQ21=5),"",IF(AND(INDEX('Beállítások'!$E$108:$E$112,AQ21)&gt;0,Y21&gt;='Beállítások'!$B$91),"Igen","Nem"))</f>
        <v/>
      </c>
      <c r="BF21" s="10">
        <f>IF(BE21="Igen",CEILING(ROUND(AZ21*(1-'Beállítások'!$B$92),2),'Beállítások'!$B$99),"")</f>
        <v/>
      </c>
      <c r="BG21" s="20">
        <f>IF(BE21="Igen",INDEX('Beállítások'!$E$108:$E$112,AQ21),"")</f>
        <v/>
      </c>
      <c r="BH21" s="10">
        <f>IF(OR(BE21&lt;&gt;"Igen",'Ügyfelek'!AN21=""),"",'Ügyfelek'!AN21*BG21)</f>
        <v/>
      </c>
      <c r="BI21" s="24">
        <f>IF($A21="","",('Ügyfelek'!B21="")+('Ügyfelek'!C21="")+('Ügyfelek'!D21="")+('Ügyfelek'!E21="")+('Ügyfelek'!F21="")+('Ügyfelek'!G21="")+('Ügyfelek'!H21="")+('Ügyfelek'!I21="")+('Ügyfelek'!J21="")+('Ügyfelek'!K21="")+('Ügyfelek'!L21="")+('Ügyfelek'!M21="")+('Ügyfelek'!N21="")+('Ügyfelek'!O21="")+('Ügyfelek'!P21="")+('Ügyfelek'!Q21="")+('Ügyfelek'!R21="")+('Ügyfelek'!S21="")+('Ügyfelek'!T21="")+('Ügyfelek'!U21="")+('Ügyfelek'!V21="")+('Ügyfelek'!W21="")+('Ügyfelek'!X21="")+('Ügyfelek'!Y21="")+('Ügyfelek'!Z21="")+('Ügyfelek'!AA21="")+('Ügyfelek'!AB21="")+('Ügyfelek'!AC21="")+('Ügyfelek'!AD21="")+('Ügyfelek'!AE21="")+('Ügyfelek'!AF21="")+('Ügyfelek'!AG21="")+('Ügyfelek'!AH21=""))</f>
        <v/>
      </c>
      <c r="BK21">
        <f>IF($A21="","",B21+'Beállítások'!$E$6/1000)</f>
        <v/>
      </c>
      <c r="BL21">
        <f>IF($A21="","",C21+'Beállítások'!$E$7/1000)</f>
        <v/>
      </c>
      <c r="BM21">
        <f>IF($A21="","",D21+'Beállítások'!$E$8/1000)</f>
        <v/>
      </c>
      <c r="BN21">
        <f>IF($A21="","",E21+'Beállítások'!$E$9/1000)</f>
        <v/>
      </c>
      <c r="BO21">
        <f>IF($A21="","",F21+'Beállítások'!$E$10/1000)</f>
        <v/>
      </c>
      <c r="BP21">
        <f>IF($A21="","",G21+'Beállítások'!$E$11/1000)</f>
        <v/>
      </c>
      <c r="BQ21">
        <f>IF($A21="","",H21+'Beállítások'!$E$12/1000)</f>
        <v/>
      </c>
      <c r="BR21">
        <f>IF($A21="","",I21+'Beállítások'!$E$13/1000)</f>
        <v/>
      </c>
      <c r="BS21">
        <f>IF($A21="","",J21+'Beállítások'!$E$14/1000)</f>
        <v/>
      </c>
      <c r="BT21">
        <f>IF($A21="","",K21+'Beállítások'!$E$15/1000)</f>
        <v/>
      </c>
      <c r="BU21">
        <f>IF($A21="","",L21+'Beállítások'!$E$16/1000)</f>
        <v/>
      </c>
      <c r="BV21">
        <f>IF($A21="","",M21+'Beállítások'!$E$17/1000)</f>
        <v/>
      </c>
      <c r="BW21">
        <f>IF($A21="","",N21+'Beállítások'!$E$18/1000)</f>
        <v/>
      </c>
      <c r="BX21">
        <f>IF($A21="","",O21+'Beállítások'!$E$19/1000)</f>
        <v/>
      </c>
      <c r="BY21">
        <f>IF($A21="","",P21+'Beállítások'!$E$20/1000)</f>
        <v/>
      </c>
      <c r="BZ21">
        <f>IF($A21="","",Q21+'Beállítások'!$E$21/1000)</f>
        <v/>
      </c>
      <c r="CA21">
        <f>IF($A21="","",R21+'Beállítások'!$E$22/1000)</f>
        <v/>
      </c>
      <c r="CB21">
        <f>IF($A21="","",S21+'Beállítások'!$E$23/1000)</f>
        <v/>
      </c>
      <c r="CC21">
        <f>IF($A21="","",T21+'Beállítások'!$E$24/1000)</f>
        <v/>
      </c>
      <c r="CD21">
        <f>IF($A21="","",U21+'Beállítások'!$E$25/1000)</f>
        <v/>
      </c>
      <c r="CE21">
        <f>IF($A21="","",V21+'Beállítások'!$E$26/1000)</f>
        <v/>
      </c>
      <c r="CF21">
        <f>IF($A21="","",W21+'Beállítások'!$E$27/1000)</f>
        <v/>
      </c>
      <c r="CG21">
        <f>IF($A21="","",X21+'Beállítások'!$E$28/1000)</f>
        <v/>
      </c>
      <c r="CH21">
        <f>IF($A21="","",Y21+'Beállítások'!$E$29/1000)</f>
        <v/>
      </c>
      <c r="CI21">
        <f>IF($A21="","",Z21+'Beállítások'!$E$30/1000)</f>
        <v/>
      </c>
      <c r="CJ21">
        <f>IF($A21="","",AA21+'Beállítások'!$E$31/1000)</f>
        <v/>
      </c>
      <c r="CK21">
        <f>IF($A21="","",AB21+'Beállítások'!$E$32/1000)</f>
        <v/>
      </c>
      <c r="CL21">
        <f>IF($A21="","",AC21+'Beállítások'!$E$33/1000)</f>
        <v/>
      </c>
      <c r="CM21">
        <f>IF($A21="","",AD21+'Beállítások'!$E$34/1000)</f>
        <v/>
      </c>
      <c r="CN21">
        <f>IF($A21="","",AE21+'Beállítások'!$E$35/1000)</f>
        <v/>
      </c>
      <c r="CO21">
        <f>IF($A21="","",AF21+'Beállítások'!$E$36/1000)</f>
        <v/>
      </c>
      <c r="CP21">
        <f>IF($A21="","",AG21+'Beállítások'!$E$37/1000)</f>
        <v/>
      </c>
      <c r="CQ21">
        <f>IF($A21="","",AH21+'Beállítások'!$E$38/1000)</f>
        <v/>
      </c>
      <c r="CR21">
        <f>IF($A21="","",'Beállítások'!$E$6*(10-B21))</f>
        <v/>
      </c>
      <c r="CS21">
        <f>IF($A21="","",'Beállítások'!$E$7*(10-C21))</f>
        <v/>
      </c>
      <c r="CT21">
        <f>IF($A21="","",'Beállítások'!$E$8*(10-D21))</f>
        <v/>
      </c>
      <c r="CU21">
        <f>IF($A21="","",'Beállítások'!$E$9*(10-E21))</f>
        <v/>
      </c>
      <c r="CV21">
        <f>IF($A21="","",'Beállítások'!$E$10*(10-F21))</f>
        <v/>
      </c>
      <c r="CW21">
        <f>IF($A21="","",'Beállítások'!$E$11*(10-G21))</f>
        <v/>
      </c>
      <c r="CX21">
        <f>IF($A21="","",'Beállítások'!$E$12*(10-H21))</f>
        <v/>
      </c>
      <c r="CY21">
        <f>IF($A21="","",'Beállítások'!$E$13*(10-I21))</f>
        <v/>
      </c>
      <c r="CZ21">
        <f>IF($A21="","",'Beállítások'!$E$14*(10-J21))</f>
        <v/>
      </c>
      <c r="DA21">
        <f>IF($A21="","",'Beállítások'!$E$15*(10-K21))</f>
        <v/>
      </c>
      <c r="DB21">
        <f>IF($A21="","",'Beállítások'!$E$16*(10-L21))</f>
        <v/>
      </c>
      <c r="DC21">
        <f>IF($A21="","",'Beállítások'!$E$17*(10-M21))</f>
        <v/>
      </c>
      <c r="DD21">
        <f>IF($A21="","",'Beállítások'!$E$18*(10-N21))</f>
        <v/>
      </c>
      <c r="DE21">
        <f>IF($A21="","",'Beállítások'!$E$19*(10-O21))</f>
        <v/>
      </c>
      <c r="DF21">
        <f>IF($A21="","",'Beállítások'!$E$20*(10-P21))</f>
        <v/>
      </c>
      <c r="DG21">
        <f>IF($A21="","",'Beállítások'!$E$21*(10-Q21))</f>
        <v/>
      </c>
      <c r="DH21">
        <f>IF($A21="","",'Beállítások'!$E$22*(10-R21))</f>
        <v/>
      </c>
      <c r="DI21">
        <f>IF($A21="","",'Beállítások'!$E$23*(10-S21))</f>
        <v/>
      </c>
      <c r="DJ21">
        <f>IF($A21="","",'Beállítások'!$E$24*(10-T21))</f>
        <v/>
      </c>
      <c r="DK21">
        <f>IF($A21="","",'Beállítások'!$E$25*(10-U21))</f>
        <v/>
      </c>
      <c r="DL21">
        <f>IF($A21="","",'Beállítások'!$E$26*(10-V21))</f>
        <v/>
      </c>
      <c r="DM21">
        <f>IF($A21="","",'Beállítások'!$E$27*(10-W21))</f>
        <v/>
      </c>
      <c r="DN21">
        <f>IF($A21="","",'Beállítások'!$E$28*(10-X21))</f>
        <v/>
      </c>
      <c r="DO21">
        <f>IF($A21="","",'Beállítások'!$E$29*(10-Y21))</f>
        <v/>
      </c>
      <c r="DP21">
        <f>IF($A21="","",'Beállítások'!$E$30*(10-Z21))</f>
        <v/>
      </c>
      <c r="DQ21">
        <f>IF($A21="","",'Beállítások'!$E$31*(10-AA21))</f>
        <v/>
      </c>
      <c r="DR21">
        <f>IF($A21="","",'Beállítások'!$E$32*(10-AB21))</f>
        <v/>
      </c>
      <c r="DS21">
        <f>IF($A21="","",'Beállítások'!$E$33*(10-AC21))</f>
        <v/>
      </c>
      <c r="DT21">
        <f>IF($A21="","",'Beállítások'!$E$34*(10-AD21))</f>
        <v/>
      </c>
      <c r="DU21">
        <f>IF($A21="","",'Beállítások'!$E$35*(10-AE21))</f>
        <v/>
      </c>
      <c r="DV21">
        <f>IF($A21="","",'Beállítások'!$E$36*(10-AF21))</f>
        <v/>
      </c>
      <c r="DW21">
        <f>IF($A21="","",'Beállítások'!$E$37*(10-AG21))</f>
        <v/>
      </c>
      <c r="DX21">
        <f>IF($A21="","",'Beállítások'!$E$38*(10-AH21))</f>
        <v/>
      </c>
      <c r="DY21">
        <f>IF($A21="","",AM21-ROW()/100000)</f>
        <v/>
      </c>
    </row>
    <row r="22">
      <c r="A22">
        <f>IF('Ügyfelek'!A22="","",'Ügyfelek'!A22)</f>
        <v/>
      </c>
      <c r="B22">
        <f>IF($A22="","",IF('Ügyfelek'!B22="",'Beállítások'!$B$84,IFERROR(VLOOKUP(TRIM('Ügyfelek'!B22),'Beállítások'!$A$51:$B$59,2,FALSE),'Beállítások'!$B$84)))</f>
        <v/>
      </c>
      <c r="C22">
        <f>IF($A22="","",IF('Ügyfelek'!C22="",'Beállítások'!$B$84,MIN(10,MAX(1,ROUND('Ügyfelek'!C22,0)))))</f>
        <v/>
      </c>
      <c r="D22">
        <f>IF($A22="","",IF('Ügyfelek'!D22="",'Beállítások'!$B$84,MIN(10,MAX(1,ROUND('Ügyfelek'!D22,0)))))</f>
        <v/>
      </c>
      <c r="E22">
        <f>IF($A22="","",IF('Ügyfelek'!E22="",'Beállítások'!$B$84,MIN(10,MAX(1,ROUND('Ügyfelek'!E22,0)))))</f>
        <v/>
      </c>
      <c r="F22">
        <f>IF($A22="","",IF('Ügyfelek'!F22="",'Beállítások'!$B$84,MIN(10,MAX(1,ROUND('Ügyfelek'!F22,0)))))</f>
        <v/>
      </c>
      <c r="G22">
        <f>IF($A22="","",IF('Ügyfelek'!G22="",'Beállítások'!$B$84,MIN(10,MAX(1,ROUND('Ügyfelek'!G22,0)))))</f>
        <v/>
      </c>
      <c r="H22">
        <f>IF($A22="","",IF('Ügyfelek'!H22="",'Beállítások'!$B$84,MIN(10,MAX(1,ROUND('Ügyfelek'!H22,0)))))</f>
        <v/>
      </c>
      <c r="I22">
        <f>IF($A22="","",IF('Ügyfelek'!I22="",'Beállítások'!$B$84,MIN(10,MAX(1,ROUND('Ügyfelek'!I22,0)))))</f>
        <v/>
      </c>
      <c r="J22">
        <f>IF($A22="","",IF('Ügyfelek'!J22="",'Beállítások'!$B$84,MIN(10,MAX(1,ROUND('Ügyfelek'!J22,0)))))</f>
        <v/>
      </c>
      <c r="K22">
        <f>IF($A22="","",IF('Ügyfelek'!K22="",'Beállítások'!$B$84,MIN(10,MAX(1,ROUND('Ügyfelek'!K22,0)))))</f>
        <v/>
      </c>
      <c r="L22">
        <f>IF($A22="","",IF('Ügyfelek'!L22="",'Beállítások'!$B$84,MIN(10,MAX(1,ROUND('Ügyfelek'!L22,0)))))</f>
        <v/>
      </c>
      <c r="M22">
        <f>IF($A22="","",IF('Ügyfelek'!M22="",'Beállítások'!$B$84,MIN(10,MAX(1,ROUND('Ügyfelek'!M22,0)))))</f>
        <v/>
      </c>
      <c r="N22">
        <f>IF($A22="","",IF('Ügyfelek'!N22="",'Beállítások'!$B$84,MIN(10,MAX(1,ROUND('Ügyfelek'!N22,0)))))</f>
        <v/>
      </c>
      <c r="O22">
        <f>IF($A22="","",IF('Ügyfelek'!O22="",'Beállítások'!$B$84,MIN(10,MAX(1,ROUND('Ügyfelek'!O22,0)))))</f>
        <v/>
      </c>
      <c r="P22">
        <f>IF($A22="","",IF('Ügyfelek'!P22="",'Beállítások'!$B$84,MIN(10,MAX(1,ROUND('Ügyfelek'!P22,0)))))</f>
        <v/>
      </c>
      <c r="Q22">
        <f>IF($A22="","",IF('Ügyfelek'!Q22="",'Beállítások'!$B$84,MIN(10,MAX(1,ROUND('Ügyfelek'!Q22,0)))))</f>
        <v/>
      </c>
      <c r="R22">
        <f>IF($A22="","",IF('Ügyfelek'!R22="",'Beállítások'!$B$84,MIN(10,MAX(1,ROUND('Ügyfelek'!R22,0)))))</f>
        <v/>
      </c>
      <c r="S22">
        <f>IF($A22="","",IF('Ügyfelek'!S22="",'Beállítások'!$B$84,MIN(10,MAX(1,ROUND('Ügyfelek'!S22,0)))))</f>
        <v/>
      </c>
      <c r="T22">
        <f>IF($A22="","",IF('Ügyfelek'!T22="",'Beállítások'!$B$84,VLOOKUP(MAX('Ügyfelek'!T22,'Beállítások'!$H$7),'Beállítások'!$H$7:$I$12,2,TRUE)))</f>
        <v/>
      </c>
      <c r="U22">
        <f>IF($A22="","",IF('Ügyfelek'!U22="",'Beállítások'!$B$84,VLOOKUP(MAX('Ügyfelek'!U22,'Beállítások'!$K$7),'Beállítások'!$K$7:$L$12,2,TRUE)))</f>
        <v/>
      </c>
      <c r="V22">
        <f>IF($A22="","",IF('Ügyfelek'!V22="",'Beállítások'!$B$84,MIN(10,MAX(1,ROUND('Ügyfelek'!V22,0)))))</f>
        <v/>
      </c>
      <c r="W22">
        <f>IF($A22="","",IF('Ügyfelek'!W22="",'Beállítások'!$B$84,VLOOKUP(MAX('Ügyfelek'!W22,'Beállítások'!$N$7),'Beállítások'!$N$7:$O$12,2,TRUE)))</f>
        <v/>
      </c>
      <c r="X22">
        <f>IF($A22="","",IF('Ügyfelek'!X22="",'Beállítások'!$B$84,MIN(10,MAX(1,ROUND('Ügyfelek'!X22,0)))))</f>
        <v/>
      </c>
      <c r="Y22">
        <f>IF($A22="","",IF('Ügyfelek'!Y22="",'Beállítások'!$B$84,IFERROR(VLOOKUP(TRIM('Ügyfelek'!Y22),'Beállítások'!$A$63:$B$69,2,FALSE),'Beállítások'!$B$84)))</f>
        <v/>
      </c>
      <c r="Z22">
        <f>IF($A22="","",IF('Ügyfelek'!Z22="",'Beállítások'!$B$84,VLOOKUP(MAX('Ügyfelek'!Z22,'Beállítások'!$Q$7),'Beállítások'!$Q$7:$R$12,2,TRUE)))</f>
        <v/>
      </c>
      <c r="AA22">
        <f>IF($A22="","",IF('Ügyfelek'!AA22="",'Beállítások'!$B$84,VLOOKUP(MAX('Ügyfelek'!AA22,'Beállítások'!$T$7),'Beállítások'!$T$7:$U$12,2,TRUE)))</f>
        <v/>
      </c>
      <c r="AB22">
        <f>IF($A22="","",IF('Ügyfelek'!AB22="",'Beállítások'!$B$84,MIN(10,MAX(1,ROUND('Ügyfelek'!AB22,0)))))</f>
        <v/>
      </c>
      <c r="AC22">
        <f>IF($A22="","",IF('Ügyfelek'!AC22="",'Beállítások'!$B$84,MIN(10,MAX(1,ROUND('Ügyfelek'!AC22,0)))))</f>
        <v/>
      </c>
      <c r="AD22">
        <f>IF($A22="","",IF('Ügyfelek'!AD22="",'Beállítások'!$B$84,MIN(10,MAX(1,ROUND('Ügyfelek'!AD22,0)))))</f>
        <v/>
      </c>
      <c r="AE22">
        <f>IF($A22="","",IF('Ügyfelek'!AE22="",'Beállítások'!$B$84,MIN(10,MAX(1,ROUND('Ügyfelek'!AE22,0)))))</f>
        <v/>
      </c>
      <c r="AF22">
        <f>IF($A22="","",IF('Ügyfelek'!AF22="",'Beállítások'!$B$84,MIN(10,MAX(1,ROUND('Ügyfelek'!AF22,0)))))</f>
        <v/>
      </c>
      <c r="AG22">
        <f>IF($A22="","",IF('Ügyfelek'!AG22="",'Beállítások'!$B$84,MIN(10,MAX(1,ROUND('Ügyfelek'!AG22,0)))))</f>
        <v/>
      </c>
      <c r="AH22">
        <f>IF($A22="","",IF('Ügyfelek'!AH22="",'Beállítások'!$B$84,IFERROR(VLOOKUP(TRIM('Ügyfelek'!AH22),'Beállítások'!$A$73:$B$79,2,FALSE),'Beállítások'!$B$84)))</f>
        <v/>
      </c>
      <c r="AI22" s="23">
        <f>IF($A22="","",ROUND(100*('Beállítások'!$E$6*(B22-1)+'Beállítások'!$E$7*(C22-1))/(9*'Beállítások'!$B$43),1))</f>
        <v/>
      </c>
      <c r="AJ22" s="23">
        <f>IF($A22="","",ROUND(100*('Beállítások'!$E$8*(D22-1)+'Beállítások'!$E$9*(E22-1)+'Beállítások'!$E$10*(F22-1)+'Beállítások'!$E$11*(G22-1)+'Beállítások'!$E$12*(H22-1)+'Beállítások'!$E$13*(I22-1)+'Beállítások'!$E$14*(J22-1)+'Beállítások'!$E$15*(K22-1)+'Beállítások'!$E$16*(L22-1)+'Beállítások'!$E$17*(M22-1)+'Beállítások'!$E$18*(N22-1)+'Beállítások'!$E$19*(O22-1)+'Beállítások'!$E$20*(P22-1)+'Beállítások'!$E$21*(Q22-1)+'Beállítások'!$E$22*(R22-1))/(9*'Beállítások'!$B$44),1))</f>
        <v/>
      </c>
      <c r="AK22" s="23">
        <f>IF($A22="","",ROUND(100*('Beállítások'!$E$23*(S22-1)+'Beállítások'!$E$24*(T22-1)+'Beállítások'!$E$25*(U22-1)+'Beállítások'!$E$26*(V22-1)+'Beállítások'!$E$27*(W22-1)+'Beállítások'!$E$28*(X22-1)+'Beállítások'!$E$29*(Y22-1))/(9*'Beállítások'!$B$45),1))</f>
        <v/>
      </c>
      <c r="AL22" s="23">
        <f>IF($A22="","",ROUND(100*('Beállítások'!$E$30*(Z22-1)+'Beállítások'!$E$31*(AA22-1)+'Beállítások'!$E$32*(AB22-1)+'Beállítások'!$E$33*(AC22-1)+'Beállítások'!$E$34*(AD22-1)+'Beállítások'!$E$35*(AE22-1)+'Beállítások'!$E$36*(AF22-1)+'Beállítások'!$E$37*(AG22-1)+'Beállítások'!$E$38*(AH22-1))/(9*'Beállítások'!$B$46),1))</f>
        <v/>
      </c>
      <c r="AM22" s="23">
        <f>IF($A22="","",ROUND(100*('Beállítások'!$E$6*(B22-1)+'Beállítások'!$E$7*(C22-1)+'Beállítások'!$E$8*(D22-1)+'Beállítások'!$E$9*(E22-1)+'Beállítások'!$E$10*(F22-1)+'Beállítások'!$E$11*(G22-1)+'Beállítások'!$E$12*(H22-1)+'Beállítások'!$E$13*(I22-1)+'Beállítások'!$E$14*(J22-1)+'Beállítások'!$E$15*(K22-1)+'Beállítások'!$E$16*(L22-1)+'Beállítások'!$E$17*(M22-1)+'Beállítások'!$E$18*(N22-1)+'Beállítások'!$E$19*(O22-1)+'Beállítások'!$E$20*(P22-1)+'Beállítások'!$E$21*(Q22-1)+'Beállítások'!$E$22*(R22-1)+'Beállítások'!$E$23*(S22-1)+'Beállítások'!$E$24*(T22-1)+'Beállítások'!$E$25*(U22-1)+'Beállítások'!$E$26*(V22-1)+'Beállítások'!$E$27*(W22-1)+'Beállítások'!$E$28*(X22-1)+'Beállítások'!$E$29*(Y22-1)+'Beállítások'!$E$30*(Z22-1)+'Beállítások'!$E$31*(AA22-1)+'Beállítások'!$E$32*(AB22-1)+'Beállítások'!$E$33*(AC22-1)+'Beállítások'!$E$34*(AD22-1)+'Beállítások'!$E$35*(AE22-1)+'Beállítások'!$E$36*(AF22-1)+'Beállítások'!$E$37*(AG22-1)+'Beállítások'!$E$38*(AH22-1))/(9*'Beállítások'!$E$39),1))</f>
        <v/>
      </c>
      <c r="AN22" s="23">
        <f>IF($A22="","",ROUND(100*('Beállítások'!$E$8*(D22-1)+'Beállítások'!$E$9*(E22-1)+'Beállítások'!$E$10*(F22-1)+'Beállítások'!$E$11*(G22-1)+'Beállítások'!$E$12*(H22-1)+'Beállítások'!$E$13*(I22-1)+'Beállítások'!$E$14*(J22-1)+'Beállítások'!$E$15*(K22-1)+'Beállítások'!$E$16*(L22-1)+'Beállítások'!$E$17*(M22-1)+'Beállítások'!$E$18*(N22-1)+'Beállítások'!$E$19*(O22-1)+'Beállítások'!$E$20*(P22-1)+'Beállítások'!$E$21*(Q22-1)+'Beállítások'!$E$22*(R22-1)+'Beállítások'!$E$23*(S22-1)+'Beállítások'!$E$24*(T22-1)+'Beállítások'!$E$25*(U22-1)+'Beállítások'!$E$26*(V22-1)+'Beállítások'!$E$27*(W22-1)+'Beállítások'!$E$28*(X22-1)+'Beállítások'!$E$29*(Y22-1))/(9*('Beállítások'!$B$44+'Beállítások'!$B$45)),1))</f>
        <v/>
      </c>
      <c r="AO22" s="24">
        <f>IF($A22="","",RANK(AM22,$AM$2:$AM$201))</f>
        <v/>
      </c>
      <c r="AP22">
        <f>IF($A22="","",IF(OR(AND('Ügyfelek'!B22&lt;&gt;"",B22&lt;='Beállítások'!$B$85),AND('Ügyfelek'!C22&lt;&gt;"",C22&lt;='Beállítások'!$B$86)),"Igen","Nem"))</f>
        <v/>
      </c>
      <c r="AQ22" s="24">
        <f>IF($A22="","",IF(AP22="Igen",5,IF(AN22&gt;='Beállítások'!$C$108,1,IF(AN22&gt;='Beállítások'!$C$109,2,IF(AN22&gt;='Beállítások'!$C$110,3,IF(AND(AN22&gt;='Beállítások'!$B$87,AI22&gt;='Beállítások'!$B$88,AL22&gt;='Beállítások'!$B$89),4,5))))))</f>
        <v/>
      </c>
      <c r="AR22">
        <f>IF($A22="","",INDEX('Beállítások'!$B$108:$B$112,AQ22))</f>
        <v/>
      </c>
      <c r="AS22">
        <f>IF($A22="","",IF(AQ22=5,"Elutasítjuk",IF(AND(AQ22=4,COUNTIFS('Eredmény'!$AQ$2:$AQ$201,4,'Eredmény'!$DY$2:$DY$201,"&gt;"&amp;DY22)&gt;='Beállítások'!$B$90),"Várólista (a 4-es hely foglalt)","Elfogadjuk")))</f>
        <v/>
      </c>
      <c r="AT22">
        <f>IF($A22="","",INDEX('Beállítások'!$F$108:$F$112,AQ22))</f>
        <v/>
      </c>
      <c r="AU22">
        <f>IF($A22="","",INDEX('Beállítások'!$B$6:$B$38,MATCH(MAX(BK22:CQ22),BK22:CQ22,0)))</f>
        <v/>
      </c>
      <c r="AV22">
        <f>IF($A22="","",IF(MAX(CR22:DX22)=0,"—",INDEX('Beállítások'!$B$6:$B$38,MATCH(MAX(CR22:DX22),CR22:DX22,0))))</f>
        <v/>
      </c>
      <c r="AW22" s="10">
        <f>IF($A22="","",'Beállítások'!$B$94*(TRIM('Ügyfelek'!AI22)="igen")+'Beállítások'!$B$95*(TRIM('Ügyfelek'!AJ22)="igen")+'Beállítások'!$B$96*N('Ügyfelek'!AK22)+'Beállítások'!$B$93*N('Ügyfelek'!AL22))</f>
        <v/>
      </c>
      <c r="AX22" s="25">
        <f>IF(OR($A22="",AQ22=5),"",INDEX('Beállítások'!$D$108:$D$112,AQ22))</f>
        <v/>
      </c>
      <c r="AY22" s="10">
        <f>IF($A22="","",N('Ügyfelek'!U22)*'Beállítások'!$B$98)</f>
        <v/>
      </c>
      <c r="AZ22" s="10">
        <f>IF(OR($A22="",AQ22=5),"",CEILING(ROUND(MAX('Beállítások'!$B$97,AW22*AX22,AY22),2),'Beállítások'!$B$99))</f>
        <v/>
      </c>
      <c r="BA22">
        <f>IF($A22="","",IF(AQ22=5,"Elutasítva",IF(MAX('Beállítások'!$B$97,AW22*AX22,AY22)=AW22*AX22,"Munkaigény × státuszszorzó",IF(MAX('Beállítások'!$B$97,AW22*AX22,AY22)=AY22,"Hirdetési keret arányában","Minimumdíj"))))</f>
        <v/>
      </c>
      <c r="BB22" s="10">
        <f>IF(OR($A22="",'Ügyfelek'!AM22=""),"",'Ügyfelek'!AM22)</f>
        <v/>
      </c>
      <c r="BC22" s="10">
        <f>IF(OR(BB22="",AZ22=""),"",AZ22-BB22)</f>
        <v/>
      </c>
      <c r="BD22" s="18">
        <f>IF(OR(BB22="",AZ22="",BB22=0),"",BC22/BB22)</f>
        <v/>
      </c>
      <c r="BE22">
        <f>IF(OR($A22="",AQ22=5),"",IF(AND(INDEX('Beállítások'!$E$108:$E$112,AQ22)&gt;0,Y22&gt;='Beállítások'!$B$91),"Igen","Nem"))</f>
        <v/>
      </c>
      <c r="BF22" s="10">
        <f>IF(BE22="Igen",CEILING(ROUND(AZ22*(1-'Beállítások'!$B$92),2),'Beállítások'!$B$99),"")</f>
        <v/>
      </c>
      <c r="BG22" s="20">
        <f>IF(BE22="Igen",INDEX('Beállítások'!$E$108:$E$112,AQ22),"")</f>
        <v/>
      </c>
      <c r="BH22" s="10">
        <f>IF(OR(BE22&lt;&gt;"Igen",'Ügyfelek'!AN22=""),"",'Ügyfelek'!AN22*BG22)</f>
        <v/>
      </c>
      <c r="BI22" s="24">
        <f>IF($A22="","",('Ügyfelek'!B22="")+('Ügyfelek'!C22="")+('Ügyfelek'!D22="")+('Ügyfelek'!E22="")+('Ügyfelek'!F22="")+('Ügyfelek'!G22="")+('Ügyfelek'!H22="")+('Ügyfelek'!I22="")+('Ügyfelek'!J22="")+('Ügyfelek'!K22="")+('Ügyfelek'!L22="")+('Ügyfelek'!M22="")+('Ügyfelek'!N22="")+('Ügyfelek'!O22="")+('Ügyfelek'!P22="")+('Ügyfelek'!Q22="")+('Ügyfelek'!R22="")+('Ügyfelek'!S22="")+('Ügyfelek'!T22="")+('Ügyfelek'!U22="")+('Ügyfelek'!V22="")+('Ügyfelek'!W22="")+('Ügyfelek'!X22="")+('Ügyfelek'!Y22="")+('Ügyfelek'!Z22="")+('Ügyfelek'!AA22="")+('Ügyfelek'!AB22="")+('Ügyfelek'!AC22="")+('Ügyfelek'!AD22="")+('Ügyfelek'!AE22="")+('Ügyfelek'!AF22="")+('Ügyfelek'!AG22="")+('Ügyfelek'!AH22=""))</f>
        <v/>
      </c>
      <c r="BK22">
        <f>IF($A22="","",B22+'Beállítások'!$E$6/1000)</f>
        <v/>
      </c>
      <c r="BL22">
        <f>IF($A22="","",C22+'Beállítások'!$E$7/1000)</f>
        <v/>
      </c>
      <c r="BM22">
        <f>IF($A22="","",D22+'Beállítások'!$E$8/1000)</f>
        <v/>
      </c>
      <c r="BN22">
        <f>IF($A22="","",E22+'Beállítások'!$E$9/1000)</f>
        <v/>
      </c>
      <c r="BO22">
        <f>IF($A22="","",F22+'Beállítások'!$E$10/1000)</f>
        <v/>
      </c>
      <c r="BP22">
        <f>IF($A22="","",G22+'Beállítások'!$E$11/1000)</f>
        <v/>
      </c>
      <c r="BQ22">
        <f>IF($A22="","",H22+'Beállítások'!$E$12/1000)</f>
        <v/>
      </c>
      <c r="BR22">
        <f>IF($A22="","",I22+'Beállítások'!$E$13/1000)</f>
        <v/>
      </c>
      <c r="BS22">
        <f>IF($A22="","",J22+'Beállítások'!$E$14/1000)</f>
        <v/>
      </c>
      <c r="BT22">
        <f>IF($A22="","",K22+'Beállítások'!$E$15/1000)</f>
        <v/>
      </c>
      <c r="BU22">
        <f>IF($A22="","",L22+'Beállítások'!$E$16/1000)</f>
        <v/>
      </c>
      <c r="BV22">
        <f>IF($A22="","",M22+'Beállítások'!$E$17/1000)</f>
        <v/>
      </c>
      <c r="BW22">
        <f>IF($A22="","",N22+'Beállítások'!$E$18/1000)</f>
        <v/>
      </c>
      <c r="BX22">
        <f>IF($A22="","",O22+'Beállítások'!$E$19/1000)</f>
        <v/>
      </c>
      <c r="BY22">
        <f>IF($A22="","",P22+'Beállítások'!$E$20/1000)</f>
        <v/>
      </c>
      <c r="BZ22">
        <f>IF($A22="","",Q22+'Beállítások'!$E$21/1000)</f>
        <v/>
      </c>
      <c r="CA22">
        <f>IF($A22="","",R22+'Beállítások'!$E$22/1000)</f>
        <v/>
      </c>
      <c r="CB22">
        <f>IF($A22="","",S22+'Beállítások'!$E$23/1000)</f>
        <v/>
      </c>
      <c r="CC22">
        <f>IF($A22="","",T22+'Beállítások'!$E$24/1000)</f>
        <v/>
      </c>
      <c r="CD22">
        <f>IF($A22="","",U22+'Beállítások'!$E$25/1000)</f>
        <v/>
      </c>
      <c r="CE22">
        <f>IF($A22="","",V22+'Beállítások'!$E$26/1000)</f>
        <v/>
      </c>
      <c r="CF22">
        <f>IF($A22="","",W22+'Beállítások'!$E$27/1000)</f>
        <v/>
      </c>
      <c r="CG22">
        <f>IF($A22="","",X22+'Beállítások'!$E$28/1000)</f>
        <v/>
      </c>
      <c r="CH22">
        <f>IF($A22="","",Y22+'Beállítások'!$E$29/1000)</f>
        <v/>
      </c>
      <c r="CI22">
        <f>IF($A22="","",Z22+'Beállítások'!$E$30/1000)</f>
        <v/>
      </c>
      <c r="CJ22">
        <f>IF($A22="","",AA22+'Beállítások'!$E$31/1000)</f>
        <v/>
      </c>
      <c r="CK22">
        <f>IF($A22="","",AB22+'Beállítások'!$E$32/1000)</f>
        <v/>
      </c>
      <c r="CL22">
        <f>IF($A22="","",AC22+'Beállítások'!$E$33/1000)</f>
        <v/>
      </c>
      <c r="CM22">
        <f>IF($A22="","",AD22+'Beállítások'!$E$34/1000)</f>
        <v/>
      </c>
      <c r="CN22">
        <f>IF($A22="","",AE22+'Beállítások'!$E$35/1000)</f>
        <v/>
      </c>
      <c r="CO22">
        <f>IF($A22="","",AF22+'Beállítások'!$E$36/1000)</f>
        <v/>
      </c>
      <c r="CP22">
        <f>IF($A22="","",AG22+'Beállítások'!$E$37/1000)</f>
        <v/>
      </c>
      <c r="CQ22">
        <f>IF($A22="","",AH22+'Beállítások'!$E$38/1000)</f>
        <v/>
      </c>
      <c r="CR22">
        <f>IF($A22="","",'Beállítások'!$E$6*(10-B22))</f>
        <v/>
      </c>
      <c r="CS22">
        <f>IF($A22="","",'Beállítások'!$E$7*(10-C22))</f>
        <v/>
      </c>
      <c r="CT22">
        <f>IF($A22="","",'Beállítások'!$E$8*(10-D22))</f>
        <v/>
      </c>
      <c r="CU22">
        <f>IF($A22="","",'Beállítások'!$E$9*(10-E22))</f>
        <v/>
      </c>
      <c r="CV22">
        <f>IF($A22="","",'Beállítások'!$E$10*(10-F22))</f>
        <v/>
      </c>
      <c r="CW22">
        <f>IF($A22="","",'Beállítások'!$E$11*(10-G22))</f>
        <v/>
      </c>
      <c r="CX22">
        <f>IF($A22="","",'Beállítások'!$E$12*(10-H22))</f>
        <v/>
      </c>
      <c r="CY22">
        <f>IF($A22="","",'Beállítások'!$E$13*(10-I22))</f>
        <v/>
      </c>
      <c r="CZ22">
        <f>IF($A22="","",'Beállítások'!$E$14*(10-J22))</f>
        <v/>
      </c>
      <c r="DA22">
        <f>IF($A22="","",'Beállítások'!$E$15*(10-K22))</f>
        <v/>
      </c>
      <c r="DB22">
        <f>IF($A22="","",'Beállítások'!$E$16*(10-L22))</f>
        <v/>
      </c>
      <c r="DC22">
        <f>IF($A22="","",'Beállítások'!$E$17*(10-M22))</f>
        <v/>
      </c>
      <c r="DD22">
        <f>IF($A22="","",'Beállítások'!$E$18*(10-N22))</f>
        <v/>
      </c>
      <c r="DE22">
        <f>IF($A22="","",'Beállítások'!$E$19*(10-O22))</f>
        <v/>
      </c>
      <c r="DF22">
        <f>IF($A22="","",'Beállítások'!$E$20*(10-P22))</f>
        <v/>
      </c>
      <c r="DG22">
        <f>IF($A22="","",'Beállítások'!$E$21*(10-Q22))</f>
        <v/>
      </c>
      <c r="DH22">
        <f>IF($A22="","",'Beállítások'!$E$22*(10-R22))</f>
        <v/>
      </c>
      <c r="DI22">
        <f>IF($A22="","",'Beállítások'!$E$23*(10-S22))</f>
        <v/>
      </c>
      <c r="DJ22">
        <f>IF($A22="","",'Beállítások'!$E$24*(10-T22))</f>
        <v/>
      </c>
      <c r="DK22">
        <f>IF($A22="","",'Beállítások'!$E$25*(10-U22))</f>
        <v/>
      </c>
      <c r="DL22">
        <f>IF($A22="","",'Beállítások'!$E$26*(10-V22))</f>
        <v/>
      </c>
      <c r="DM22">
        <f>IF($A22="","",'Beállítások'!$E$27*(10-W22))</f>
        <v/>
      </c>
      <c r="DN22">
        <f>IF($A22="","",'Beállítások'!$E$28*(10-X22))</f>
        <v/>
      </c>
      <c r="DO22">
        <f>IF($A22="","",'Beállítások'!$E$29*(10-Y22))</f>
        <v/>
      </c>
      <c r="DP22">
        <f>IF($A22="","",'Beállítások'!$E$30*(10-Z22))</f>
        <v/>
      </c>
      <c r="DQ22">
        <f>IF($A22="","",'Beállítások'!$E$31*(10-AA22))</f>
        <v/>
      </c>
      <c r="DR22">
        <f>IF($A22="","",'Beállítások'!$E$32*(10-AB22))</f>
        <v/>
      </c>
      <c r="DS22">
        <f>IF($A22="","",'Beállítások'!$E$33*(10-AC22))</f>
        <v/>
      </c>
      <c r="DT22">
        <f>IF($A22="","",'Beállítások'!$E$34*(10-AD22))</f>
        <v/>
      </c>
      <c r="DU22">
        <f>IF($A22="","",'Beállítások'!$E$35*(10-AE22))</f>
        <v/>
      </c>
      <c r="DV22">
        <f>IF($A22="","",'Beállítások'!$E$36*(10-AF22))</f>
        <v/>
      </c>
      <c r="DW22">
        <f>IF($A22="","",'Beállítások'!$E$37*(10-AG22))</f>
        <v/>
      </c>
      <c r="DX22">
        <f>IF($A22="","",'Beállítások'!$E$38*(10-AH22))</f>
        <v/>
      </c>
      <c r="DY22">
        <f>IF($A22="","",AM22-ROW()/100000)</f>
        <v/>
      </c>
    </row>
    <row r="23">
      <c r="A23">
        <f>IF('Ügyfelek'!A23="","",'Ügyfelek'!A23)</f>
        <v/>
      </c>
      <c r="B23">
        <f>IF($A23="","",IF('Ügyfelek'!B23="",'Beállítások'!$B$84,IFERROR(VLOOKUP(TRIM('Ügyfelek'!B23),'Beállítások'!$A$51:$B$59,2,FALSE),'Beállítások'!$B$84)))</f>
        <v/>
      </c>
      <c r="C23">
        <f>IF($A23="","",IF('Ügyfelek'!C23="",'Beállítások'!$B$84,MIN(10,MAX(1,ROUND('Ügyfelek'!C23,0)))))</f>
        <v/>
      </c>
      <c r="D23">
        <f>IF($A23="","",IF('Ügyfelek'!D23="",'Beállítások'!$B$84,MIN(10,MAX(1,ROUND('Ügyfelek'!D23,0)))))</f>
        <v/>
      </c>
      <c r="E23">
        <f>IF($A23="","",IF('Ügyfelek'!E23="",'Beállítások'!$B$84,MIN(10,MAX(1,ROUND('Ügyfelek'!E23,0)))))</f>
        <v/>
      </c>
      <c r="F23">
        <f>IF($A23="","",IF('Ügyfelek'!F23="",'Beállítások'!$B$84,MIN(10,MAX(1,ROUND('Ügyfelek'!F23,0)))))</f>
        <v/>
      </c>
      <c r="G23">
        <f>IF($A23="","",IF('Ügyfelek'!G23="",'Beállítások'!$B$84,MIN(10,MAX(1,ROUND('Ügyfelek'!G23,0)))))</f>
        <v/>
      </c>
      <c r="H23">
        <f>IF($A23="","",IF('Ügyfelek'!H23="",'Beállítások'!$B$84,MIN(10,MAX(1,ROUND('Ügyfelek'!H23,0)))))</f>
        <v/>
      </c>
      <c r="I23">
        <f>IF($A23="","",IF('Ügyfelek'!I23="",'Beállítások'!$B$84,MIN(10,MAX(1,ROUND('Ügyfelek'!I23,0)))))</f>
        <v/>
      </c>
      <c r="J23">
        <f>IF($A23="","",IF('Ügyfelek'!J23="",'Beállítások'!$B$84,MIN(10,MAX(1,ROUND('Ügyfelek'!J23,0)))))</f>
        <v/>
      </c>
      <c r="K23">
        <f>IF($A23="","",IF('Ügyfelek'!K23="",'Beállítások'!$B$84,MIN(10,MAX(1,ROUND('Ügyfelek'!K23,0)))))</f>
        <v/>
      </c>
      <c r="L23">
        <f>IF($A23="","",IF('Ügyfelek'!L23="",'Beállítások'!$B$84,MIN(10,MAX(1,ROUND('Ügyfelek'!L23,0)))))</f>
        <v/>
      </c>
      <c r="M23">
        <f>IF($A23="","",IF('Ügyfelek'!M23="",'Beállítások'!$B$84,MIN(10,MAX(1,ROUND('Ügyfelek'!M23,0)))))</f>
        <v/>
      </c>
      <c r="N23">
        <f>IF($A23="","",IF('Ügyfelek'!N23="",'Beállítások'!$B$84,MIN(10,MAX(1,ROUND('Ügyfelek'!N23,0)))))</f>
        <v/>
      </c>
      <c r="O23">
        <f>IF($A23="","",IF('Ügyfelek'!O23="",'Beállítások'!$B$84,MIN(10,MAX(1,ROUND('Ügyfelek'!O23,0)))))</f>
        <v/>
      </c>
      <c r="P23">
        <f>IF($A23="","",IF('Ügyfelek'!P23="",'Beállítások'!$B$84,MIN(10,MAX(1,ROUND('Ügyfelek'!P23,0)))))</f>
        <v/>
      </c>
      <c r="Q23">
        <f>IF($A23="","",IF('Ügyfelek'!Q23="",'Beállítások'!$B$84,MIN(10,MAX(1,ROUND('Ügyfelek'!Q23,0)))))</f>
        <v/>
      </c>
      <c r="R23">
        <f>IF($A23="","",IF('Ügyfelek'!R23="",'Beállítások'!$B$84,MIN(10,MAX(1,ROUND('Ügyfelek'!R23,0)))))</f>
        <v/>
      </c>
      <c r="S23">
        <f>IF($A23="","",IF('Ügyfelek'!S23="",'Beállítások'!$B$84,MIN(10,MAX(1,ROUND('Ügyfelek'!S23,0)))))</f>
        <v/>
      </c>
      <c r="T23">
        <f>IF($A23="","",IF('Ügyfelek'!T23="",'Beállítások'!$B$84,VLOOKUP(MAX('Ügyfelek'!T23,'Beállítások'!$H$7),'Beállítások'!$H$7:$I$12,2,TRUE)))</f>
        <v/>
      </c>
      <c r="U23">
        <f>IF($A23="","",IF('Ügyfelek'!U23="",'Beállítások'!$B$84,VLOOKUP(MAX('Ügyfelek'!U23,'Beállítások'!$K$7),'Beállítások'!$K$7:$L$12,2,TRUE)))</f>
        <v/>
      </c>
      <c r="V23">
        <f>IF($A23="","",IF('Ügyfelek'!V23="",'Beállítások'!$B$84,MIN(10,MAX(1,ROUND('Ügyfelek'!V23,0)))))</f>
        <v/>
      </c>
      <c r="W23">
        <f>IF($A23="","",IF('Ügyfelek'!W23="",'Beállítások'!$B$84,VLOOKUP(MAX('Ügyfelek'!W23,'Beállítások'!$N$7),'Beállítások'!$N$7:$O$12,2,TRUE)))</f>
        <v/>
      </c>
      <c r="X23">
        <f>IF($A23="","",IF('Ügyfelek'!X23="",'Beállítások'!$B$84,MIN(10,MAX(1,ROUND('Ügyfelek'!X23,0)))))</f>
        <v/>
      </c>
      <c r="Y23">
        <f>IF($A23="","",IF('Ügyfelek'!Y23="",'Beállítások'!$B$84,IFERROR(VLOOKUP(TRIM('Ügyfelek'!Y23),'Beállítások'!$A$63:$B$69,2,FALSE),'Beállítások'!$B$84)))</f>
        <v/>
      </c>
      <c r="Z23">
        <f>IF($A23="","",IF('Ügyfelek'!Z23="",'Beállítások'!$B$84,VLOOKUP(MAX('Ügyfelek'!Z23,'Beállítások'!$Q$7),'Beállítások'!$Q$7:$R$12,2,TRUE)))</f>
        <v/>
      </c>
      <c r="AA23">
        <f>IF($A23="","",IF('Ügyfelek'!AA23="",'Beállítások'!$B$84,VLOOKUP(MAX('Ügyfelek'!AA23,'Beállítások'!$T$7),'Beállítások'!$T$7:$U$12,2,TRUE)))</f>
        <v/>
      </c>
      <c r="AB23">
        <f>IF($A23="","",IF('Ügyfelek'!AB23="",'Beállítások'!$B$84,MIN(10,MAX(1,ROUND('Ügyfelek'!AB23,0)))))</f>
        <v/>
      </c>
      <c r="AC23">
        <f>IF($A23="","",IF('Ügyfelek'!AC23="",'Beállítások'!$B$84,MIN(10,MAX(1,ROUND('Ügyfelek'!AC23,0)))))</f>
        <v/>
      </c>
      <c r="AD23">
        <f>IF($A23="","",IF('Ügyfelek'!AD23="",'Beállítások'!$B$84,MIN(10,MAX(1,ROUND('Ügyfelek'!AD23,0)))))</f>
        <v/>
      </c>
      <c r="AE23">
        <f>IF($A23="","",IF('Ügyfelek'!AE23="",'Beállítások'!$B$84,MIN(10,MAX(1,ROUND('Ügyfelek'!AE23,0)))))</f>
        <v/>
      </c>
      <c r="AF23">
        <f>IF($A23="","",IF('Ügyfelek'!AF23="",'Beállítások'!$B$84,MIN(10,MAX(1,ROUND('Ügyfelek'!AF23,0)))))</f>
        <v/>
      </c>
      <c r="AG23">
        <f>IF($A23="","",IF('Ügyfelek'!AG23="",'Beállítások'!$B$84,MIN(10,MAX(1,ROUND('Ügyfelek'!AG23,0)))))</f>
        <v/>
      </c>
      <c r="AH23">
        <f>IF($A23="","",IF('Ügyfelek'!AH23="",'Beállítások'!$B$84,IFERROR(VLOOKUP(TRIM('Ügyfelek'!AH23),'Beállítások'!$A$73:$B$79,2,FALSE),'Beállítások'!$B$84)))</f>
        <v/>
      </c>
      <c r="AI23" s="23">
        <f>IF($A23="","",ROUND(100*('Beállítások'!$E$6*(B23-1)+'Beállítások'!$E$7*(C23-1))/(9*'Beállítások'!$B$43),1))</f>
        <v/>
      </c>
      <c r="AJ23" s="23">
        <f>IF($A23="","",ROUND(100*('Beállítások'!$E$8*(D23-1)+'Beállítások'!$E$9*(E23-1)+'Beállítások'!$E$10*(F23-1)+'Beállítások'!$E$11*(G23-1)+'Beállítások'!$E$12*(H23-1)+'Beállítások'!$E$13*(I23-1)+'Beállítások'!$E$14*(J23-1)+'Beállítások'!$E$15*(K23-1)+'Beállítások'!$E$16*(L23-1)+'Beállítások'!$E$17*(M23-1)+'Beállítások'!$E$18*(N23-1)+'Beállítások'!$E$19*(O23-1)+'Beállítások'!$E$20*(P23-1)+'Beállítások'!$E$21*(Q23-1)+'Beállítások'!$E$22*(R23-1))/(9*'Beállítások'!$B$44),1))</f>
        <v/>
      </c>
      <c r="AK23" s="23">
        <f>IF($A23="","",ROUND(100*('Beállítások'!$E$23*(S23-1)+'Beállítások'!$E$24*(T23-1)+'Beállítások'!$E$25*(U23-1)+'Beállítások'!$E$26*(V23-1)+'Beállítások'!$E$27*(W23-1)+'Beállítások'!$E$28*(X23-1)+'Beállítások'!$E$29*(Y23-1))/(9*'Beállítások'!$B$45),1))</f>
        <v/>
      </c>
      <c r="AL23" s="23">
        <f>IF($A23="","",ROUND(100*('Beállítások'!$E$30*(Z23-1)+'Beállítások'!$E$31*(AA23-1)+'Beállítások'!$E$32*(AB23-1)+'Beállítások'!$E$33*(AC23-1)+'Beállítások'!$E$34*(AD23-1)+'Beállítások'!$E$35*(AE23-1)+'Beállítások'!$E$36*(AF23-1)+'Beállítások'!$E$37*(AG23-1)+'Beállítások'!$E$38*(AH23-1))/(9*'Beállítások'!$B$46),1))</f>
        <v/>
      </c>
      <c r="AM23" s="23">
        <f>IF($A23="","",ROUND(100*('Beállítások'!$E$6*(B23-1)+'Beállítások'!$E$7*(C23-1)+'Beállítások'!$E$8*(D23-1)+'Beállítások'!$E$9*(E23-1)+'Beállítások'!$E$10*(F23-1)+'Beállítások'!$E$11*(G23-1)+'Beállítások'!$E$12*(H23-1)+'Beállítások'!$E$13*(I23-1)+'Beállítások'!$E$14*(J23-1)+'Beállítások'!$E$15*(K23-1)+'Beállítások'!$E$16*(L23-1)+'Beállítások'!$E$17*(M23-1)+'Beállítások'!$E$18*(N23-1)+'Beállítások'!$E$19*(O23-1)+'Beállítások'!$E$20*(P23-1)+'Beállítások'!$E$21*(Q23-1)+'Beállítások'!$E$22*(R23-1)+'Beállítások'!$E$23*(S23-1)+'Beállítások'!$E$24*(T23-1)+'Beállítások'!$E$25*(U23-1)+'Beállítások'!$E$26*(V23-1)+'Beállítások'!$E$27*(W23-1)+'Beállítások'!$E$28*(X23-1)+'Beállítások'!$E$29*(Y23-1)+'Beállítások'!$E$30*(Z23-1)+'Beállítások'!$E$31*(AA23-1)+'Beállítások'!$E$32*(AB23-1)+'Beállítások'!$E$33*(AC23-1)+'Beállítások'!$E$34*(AD23-1)+'Beállítások'!$E$35*(AE23-1)+'Beállítások'!$E$36*(AF23-1)+'Beállítások'!$E$37*(AG23-1)+'Beállítások'!$E$38*(AH23-1))/(9*'Beállítások'!$E$39),1))</f>
        <v/>
      </c>
      <c r="AN23" s="23">
        <f>IF($A23="","",ROUND(100*('Beállítások'!$E$8*(D23-1)+'Beállítások'!$E$9*(E23-1)+'Beállítások'!$E$10*(F23-1)+'Beállítások'!$E$11*(G23-1)+'Beállítások'!$E$12*(H23-1)+'Beállítások'!$E$13*(I23-1)+'Beállítások'!$E$14*(J23-1)+'Beállítások'!$E$15*(K23-1)+'Beállítások'!$E$16*(L23-1)+'Beállítások'!$E$17*(M23-1)+'Beállítások'!$E$18*(N23-1)+'Beállítások'!$E$19*(O23-1)+'Beállítások'!$E$20*(P23-1)+'Beállítások'!$E$21*(Q23-1)+'Beállítások'!$E$22*(R23-1)+'Beállítások'!$E$23*(S23-1)+'Beállítások'!$E$24*(T23-1)+'Beállítások'!$E$25*(U23-1)+'Beállítások'!$E$26*(V23-1)+'Beállítások'!$E$27*(W23-1)+'Beállítások'!$E$28*(X23-1)+'Beállítások'!$E$29*(Y23-1))/(9*('Beállítások'!$B$44+'Beállítások'!$B$45)),1))</f>
        <v/>
      </c>
      <c r="AO23" s="24">
        <f>IF($A23="","",RANK(AM23,$AM$2:$AM$201))</f>
        <v/>
      </c>
      <c r="AP23">
        <f>IF($A23="","",IF(OR(AND('Ügyfelek'!B23&lt;&gt;"",B23&lt;='Beállítások'!$B$85),AND('Ügyfelek'!C23&lt;&gt;"",C23&lt;='Beállítások'!$B$86)),"Igen","Nem"))</f>
        <v/>
      </c>
      <c r="AQ23" s="24">
        <f>IF($A23="","",IF(AP23="Igen",5,IF(AN23&gt;='Beállítások'!$C$108,1,IF(AN23&gt;='Beállítások'!$C$109,2,IF(AN23&gt;='Beállítások'!$C$110,3,IF(AND(AN23&gt;='Beállítások'!$B$87,AI23&gt;='Beállítások'!$B$88,AL23&gt;='Beállítások'!$B$89),4,5))))))</f>
        <v/>
      </c>
      <c r="AR23">
        <f>IF($A23="","",INDEX('Beállítások'!$B$108:$B$112,AQ23))</f>
        <v/>
      </c>
      <c r="AS23">
        <f>IF($A23="","",IF(AQ23=5,"Elutasítjuk",IF(AND(AQ23=4,COUNTIFS('Eredmény'!$AQ$2:$AQ$201,4,'Eredmény'!$DY$2:$DY$201,"&gt;"&amp;DY23)&gt;='Beállítások'!$B$90),"Várólista (a 4-es hely foglalt)","Elfogadjuk")))</f>
        <v/>
      </c>
      <c r="AT23">
        <f>IF($A23="","",INDEX('Beállítások'!$F$108:$F$112,AQ23))</f>
        <v/>
      </c>
      <c r="AU23">
        <f>IF($A23="","",INDEX('Beállítások'!$B$6:$B$38,MATCH(MAX(BK23:CQ23),BK23:CQ23,0)))</f>
        <v/>
      </c>
      <c r="AV23">
        <f>IF($A23="","",IF(MAX(CR23:DX23)=0,"—",INDEX('Beállítások'!$B$6:$B$38,MATCH(MAX(CR23:DX23),CR23:DX23,0))))</f>
        <v/>
      </c>
      <c r="AW23" s="10">
        <f>IF($A23="","",'Beállítások'!$B$94*(TRIM('Ügyfelek'!AI23)="igen")+'Beállítások'!$B$95*(TRIM('Ügyfelek'!AJ23)="igen")+'Beállítások'!$B$96*N('Ügyfelek'!AK23)+'Beállítások'!$B$93*N('Ügyfelek'!AL23))</f>
        <v/>
      </c>
      <c r="AX23" s="25">
        <f>IF(OR($A23="",AQ23=5),"",INDEX('Beállítások'!$D$108:$D$112,AQ23))</f>
        <v/>
      </c>
      <c r="AY23" s="10">
        <f>IF($A23="","",N('Ügyfelek'!U23)*'Beállítások'!$B$98)</f>
        <v/>
      </c>
      <c r="AZ23" s="10">
        <f>IF(OR($A23="",AQ23=5),"",CEILING(ROUND(MAX('Beállítások'!$B$97,AW23*AX23,AY23),2),'Beállítások'!$B$99))</f>
        <v/>
      </c>
      <c r="BA23">
        <f>IF($A23="","",IF(AQ23=5,"Elutasítva",IF(MAX('Beállítások'!$B$97,AW23*AX23,AY23)=AW23*AX23,"Munkaigény × státuszszorzó",IF(MAX('Beállítások'!$B$97,AW23*AX23,AY23)=AY23,"Hirdetési keret arányában","Minimumdíj"))))</f>
        <v/>
      </c>
      <c r="BB23" s="10">
        <f>IF(OR($A23="",'Ügyfelek'!AM23=""),"",'Ügyfelek'!AM23)</f>
        <v/>
      </c>
      <c r="BC23" s="10">
        <f>IF(OR(BB23="",AZ23=""),"",AZ23-BB23)</f>
        <v/>
      </c>
      <c r="BD23" s="18">
        <f>IF(OR(BB23="",AZ23="",BB23=0),"",BC23/BB23)</f>
        <v/>
      </c>
      <c r="BE23">
        <f>IF(OR($A23="",AQ23=5),"",IF(AND(INDEX('Beállítások'!$E$108:$E$112,AQ23)&gt;0,Y23&gt;='Beállítások'!$B$91),"Igen","Nem"))</f>
        <v/>
      </c>
      <c r="BF23" s="10">
        <f>IF(BE23="Igen",CEILING(ROUND(AZ23*(1-'Beállítások'!$B$92),2),'Beállítások'!$B$99),"")</f>
        <v/>
      </c>
      <c r="BG23" s="20">
        <f>IF(BE23="Igen",INDEX('Beállítások'!$E$108:$E$112,AQ23),"")</f>
        <v/>
      </c>
      <c r="BH23" s="10">
        <f>IF(OR(BE23&lt;&gt;"Igen",'Ügyfelek'!AN23=""),"",'Ügyfelek'!AN23*BG23)</f>
        <v/>
      </c>
      <c r="BI23" s="24">
        <f>IF($A23="","",('Ügyfelek'!B23="")+('Ügyfelek'!C23="")+('Ügyfelek'!D23="")+('Ügyfelek'!E23="")+('Ügyfelek'!F23="")+('Ügyfelek'!G23="")+('Ügyfelek'!H23="")+('Ügyfelek'!I23="")+('Ügyfelek'!J23="")+('Ügyfelek'!K23="")+('Ügyfelek'!L23="")+('Ügyfelek'!M23="")+('Ügyfelek'!N23="")+('Ügyfelek'!O23="")+('Ügyfelek'!P23="")+('Ügyfelek'!Q23="")+('Ügyfelek'!R23="")+('Ügyfelek'!S23="")+('Ügyfelek'!T23="")+('Ügyfelek'!U23="")+('Ügyfelek'!V23="")+('Ügyfelek'!W23="")+('Ügyfelek'!X23="")+('Ügyfelek'!Y23="")+('Ügyfelek'!Z23="")+('Ügyfelek'!AA23="")+('Ügyfelek'!AB23="")+('Ügyfelek'!AC23="")+('Ügyfelek'!AD23="")+('Ügyfelek'!AE23="")+('Ügyfelek'!AF23="")+('Ügyfelek'!AG23="")+('Ügyfelek'!AH23=""))</f>
        <v/>
      </c>
      <c r="BK23">
        <f>IF($A23="","",B23+'Beállítások'!$E$6/1000)</f>
        <v/>
      </c>
      <c r="BL23">
        <f>IF($A23="","",C23+'Beállítások'!$E$7/1000)</f>
        <v/>
      </c>
      <c r="BM23">
        <f>IF($A23="","",D23+'Beállítások'!$E$8/1000)</f>
        <v/>
      </c>
      <c r="BN23">
        <f>IF($A23="","",E23+'Beállítások'!$E$9/1000)</f>
        <v/>
      </c>
      <c r="BO23">
        <f>IF($A23="","",F23+'Beállítások'!$E$10/1000)</f>
        <v/>
      </c>
      <c r="BP23">
        <f>IF($A23="","",G23+'Beállítások'!$E$11/1000)</f>
        <v/>
      </c>
      <c r="BQ23">
        <f>IF($A23="","",H23+'Beállítások'!$E$12/1000)</f>
        <v/>
      </c>
      <c r="BR23">
        <f>IF($A23="","",I23+'Beállítások'!$E$13/1000)</f>
        <v/>
      </c>
      <c r="BS23">
        <f>IF($A23="","",J23+'Beállítások'!$E$14/1000)</f>
        <v/>
      </c>
      <c r="BT23">
        <f>IF($A23="","",K23+'Beállítások'!$E$15/1000)</f>
        <v/>
      </c>
      <c r="BU23">
        <f>IF($A23="","",L23+'Beállítások'!$E$16/1000)</f>
        <v/>
      </c>
      <c r="BV23">
        <f>IF($A23="","",M23+'Beállítások'!$E$17/1000)</f>
        <v/>
      </c>
      <c r="BW23">
        <f>IF($A23="","",N23+'Beállítások'!$E$18/1000)</f>
        <v/>
      </c>
      <c r="BX23">
        <f>IF($A23="","",O23+'Beállítások'!$E$19/1000)</f>
        <v/>
      </c>
      <c r="BY23">
        <f>IF($A23="","",P23+'Beállítások'!$E$20/1000)</f>
        <v/>
      </c>
      <c r="BZ23">
        <f>IF($A23="","",Q23+'Beállítások'!$E$21/1000)</f>
        <v/>
      </c>
      <c r="CA23">
        <f>IF($A23="","",R23+'Beállítások'!$E$22/1000)</f>
        <v/>
      </c>
      <c r="CB23">
        <f>IF($A23="","",S23+'Beállítások'!$E$23/1000)</f>
        <v/>
      </c>
      <c r="CC23">
        <f>IF($A23="","",T23+'Beállítások'!$E$24/1000)</f>
        <v/>
      </c>
      <c r="CD23">
        <f>IF($A23="","",U23+'Beállítások'!$E$25/1000)</f>
        <v/>
      </c>
      <c r="CE23">
        <f>IF($A23="","",V23+'Beállítások'!$E$26/1000)</f>
        <v/>
      </c>
      <c r="CF23">
        <f>IF($A23="","",W23+'Beállítások'!$E$27/1000)</f>
        <v/>
      </c>
      <c r="CG23">
        <f>IF($A23="","",X23+'Beállítások'!$E$28/1000)</f>
        <v/>
      </c>
      <c r="CH23">
        <f>IF($A23="","",Y23+'Beállítások'!$E$29/1000)</f>
        <v/>
      </c>
      <c r="CI23">
        <f>IF($A23="","",Z23+'Beállítások'!$E$30/1000)</f>
        <v/>
      </c>
      <c r="CJ23">
        <f>IF($A23="","",AA23+'Beállítások'!$E$31/1000)</f>
        <v/>
      </c>
      <c r="CK23">
        <f>IF($A23="","",AB23+'Beállítások'!$E$32/1000)</f>
        <v/>
      </c>
      <c r="CL23">
        <f>IF($A23="","",AC23+'Beállítások'!$E$33/1000)</f>
        <v/>
      </c>
      <c r="CM23">
        <f>IF($A23="","",AD23+'Beállítások'!$E$34/1000)</f>
        <v/>
      </c>
      <c r="CN23">
        <f>IF($A23="","",AE23+'Beállítások'!$E$35/1000)</f>
        <v/>
      </c>
      <c r="CO23">
        <f>IF($A23="","",AF23+'Beállítások'!$E$36/1000)</f>
        <v/>
      </c>
      <c r="CP23">
        <f>IF($A23="","",AG23+'Beállítások'!$E$37/1000)</f>
        <v/>
      </c>
      <c r="CQ23">
        <f>IF($A23="","",AH23+'Beállítások'!$E$38/1000)</f>
        <v/>
      </c>
      <c r="CR23">
        <f>IF($A23="","",'Beállítások'!$E$6*(10-B23))</f>
        <v/>
      </c>
      <c r="CS23">
        <f>IF($A23="","",'Beállítások'!$E$7*(10-C23))</f>
        <v/>
      </c>
      <c r="CT23">
        <f>IF($A23="","",'Beállítások'!$E$8*(10-D23))</f>
        <v/>
      </c>
      <c r="CU23">
        <f>IF($A23="","",'Beállítások'!$E$9*(10-E23))</f>
        <v/>
      </c>
      <c r="CV23">
        <f>IF($A23="","",'Beállítások'!$E$10*(10-F23))</f>
        <v/>
      </c>
      <c r="CW23">
        <f>IF($A23="","",'Beállítások'!$E$11*(10-G23))</f>
        <v/>
      </c>
      <c r="CX23">
        <f>IF($A23="","",'Beállítások'!$E$12*(10-H23))</f>
        <v/>
      </c>
      <c r="CY23">
        <f>IF($A23="","",'Beállítások'!$E$13*(10-I23))</f>
        <v/>
      </c>
      <c r="CZ23">
        <f>IF($A23="","",'Beállítások'!$E$14*(10-J23))</f>
        <v/>
      </c>
      <c r="DA23">
        <f>IF($A23="","",'Beállítások'!$E$15*(10-K23))</f>
        <v/>
      </c>
      <c r="DB23">
        <f>IF($A23="","",'Beállítások'!$E$16*(10-L23))</f>
        <v/>
      </c>
      <c r="DC23">
        <f>IF($A23="","",'Beállítások'!$E$17*(10-M23))</f>
        <v/>
      </c>
      <c r="DD23">
        <f>IF($A23="","",'Beállítások'!$E$18*(10-N23))</f>
        <v/>
      </c>
      <c r="DE23">
        <f>IF($A23="","",'Beállítások'!$E$19*(10-O23))</f>
        <v/>
      </c>
      <c r="DF23">
        <f>IF($A23="","",'Beállítások'!$E$20*(10-P23))</f>
        <v/>
      </c>
      <c r="DG23">
        <f>IF($A23="","",'Beállítások'!$E$21*(10-Q23))</f>
        <v/>
      </c>
      <c r="DH23">
        <f>IF($A23="","",'Beállítások'!$E$22*(10-R23))</f>
        <v/>
      </c>
      <c r="DI23">
        <f>IF($A23="","",'Beállítások'!$E$23*(10-S23))</f>
        <v/>
      </c>
      <c r="DJ23">
        <f>IF($A23="","",'Beállítások'!$E$24*(10-T23))</f>
        <v/>
      </c>
      <c r="DK23">
        <f>IF($A23="","",'Beállítások'!$E$25*(10-U23))</f>
        <v/>
      </c>
      <c r="DL23">
        <f>IF($A23="","",'Beállítások'!$E$26*(10-V23))</f>
        <v/>
      </c>
      <c r="DM23">
        <f>IF($A23="","",'Beállítások'!$E$27*(10-W23))</f>
        <v/>
      </c>
      <c r="DN23">
        <f>IF($A23="","",'Beállítások'!$E$28*(10-X23))</f>
        <v/>
      </c>
      <c r="DO23">
        <f>IF($A23="","",'Beállítások'!$E$29*(10-Y23))</f>
        <v/>
      </c>
      <c r="DP23">
        <f>IF($A23="","",'Beállítások'!$E$30*(10-Z23))</f>
        <v/>
      </c>
      <c r="DQ23">
        <f>IF($A23="","",'Beállítások'!$E$31*(10-AA23))</f>
        <v/>
      </c>
      <c r="DR23">
        <f>IF($A23="","",'Beállítások'!$E$32*(10-AB23))</f>
        <v/>
      </c>
      <c r="DS23">
        <f>IF($A23="","",'Beállítások'!$E$33*(10-AC23))</f>
        <v/>
      </c>
      <c r="DT23">
        <f>IF($A23="","",'Beállítások'!$E$34*(10-AD23))</f>
        <v/>
      </c>
      <c r="DU23">
        <f>IF($A23="","",'Beállítások'!$E$35*(10-AE23))</f>
        <v/>
      </c>
      <c r="DV23">
        <f>IF($A23="","",'Beállítások'!$E$36*(10-AF23))</f>
        <v/>
      </c>
      <c r="DW23">
        <f>IF($A23="","",'Beállítások'!$E$37*(10-AG23))</f>
        <v/>
      </c>
      <c r="DX23">
        <f>IF($A23="","",'Beállítások'!$E$38*(10-AH23))</f>
        <v/>
      </c>
      <c r="DY23">
        <f>IF($A23="","",AM23-ROW()/100000)</f>
        <v/>
      </c>
    </row>
    <row r="24">
      <c r="A24">
        <f>IF('Ügyfelek'!A24="","",'Ügyfelek'!A24)</f>
        <v/>
      </c>
      <c r="B24">
        <f>IF($A24="","",IF('Ügyfelek'!B24="",'Beállítások'!$B$84,IFERROR(VLOOKUP(TRIM('Ügyfelek'!B24),'Beállítások'!$A$51:$B$59,2,FALSE),'Beállítások'!$B$84)))</f>
        <v/>
      </c>
      <c r="C24">
        <f>IF($A24="","",IF('Ügyfelek'!C24="",'Beállítások'!$B$84,MIN(10,MAX(1,ROUND('Ügyfelek'!C24,0)))))</f>
        <v/>
      </c>
      <c r="D24">
        <f>IF($A24="","",IF('Ügyfelek'!D24="",'Beállítások'!$B$84,MIN(10,MAX(1,ROUND('Ügyfelek'!D24,0)))))</f>
        <v/>
      </c>
      <c r="E24">
        <f>IF($A24="","",IF('Ügyfelek'!E24="",'Beállítások'!$B$84,MIN(10,MAX(1,ROUND('Ügyfelek'!E24,0)))))</f>
        <v/>
      </c>
      <c r="F24">
        <f>IF($A24="","",IF('Ügyfelek'!F24="",'Beállítások'!$B$84,MIN(10,MAX(1,ROUND('Ügyfelek'!F24,0)))))</f>
        <v/>
      </c>
      <c r="G24">
        <f>IF($A24="","",IF('Ügyfelek'!G24="",'Beállítások'!$B$84,MIN(10,MAX(1,ROUND('Ügyfelek'!G24,0)))))</f>
        <v/>
      </c>
      <c r="H24">
        <f>IF($A24="","",IF('Ügyfelek'!H24="",'Beállítások'!$B$84,MIN(10,MAX(1,ROUND('Ügyfelek'!H24,0)))))</f>
        <v/>
      </c>
      <c r="I24">
        <f>IF($A24="","",IF('Ügyfelek'!I24="",'Beállítások'!$B$84,MIN(10,MAX(1,ROUND('Ügyfelek'!I24,0)))))</f>
        <v/>
      </c>
      <c r="J24">
        <f>IF($A24="","",IF('Ügyfelek'!J24="",'Beállítások'!$B$84,MIN(10,MAX(1,ROUND('Ügyfelek'!J24,0)))))</f>
        <v/>
      </c>
      <c r="K24">
        <f>IF($A24="","",IF('Ügyfelek'!K24="",'Beállítások'!$B$84,MIN(10,MAX(1,ROUND('Ügyfelek'!K24,0)))))</f>
        <v/>
      </c>
      <c r="L24">
        <f>IF($A24="","",IF('Ügyfelek'!L24="",'Beállítások'!$B$84,MIN(10,MAX(1,ROUND('Ügyfelek'!L24,0)))))</f>
        <v/>
      </c>
      <c r="M24">
        <f>IF($A24="","",IF('Ügyfelek'!M24="",'Beállítások'!$B$84,MIN(10,MAX(1,ROUND('Ügyfelek'!M24,0)))))</f>
        <v/>
      </c>
      <c r="N24">
        <f>IF($A24="","",IF('Ügyfelek'!N24="",'Beállítások'!$B$84,MIN(10,MAX(1,ROUND('Ügyfelek'!N24,0)))))</f>
        <v/>
      </c>
      <c r="O24">
        <f>IF($A24="","",IF('Ügyfelek'!O24="",'Beállítások'!$B$84,MIN(10,MAX(1,ROUND('Ügyfelek'!O24,0)))))</f>
        <v/>
      </c>
      <c r="P24">
        <f>IF($A24="","",IF('Ügyfelek'!P24="",'Beállítások'!$B$84,MIN(10,MAX(1,ROUND('Ügyfelek'!P24,0)))))</f>
        <v/>
      </c>
      <c r="Q24">
        <f>IF($A24="","",IF('Ügyfelek'!Q24="",'Beállítások'!$B$84,MIN(10,MAX(1,ROUND('Ügyfelek'!Q24,0)))))</f>
        <v/>
      </c>
      <c r="R24">
        <f>IF($A24="","",IF('Ügyfelek'!R24="",'Beállítások'!$B$84,MIN(10,MAX(1,ROUND('Ügyfelek'!R24,0)))))</f>
        <v/>
      </c>
      <c r="S24">
        <f>IF($A24="","",IF('Ügyfelek'!S24="",'Beállítások'!$B$84,MIN(10,MAX(1,ROUND('Ügyfelek'!S24,0)))))</f>
        <v/>
      </c>
      <c r="T24">
        <f>IF($A24="","",IF('Ügyfelek'!T24="",'Beállítások'!$B$84,VLOOKUP(MAX('Ügyfelek'!T24,'Beállítások'!$H$7),'Beállítások'!$H$7:$I$12,2,TRUE)))</f>
        <v/>
      </c>
      <c r="U24">
        <f>IF($A24="","",IF('Ügyfelek'!U24="",'Beállítások'!$B$84,VLOOKUP(MAX('Ügyfelek'!U24,'Beállítások'!$K$7),'Beállítások'!$K$7:$L$12,2,TRUE)))</f>
        <v/>
      </c>
      <c r="V24">
        <f>IF($A24="","",IF('Ügyfelek'!V24="",'Beállítások'!$B$84,MIN(10,MAX(1,ROUND('Ügyfelek'!V24,0)))))</f>
        <v/>
      </c>
      <c r="W24">
        <f>IF($A24="","",IF('Ügyfelek'!W24="",'Beállítások'!$B$84,VLOOKUP(MAX('Ügyfelek'!W24,'Beállítások'!$N$7),'Beállítások'!$N$7:$O$12,2,TRUE)))</f>
        <v/>
      </c>
      <c r="X24">
        <f>IF($A24="","",IF('Ügyfelek'!X24="",'Beállítások'!$B$84,MIN(10,MAX(1,ROUND('Ügyfelek'!X24,0)))))</f>
        <v/>
      </c>
      <c r="Y24">
        <f>IF($A24="","",IF('Ügyfelek'!Y24="",'Beállítások'!$B$84,IFERROR(VLOOKUP(TRIM('Ügyfelek'!Y24),'Beállítások'!$A$63:$B$69,2,FALSE),'Beállítások'!$B$84)))</f>
        <v/>
      </c>
      <c r="Z24">
        <f>IF($A24="","",IF('Ügyfelek'!Z24="",'Beállítások'!$B$84,VLOOKUP(MAX('Ügyfelek'!Z24,'Beállítások'!$Q$7),'Beállítások'!$Q$7:$R$12,2,TRUE)))</f>
        <v/>
      </c>
      <c r="AA24">
        <f>IF($A24="","",IF('Ügyfelek'!AA24="",'Beállítások'!$B$84,VLOOKUP(MAX('Ügyfelek'!AA24,'Beállítások'!$T$7),'Beállítások'!$T$7:$U$12,2,TRUE)))</f>
        <v/>
      </c>
      <c r="AB24">
        <f>IF($A24="","",IF('Ügyfelek'!AB24="",'Beállítások'!$B$84,MIN(10,MAX(1,ROUND('Ügyfelek'!AB24,0)))))</f>
        <v/>
      </c>
      <c r="AC24">
        <f>IF($A24="","",IF('Ügyfelek'!AC24="",'Beállítások'!$B$84,MIN(10,MAX(1,ROUND('Ügyfelek'!AC24,0)))))</f>
        <v/>
      </c>
      <c r="AD24">
        <f>IF($A24="","",IF('Ügyfelek'!AD24="",'Beállítások'!$B$84,MIN(10,MAX(1,ROUND('Ügyfelek'!AD24,0)))))</f>
        <v/>
      </c>
      <c r="AE24">
        <f>IF($A24="","",IF('Ügyfelek'!AE24="",'Beállítások'!$B$84,MIN(10,MAX(1,ROUND('Ügyfelek'!AE24,0)))))</f>
        <v/>
      </c>
      <c r="AF24">
        <f>IF($A24="","",IF('Ügyfelek'!AF24="",'Beállítások'!$B$84,MIN(10,MAX(1,ROUND('Ügyfelek'!AF24,0)))))</f>
        <v/>
      </c>
      <c r="AG24">
        <f>IF($A24="","",IF('Ügyfelek'!AG24="",'Beállítások'!$B$84,MIN(10,MAX(1,ROUND('Ügyfelek'!AG24,0)))))</f>
        <v/>
      </c>
      <c r="AH24">
        <f>IF($A24="","",IF('Ügyfelek'!AH24="",'Beállítások'!$B$84,IFERROR(VLOOKUP(TRIM('Ügyfelek'!AH24),'Beállítások'!$A$73:$B$79,2,FALSE),'Beállítások'!$B$84)))</f>
        <v/>
      </c>
      <c r="AI24" s="23">
        <f>IF($A24="","",ROUND(100*('Beállítások'!$E$6*(B24-1)+'Beállítások'!$E$7*(C24-1))/(9*'Beállítások'!$B$43),1))</f>
        <v/>
      </c>
      <c r="AJ24" s="23">
        <f>IF($A24="","",ROUND(100*('Beállítások'!$E$8*(D24-1)+'Beállítások'!$E$9*(E24-1)+'Beállítások'!$E$10*(F24-1)+'Beállítások'!$E$11*(G24-1)+'Beállítások'!$E$12*(H24-1)+'Beállítások'!$E$13*(I24-1)+'Beállítások'!$E$14*(J24-1)+'Beállítások'!$E$15*(K24-1)+'Beállítások'!$E$16*(L24-1)+'Beállítások'!$E$17*(M24-1)+'Beállítások'!$E$18*(N24-1)+'Beállítások'!$E$19*(O24-1)+'Beállítások'!$E$20*(P24-1)+'Beállítások'!$E$21*(Q24-1)+'Beállítások'!$E$22*(R24-1))/(9*'Beállítások'!$B$44),1))</f>
        <v/>
      </c>
      <c r="AK24" s="23">
        <f>IF($A24="","",ROUND(100*('Beállítások'!$E$23*(S24-1)+'Beállítások'!$E$24*(T24-1)+'Beállítások'!$E$25*(U24-1)+'Beállítások'!$E$26*(V24-1)+'Beállítások'!$E$27*(W24-1)+'Beállítások'!$E$28*(X24-1)+'Beállítások'!$E$29*(Y24-1))/(9*'Beállítások'!$B$45),1))</f>
        <v/>
      </c>
      <c r="AL24" s="23">
        <f>IF($A24="","",ROUND(100*('Beállítások'!$E$30*(Z24-1)+'Beállítások'!$E$31*(AA24-1)+'Beállítások'!$E$32*(AB24-1)+'Beállítások'!$E$33*(AC24-1)+'Beállítások'!$E$34*(AD24-1)+'Beállítások'!$E$35*(AE24-1)+'Beállítások'!$E$36*(AF24-1)+'Beállítások'!$E$37*(AG24-1)+'Beállítások'!$E$38*(AH24-1))/(9*'Beállítások'!$B$46),1))</f>
        <v/>
      </c>
      <c r="AM24" s="23">
        <f>IF($A24="","",ROUND(100*('Beállítások'!$E$6*(B24-1)+'Beállítások'!$E$7*(C24-1)+'Beállítások'!$E$8*(D24-1)+'Beállítások'!$E$9*(E24-1)+'Beállítások'!$E$10*(F24-1)+'Beállítások'!$E$11*(G24-1)+'Beállítások'!$E$12*(H24-1)+'Beállítások'!$E$13*(I24-1)+'Beállítások'!$E$14*(J24-1)+'Beállítások'!$E$15*(K24-1)+'Beállítások'!$E$16*(L24-1)+'Beállítások'!$E$17*(M24-1)+'Beállítások'!$E$18*(N24-1)+'Beállítások'!$E$19*(O24-1)+'Beállítások'!$E$20*(P24-1)+'Beállítások'!$E$21*(Q24-1)+'Beállítások'!$E$22*(R24-1)+'Beállítások'!$E$23*(S24-1)+'Beállítások'!$E$24*(T24-1)+'Beállítások'!$E$25*(U24-1)+'Beállítások'!$E$26*(V24-1)+'Beállítások'!$E$27*(W24-1)+'Beállítások'!$E$28*(X24-1)+'Beállítások'!$E$29*(Y24-1)+'Beállítások'!$E$30*(Z24-1)+'Beállítások'!$E$31*(AA24-1)+'Beállítások'!$E$32*(AB24-1)+'Beállítások'!$E$33*(AC24-1)+'Beállítások'!$E$34*(AD24-1)+'Beállítások'!$E$35*(AE24-1)+'Beállítások'!$E$36*(AF24-1)+'Beállítások'!$E$37*(AG24-1)+'Beállítások'!$E$38*(AH24-1))/(9*'Beállítások'!$E$39),1))</f>
        <v/>
      </c>
      <c r="AN24" s="23">
        <f>IF($A24="","",ROUND(100*('Beállítások'!$E$8*(D24-1)+'Beállítások'!$E$9*(E24-1)+'Beállítások'!$E$10*(F24-1)+'Beállítások'!$E$11*(G24-1)+'Beállítások'!$E$12*(H24-1)+'Beállítások'!$E$13*(I24-1)+'Beállítások'!$E$14*(J24-1)+'Beállítások'!$E$15*(K24-1)+'Beállítások'!$E$16*(L24-1)+'Beállítások'!$E$17*(M24-1)+'Beállítások'!$E$18*(N24-1)+'Beállítások'!$E$19*(O24-1)+'Beállítások'!$E$20*(P24-1)+'Beállítások'!$E$21*(Q24-1)+'Beállítások'!$E$22*(R24-1)+'Beállítások'!$E$23*(S24-1)+'Beállítások'!$E$24*(T24-1)+'Beállítások'!$E$25*(U24-1)+'Beállítások'!$E$26*(V24-1)+'Beállítások'!$E$27*(W24-1)+'Beállítások'!$E$28*(X24-1)+'Beállítások'!$E$29*(Y24-1))/(9*('Beállítások'!$B$44+'Beállítások'!$B$45)),1))</f>
        <v/>
      </c>
      <c r="AO24" s="24">
        <f>IF($A24="","",RANK(AM24,$AM$2:$AM$201))</f>
        <v/>
      </c>
      <c r="AP24">
        <f>IF($A24="","",IF(OR(AND('Ügyfelek'!B24&lt;&gt;"",B24&lt;='Beállítások'!$B$85),AND('Ügyfelek'!C24&lt;&gt;"",C24&lt;='Beállítások'!$B$86)),"Igen","Nem"))</f>
        <v/>
      </c>
      <c r="AQ24" s="24">
        <f>IF($A24="","",IF(AP24="Igen",5,IF(AN24&gt;='Beállítások'!$C$108,1,IF(AN24&gt;='Beállítások'!$C$109,2,IF(AN24&gt;='Beállítások'!$C$110,3,IF(AND(AN24&gt;='Beállítások'!$B$87,AI24&gt;='Beállítások'!$B$88,AL24&gt;='Beállítások'!$B$89),4,5))))))</f>
        <v/>
      </c>
      <c r="AR24">
        <f>IF($A24="","",INDEX('Beállítások'!$B$108:$B$112,AQ24))</f>
        <v/>
      </c>
      <c r="AS24">
        <f>IF($A24="","",IF(AQ24=5,"Elutasítjuk",IF(AND(AQ24=4,COUNTIFS('Eredmény'!$AQ$2:$AQ$201,4,'Eredmény'!$DY$2:$DY$201,"&gt;"&amp;DY24)&gt;='Beállítások'!$B$90),"Várólista (a 4-es hely foglalt)","Elfogadjuk")))</f>
        <v/>
      </c>
      <c r="AT24">
        <f>IF($A24="","",INDEX('Beállítások'!$F$108:$F$112,AQ24))</f>
        <v/>
      </c>
      <c r="AU24">
        <f>IF($A24="","",INDEX('Beállítások'!$B$6:$B$38,MATCH(MAX(BK24:CQ24),BK24:CQ24,0)))</f>
        <v/>
      </c>
      <c r="AV24">
        <f>IF($A24="","",IF(MAX(CR24:DX24)=0,"—",INDEX('Beállítások'!$B$6:$B$38,MATCH(MAX(CR24:DX24),CR24:DX24,0))))</f>
        <v/>
      </c>
      <c r="AW24" s="10">
        <f>IF($A24="","",'Beállítások'!$B$94*(TRIM('Ügyfelek'!AI24)="igen")+'Beállítások'!$B$95*(TRIM('Ügyfelek'!AJ24)="igen")+'Beállítások'!$B$96*N('Ügyfelek'!AK24)+'Beállítások'!$B$93*N('Ügyfelek'!AL24))</f>
        <v/>
      </c>
      <c r="AX24" s="25">
        <f>IF(OR($A24="",AQ24=5),"",INDEX('Beállítások'!$D$108:$D$112,AQ24))</f>
        <v/>
      </c>
      <c r="AY24" s="10">
        <f>IF($A24="","",N('Ügyfelek'!U24)*'Beállítások'!$B$98)</f>
        <v/>
      </c>
      <c r="AZ24" s="10">
        <f>IF(OR($A24="",AQ24=5),"",CEILING(ROUND(MAX('Beállítások'!$B$97,AW24*AX24,AY24),2),'Beállítások'!$B$99))</f>
        <v/>
      </c>
      <c r="BA24">
        <f>IF($A24="","",IF(AQ24=5,"Elutasítva",IF(MAX('Beállítások'!$B$97,AW24*AX24,AY24)=AW24*AX24,"Munkaigény × státuszszorzó",IF(MAX('Beállítások'!$B$97,AW24*AX24,AY24)=AY24,"Hirdetési keret arányában","Minimumdíj"))))</f>
        <v/>
      </c>
      <c r="BB24" s="10">
        <f>IF(OR($A24="",'Ügyfelek'!AM24=""),"",'Ügyfelek'!AM24)</f>
        <v/>
      </c>
      <c r="BC24" s="10">
        <f>IF(OR(BB24="",AZ24=""),"",AZ24-BB24)</f>
        <v/>
      </c>
      <c r="BD24" s="18">
        <f>IF(OR(BB24="",AZ24="",BB24=0),"",BC24/BB24)</f>
        <v/>
      </c>
      <c r="BE24">
        <f>IF(OR($A24="",AQ24=5),"",IF(AND(INDEX('Beállítások'!$E$108:$E$112,AQ24)&gt;0,Y24&gt;='Beállítások'!$B$91),"Igen","Nem"))</f>
        <v/>
      </c>
      <c r="BF24" s="10">
        <f>IF(BE24="Igen",CEILING(ROUND(AZ24*(1-'Beállítások'!$B$92),2),'Beállítások'!$B$99),"")</f>
        <v/>
      </c>
      <c r="BG24" s="20">
        <f>IF(BE24="Igen",INDEX('Beállítások'!$E$108:$E$112,AQ24),"")</f>
        <v/>
      </c>
      <c r="BH24" s="10">
        <f>IF(OR(BE24&lt;&gt;"Igen",'Ügyfelek'!AN24=""),"",'Ügyfelek'!AN24*BG24)</f>
        <v/>
      </c>
      <c r="BI24" s="24">
        <f>IF($A24="","",('Ügyfelek'!B24="")+('Ügyfelek'!C24="")+('Ügyfelek'!D24="")+('Ügyfelek'!E24="")+('Ügyfelek'!F24="")+('Ügyfelek'!G24="")+('Ügyfelek'!H24="")+('Ügyfelek'!I24="")+('Ügyfelek'!J24="")+('Ügyfelek'!K24="")+('Ügyfelek'!L24="")+('Ügyfelek'!M24="")+('Ügyfelek'!N24="")+('Ügyfelek'!O24="")+('Ügyfelek'!P24="")+('Ügyfelek'!Q24="")+('Ügyfelek'!R24="")+('Ügyfelek'!S24="")+('Ügyfelek'!T24="")+('Ügyfelek'!U24="")+('Ügyfelek'!V24="")+('Ügyfelek'!W24="")+('Ügyfelek'!X24="")+('Ügyfelek'!Y24="")+('Ügyfelek'!Z24="")+('Ügyfelek'!AA24="")+('Ügyfelek'!AB24="")+('Ügyfelek'!AC24="")+('Ügyfelek'!AD24="")+('Ügyfelek'!AE24="")+('Ügyfelek'!AF24="")+('Ügyfelek'!AG24="")+('Ügyfelek'!AH24=""))</f>
        <v/>
      </c>
      <c r="BK24">
        <f>IF($A24="","",B24+'Beállítások'!$E$6/1000)</f>
        <v/>
      </c>
      <c r="BL24">
        <f>IF($A24="","",C24+'Beállítások'!$E$7/1000)</f>
        <v/>
      </c>
      <c r="BM24">
        <f>IF($A24="","",D24+'Beállítások'!$E$8/1000)</f>
        <v/>
      </c>
      <c r="BN24">
        <f>IF($A24="","",E24+'Beállítások'!$E$9/1000)</f>
        <v/>
      </c>
      <c r="BO24">
        <f>IF($A24="","",F24+'Beállítások'!$E$10/1000)</f>
        <v/>
      </c>
      <c r="BP24">
        <f>IF($A24="","",G24+'Beállítások'!$E$11/1000)</f>
        <v/>
      </c>
      <c r="BQ24">
        <f>IF($A24="","",H24+'Beállítások'!$E$12/1000)</f>
        <v/>
      </c>
      <c r="BR24">
        <f>IF($A24="","",I24+'Beállítások'!$E$13/1000)</f>
        <v/>
      </c>
      <c r="BS24">
        <f>IF($A24="","",J24+'Beállítások'!$E$14/1000)</f>
        <v/>
      </c>
      <c r="BT24">
        <f>IF($A24="","",K24+'Beállítások'!$E$15/1000)</f>
        <v/>
      </c>
      <c r="BU24">
        <f>IF($A24="","",L24+'Beállítások'!$E$16/1000)</f>
        <v/>
      </c>
      <c r="BV24">
        <f>IF($A24="","",M24+'Beállítások'!$E$17/1000)</f>
        <v/>
      </c>
      <c r="BW24">
        <f>IF($A24="","",N24+'Beállítások'!$E$18/1000)</f>
        <v/>
      </c>
      <c r="BX24">
        <f>IF($A24="","",O24+'Beállítások'!$E$19/1000)</f>
        <v/>
      </c>
      <c r="BY24">
        <f>IF($A24="","",P24+'Beállítások'!$E$20/1000)</f>
        <v/>
      </c>
      <c r="BZ24">
        <f>IF($A24="","",Q24+'Beállítások'!$E$21/1000)</f>
        <v/>
      </c>
      <c r="CA24">
        <f>IF($A24="","",R24+'Beállítások'!$E$22/1000)</f>
        <v/>
      </c>
      <c r="CB24">
        <f>IF($A24="","",S24+'Beállítások'!$E$23/1000)</f>
        <v/>
      </c>
      <c r="CC24">
        <f>IF($A24="","",T24+'Beállítások'!$E$24/1000)</f>
        <v/>
      </c>
      <c r="CD24">
        <f>IF($A24="","",U24+'Beállítások'!$E$25/1000)</f>
        <v/>
      </c>
      <c r="CE24">
        <f>IF($A24="","",V24+'Beállítások'!$E$26/1000)</f>
        <v/>
      </c>
      <c r="CF24">
        <f>IF($A24="","",W24+'Beállítások'!$E$27/1000)</f>
        <v/>
      </c>
      <c r="CG24">
        <f>IF($A24="","",X24+'Beállítások'!$E$28/1000)</f>
        <v/>
      </c>
      <c r="CH24">
        <f>IF($A24="","",Y24+'Beállítások'!$E$29/1000)</f>
        <v/>
      </c>
      <c r="CI24">
        <f>IF($A24="","",Z24+'Beállítások'!$E$30/1000)</f>
        <v/>
      </c>
      <c r="CJ24">
        <f>IF($A24="","",AA24+'Beállítások'!$E$31/1000)</f>
        <v/>
      </c>
      <c r="CK24">
        <f>IF($A24="","",AB24+'Beállítások'!$E$32/1000)</f>
        <v/>
      </c>
      <c r="CL24">
        <f>IF($A24="","",AC24+'Beállítások'!$E$33/1000)</f>
        <v/>
      </c>
      <c r="CM24">
        <f>IF($A24="","",AD24+'Beállítások'!$E$34/1000)</f>
        <v/>
      </c>
      <c r="CN24">
        <f>IF($A24="","",AE24+'Beállítások'!$E$35/1000)</f>
        <v/>
      </c>
      <c r="CO24">
        <f>IF($A24="","",AF24+'Beállítások'!$E$36/1000)</f>
        <v/>
      </c>
      <c r="CP24">
        <f>IF($A24="","",AG24+'Beállítások'!$E$37/1000)</f>
        <v/>
      </c>
      <c r="CQ24">
        <f>IF($A24="","",AH24+'Beállítások'!$E$38/1000)</f>
        <v/>
      </c>
      <c r="CR24">
        <f>IF($A24="","",'Beállítások'!$E$6*(10-B24))</f>
        <v/>
      </c>
      <c r="CS24">
        <f>IF($A24="","",'Beállítások'!$E$7*(10-C24))</f>
        <v/>
      </c>
      <c r="CT24">
        <f>IF($A24="","",'Beállítások'!$E$8*(10-D24))</f>
        <v/>
      </c>
      <c r="CU24">
        <f>IF($A24="","",'Beállítások'!$E$9*(10-E24))</f>
        <v/>
      </c>
      <c r="CV24">
        <f>IF($A24="","",'Beállítások'!$E$10*(10-F24))</f>
        <v/>
      </c>
      <c r="CW24">
        <f>IF($A24="","",'Beállítások'!$E$11*(10-G24))</f>
        <v/>
      </c>
      <c r="CX24">
        <f>IF($A24="","",'Beállítások'!$E$12*(10-H24))</f>
        <v/>
      </c>
      <c r="CY24">
        <f>IF($A24="","",'Beállítások'!$E$13*(10-I24))</f>
        <v/>
      </c>
      <c r="CZ24">
        <f>IF($A24="","",'Beállítások'!$E$14*(10-J24))</f>
        <v/>
      </c>
      <c r="DA24">
        <f>IF($A24="","",'Beállítások'!$E$15*(10-K24))</f>
        <v/>
      </c>
      <c r="DB24">
        <f>IF($A24="","",'Beállítások'!$E$16*(10-L24))</f>
        <v/>
      </c>
      <c r="DC24">
        <f>IF($A24="","",'Beállítások'!$E$17*(10-M24))</f>
        <v/>
      </c>
      <c r="DD24">
        <f>IF($A24="","",'Beállítások'!$E$18*(10-N24))</f>
        <v/>
      </c>
      <c r="DE24">
        <f>IF($A24="","",'Beállítások'!$E$19*(10-O24))</f>
        <v/>
      </c>
      <c r="DF24">
        <f>IF($A24="","",'Beállítások'!$E$20*(10-P24))</f>
        <v/>
      </c>
      <c r="DG24">
        <f>IF($A24="","",'Beállítások'!$E$21*(10-Q24))</f>
        <v/>
      </c>
      <c r="DH24">
        <f>IF($A24="","",'Beállítások'!$E$22*(10-R24))</f>
        <v/>
      </c>
      <c r="DI24">
        <f>IF($A24="","",'Beállítások'!$E$23*(10-S24))</f>
        <v/>
      </c>
      <c r="DJ24">
        <f>IF($A24="","",'Beállítások'!$E$24*(10-T24))</f>
        <v/>
      </c>
      <c r="DK24">
        <f>IF($A24="","",'Beállítások'!$E$25*(10-U24))</f>
        <v/>
      </c>
      <c r="DL24">
        <f>IF($A24="","",'Beállítások'!$E$26*(10-V24))</f>
        <v/>
      </c>
      <c r="DM24">
        <f>IF($A24="","",'Beállítások'!$E$27*(10-W24))</f>
        <v/>
      </c>
      <c r="DN24">
        <f>IF($A24="","",'Beállítások'!$E$28*(10-X24))</f>
        <v/>
      </c>
      <c r="DO24">
        <f>IF($A24="","",'Beállítások'!$E$29*(10-Y24))</f>
        <v/>
      </c>
      <c r="DP24">
        <f>IF($A24="","",'Beállítások'!$E$30*(10-Z24))</f>
        <v/>
      </c>
      <c r="DQ24">
        <f>IF($A24="","",'Beállítások'!$E$31*(10-AA24))</f>
        <v/>
      </c>
      <c r="DR24">
        <f>IF($A24="","",'Beállítások'!$E$32*(10-AB24))</f>
        <v/>
      </c>
      <c r="DS24">
        <f>IF($A24="","",'Beállítások'!$E$33*(10-AC24))</f>
        <v/>
      </c>
      <c r="DT24">
        <f>IF($A24="","",'Beállítások'!$E$34*(10-AD24))</f>
        <v/>
      </c>
      <c r="DU24">
        <f>IF($A24="","",'Beállítások'!$E$35*(10-AE24))</f>
        <v/>
      </c>
      <c r="DV24">
        <f>IF($A24="","",'Beállítások'!$E$36*(10-AF24))</f>
        <v/>
      </c>
      <c r="DW24">
        <f>IF($A24="","",'Beállítások'!$E$37*(10-AG24))</f>
        <v/>
      </c>
      <c r="DX24">
        <f>IF($A24="","",'Beállítások'!$E$38*(10-AH24))</f>
        <v/>
      </c>
      <c r="DY24">
        <f>IF($A24="","",AM24-ROW()/100000)</f>
        <v/>
      </c>
    </row>
    <row r="25">
      <c r="A25">
        <f>IF('Ügyfelek'!A25="","",'Ügyfelek'!A25)</f>
        <v/>
      </c>
      <c r="B25">
        <f>IF($A25="","",IF('Ügyfelek'!B25="",'Beállítások'!$B$84,IFERROR(VLOOKUP(TRIM('Ügyfelek'!B25),'Beállítások'!$A$51:$B$59,2,FALSE),'Beállítások'!$B$84)))</f>
        <v/>
      </c>
      <c r="C25">
        <f>IF($A25="","",IF('Ügyfelek'!C25="",'Beállítások'!$B$84,MIN(10,MAX(1,ROUND('Ügyfelek'!C25,0)))))</f>
        <v/>
      </c>
      <c r="D25">
        <f>IF($A25="","",IF('Ügyfelek'!D25="",'Beállítások'!$B$84,MIN(10,MAX(1,ROUND('Ügyfelek'!D25,0)))))</f>
        <v/>
      </c>
      <c r="E25">
        <f>IF($A25="","",IF('Ügyfelek'!E25="",'Beállítások'!$B$84,MIN(10,MAX(1,ROUND('Ügyfelek'!E25,0)))))</f>
        <v/>
      </c>
      <c r="F25">
        <f>IF($A25="","",IF('Ügyfelek'!F25="",'Beállítások'!$B$84,MIN(10,MAX(1,ROUND('Ügyfelek'!F25,0)))))</f>
        <v/>
      </c>
      <c r="G25">
        <f>IF($A25="","",IF('Ügyfelek'!G25="",'Beállítások'!$B$84,MIN(10,MAX(1,ROUND('Ügyfelek'!G25,0)))))</f>
        <v/>
      </c>
      <c r="H25">
        <f>IF($A25="","",IF('Ügyfelek'!H25="",'Beállítások'!$B$84,MIN(10,MAX(1,ROUND('Ügyfelek'!H25,0)))))</f>
        <v/>
      </c>
      <c r="I25">
        <f>IF($A25="","",IF('Ügyfelek'!I25="",'Beállítások'!$B$84,MIN(10,MAX(1,ROUND('Ügyfelek'!I25,0)))))</f>
        <v/>
      </c>
      <c r="J25">
        <f>IF($A25="","",IF('Ügyfelek'!J25="",'Beállítások'!$B$84,MIN(10,MAX(1,ROUND('Ügyfelek'!J25,0)))))</f>
        <v/>
      </c>
      <c r="K25">
        <f>IF($A25="","",IF('Ügyfelek'!K25="",'Beállítások'!$B$84,MIN(10,MAX(1,ROUND('Ügyfelek'!K25,0)))))</f>
        <v/>
      </c>
      <c r="L25">
        <f>IF($A25="","",IF('Ügyfelek'!L25="",'Beállítások'!$B$84,MIN(10,MAX(1,ROUND('Ügyfelek'!L25,0)))))</f>
        <v/>
      </c>
      <c r="M25">
        <f>IF($A25="","",IF('Ügyfelek'!M25="",'Beállítások'!$B$84,MIN(10,MAX(1,ROUND('Ügyfelek'!M25,0)))))</f>
        <v/>
      </c>
      <c r="N25">
        <f>IF($A25="","",IF('Ügyfelek'!N25="",'Beállítások'!$B$84,MIN(10,MAX(1,ROUND('Ügyfelek'!N25,0)))))</f>
        <v/>
      </c>
      <c r="O25">
        <f>IF($A25="","",IF('Ügyfelek'!O25="",'Beállítások'!$B$84,MIN(10,MAX(1,ROUND('Ügyfelek'!O25,0)))))</f>
        <v/>
      </c>
      <c r="P25">
        <f>IF($A25="","",IF('Ügyfelek'!P25="",'Beállítások'!$B$84,MIN(10,MAX(1,ROUND('Ügyfelek'!P25,0)))))</f>
        <v/>
      </c>
      <c r="Q25">
        <f>IF($A25="","",IF('Ügyfelek'!Q25="",'Beállítások'!$B$84,MIN(10,MAX(1,ROUND('Ügyfelek'!Q25,0)))))</f>
        <v/>
      </c>
      <c r="R25">
        <f>IF($A25="","",IF('Ügyfelek'!R25="",'Beállítások'!$B$84,MIN(10,MAX(1,ROUND('Ügyfelek'!R25,0)))))</f>
        <v/>
      </c>
      <c r="S25">
        <f>IF($A25="","",IF('Ügyfelek'!S25="",'Beállítások'!$B$84,MIN(10,MAX(1,ROUND('Ügyfelek'!S25,0)))))</f>
        <v/>
      </c>
      <c r="T25">
        <f>IF($A25="","",IF('Ügyfelek'!T25="",'Beállítások'!$B$84,VLOOKUP(MAX('Ügyfelek'!T25,'Beállítások'!$H$7),'Beállítások'!$H$7:$I$12,2,TRUE)))</f>
        <v/>
      </c>
      <c r="U25">
        <f>IF($A25="","",IF('Ügyfelek'!U25="",'Beállítások'!$B$84,VLOOKUP(MAX('Ügyfelek'!U25,'Beállítások'!$K$7),'Beállítások'!$K$7:$L$12,2,TRUE)))</f>
        <v/>
      </c>
      <c r="V25">
        <f>IF($A25="","",IF('Ügyfelek'!V25="",'Beállítások'!$B$84,MIN(10,MAX(1,ROUND('Ügyfelek'!V25,0)))))</f>
        <v/>
      </c>
      <c r="W25">
        <f>IF($A25="","",IF('Ügyfelek'!W25="",'Beállítások'!$B$84,VLOOKUP(MAX('Ügyfelek'!W25,'Beállítások'!$N$7),'Beállítások'!$N$7:$O$12,2,TRUE)))</f>
        <v/>
      </c>
      <c r="X25">
        <f>IF($A25="","",IF('Ügyfelek'!X25="",'Beállítások'!$B$84,MIN(10,MAX(1,ROUND('Ügyfelek'!X25,0)))))</f>
        <v/>
      </c>
      <c r="Y25">
        <f>IF($A25="","",IF('Ügyfelek'!Y25="",'Beállítások'!$B$84,IFERROR(VLOOKUP(TRIM('Ügyfelek'!Y25),'Beállítások'!$A$63:$B$69,2,FALSE),'Beállítások'!$B$84)))</f>
        <v/>
      </c>
      <c r="Z25">
        <f>IF($A25="","",IF('Ügyfelek'!Z25="",'Beállítások'!$B$84,VLOOKUP(MAX('Ügyfelek'!Z25,'Beállítások'!$Q$7),'Beállítások'!$Q$7:$R$12,2,TRUE)))</f>
        <v/>
      </c>
      <c r="AA25">
        <f>IF($A25="","",IF('Ügyfelek'!AA25="",'Beállítások'!$B$84,VLOOKUP(MAX('Ügyfelek'!AA25,'Beállítások'!$T$7),'Beállítások'!$T$7:$U$12,2,TRUE)))</f>
        <v/>
      </c>
      <c r="AB25">
        <f>IF($A25="","",IF('Ügyfelek'!AB25="",'Beállítások'!$B$84,MIN(10,MAX(1,ROUND('Ügyfelek'!AB25,0)))))</f>
        <v/>
      </c>
      <c r="AC25">
        <f>IF($A25="","",IF('Ügyfelek'!AC25="",'Beállítások'!$B$84,MIN(10,MAX(1,ROUND('Ügyfelek'!AC25,0)))))</f>
        <v/>
      </c>
      <c r="AD25">
        <f>IF($A25="","",IF('Ügyfelek'!AD25="",'Beállítások'!$B$84,MIN(10,MAX(1,ROUND('Ügyfelek'!AD25,0)))))</f>
        <v/>
      </c>
      <c r="AE25">
        <f>IF($A25="","",IF('Ügyfelek'!AE25="",'Beállítások'!$B$84,MIN(10,MAX(1,ROUND('Ügyfelek'!AE25,0)))))</f>
        <v/>
      </c>
      <c r="AF25">
        <f>IF($A25="","",IF('Ügyfelek'!AF25="",'Beállítások'!$B$84,MIN(10,MAX(1,ROUND('Ügyfelek'!AF25,0)))))</f>
        <v/>
      </c>
      <c r="AG25">
        <f>IF($A25="","",IF('Ügyfelek'!AG25="",'Beállítások'!$B$84,MIN(10,MAX(1,ROUND('Ügyfelek'!AG25,0)))))</f>
        <v/>
      </c>
      <c r="AH25">
        <f>IF($A25="","",IF('Ügyfelek'!AH25="",'Beállítások'!$B$84,IFERROR(VLOOKUP(TRIM('Ügyfelek'!AH25),'Beállítások'!$A$73:$B$79,2,FALSE),'Beállítások'!$B$84)))</f>
        <v/>
      </c>
      <c r="AI25" s="23">
        <f>IF($A25="","",ROUND(100*('Beállítások'!$E$6*(B25-1)+'Beállítások'!$E$7*(C25-1))/(9*'Beállítások'!$B$43),1))</f>
        <v/>
      </c>
      <c r="AJ25" s="23">
        <f>IF($A25="","",ROUND(100*('Beállítások'!$E$8*(D25-1)+'Beállítások'!$E$9*(E25-1)+'Beállítások'!$E$10*(F25-1)+'Beállítások'!$E$11*(G25-1)+'Beállítások'!$E$12*(H25-1)+'Beállítások'!$E$13*(I25-1)+'Beállítások'!$E$14*(J25-1)+'Beállítások'!$E$15*(K25-1)+'Beállítások'!$E$16*(L25-1)+'Beállítások'!$E$17*(M25-1)+'Beállítások'!$E$18*(N25-1)+'Beállítások'!$E$19*(O25-1)+'Beállítások'!$E$20*(P25-1)+'Beállítások'!$E$21*(Q25-1)+'Beállítások'!$E$22*(R25-1))/(9*'Beállítások'!$B$44),1))</f>
        <v/>
      </c>
      <c r="AK25" s="23">
        <f>IF($A25="","",ROUND(100*('Beállítások'!$E$23*(S25-1)+'Beállítások'!$E$24*(T25-1)+'Beállítások'!$E$25*(U25-1)+'Beállítások'!$E$26*(V25-1)+'Beállítások'!$E$27*(W25-1)+'Beállítások'!$E$28*(X25-1)+'Beállítások'!$E$29*(Y25-1))/(9*'Beállítások'!$B$45),1))</f>
        <v/>
      </c>
      <c r="AL25" s="23">
        <f>IF($A25="","",ROUND(100*('Beállítások'!$E$30*(Z25-1)+'Beállítások'!$E$31*(AA25-1)+'Beállítások'!$E$32*(AB25-1)+'Beállítások'!$E$33*(AC25-1)+'Beállítások'!$E$34*(AD25-1)+'Beállítások'!$E$35*(AE25-1)+'Beállítások'!$E$36*(AF25-1)+'Beállítások'!$E$37*(AG25-1)+'Beállítások'!$E$38*(AH25-1))/(9*'Beállítások'!$B$46),1))</f>
        <v/>
      </c>
      <c r="AM25" s="23">
        <f>IF($A25="","",ROUND(100*('Beállítások'!$E$6*(B25-1)+'Beállítások'!$E$7*(C25-1)+'Beállítások'!$E$8*(D25-1)+'Beállítások'!$E$9*(E25-1)+'Beállítások'!$E$10*(F25-1)+'Beállítások'!$E$11*(G25-1)+'Beállítások'!$E$12*(H25-1)+'Beállítások'!$E$13*(I25-1)+'Beállítások'!$E$14*(J25-1)+'Beállítások'!$E$15*(K25-1)+'Beállítások'!$E$16*(L25-1)+'Beállítások'!$E$17*(M25-1)+'Beállítások'!$E$18*(N25-1)+'Beállítások'!$E$19*(O25-1)+'Beállítások'!$E$20*(P25-1)+'Beállítások'!$E$21*(Q25-1)+'Beállítások'!$E$22*(R25-1)+'Beállítások'!$E$23*(S25-1)+'Beállítások'!$E$24*(T25-1)+'Beállítások'!$E$25*(U25-1)+'Beállítások'!$E$26*(V25-1)+'Beállítások'!$E$27*(W25-1)+'Beállítások'!$E$28*(X25-1)+'Beállítások'!$E$29*(Y25-1)+'Beállítások'!$E$30*(Z25-1)+'Beállítások'!$E$31*(AA25-1)+'Beállítások'!$E$32*(AB25-1)+'Beállítások'!$E$33*(AC25-1)+'Beállítások'!$E$34*(AD25-1)+'Beállítások'!$E$35*(AE25-1)+'Beállítások'!$E$36*(AF25-1)+'Beállítások'!$E$37*(AG25-1)+'Beállítások'!$E$38*(AH25-1))/(9*'Beállítások'!$E$39),1))</f>
        <v/>
      </c>
      <c r="AN25" s="23">
        <f>IF($A25="","",ROUND(100*('Beállítások'!$E$8*(D25-1)+'Beállítások'!$E$9*(E25-1)+'Beállítások'!$E$10*(F25-1)+'Beállítások'!$E$11*(G25-1)+'Beállítások'!$E$12*(H25-1)+'Beállítások'!$E$13*(I25-1)+'Beállítások'!$E$14*(J25-1)+'Beállítások'!$E$15*(K25-1)+'Beállítások'!$E$16*(L25-1)+'Beállítások'!$E$17*(M25-1)+'Beállítások'!$E$18*(N25-1)+'Beállítások'!$E$19*(O25-1)+'Beállítások'!$E$20*(P25-1)+'Beállítások'!$E$21*(Q25-1)+'Beállítások'!$E$22*(R25-1)+'Beállítások'!$E$23*(S25-1)+'Beállítások'!$E$24*(T25-1)+'Beállítások'!$E$25*(U25-1)+'Beállítások'!$E$26*(V25-1)+'Beállítások'!$E$27*(W25-1)+'Beállítások'!$E$28*(X25-1)+'Beállítások'!$E$29*(Y25-1))/(9*('Beállítások'!$B$44+'Beállítások'!$B$45)),1))</f>
        <v/>
      </c>
      <c r="AO25" s="24">
        <f>IF($A25="","",RANK(AM25,$AM$2:$AM$201))</f>
        <v/>
      </c>
      <c r="AP25">
        <f>IF($A25="","",IF(OR(AND('Ügyfelek'!B25&lt;&gt;"",B25&lt;='Beállítások'!$B$85),AND('Ügyfelek'!C25&lt;&gt;"",C25&lt;='Beállítások'!$B$86)),"Igen","Nem"))</f>
        <v/>
      </c>
      <c r="AQ25" s="24">
        <f>IF($A25="","",IF(AP25="Igen",5,IF(AN25&gt;='Beállítások'!$C$108,1,IF(AN25&gt;='Beállítások'!$C$109,2,IF(AN25&gt;='Beállítások'!$C$110,3,IF(AND(AN25&gt;='Beállítások'!$B$87,AI25&gt;='Beállítások'!$B$88,AL25&gt;='Beállítások'!$B$89),4,5))))))</f>
        <v/>
      </c>
      <c r="AR25">
        <f>IF($A25="","",INDEX('Beállítások'!$B$108:$B$112,AQ25))</f>
        <v/>
      </c>
      <c r="AS25">
        <f>IF($A25="","",IF(AQ25=5,"Elutasítjuk",IF(AND(AQ25=4,COUNTIFS('Eredmény'!$AQ$2:$AQ$201,4,'Eredmény'!$DY$2:$DY$201,"&gt;"&amp;DY25)&gt;='Beállítások'!$B$90),"Várólista (a 4-es hely foglalt)","Elfogadjuk")))</f>
        <v/>
      </c>
      <c r="AT25">
        <f>IF($A25="","",INDEX('Beállítások'!$F$108:$F$112,AQ25))</f>
        <v/>
      </c>
      <c r="AU25">
        <f>IF($A25="","",INDEX('Beállítások'!$B$6:$B$38,MATCH(MAX(BK25:CQ25),BK25:CQ25,0)))</f>
        <v/>
      </c>
      <c r="AV25">
        <f>IF($A25="","",IF(MAX(CR25:DX25)=0,"—",INDEX('Beállítások'!$B$6:$B$38,MATCH(MAX(CR25:DX25),CR25:DX25,0))))</f>
        <v/>
      </c>
      <c r="AW25" s="10">
        <f>IF($A25="","",'Beállítások'!$B$94*(TRIM('Ügyfelek'!AI25)="igen")+'Beállítások'!$B$95*(TRIM('Ügyfelek'!AJ25)="igen")+'Beállítások'!$B$96*N('Ügyfelek'!AK25)+'Beállítások'!$B$93*N('Ügyfelek'!AL25))</f>
        <v/>
      </c>
      <c r="AX25" s="25">
        <f>IF(OR($A25="",AQ25=5),"",INDEX('Beállítások'!$D$108:$D$112,AQ25))</f>
        <v/>
      </c>
      <c r="AY25" s="10">
        <f>IF($A25="","",N('Ügyfelek'!U25)*'Beállítások'!$B$98)</f>
        <v/>
      </c>
      <c r="AZ25" s="10">
        <f>IF(OR($A25="",AQ25=5),"",CEILING(ROUND(MAX('Beállítások'!$B$97,AW25*AX25,AY25),2),'Beállítások'!$B$99))</f>
        <v/>
      </c>
      <c r="BA25">
        <f>IF($A25="","",IF(AQ25=5,"Elutasítva",IF(MAX('Beállítások'!$B$97,AW25*AX25,AY25)=AW25*AX25,"Munkaigény × státuszszorzó",IF(MAX('Beállítások'!$B$97,AW25*AX25,AY25)=AY25,"Hirdetési keret arányában","Minimumdíj"))))</f>
        <v/>
      </c>
      <c r="BB25" s="10">
        <f>IF(OR($A25="",'Ügyfelek'!AM25=""),"",'Ügyfelek'!AM25)</f>
        <v/>
      </c>
      <c r="BC25" s="10">
        <f>IF(OR(BB25="",AZ25=""),"",AZ25-BB25)</f>
        <v/>
      </c>
      <c r="BD25" s="18">
        <f>IF(OR(BB25="",AZ25="",BB25=0),"",BC25/BB25)</f>
        <v/>
      </c>
      <c r="BE25">
        <f>IF(OR($A25="",AQ25=5),"",IF(AND(INDEX('Beállítások'!$E$108:$E$112,AQ25)&gt;0,Y25&gt;='Beállítások'!$B$91),"Igen","Nem"))</f>
        <v/>
      </c>
      <c r="BF25" s="10">
        <f>IF(BE25="Igen",CEILING(ROUND(AZ25*(1-'Beállítások'!$B$92),2),'Beállítások'!$B$99),"")</f>
        <v/>
      </c>
      <c r="BG25" s="20">
        <f>IF(BE25="Igen",INDEX('Beállítások'!$E$108:$E$112,AQ25),"")</f>
        <v/>
      </c>
      <c r="BH25" s="10">
        <f>IF(OR(BE25&lt;&gt;"Igen",'Ügyfelek'!AN25=""),"",'Ügyfelek'!AN25*BG25)</f>
        <v/>
      </c>
      <c r="BI25" s="24">
        <f>IF($A25="","",('Ügyfelek'!B25="")+('Ügyfelek'!C25="")+('Ügyfelek'!D25="")+('Ügyfelek'!E25="")+('Ügyfelek'!F25="")+('Ügyfelek'!G25="")+('Ügyfelek'!H25="")+('Ügyfelek'!I25="")+('Ügyfelek'!J25="")+('Ügyfelek'!K25="")+('Ügyfelek'!L25="")+('Ügyfelek'!M25="")+('Ügyfelek'!N25="")+('Ügyfelek'!O25="")+('Ügyfelek'!P25="")+('Ügyfelek'!Q25="")+('Ügyfelek'!R25="")+('Ügyfelek'!S25="")+('Ügyfelek'!T25="")+('Ügyfelek'!U25="")+('Ügyfelek'!V25="")+('Ügyfelek'!W25="")+('Ügyfelek'!X25="")+('Ügyfelek'!Y25="")+('Ügyfelek'!Z25="")+('Ügyfelek'!AA25="")+('Ügyfelek'!AB25="")+('Ügyfelek'!AC25="")+('Ügyfelek'!AD25="")+('Ügyfelek'!AE25="")+('Ügyfelek'!AF25="")+('Ügyfelek'!AG25="")+('Ügyfelek'!AH25=""))</f>
        <v/>
      </c>
      <c r="BK25">
        <f>IF($A25="","",B25+'Beállítások'!$E$6/1000)</f>
        <v/>
      </c>
      <c r="BL25">
        <f>IF($A25="","",C25+'Beállítások'!$E$7/1000)</f>
        <v/>
      </c>
      <c r="BM25">
        <f>IF($A25="","",D25+'Beállítások'!$E$8/1000)</f>
        <v/>
      </c>
      <c r="BN25">
        <f>IF($A25="","",E25+'Beállítások'!$E$9/1000)</f>
        <v/>
      </c>
      <c r="BO25">
        <f>IF($A25="","",F25+'Beállítások'!$E$10/1000)</f>
        <v/>
      </c>
      <c r="BP25">
        <f>IF($A25="","",G25+'Beállítások'!$E$11/1000)</f>
        <v/>
      </c>
      <c r="BQ25">
        <f>IF($A25="","",H25+'Beállítások'!$E$12/1000)</f>
        <v/>
      </c>
      <c r="BR25">
        <f>IF($A25="","",I25+'Beállítások'!$E$13/1000)</f>
        <v/>
      </c>
      <c r="BS25">
        <f>IF($A25="","",J25+'Beállítások'!$E$14/1000)</f>
        <v/>
      </c>
      <c r="BT25">
        <f>IF($A25="","",K25+'Beállítások'!$E$15/1000)</f>
        <v/>
      </c>
      <c r="BU25">
        <f>IF($A25="","",L25+'Beállítások'!$E$16/1000)</f>
        <v/>
      </c>
      <c r="BV25">
        <f>IF($A25="","",M25+'Beállítások'!$E$17/1000)</f>
        <v/>
      </c>
      <c r="BW25">
        <f>IF($A25="","",N25+'Beállítások'!$E$18/1000)</f>
        <v/>
      </c>
      <c r="BX25">
        <f>IF($A25="","",O25+'Beállítások'!$E$19/1000)</f>
        <v/>
      </c>
      <c r="BY25">
        <f>IF($A25="","",P25+'Beállítások'!$E$20/1000)</f>
        <v/>
      </c>
      <c r="BZ25">
        <f>IF($A25="","",Q25+'Beállítások'!$E$21/1000)</f>
        <v/>
      </c>
      <c r="CA25">
        <f>IF($A25="","",R25+'Beállítások'!$E$22/1000)</f>
        <v/>
      </c>
      <c r="CB25">
        <f>IF($A25="","",S25+'Beállítások'!$E$23/1000)</f>
        <v/>
      </c>
      <c r="CC25">
        <f>IF($A25="","",T25+'Beállítások'!$E$24/1000)</f>
        <v/>
      </c>
      <c r="CD25">
        <f>IF($A25="","",U25+'Beállítások'!$E$25/1000)</f>
        <v/>
      </c>
      <c r="CE25">
        <f>IF($A25="","",V25+'Beállítások'!$E$26/1000)</f>
        <v/>
      </c>
      <c r="CF25">
        <f>IF($A25="","",W25+'Beállítások'!$E$27/1000)</f>
        <v/>
      </c>
      <c r="CG25">
        <f>IF($A25="","",X25+'Beállítások'!$E$28/1000)</f>
        <v/>
      </c>
      <c r="CH25">
        <f>IF($A25="","",Y25+'Beállítások'!$E$29/1000)</f>
        <v/>
      </c>
      <c r="CI25">
        <f>IF($A25="","",Z25+'Beállítások'!$E$30/1000)</f>
        <v/>
      </c>
      <c r="CJ25">
        <f>IF($A25="","",AA25+'Beállítások'!$E$31/1000)</f>
        <v/>
      </c>
      <c r="CK25">
        <f>IF($A25="","",AB25+'Beállítások'!$E$32/1000)</f>
        <v/>
      </c>
      <c r="CL25">
        <f>IF($A25="","",AC25+'Beállítások'!$E$33/1000)</f>
        <v/>
      </c>
      <c r="CM25">
        <f>IF($A25="","",AD25+'Beállítások'!$E$34/1000)</f>
        <v/>
      </c>
      <c r="CN25">
        <f>IF($A25="","",AE25+'Beállítások'!$E$35/1000)</f>
        <v/>
      </c>
      <c r="CO25">
        <f>IF($A25="","",AF25+'Beállítások'!$E$36/1000)</f>
        <v/>
      </c>
      <c r="CP25">
        <f>IF($A25="","",AG25+'Beállítások'!$E$37/1000)</f>
        <v/>
      </c>
      <c r="CQ25">
        <f>IF($A25="","",AH25+'Beállítások'!$E$38/1000)</f>
        <v/>
      </c>
      <c r="CR25">
        <f>IF($A25="","",'Beállítások'!$E$6*(10-B25))</f>
        <v/>
      </c>
      <c r="CS25">
        <f>IF($A25="","",'Beállítások'!$E$7*(10-C25))</f>
        <v/>
      </c>
      <c r="CT25">
        <f>IF($A25="","",'Beállítások'!$E$8*(10-D25))</f>
        <v/>
      </c>
      <c r="CU25">
        <f>IF($A25="","",'Beállítások'!$E$9*(10-E25))</f>
        <v/>
      </c>
      <c r="CV25">
        <f>IF($A25="","",'Beállítások'!$E$10*(10-F25))</f>
        <v/>
      </c>
      <c r="CW25">
        <f>IF($A25="","",'Beállítások'!$E$11*(10-G25))</f>
        <v/>
      </c>
      <c r="CX25">
        <f>IF($A25="","",'Beállítások'!$E$12*(10-H25))</f>
        <v/>
      </c>
      <c r="CY25">
        <f>IF($A25="","",'Beállítások'!$E$13*(10-I25))</f>
        <v/>
      </c>
      <c r="CZ25">
        <f>IF($A25="","",'Beállítások'!$E$14*(10-J25))</f>
        <v/>
      </c>
      <c r="DA25">
        <f>IF($A25="","",'Beállítások'!$E$15*(10-K25))</f>
        <v/>
      </c>
      <c r="DB25">
        <f>IF($A25="","",'Beállítások'!$E$16*(10-L25))</f>
        <v/>
      </c>
      <c r="DC25">
        <f>IF($A25="","",'Beállítások'!$E$17*(10-M25))</f>
        <v/>
      </c>
      <c r="DD25">
        <f>IF($A25="","",'Beállítások'!$E$18*(10-N25))</f>
        <v/>
      </c>
      <c r="DE25">
        <f>IF($A25="","",'Beállítások'!$E$19*(10-O25))</f>
        <v/>
      </c>
      <c r="DF25">
        <f>IF($A25="","",'Beállítások'!$E$20*(10-P25))</f>
        <v/>
      </c>
      <c r="DG25">
        <f>IF($A25="","",'Beállítások'!$E$21*(10-Q25))</f>
        <v/>
      </c>
      <c r="DH25">
        <f>IF($A25="","",'Beállítások'!$E$22*(10-R25))</f>
        <v/>
      </c>
      <c r="DI25">
        <f>IF($A25="","",'Beállítások'!$E$23*(10-S25))</f>
        <v/>
      </c>
      <c r="DJ25">
        <f>IF($A25="","",'Beállítások'!$E$24*(10-T25))</f>
        <v/>
      </c>
      <c r="DK25">
        <f>IF($A25="","",'Beállítások'!$E$25*(10-U25))</f>
        <v/>
      </c>
      <c r="DL25">
        <f>IF($A25="","",'Beállítások'!$E$26*(10-V25))</f>
        <v/>
      </c>
      <c r="DM25">
        <f>IF($A25="","",'Beállítások'!$E$27*(10-W25))</f>
        <v/>
      </c>
      <c r="DN25">
        <f>IF($A25="","",'Beállítások'!$E$28*(10-X25))</f>
        <v/>
      </c>
      <c r="DO25">
        <f>IF($A25="","",'Beállítások'!$E$29*(10-Y25))</f>
        <v/>
      </c>
      <c r="DP25">
        <f>IF($A25="","",'Beállítások'!$E$30*(10-Z25))</f>
        <v/>
      </c>
      <c r="DQ25">
        <f>IF($A25="","",'Beállítások'!$E$31*(10-AA25))</f>
        <v/>
      </c>
      <c r="DR25">
        <f>IF($A25="","",'Beállítások'!$E$32*(10-AB25))</f>
        <v/>
      </c>
      <c r="DS25">
        <f>IF($A25="","",'Beállítások'!$E$33*(10-AC25))</f>
        <v/>
      </c>
      <c r="DT25">
        <f>IF($A25="","",'Beállítások'!$E$34*(10-AD25))</f>
        <v/>
      </c>
      <c r="DU25">
        <f>IF($A25="","",'Beállítások'!$E$35*(10-AE25))</f>
        <v/>
      </c>
      <c r="DV25">
        <f>IF($A25="","",'Beállítások'!$E$36*(10-AF25))</f>
        <v/>
      </c>
      <c r="DW25">
        <f>IF($A25="","",'Beállítások'!$E$37*(10-AG25))</f>
        <v/>
      </c>
      <c r="DX25">
        <f>IF($A25="","",'Beállítások'!$E$38*(10-AH25))</f>
        <v/>
      </c>
      <c r="DY25">
        <f>IF($A25="","",AM25-ROW()/100000)</f>
        <v/>
      </c>
    </row>
    <row r="26">
      <c r="A26">
        <f>IF('Ügyfelek'!A26="","",'Ügyfelek'!A26)</f>
        <v/>
      </c>
      <c r="B26">
        <f>IF($A26="","",IF('Ügyfelek'!B26="",'Beállítások'!$B$84,IFERROR(VLOOKUP(TRIM('Ügyfelek'!B26),'Beállítások'!$A$51:$B$59,2,FALSE),'Beállítások'!$B$84)))</f>
        <v/>
      </c>
      <c r="C26">
        <f>IF($A26="","",IF('Ügyfelek'!C26="",'Beállítások'!$B$84,MIN(10,MAX(1,ROUND('Ügyfelek'!C26,0)))))</f>
        <v/>
      </c>
      <c r="D26">
        <f>IF($A26="","",IF('Ügyfelek'!D26="",'Beállítások'!$B$84,MIN(10,MAX(1,ROUND('Ügyfelek'!D26,0)))))</f>
        <v/>
      </c>
      <c r="E26">
        <f>IF($A26="","",IF('Ügyfelek'!E26="",'Beállítások'!$B$84,MIN(10,MAX(1,ROUND('Ügyfelek'!E26,0)))))</f>
        <v/>
      </c>
      <c r="F26">
        <f>IF($A26="","",IF('Ügyfelek'!F26="",'Beállítások'!$B$84,MIN(10,MAX(1,ROUND('Ügyfelek'!F26,0)))))</f>
        <v/>
      </c>
      <c r="G26">
        <f>IF($A26="","",IF('Ügyfelek'!G26="",'Beállítások'!$B$84,MIN(10,MAX(1,ROUND('Ügyfelek'!G26,0)))))</f>
        <v/>
      </c>
      <c r="H26">
        <f>IF($A26="","",IF('Ügyfelek'!H26="",'Beállítások'!$B$84,MIN(10,MAX(1,ROUND('Ügyfelek'!H26,0)))))</f>
        <v/>
      </c>
      <c r="I26">
        <f>IF($A26="","",IF('Ügyfelek'!I26="",'Beállítások'!$B$84,MIN(10,MAX(1,ROUND('Ügyfelek'!I26,0)))))</f>
        <v/>
      </c>
      <c r="J26">
        <f>IF($A26="","",IF('Ügyfelek'!J26="",'Beállítások'!$B$84,MIN(10,MAX(1,ROUND('Ügyfelek'!J26,0)))))</f>
        <v/>
      </c>
      <c r="K26">
        <f>IF($A26="","",IF('Ügyfelek'!K26="",'Beállítások'!$B$84,MIN(10,MAX(1,ROUND('Ügyfelek'!K26,0)))))</f>
        <v/>
      </c>
      <c r="L26">
        <f>IF($A26="","",IF('Ügyfelek'!L26="",'Beállítások'!$B$84,MIN(10,MAX(1,ROUND('Ügyfelek'!L26,0)))))</f>
        <v/>
      </c>
      <c r="M26">
        <f>IF($A26="","",IF('Ügyfelek'!M26="",'Beállítások'!$B$84,MIN(10,MAX(1,ROUND('Ügyfelek'!M26,0)))))</f>
        <v/>
      </c>
      <c r="N26">
        <f>IF($A26="","",IF('Ügyfelek'!N26="",'Beállítások'!$B$84,MIN(10,MAX(1,ROUND('Ügyfelek'!N26,0)))))</f>
        <v/>
      </c>
      <c r="O26">
        <f>IF($A26="","",IF('Ügyfelek'!O26="",'Beállítások'!$B$84,MIN(10,MAX(1,ROUND('Ügyfelek'!O26,0)))))</f>
        <v/>
      </c>
      <c r="P26">
        <f>IF($A26="","",IF('Ügyfelek'!P26="",'Beállítások'!$B$84,MIN(10,MAX(1,ROUND('Ügyfelek'!P26,0)))))</f>
        <v/>
      </c>
      <c r="Q26">
        <f>IF($A26="","",IF('Ügyfelek'!Q26="",'Beállítások'!$B$84,MIN(10,MAX(1,ROUND('Ügyfelek'!Q26,0)))))</f>
        <v/>
      </c>
      <c r="R26">
        <f>IF($A26="","",IF('Ügyfelek'!R26="",'Beállítások'!$B$84,MIN(10,MAX(1,ROUND('Ügyfelek'!R26,0)))))</f>
        <v/>
      </c>
      <c r="S26">
        <f>IF($A26="","",IF('Ügyfelek'!S26="",'Beállítások'!$B$84,MIN(10,MAX(1,ROUND('Ügyfelek'!S26,0)))))</f>
        <v/>
      </c>
      <c r="T26">
        <f>IF($A26="","",IF('Ügyfelek'!T26="",'Beállítások'!$B$84,VLOOKUP(MAX('Ügyfelek'!T26,'Beállítások'!$H$7),'Beállítások'!$H$7:$I$12,2,TRUE)))</f>
        <v/>
      </c>
      <c r="U26">
        <f>IF($A26="","",IF('Ügyfelek'!U26="",'Beállítások'!$B$84,VLOOKUP(MAX('Ügyfelek'!U26,'Beállítások'!$K$7),'Beállítások'!$K$7:$L$12,2,TRUE)))</f>
        <v/>
      </c>
      <c r="V26">
        <f>IF($A26="","",IF('Ügyfelek'!V26="",'Beállítások'!$B$84,MIN(10,MAX(1,ROUND('Ügyfelek'!V26,0)))))</f>
        <v/>
      </c>
      <c r="W26">
        <f>IF($A26="","",IF('Ügyfelek'!W26="",'Beállítások'!$B$84,VLOOKUP(MAX('Ügyfelek'!W26,'Beállítások'!$N$7),'Beállítások'!$N$7:$O$12,2,TRUE)))</f>
        <v/>
      </c>
      <c r="X26">
        <f>IF($A26="","",IF('Ügyfelek'!X26="",'Beállítások'!$B$84,MIN(10,MAX(1,ROUND('Ügyfelek'!X26,0)))))</f>
        <v/>
      </c>
      <c r="Y26">
        <f>IF($A26="","",IF('Ügyfelek'!Y26="",'Beállítások'!$B$84,IFERROR(VLOOKUP(TRIM('Ügyfelek'!Y26),'Beállítások'!$A$63:$B$69,2,FALSE),'Beállítások'!$B$84)))</f>
        <v/>
      </c>
      <c r="Z26">
        <f>IF($A26="","",IF('Ügyfelek'!Z26="",'Beállítások'!$B$84,VLOOKUP(MAX('Ügyfelek'!Z26,'Beállítások'!$Q$7),'Beállítások'!$Q$7:$R$12,2,TRUE)))</f>
        <v/>
      </c>
      <c r="AA26">
        <f>IF($A26="","",IF('Ügyfelek'!AA26="",'Beállítások'!$B$84,VLOOKUP(MAX('Ügyfelek'!AA26,'Beállítások'!$T$7),'Beállítások'!$T$7:$U$12,2,TRUE)))</f>
        <v/>
      </c>
      <c r="AB26">
        <f>IF($A26="","",IF('Ügyfelek'!AB26="",'Beállítások'!$B$84,MIN(10,MAX(1,ROUND('Ügyfelek'!AB26,0)))))</f>
        <v/>
      </c>
      <c r="AC26">
        <f>IF($A26="","",IF('Ügyfelek'!AC26="",'Beállítások'!$B$84,MIN(10,MAX(1,ROUND('Ügyfelek'!AC26,0)))))</f>
        <v/>
      </c>
      <c r="AD26">
        <f>IF($A26="","",IF('Ügyfelek'!AD26="",'Beállítások'!$B$84,MIN(10,MAX(1,ROUND('Ügyfelek'!AD26,0)))))</f>
        <v/>
      </c>
      <c r="AE26">
        <f>IF($A26="","",IF('Ügyfelek'!AE26="",'Beállítások'!$B$84,MIN(10,MAX(1,ROUND('Ügyfelek'!AE26,0)))))</f>
        <v/>
      </c>
      <c r="AF26">
        <f>IF($A26="","",IF('Ügyfelek'!AF26="",'Beállítások'!$B$84,MIN(10,MAX(1,ROUND('Ügyfelek'!AF26,0)))))</f>
        <v/>
      </c>
      <c r="AG26">
        <f>IF($A26="","",IF('Ügyfelek'!AG26="",'Beállítások'!$B$84,MIN(10,MAX(1,ROUND('Ügyfelek'!AG26,0)))))</f>
        <v/>
      </c>
      <c r="AH26">
        <f>IF($A26="","",IF('Ügyfelek'!AH26="",'Beállítások'!$B$84,IFERROR(VLOOKUP(TRIM('Ügyfelek'!AH26),'Beállítások'!$A$73:$B$79,2,FALSE),'Beállítások'!$B$84)))</f>
        <v/>
      </c>
      <c r="AI26" s="23">
        <f>IF($A26="","",ROUND(100*('Beállítások'!$E$6*(B26-1)+'Beállítások'!$E$7*(C26-1))/(9*'Beállítások'!$B$43),1))</f>
        <v/>
      </c>
      <c r="AJ26" s="23">
        <f>IF($A26="","",ROUND(100*('Beállítások'!$E$8*(D26-1)+'Beállítások'!$E$9*(E26-1)+'Beállítások'!$E$10*(F26-1)+'Beállítások'!$E$11*(G26-1)+'Beállítások'!$E$12*(H26-1)+'Beállítások'!$E$13*(I26-1)+'Beállítások'!$E$14*(J26-1)+'Beállítások'!$E$15*(K26-1)+'Beállítások'!$E$16*(L26-1)+'Beállítások'!$E$17*(M26-1)+'Beállítások'!$E$18*(N26-1)+'Beállítások'!$E$19*(O26-1)+'Beállítások'!$E$20*(P26-1)+'Beállítások'!$E$21*(Q26-1)+'Beállítások'!$E$22*(R26-1))/(9*'Beállítások'!$B$44),1))</f>
        <v/>
      </c>
      <c r="AK26" s="23">
        <f>IF($A26="","",ROUND(100*('Beállítások'!$E$23*(S26-1)+'Beállítások'!$E$24*(T26-1)+'Beállítások'!$E$25*(U26-1)+'Beállítások'!$E$26*(V26-1)+'Beállítások'!$E$27*(W26-1)+'Beállítások'!$E$28*(X26-1)+'Beállítások'!$E$29*(Y26-1))/(9*'Beállítások'!$B$45),1))</f>
        <v/>
      </c>
      <c r="AL26" s="23">
        <f>IF($A26="","",ROUND(100*('Beállítások'!$E$30*(Z26-1)+'Beállítások'!$E$31*(AA26-1)+'Beállítások'!$E$32*(AB26-1)+'Beállítások'!$E$33*(AC26-1)+'Beállítások'!$E$34*(AD26-1)+'Beállítások'!$E$35*(AE26-1)+'Beállítások'!$E$36*(AF26-1)+'Beállítások'!$E$37*(AG26-1)+'Beállítások'!$E$38*(AH26-1))/(9*'Beállítások'!$B$46),1))</f>
        <v/>
      </c>
      <c r="AM26" s="23">
        <f>IF($A26="","",ROUND(100*('Beállítások'!$E$6*(B26-1)+'Beállítások'!$E$7*(C26-1)+'Beállítások'!$E$8*(D26-1)+'Beállítások'!$E$9*(E26-1)+'Beállítások'!$E$10*(F26-1)+'Beállítások'!$E$11*(G26-1)+'Beállítások'!$E$12*(H26-1)+'Beállítások'!$E$13*(I26-1)+'Beállítások'!$E$14*(J26-1)+'Beállítások'!$E$15*(K26-1)+'Beállítások'!$E$16*(L26-1)+'Beállítások'!$E$17*(M26-1)+'Beállítások'!$E$18*(N26-1)+'Beállítások'!$E$19*(O26-1)+'Beállítások'!$E$20*(P26-1)+'Beállítások'!$E$21*(Q26-1)+'Beállítások'!$E$22*(R26-1)+'Beállítások'!$E$23*(S26-1)+'Beállítások'!$E$24*(T26-1)+'Beállítások'!$E$25*(U26-1)+'Beállítások'!$E$26*(V26-1)+'Beállítások'!$E$27*(W26-1)+'Beállítások'!$E$28*(X26-1)+'Beállítások'!$E$29*(Y26-1)+'Beállítások'!$E$30*(Z26-1)+'Beállítások'!$E$31*(AA26-1)+'Beállítások'!$E$32*(AB26-1)+'Beállítások'!$E$33*(AC26-1)+'Beállítások'!$E$34*(AD26-1)+'Beállítások'!$E$35*(AE26-1)+'Beállítások'!$E$36*(AF26-1)+'Beállítások'!$E$37*(AG26-1)+'Beállítások'!$E$38*(AH26-1))/(9*'Beállítások'!$E$39),1))</f>
        <v/>
      </c>
      <c r="AN26" s="23">
        <f>IF($A26="","",ROUND(100*('Beállítások'!$E$8*(D26-1)+'Beállítások'!$E$9*(E26-1)+'Beállítások'!$E$10*(F26-1)+'Beállítások'!$E$11*(G26-1)+'Beállítások'!$E$12*(H26-1)+'Beállítások'!$E$13*(I26-1)+'Beállítások'!$E$14*(J26-1)+'Beállítások'!$E$15*(K26-1)+'Beállítások'!$E$16*(L26-1)+'Beállítások'!$E$17*(M26-1)+'Beállítások'!$E$18*(N26-1)+'Beállítások'!$E$19*(O26-1)+'Beállítások'!$E$20*(P26-1)+'Beállítások'!$E$21*(Q26-1)+'Beállítások'!$E$22*(R26-1)+'Beállítások'!$E$23*(S26-1)+'Beállítások'!$E$24*(T26-1)+'Beállítások'!$E$25*(U26-1)+'Beállítások'!$E$26*(V26-1)+'Beállítások'!$E$27*(W26-1)+'Beállítások'!$E$28*(X26-1)+'Beállítások'!$E$29*(Y26-1))/(9*('Beállítások'!$B$44+'Beállítások'!$B$45)),1))</f>
        <v/>
      </c>
      <c r="AO26" s="24">
        <f>IF($A26="","",RANK(AM26,$AM$2:$AM$201))</f>
        <v/>
      </c>
      <c r="AP26">
        <f>IF($A26="","",IF(OR(AND('Ügyfelek'!B26&lt;&gt;"",B26&lt;='Beállítások'!$B$85),AND('Ügyfelek'!C26&lt;&gt;"",C26&lt;='Beállítások'!$B$86)),"Igen","Nem"))</f>
        <v/>
      </c>
      <c r="AQ26" s="24">
        <f>IF($A26="","",IF(AP26="Igen",5,IF(AN26&gt;='Beállítások'!$C$108,1,IF(AN26&gt;='Beállítások'!$C$109,2,IF(AN26&gt;='Beállítások'!$C$110,3,IF(AND(AN26&gt;='Beállítások'!$B$87,AI26&gt;='Beállítások'!$B$88,AL26&gt;='Beállítások'!$B$89),4,5))))))</f>
        <v/>
      </c>
      <c r="AR26">
        <f>IF($A26="","",INDEX('Beállítások'!$B$108:$B$112,AQ26))</f>
        <v/>
      </c>
      <c r="AS26">
        <f>IF($A26="","",IF(AQ26=5,"Elutasítjuk",IF(AND(AQ26=4,COUNTIFS('Eredmény'!$AQ$2:$AQ$201,4,'Eredmény'!$DY$2:$DY$201,"&gt;"&amp;DY26)&gt;='Beállítások'!$B$90),"Várólista (a 4-es hely foglalt)","Elfogadjuk")))</f>
        <v/>
      </c>
      <c r="AT26">
        <f>IF($A26="","",INDEX('Beállítások'!$F$108:$F$112,AQ26))</f>
        <v/>
      </c>
      <c r="AU26">
        <f>IF($A26="","",INDEX('Beállítások'!$B$6:$B$38,MATCH(MAX(BK26:CQ26),BK26:CQ26,0)))</f>
        <v/>
      </c>
      <c r="AV26">
        <f>IF($A26="","",IF(MAX(CR26:DX26)=0,"—",INDEX('Beállítások'!$B$6:$B$38,MATCH(MAX(CR26:DX26),CR26:DX26,0))))</f>
        <v/>
      </c>
      <c r="AW26" s="10">
        <f>IF($A26="","",'Beállítások'!$B$94*(TRIM('Ügyfelek'!AI26)="igen")+'Beállítások'!$B$95*(TRIM('Ügyfelek'!AJ26)="igen")+'Beállítások'!$B$96*N('Ügyfelek'!AK26)+'Beállítások'!$B$93*N('Ügyfelek'!AL26))</f>
        <v/>
      </c>
      <c r="AX26" s="25">
        <f>IF(OR($A26="",AQ26=5),"",INDEX('Beállítások'!$D$108:$D$112,AQ26))</f>
        <v/>
      </c>
      <c r="AY26" s="10">
        <f>IF($A26="","",N('Ügyfelek'!U26)*'Beállítások'!$B$98)</f>
        <v/>
      </c>
      <c r="AZ26" s="10">
        <f>IF(OR($A26="",AQ26=5),"",CEILING(ROUND(MAX('Beállítások'!$B$97,AW26*AX26,AY26),2),'Beállítások'!$B$99))</f>
        <v/>
      </c>
      <c r="BA26">
        <f>IF($A26="","",IF(AQ26=5,"Elutasítva",IF(MAX('Beállítások'!$B$97,AW26*AX26,AY26)=AW26*AX26,"Munkaigény × státuszszorzó",IF(MAX('Beállítások'!$B$97,AW26*AX26,AY26)=AY26,"Hirdetési keret arányában","Minimumdíj"))))</f>
        <v/>
      </c>
      <c r="BB26" s="10">
        <f>IF(OR($A26="",'Ügyfelek'!AM26=""),"",'Ügyfelek'!AM26)</f>
        <v/>
      </c>
      <c r="BC26" s="10">
        <f>IF(OR(BB26="",AZ26=""),"",AZ26-BB26)</f>
        <v/>
      </c>
      <c r="BD26" s="18">
        <f>IF(OR(BB26="",AZ26="",BB26=0),"",BC26/BB26)</f>
        <v/>
      </c>
      <c r="BE26">
        <f>IF(OR($A26="",AQ26=5),"",IF(AND(INDEX('Beállítások'!$E$108:$E$112,AQ26)&gt;0,Y26&gt;='Beállítások'!$B$91),"Igen","Nem"))</f>
        <v/>
      </c>
      <c r="BF26" s="10">
        <f>IF(BE26="Igen",CEILING(ROUND(AZ26*(1-'Beállítások'!$B$92),2),'Beállítások'!$B$99),"")</f>
        <v/>
      </c>
      <c r="BG26" s="20">
        <f>IF(BE26="Igen",INDEX('Beállítások'!$E$108:$E$112,AQ26),"")</f>
        <v/>
      </c>
      <c r="BH26" s="10">
        <f>IF(OR(BE26&lt;&gt;"Igen",'Ügyfelek'!AN26=""),"",'Ügyfelek'!AN26*BG26)</f>
        <v/>
      </c>
      <c r="BI26" s="24">
        <f>IF($A26="","",('Ügyfelek'!B26="")+('Ügyfelek'!C26="")+('Ügyfelek'!D26="")+('Ügyfelek'!E26="")+('Ügyfelek'!F26="")+('Ügyfelek'!G26="")+('Ügyfelek'!H26="")+('Ügyfelek'!I26="")+('Ügyfelek'!J26="")+('Ügyfelek'!K26="")+('Ügyfelek'!L26="")+('Ügyfelek'!M26="")+('Ügyfelek'!N26="")+('Ügyfelek'!O26="")+('Ügyfelek'!P26="")+('Ügyfelek'!Q26="")+('Ügyfelek'!R26="")+('Ügyfelek'!S26="")+('Ügyfelek'!T26="")+('Ügyfelek'!U26="")+('Ügyfelek'!V26="")+('Ügyfelek'!W26="")+('Ügyfelek'!X26="")+('Ügyfelek'!Y26="")+('Ügyfelek'!Z26="")+('Ügyfelek'!AA26="")+('Ügyfelek'!AB26="")+('Ügyfelek'!AC26="")+('Ügyfelek'!AD26="")+('Ügyfelek'!AE26="")+('Ügyfelek'!AF26="")+('Ügyfelek'!AG26="")+('Ügyfelek'!AH26=""))</f>
        <v/>
      </c>
      <c r="BK26">
        <f>IF($A26="","",B26+'Beállítások'!$E$6/1000)</f>
        <v/>
      </c>
      <c r="BL26">
        <f>IF($A26="","",C26+'Beállítások'!$E$7/1000)</f>
        <v/>
      </c>
      <c r="BM26">
        <f>IF($A26="","",D26+'Beállítások'!$E$8/1000)</f>
        <v/>
      </c>
      <c r="BN26">
        <f>IF($A26="","",E26+'Beállítások'!$E$9/1000)</f>
        <v/>
      </c>
      <c r="BO26">
        <f>IF($A26="","",F26+'Beállítások'!$E$10/1000)</f>
        <v/>
      </c>
      <c r="BP26">
        <f>IF($A26="","",G26+'Beállítások'!$E$11/1000)</f>
        <v/>
      </c>
      <c r="BQ26">
        <f>IF($A26="","",H26+'Beállítások'!$E$12/1000)</f>
        <v/>
      </c>
      <c r="BR26">
        <f>IF($A26="","",I26+'Beállítások'!$E$13/1000)</f>
        <v/>
      </c>
      <c r="BS26">
        <f>IF($A26="","",J26+'Beállítások'!$E$14/1000)</f>
        <v/>
      </c>
      <c r="BT26">
        <f>IF($A26="","",K26+'Beállítások'!$E$15/1000)</f>
        <v/>
      </c>
      <c r="BU26">
        <f>IF($A26="","",L26+'Beállítások'!$E$16/1000)</f>
        <v/>
      </c>
      <c r="BV26">
        <f>IF($A26="","",M26+'Beállítások'!$E$17/1000)</f>
        <v/>
      </c>
      <c r="BW26">
        <f>IF($A26="","",N26+'Beállítások'!$E$18/1000)</f>
        <v/>
      </c>
      <c r="BX26">
        <f>IF($A26="","",O26+'Beállítások'!$E$19/1000)</f>
        <v/>
      </c>
      <c r="BY26">
        <f>IF($A26="","",P26+'Beállítások'!$E$20/1000)</f>
        <v/>
      </c>
      <c r="BZ26">
        <f>IF($A26="","",Q26+'Beállítások'!$E$21/1000)</f>
        <v/>
      </c>
      <c r="CA26">
        <f>IF($A26="","",R26+'Beállítások'!$E$22/1000)</f>
        <v/>
      </c>
      <c r="CB26">
        <f>IF($A26="","",S26+'Beállítások'!$E$23/1000)</f>
        <v/>
      </c>
      <c r="CC26">
        <f>IF($A26="","",T26+'Beállítások'!$E$24/1000)</f>
        <v/>
      </c>
      <c r="CD26">
        <f>IF($A26="","",U26+'Beállítások'!$E$25/1000)</f>
        <v/>
      </c>
      <c r="CE26">
        <f>IF($A26="","",V26+'Beállítások'!$E$26/1000)</f>
        <v/>
      </c>
      <c r="CF26">
        <f>IF($A26="","",W26+'Beállítások'!$E$27/1000)</f>
        <v/>
      </c>
      <c r="CG26">
        <f>IF($A26="","",X26+'Beállítások'!$E$28/1000)</f>
        <v/>
      </c>
      <c r="CH26">
        <f>IF($A26="","",Y26+'Beállítások'!$E$29/1000)</f>
        <v/>
      </c>
      <c r="CI26">
        <f>IF($A26="","",Z26+'Beállítások'!$E$30/1000)</f>
        <v/>
      </c>
      <c r="CJ26">
        <f>IF($A26="","",AA26+'Beállítások'!$E$31/1000)</f>
        <v/>
      </c>
      <c r="CK26">
        <f>IF($A26="","",AB26+'Beállítások'!$E$32/1000)</f>
        <v/>
      </c>
      <c r="CL26">
        <f>IF($A26="","",AC26+'Beállítások'!$E$33/1000)</f>
        <v/>
      </c>
      <c r="CM26">
        <f>IF($A26="","",AD26+'Beállítások'!$E$34/1000)</f>
        <v/>
      </c>
      <c r="CN26">
        <f>IF($A26="","",AE26+'Beállítások'!$E$35/1000)</f>
        <v/>
      </c>
      <c r="CO26">
        <f>IF($A26="","",AF26+'Beállítások'!$E$36/1000)</f>
        <v/>
      </c>
      <c r="CP26">
        <f>IF($A26="","",AG26+'Beállítások'!$E$37/1000)</f>
        <v/>
      </c>
      <c r="CQ26">
        <f>IF($A26="","",AH26+'Beállítások'!$E$38/1000)</f>
        <v/>
      </c>
      <c r="CR26">
        <f>IF($A26="","",'Beállítások'!$E$6*(10-B26))</f>
        <v/>
      </c>
      <c r="CS26">
        <f>IF($A26="","",'Beállítások'!$E$7*(10-C26))</f>
        <v/>
      </c>
      <c r="CT26">
        <f>IF($A26="","",'Beállítások'!$E$8*(10-D26))</f>
        <v/>
      </c>
      <c r="CU26">
        <f>IF($A26="","",'Beállítások'!$E$9*(10-E26))</f>
        <v/>
      </c>
      <c r="CV26">
        <f>IF($A26="","",'Beállítások'!$E$10*(10-F26))</f>
        <v/>
      </c>
      <c r="CW26">
        <f>IF($A26="","",'Beállítások'!$E$11*(10-G26))</f>
        <v/>
      </c>
      <c r="CX26">
        <f>IF($A26="","",'Beállítások'!$E$12*(10-H26))</f>
        <v/>
      </c>
      <c r="CY26">
        <f>IF($A26="","",'Beállítások'!$E$13*(10-I26))</f>
        <v/>
      </c>
      <c r="CZ26">
        <f>IF($A26="","",'Beállítások'!$E$14*(10-J26))</f>
        <v/>
      </c>
      <c r="DA26">
        <f>IF($A26="","",'Beállítások'!$E$15*(10-K26))</f>
        <v/>
      </c>
      <c r="DB26">
        <f>IF($A26="","",'Beállítások'!$E$16*(10-L26))</f>
        <v/>
      </c>
      <c r="DC26">
        <f>IF($A26="","",'Beállítások'!$E$17*(10-M26))</f>
        <v/>
      </c>
      <c r="DD26">
        <f>IF($A26="","",'Beállítások'!$E$18*(10-N26))</f>
        <v/>
      </c>
      <c r="DE26">
        <f>IF($A26="","",'Beállítások'!$E$19*(10-O26))</f>
        <v/>
      </c>
      <c r="DF26">
        <f>IF($A26="","",'Beállítások'!$E$20*(10-P26))</f>
        <v/>
      </c>
      <c r="DG26">
        <f>IF($A26="","",'Beállítások'!$E$21*(10-Q26))</f>
        <v/>
      </c>
      <c r="DH26">
        <f>IF($A26="","",'Beállítások'!$E$22*(10-R26))</f>
        <v/>
      </c>
      <c r="DI26">
        <f>IF($A26="","",'Beállítások'!$E$23*(10-S26))</f>
        <v/>
      </c>
      <c r="DJ26">
        <f>IF($A26="","",'Beállítások'!$E$24*(10-T26))</f>
        <v/>
      </c>
      <c r="DK26">
        <f>IF($A26="","",'Beállítások'!$E$25*(10-U26))</f>
        <v/>
      </c>
      <c r="DL26">
        <f>IF($A26="","",'Beállítások'!$E$26*(10-V26))</f>
        <v/>
      </c>
      <c r="DM26">
        <f>IF($A26="","",'Beállítások'!$E$27*(10-W26))</f>
        <v/>
      </c>
      <c r="DN26">
        <f>IF($A26="","",'Beállítások'!$E$28*(10-X26))</f>
        <v/>
      </c>
      <c r="DO26">
        <f>IF($A26="","",'Beállítások'!$E$29*(10-Y26))</f>
        <v/>
      </c>
      <c r="DP26">
        <f>IF($A26="","",'Beállítások'!$E$30*(10-Z26))</f>
        <v/>
      </c>
      <c r="DQ26">
        <f>IF($A26="","",'Beállítások'!$E$31*(10-AA26))</f>
        <v/>
      </c>
      <c r="DR26">
        <f>IF($A26="","",'Beállítások'!$E$32*(10-AB26))</f>
        <v/>
      </c>
      <c r="DS26">
        <f>IF($A26="","",'Beállítások'!$E$33*(10-AC26))</f>
        <v/>
      </c>
      <c r="DT26">
        <f>IF($A26="","",'Beállítások'!$E$34*(10-AD26))</f>
        <v/>
      </c>
      <c r="DU26">
        <f>IF($A26="","",'Beállítások'!$E$35*(10-AE26))</f>
        <v/>
      </c>
      <c r="DV26">
        <f>IF($A26="","",'Beállítások'!$E$36*(10-AF26))</f>
        <v/>
      </c>
      <c r="DW26">
        <f>IF($A26="","",'Beállítások'!$E$37*(10-AG26))</f>
        <v/>
      </c>
      <c r="DX26">
        <f>IF($A26="","",'Beállítások'!$E$38*(10-AH26))</f>
        <v/>
      </c>
      <c r="DY26">
        <f>IF($A26="","",AM26-ROW()/100000)</f>
        <v/>
      </c>
    </row>
    <row r="27">
      <c r="A27">
        <f>IF('Ügyfelek'!A27="","",'Ügyfelek'!A27)</f>
        <v/>
      </c>
      <c r="B27">
        <f>IF($A27="","",IF('Ügyfelek'!B27="",'Beállítások'!$B$84,IFERROR(VLOOKUP(TRIM('Ügyfelek'!B27),'Beállítások'!$A$51:$B$59,2,FALSE),'Beállítások'!$B$84)))</f>
        <v/>
      </c>
      <c r="C27">
        <f>IF($A27="","",IF('Ügyfelek'!C27="",'Beállítások'!$B$84,MIN(10,MAX(1,ROUND('Ügyfelek'!C27,0)))))</f>
        <v/>
      </c>
      <c r="D27">
        <f>IF($A27="","",IF('Ügyfelek'!D27="",'Beállítások'!$B$84,MIN(10,MAX(1,ROUND('Ügyfelek'!D27,0)))))</f>
        <v/>
      </c>
      <c r="E27">
        <f>IF($A27="","",IF('Ügyfelek'!E27="",'Beállítások'!$B$84,MIN(10,MAX(1,ROUND('Ügyfelek'!E27,0)))))</f>
        <v/>
      </c>
      <c r="F27">
        <f>IF($A27="","",IF('Ügyfelek'!F27="",'Beállítások'!$B$84,MIN(10,MAX(1,ROUND('Ügyfelek'!F27,0)))))</f>
        <v/>
      </c>
      <c r="G27">
        <f>IF($A27="","",IF('Ügyfelek'!G27="",'Beállítások'!$B$84,MIN(10,MAX(1,ROUND('Ügyfelek'!G27,0)))))</f>
        <v/>
      </c>
      <c r="H27">
        <f>IF($A27="","",IF('Ügyfelek'!H27="",'Beállítások'!$B$84,MIN(10,MAX(1,ROUND('Ügyfelek'!H27,0)))))</f>
        <v/>
      </c>
      <c r="I27">
        <f>IF($A27="","",IF('Ügyfelek'!I27="",'Beállítások'!$B$84,MIN(10,MAX(1,ROUND('Ügyfelek'!I27,0)))))</f>
        <v/>
      </c>
      <c r="J27">
        <f>IF($A27="","",IF('Ügyfelek'!J27="",'Beállítások'!$B$84,MIN(10,MAX(1,ROUND('Ügyfelek'!J27,0)))))</f>
        <v/>
      </c>
      <c r="K27">
        <f>IF($A27="","",IF('Ügyfelek'!K27="",'Beállítások'!$B$84,MIN(10,MAX(1,ROUND('Ügyfelek'!K27,0)))))</f>
        <v/>
      </c>
      <c r="L27">
        <f>IF($A27="","",IF('Ügyfelek'!L27="",'Beállítások'!$B$84,MIN(10,MAX(1,ROUND('Ügyfelek'!L27,0)))))</f>
        <v/>
      </c>
      <c r="M27">
        <f>IF($A27="","",IF('Ügyfelek'!M27="",'Beállítások'!$B$84,MIN(10,MAX(1,ROUND('Ügyfelek'!M27,0)))))</f>
        <v/>
      </c>
      <c r="N27">
        <f>IF($A27="","",IF('Ügyfelek'!N27="",'Beállítások'!$B$84,MIN(10,MAX(1,ROUND('Ügyfelek'!N27,0)))))</f>
        <v/>
      </c>
      <c r="O27">
        <f>IF($A27="","",IF('Ügyfelek'!O27="",'Beállítások'!$B$84,MIN(10,MAX(1,ROUND('Ügyfelek'!O27,0)))))</f>
        <v/>
      </c>
      <c r="P27">
        <f>IF($A27="","",IF('Ügyfelek'!P27="",'Beállítások'!$B$84,MIN(10,MAX(1,ROUND('Ügyfelek'!P27,0)))))</f>
        <v/>
      </c>
      <c r="Q27">
        <f>IF($A27="","",IF('Ügyfelek'!Q27="",'Beállítások'!$B$84,MIN(10,MAX(1,ROUND('Ügyfelek'!Q27,0)))))</f>
        <v/>
      </c>
      <c r="R27">
        <f>IF($A27="","",IF('Ügyfelek'!R27="",'Beállítások'!$B$84,MIN(10,MAX(1,ROUND('Ügyfelek'!R27,0)))))</f>
        <v/>
      </c>
      <c r="S27">
        <f>IF($A27="","",IF('Ügyfelek'!S27="",'Beállítások'!$B$84,MIN(10,MAX(1,ROUND('Ügyfelek'!S27,0)))))</f>
        <v/>
      </c>
      <c r="T27">
        <f>IF($A27="","",IF('Ügyfelek'!T27="",'Beállítások'!$B$84,VLOOKUP(MAX('Ügyfelek'!T27,'Beállítások'!$H$7),'Beállítások'!$H$7:$I$12,2,TRUE)))</f>
        <v/>
      </c>
      <c r="U27">
        <f>IF($A27="","",IF('Ügyfelek'!U27="",'Beállítások'!$B$84,VLOOKUP(MAX('Ügyfelek'!U27,'Beállítások'!$K$7),'Beállítások'!$K$7:$L$12,2,TRUE)))</f>
        <v/>
      </c>
      <c r="V27">
        <f>IF($A27="","",IF('Ügyfelek'!V27="",'Beállítások'!$B$84,MIN(10,MAX(1,ROUND('Ügyfelek'!V27,0)))))</f>
        <v/>
      </c>
      <c r="W27">
        <f>IF($A27="","",IF('Ügyfelek'!W27="",'Beállítások'!$B$84,VLOOKUP(MAX('Ügyfelek'!W27,'Beállítások'!$N$7),'Beállítások'!$N$7:$O$12,2,TRUE)))</f>
        <v/>
      </c>
      <c r="X27">
        <f>IF($A27="","",IF('Ügyfelek'!X27="",'Beállítások'!$B$84,MIN(10,MAX(1,ROUND('Ügyfelek'!X27,0)))))</f>
        <v/>
      </c>
      <c r="Y27">
        <f>IF($A27="","",IF('Ügyfelek'!Y27="",'Beállítások'!$B$84,IFERROR(VLOOKUP(TRIM('Ügyfelek'!Y27),'Beállítások'!$A$63:$B$69,2,FALSE),'Beállítások'!$B$84)))</f>
        <v/>
      </c>
      <c r="Z27">
        <f>IF($A27="","",IF('Ügyfelek'!Z27="",'Beállítások'!$B$84,VLOOKUP(MAX('Ügyfelek'!Z27,'Beállítások'!$Q$7),'Beállítások'!$Q$7:$R$12,2,TRUE)))</f>
        <v/>
      </c>
      <c r="AA27">
        <f>IF($A27="","",IF('Ügyfelek'!AA27="",'Beállítások'!$B$84,VLOOKUP(MAX('Ügyfelek'!AA27,'Beállítások'!$T$7),'Beállítások'!$T$7:$U$12,2,TRUE)))</f>
        <v/>
      </c>
      <c r="AB27">
        <f>IF($A27="","",IF('Ügyfelek'!AB27="",'Beállítások'!$B$84,MIN(10,MAX(1,ROUND('Ügyfelek'!AB27,0)))))</f>
        <v/>
      </c>
      <c r="AC27">
        <f>IF($A27="","",IF('Ügyfelek'!AC27="",'Beállítások'!$B$84,MIN(10,MAX(1,ROUND('Ügyfelek'!AC27,0)))))</f>
        <v/>
      </c>
      <c r="AD27">
        <f>IF($A27="","",IF('Ügyfelek'!AD27="",'Beállítások'!$B$84,MIN(10,MAX(1,ROUND('Ügyfelek'!AD27,0)))))</f>
        <v/>
      </c>
      <c r="AE27">
        <f>IF($A27="","",IF('Ügyfelek'!AE27="",'Beállítások'!$B$84,MIN(10,MAX(1,ROUND('Ügyfelek'!AE27,0)))))</f>
        <v/>
      </c>
      <c r="AF27">
        <f>IF($A27="","",IF('Ügyfelek'!AF27="",'Beállítások'!$B$84,MIN(10,MAX(1,ROUND('Ügyfelek'!AF27,0)))))</f>
        <v/>
      </c>
      <c r="AG27">
        <f>IF($A27="","",IF('Ügyfelek'!AG27="",'Beállítások'!$B$84,MIN(10,MAX(1,ROUND('Ügyfelek'!AG27,0)))))</f>
        <v/>
      </c>
      <c r="AH27">
        <f>IF($A27="","",IF('Ügyfelek'!AH27="",'Beállítások'!$B$84,IFERROR(VLOOKUP(TRIM('Ügyfelek'!AH27),'Beállítások'!$A$73:$B$79,2,FALSE),'Beállítások'!$B$84)))</f>
        <v/>
      </c>
      <c r="AI27" s="23">
        <f>IF($A27="","",ROUND(100*('Beállítások'!$E$6*(B27-1)+'Beállítások'!$E$7*(C27-1))/(9*'Beállítások'!$B$43),1))</f>
        <v/>
      </c>
      <c r="AJ27" s="23">
        <f>IF($A27="","",ROUND(100*('Beállítások'!$E$8*(D27-1)+'Beállítások'!$E$9*(E27-1)+'Beállítások'!$E$10*(F27-1)+'Beállítások'!$E$11*(G27-1)+'Beállítások'!$E$12*(H27-1)+'Beállítások'!$E$13*(I27-1)+'Beállítások'!$E$14*(J27-1)+'Beállítások'!$E$15*(K27-1)+'Beállítások'!$E$16*(L27-1)+'Beállítások'!$E$17*(M27-1)+'Beállítások'!$E$18*(N27-1)+'Beállítások'!$E$19*(O27-1)+'Beállítások'!$E$20*(P27-1)+'Beállítások'!$E$21*(Q27-1)+'Beállítások'!$E$22*(R27-1))/(9*'Beállítások'!$B$44),1))</f>
        <v/>
      </c>
      <c r="AK27" s="23">
        <f>IF($A27="","",ROUND(100*('Beállítások'!$E$23*(S27-1)+'Beállítások'!$E$24*(T27-1)+'Beállítások'!$E$25*(U27-1)+'Beállítások'!$E$26*(V27-1)+'Beállítások'!$E$27*(W27-1)+'Beállítások'!$E$28*(X27-1)+'Beállítások'!$E$29*(Y27-1))/(9*'Beállítások'!$B$45),1))</f>
        <v/>
      </c>
      <c r="AL27" s="23">
        <f>IF($A27="","",ROUND(100*('Beállítások'!$E$30*(Z27-1)+'Beállítások'!$E$31*(AA27-1)+'Beállítások'!$E$32*(AB27-1)+'Beállítások'!$E$33*(AC27-1)+'Beállítások'!$E$34*(AD27-1)+'Beállítások'!$E$35*(AE27-1)+'Beállítások'!$E$36*(AF27-1)+'Beállítások'!$E$37*(AG27-1)+'Beállítások'!$E$38*(AH27-1))/(9*'Beállítások'!$B$46),1))</f>
        <v/>
      </c>
      <c r="AM27" s="23">
        <f>IF($A27="","",ROUND(100*('Beállítások'!$E$6*(B27-1)+'Beállítások'!$E$7*(C27-1)+'Beállítások'!$E$8*(D27-1)+'Beállítások'!$E$9*(E27-1)+'Beállítások'!$E$10*(F27-1)+'Beállítások'!$E$11*(G27-1)+'Beállítások'!$E$12*(H27-1)+'Beállítások'!$E$13*(I27-1)+'Beállítások'!$E$14*(J27-1)+'Beállítások'!$E$15*(K27-1)+'Beállítások'!$E$16*(L27-1)+'Beállítások'!$E$17*(M27-1)+'Beállítások'!$E$18*(N27-1)+'Beállítások'!$E$19*(O27-1)+'Beállítások'!$E$20*(P27-1)+'Beállítások'!$E$21*(Q27-1)+'Beállítások'!$E$22*(R27-1)+'Beállítások'!$E$23*(S27-1)+'Beállítások'!$E$24*(T27-1)+'Beállítások'!$E$25*(U27-1)+'Beállítások'!$E$26*(V27-1)+'Beállítások'!$E$27*(W27-1)+'Beállítások'!$E$28*(X27-1)+'Beállítások'!$E$29*(Y27-1)+'Beállítások'!$E$30*(Z27-1)+'Beállítások'!$E$31*(AA27-1)+'Beállítások'!$E$32*(AB27-1)+'Beállítások'!$E$33*(AC27-1)+'Beállítások'!$E$34*(AD27-1)+'Beállítások'!$E$35*(AE27-1)+'Beállítások'!$E$36*(AF27-1)+'Beállítások'!$E$37*(AG27-1)+'Beállítások'!$E$38*(AH27-1))/(9*'Beállítások'!$E$39),1))</f>
        <v/>
      </c>
      <c r="AN27" s="23">
        <f>IF($A27="","",ROUND(100*('Beállítások'!$E$8*(D27-1)+'Beállítások'!$E$9*(E27-1)+'Beállítások'!$E$10*(F27-1)+'Beállítások'!$E$11*(G27-1)+'Beállítások'!$E$12*(H27-1)+'Beállítások'!$E$13*(I27-1)+'Beállítások'!$E$14*(J27-1)+'Beállítások'!$E$15*(K27-1)+'Beállítások'!$E$16*(L27-1)+'Beállítások'!$E$17*(M27-1)+'Beállítások'!$E$18*(N27-1)+'Beállítások'!$E$19*(O27-1)+'Beállítások'!$E$20*(P27-1)+'Beállítások'!$E$21*(Q27-1)+'Beállítások'!$E$22*(R27-1)+'Beállítások'!$E$23*(S27-1)+'Beállítások'!$E$24*(T27-1)+'Beállítások'!$E$25*(U27-1)+'Beállítások'!$E$26*(V27-1)+'Beállítások'!$E$27*(W27-1)+'Beállítások'!$E$28*(X27-1)+'Beállítások'!$E$29*(Y27-1))/(9*('Beállítások'!$B$44+'Beállítások'!$B$45)),1))</f>
        <v/>
      </c>
      <c r="AO27" s="24">
        <f>IF($A27="","",RANK(AM27,$AM$2:$AM$201))</f>
        <v/>
      </c>
      <c r="AP27">
        <f>IF($A27="","",IF(OR(AND('Ügyfelek'!B27&lt;&gt;"",B27&lt;='Beállítások'!$B$85),AND('Ügyfelek'!C27&lt;&gt;"",C27&lt;='Beállítások'!$B$86)),"Igen","Nem"))</f>
        <v/>
      </c>
      <c r="AQ27" s="24">
        <f>IF($A27="","",IF(AP27="Igen",5,IF(AN27&gt;='Beállítások'!$C$108,1,IF(AN27&gt;='Beállítások'!$C$109,2,IF(AN27&gt;='Beállítások'!$C$110,3,IF(AND(AN27&gt;='Beállítások'!$B$87,AI27&gt;='Beállítások'!$B$88,AL27&gt;='Beállítások'!$B$89),4,5))))))</f>
        <v/>
      </c>
      <c r="AR27">
        <f>IF($A27="","",INDEX('Beállítások'!$B$108:$B$112,AQ27))</f>
        <v/>
      </c>
      <c r="AS27">
        <f>IF($A27="","",IF(AQ27=5,"Elutasítjuk",IF(AND(AQ27=4,COUNTIFS('Eredmény'!$AQ$2:$AQ$201,4,'Eredmény'!$DY$2:$DY$201,"&gt;"&amp;DY27)&gt;='Beállítások'!$B$90),"Várólista (a 4-es hely foglalt)","Elfogadjuk")))</f>
        <v/>
      </c>
      <c r="AT27">
        <f>IF($A27="","",INDEX('Beállítások'!$F$108:$F$112,AQ27))</f>
        <v/>
      </c>
      <c r="AU27">
        <f>IF($A27="","",INDEX('Beállítások'!$B$6:$B$38,MATCH(MAX(BK27:CQ27),BK27:CQ27,0)))</f>
        <v/>
      </c>
      <c r="AV27">
        <f>IF($A27="","",IF(MAX(CR27:DX27)=0,"—",INDEX('Beállítások'!$B$6:$B$38,MATCH(MAX(CR27:DX27),CR27:DX27,0))))</f>
        <v/>
      </c>
      <c r="AW27" s="10">
        <f>IF($A27="","",'Beállítások'!$B$94*(TRIM('Ügyfelek'!AI27)="igen")+'Beállítások'!$B$95*(TRIM('Ügyfelek'!AJ27)="igen")+'Beállítások'!$B$96*N('Ügyfelek'!AK27)+'Beállítások'!$B$93*N('Ügyfelek'!AL27))</f>
        <v/>
      </c>
      <c r="AX27" s="25">
        <f>IF(OR($A27="",AQ27=5),"",INDEX('Beállítások'!$D$108:$D$112,AQ27))</f>
        <v/>
      </c>
      <c r="AY27" s="10">
        <f>IF($A27="","",N('Ügyfelek'!U27)*'Beállítások'!$B$98)</f>
        <v/>
      </c>
      <c r="AZ27" s="10">
        <f>IF(OR($A27="",AQ27=5),"",CEILING(ROUND(MAX('Beállítások'!$B$97,AW27*AX27,AY27),2),'Beállítások'!$B$99))</f>
        <v/>
      </c>
      <c r="BA27">
        <f>IF($A27="","",IF(AQ27=5,"Elutasítva",IF(MAX('Beállítások'!$B$97,AW27*AX27,AY27)=AW27*AX27,"Munkaigény × státuszszorzó",IF(MAX('Beállítások'!$B$97,AW27*AX27,AY27)=AY27,"Hirdetési keret arányában","Minimumdíj"))))</f>
        <v/>
      </c>
      <c r="BB27" s="10">
        <f>IF(OR($A27="",'Ügyfelek'!AM27=""),"",'Ügyfelek'!AM27)</f>
        <v/>
      </c>
      <c r="BC27" s="10">
        <f>IF(OR(BB27="",AZ27=""),"",AZ27-BB27)</f>
        <v/>
      </c>
      <c r="BD27" s="18">
        <f>IF(OR(BB27="",AZ27="",BB27=0),"",BC27/BB27)</f>
        <v/>
      </c>
      <c r="BE27">
        <f>IF(OR($A27="",AQ27=5),"",IF(AND(INDEX('Beállítások'!$E$108:$E$112,AQ27)&gt;0,Y27&gt;='Beállítások'!$B$91),"Igen","Nem"))</f>
        <v/>
      </c>
      <c r="BF27" s="10">
        <f>IF(BE27="Igen",CEILING(ROUND(AZ27*(1-'Beállítások'!$B$92),2),'Beállítások'!$B$99),"")</f>
        <v/>
      </c>
      <c r="BG27" s="20">
        <f>IF(BE27="Igen",INDEX('Beállítások'!$E$108:$E$112,AQ27),"")</f>
        <v/>
      </c>
      <c r="BH27" s="10">
        <f>IF(OR(BE27&lt;&gt;"Igen",'Ügyfelek'!AN27=""),"",'Ügyfelek'!AN27*BG27)</f>
        <v/>
      </c>
      <c r="BI27" s="24">
        <f>IF($A27="","",('Ügyfelek'!B27="")+('Ügyfelek'!C27="")+('Ügyfelek'!D27="")+('Ügyfelek'!E27="")+('Ügyfelek'!F27="")+('Ügyfelek'!G27="")+('Ügyfelek'!H27="")+('Ügyfelek'!I27="")+('Ügyfelek'!J27="")+('Ügyfelek'!K27="")+('Ügyfelek'!L27="")+('Ügyfelek'!M27="")+('Ügyfelek'!N27="")+('Ügyfelek'!O27="")+('Ügyfelek'!P27="")+('Ügyfelek'!Q27="")+('Ügyfelek'!R27="")+('Ügyfelek'!S27="")+('Ügyfelek'!T27="")+('Ügyfelek'!U27="")+('Ügyfelek'!V27="")+('Ügyfelek'!W27="")+('Ügyfelek'!X27="")+('Ügyfelek'!Y27="")+('Ügyfelek'!Z27="")+('Ügyfelek'!AA27="")+('Ügyfelek'!AB27="")+('Ügyfelek'!AC27="")+('Ügyfelek'!AD27="")+('Ügyfelek'!AE27="")+('Ügyfelek'!AF27="")+('Ügyfelek'!AG27="")+('Ügyfelek'!AH27=""))</f>
        <v/>
      </c>
      <c r="BK27">
        <f>IF($A27="","",B27+'Beállítások'!$E$6/1000)</f>
        <v/>
      </c>
      <c r="BL27">
        <f>IF($A27="","",C27+'Beállítások'!$E$7/1000)</f>
        <v/>
      </c>
      <c r="BM27">
        <f>IF($A27="","",D27+'Beállítások'!$E$8/1000)</f>
        <v/>
      </c>
      <c r="BN27">
        <f>IF($A27="","",E27+'Beállítások'!$E$9/1000)</f>
        <v/>
      </c>
      <c r="BO27">
        <f>IF($A27="","",F27+'Beállítások'!$E$10/1000)</f>
        <v/>
      </c>
      <c r="BP27">
        <f>IF($A27="","",G27+'Beállítások'!$E$11/1000)</f>
        <v/>
      </c>
      <c r="BQ27">
        <f>IF($A27="","",H27+'Beállítások'!$E$12/1000)</f>
        <v/>
      </c>
      <c r="BR27">
        <f>IF($A27="","",I27+'Beállítások'!$E$13/1000)</f>
        <v/>
      </c>
      <c r="BS27">
        <f>IF($A27="","",J27+'Beállítások'!$E$14/1000)</f>
        <v/>
      </c>
      <c r="BT27">
        <f>IF($A27="","",K27+'Beállítások'!$E$15/1000)</f>
        <v/>
      </c>
      <c r="BU27">
        <f>IF($A27="","",L27+'Beállítások'!$E$16/1000)</f>
        <v/>
      </c>
      <c r="BV27">
        <f>IF($A27="","",M27+'Beállítások'!$E$17/1000)</f>
        <v/>
      </c>
      <c r="BW27">
        <f>IF($A27="","",N27+'Beállítások'!$E$18/1000)</f>
        <v/>
      </c>
      <c r="BX27">
        <f>IF($A27="","",O27+'Beállítások'!$E$19/1000)</f>
        <v/>
      </c>
      <c r="BY27">
        <f>IF($A27="","",P27+'Beállítások'!$E$20/1000)</f>
        <v/>
      </c>
      <c r="BZ27">
        <f>IF($A27="","",Q27+'Beállítások'!$E$21/1000)</f>
        <v/>
      </c>
      <c r="CA27">
        <f>IF($A27="","",R27+'Beállítások'!$E$22/1000)</f>
        <v/>
      </c>
      <c r="CB27">
        <f>IF($A27="","",S27+'Beállítások'!$E$23/1000)</f>
        <v/>
      </c>
      <c r="CC27">
        <f>IF($A27="","",T27+'Beállítások'!$E$24/1000)</f>
        <v/>
      </c>
      <c r="CD27">
        <f>IF($A27="","",U27+'Beállítások'!$E$25/1000)</f>
        <v/>
      </c>
      <c r="CE27">
        <f>IF($A27="","",V27+'Beállítások'!$E$26/1000)</f>
        <v/>
      </c>
      <c r="CF27">
        <f>IF($A27="","",W27+'Beállítások'!$E$27/1000)</f>
        <v/>
      </c>
      <c r="CG27">
        <f>IF($A27="","",X27+'Beállítások'!$E$28/1000)</f>
        <v/>
      </c>
      <c r="CH27">
        <f>IF($A27="","",Y27+'Beállítások'!$E$29/1000)</f>
        <v/>
      </c>
      <c r="CI27">
        <f>IF($A27="","",Z27+'Beállítások'!$E$30/1000)</f>
        <v/>
      </c>
      <c r="CJ27">
        <f>IF($A27="","",AA27+'Beállítások'!$E$31/1000)</f>
        <v/>
      </c>
      <c r="CK27">
        <f>IF($A27="","",AB27+'Beállítások'!$E$32/1000)</f>
        <v/>
      </c>
      <c r="CL27">
        <f>IF($A27="","",AC27+'Beállítások'!$E$33/1000)</f>
        <v/>
      </c>
      <c r="CM27">
        <f>IF($A27="","",AD27+'Beállítások'!$E$34/1000)</f>
        <v/>
      </c>
      <c r="CN27">
        <f>IF($A27="","",AE27+'Beállítások'!$E$35/1000)</f>
        <v/>
      </c>
      <c r="CO27">
        <f>IF($A27="","",AF27+'Beállítások'!$E$36/1000)</f>
        <v/>
      </c>
      <c r="CP27">
        <f>IF($A27="","",AG27+'Beállítások'!$E$37/1000)</f>
        <v/>
      </c>
      <c r="CQ27">
        <f>IF($A27="","",AH27+'Beállítások'!$E$38/1000)</f>
        <v/>
      </c>
      <c r="CR27">
        <f>IF($A27="","",'Beállítások'!$E$6*(10-B27))</f>
        <v/>
      </c>
      <c r="CS27">
        <f>IF($A27="","",'Beállítások'!$E$7*(10-C27))</f>
        <v/>
      </c>
      <c r="CT27">
        <f>IF($A27="","",'Beállítások'!$E$8*(10-D27))</f>
        <v/>
      </c>
      <c r="CU27">
        <f>IF($A27="","",'Beállítások'!$E$9*(10-E27))</f>
        <v/>
      </c>
      <c r="CV27">
        <f>IF($A27="","",'Beállítások'!$E$10*(10-F27))</f>
        <v/>
      </c>
      <c r="CW27">
        <f>IF($A27="","",'Beállítások'!$E$11*(10-G27))</f>
        <v/>
      </c>
      <c r="CX27">
        <f>IF($A27="","",'Beállítások'!$E$12*(10-H27))</f>
        <v/>
      </c>
      <c r="CY27">
        <f>IF($A27="","",'Beállítások'!$E$13*(10-I27))</f>
        <v/>
      </c>
      <c r="CZ27">
        <f>IF($A27="","",'Beállítások'!$E$14*(10-J27))</f>
        <v/>
      </c>
      <c r="DA27">
        <f>IF($A27="","",'Beállítások'!$E$15*(10-K27))</f>
        <v/>
      </c>
      <c r="DB27">
        <f>IF($A27="","",'Beállítások'!$E$16*(10-L27))</f>
        <v/>
      </c>
      <c r="DC27">
        <f>IF($A27="","",'Beállítások'!$E$17*(10-M27))</f>
        <v/>
      </c>
      <c r="DD27">
        <f>IF($A27="","",'Beállítások'!$E$18*(10-N27))</f>
        <v/>
      </c>
      <c r="DE27">
        <f>IF($A27="","",'Beállítások'!$E$19*(10-O27))</f>
        <v/>
      </c>
      <c r="DF27">
        <f>IF($A27="","",'Beállítások'!$E$20*(10-P27))</f>
        <v/>
      </c>
      <c r="DG27">
        <f>IF($A27="","",'Beállítások'!$E$21*(10-Q27))</f>
        <v/>
      </c>
      <c r="DH27">
        <f>IF($A27="","",'Beállítások'!$E$22*(10-R27))</f>
        <v/>
      </c>
      <c r="DI27">
        <f>IF($A27="","",'Beállítások'!$E$23*(10-S27))</f>
        <v/>
      </c>
      <c r="DJ27">
        <f>IF($A27="","",'Beállítások'!$E$24*(10-T27))</f>
        <v/>
      </c>
      <c r="DK27">
        <f>IF($A27="","",'Beállítások'!$E$25*(10-U27))</f>
        <v/>
      </c>
      <c r="DL27">
        <f>IF($A27="","",'Beállítások'!$E$26*(10-V27))</f>
        <v/>
      </c>
      <c r="DM27">
        <f>IF($A27="","",'Beállítások'!$E$27*(10-W27))</f>
        <v/>
      </c>
      <c r="DN27">
        <f>IF($A27="","",'Beállítások'!$E$28*(10-X27))</f>
        <v/>
      </c>
      <c r="DO27">
        <f>IF($A27="","",'Beállítások'!$E$29*(10-Y27))</f>
        <v/>
      </c>
      <c r="DP27">
        <f>IF($A27="","",'Beállítások'!$E$30*(10-Z27))</f>
        <v/>
      </c>
      <c r="DQ27">
        <f>IF($A27="","",'Beállítások'!$E$31*(10-AA27))</f>
        <v/>
      </c>
      <c r="DR27">
        <f>IF($A27="","",'Beállítások'!$E$32*(10-AB27))</f>
        <v/>
      </c>
      <c r="DS27">
        <f>IF($A27="","",'Beállítások'!$E$33*(10-AC27))</f>
        <v/>
      </c>
      <c r="DT27">
        <f>IF($A27="","",'Beállítások'!$E$34*(10-AD27))</f>
        <v/>
      </c>
      <c r="DU27">
        <f>IF($A27="","",'Beállítások'!$E$35*(10-AE27))</f>
        <v/>
      </c>
      <c r="DV27">
        <f>IF($A27="","",'Beállítások'!$E$36*(10-AF27))</f>
        <v/>
      </c>
      <c r="DW27">
        <f>IF($A27="","",'Beállítások'!$E$37*(10-AG27))</f>
        <v/>
      </c>
      <c r="DX27">
        <f>IF($A27="","",'Beállítások'!$E$38*(10-AH27))</f>
        <v/>
      </c>
      <c r="DY27">
        <f>IF($A27="","",AM27-ROW()/100000)</f>
        <v/>
      </c>
    </row>
    <row r="28">
      <c r="A28">
        <f>IF('Ügyfelek'!A28="","",'Ügyfelek'!A28)</f>
        <v/>
      </c>
      <c r="B28">
        <f>IF($A28="","",IF('Ügyfelek'!B28="",'Beállítások'!$B$84,IFERROR(VLOOKUP(TRIM('Ügyfelek'!B28),'Beállítások'!$A$51:$B$59,2,FALSE),'Beállítások'!$B$84)))</f>
        <v/>
      </c>
      <c r="C28">
        <f>IF($A28="","",IF('Ügyfelek'!C28="",'Beállítások'!$B$84,MIN(10,MAX(1,ROUND('Ügyfelek'!C28,0)))))</f>
        <v/>
      </c>
      <c r="D28">
        <f>IF($A28="","",IF('Ügyfelek'!D28="",'Beállítások'!$B$84,MIN(10,MAX(1,ROUND('Ügyfelek'!D28,0)))))</f>
        <v/>
      </c>
      <c r="E28">
        <f>IF($A28="","",IF('Ügyfelek'!E28="",'Beállítások'!$B$84,MIN(10,MAX(1,ROUND('Ügyfelek'!E28,0)))))</f>
        <v/>
      </c>
      <c r="F28">
        <f>IF($A28="","",IF('Ügyfelek'!F28="",'Beállítások'!$B$84,MIN(10,MAX(1,ROUND('Ügyfelek'!F28,0)))))</f>
        <v/>
      </c>
      <c r="G28">
        <f>IF($A28="","",IF('Ügyfelek'!G28="",'Beállítások'!$B$84,MIN(10,MAX(1,ROUND('Ügyfelek'!G28,0)))))</f>
        <v/>
      </c>
      <c r="H28">
        <f>IF($A28="","",IF('Ügyfelek'!H28="",'Beállítások'!$B$84,MIN(10,MAX(1,ROUND('Ügyfelek'!H28,0)))))</f>
        <v/>
      </c>
      <c r="I28">
        <f>IF($A28="","",IF('Ügyfelek'!I28="",'Beállítások'!$B$84,MIN(10,MAX(1,ROUND('Ügyfelek'!I28,0)))))</f>
        <v/>
      </c>
      <c r="J28">
        <f>IF($A28="","",IF('Ügyfelek'!J28="",'Beállítások'!$B$84,MIN(10,MAX(1,ROUND('Ügyfelek'!J28,0)))))</f>
        <v/>
      </c>
      <c r="K28">
        <f>IF($A28="","",IF('Ügyfelek'!K28="",'Beállítások'!$B$84,MIN(10,MAX(1,ROUND('Ügyfelek'!K28,0)))))</f>
        <v/>
      </c>
      <c r="L28">
        <f>IF($A28="","",IF('Ügyfelek'!L28="",'Beállítások'!$B$84,MIN(10,MAX(1,ROUND('Ügyfelek'!L28,0)))))</f>
        <v/>
      </c>
      <c r="M28">
        <f>IF($A28="","",IF('Ügyfelek'!M28="",'Beállítások'!$B$84,MIN(10,MAX(1,ROUND('Ügyfelek'!M28,0)))))</f>
        <v/>
      </c>
      <c r="N28">
        <f>IF($A28="","",IF('Ügyfelek'!N28="",'Beállítások'!$B$84,MIN(10,MAX(1,ROUND('Ügyfelek'!N28,0)))))</f>
        <v/>
      </c>
      <c r="O28">
        <f>IF($A28="","",IF('Ügyfelek'!O28="",'Beállítások'!$B$84,MIN(10,MAX(1,ROUND('Ügyfelek'!O28,0)))))</f>
        <v/>
      </c>
      <c r="P28">
        <f>IF($A28="","",IF('Ügyfelek'!P28="",'Beállítások'!$B$84,MIN(10,MAX(1,ROUND('Ügyfelek'!P28,0)))))</f>
        <v/>
      </c>
      <c r="Q28">
        <f>IF($A28="","",IF('Ügyfelek'!Q28="",'Beállítások'!$B$84,MIN(10,MAX(1,ROUND('Ügyfelek'!Q28,0)))))</f>
        <v/>
      </c>
      <c r="R28">
        <f>IF($A28="","",IF('Ügyfelek'!R28="",'Beállítások'!$B$84,MIN(10,MAX(1,ROUND('Ügyfelek'!R28,0)))))</f>
        <v/>
      </c>
      <c r="S28">
        <f>IF($A28="","",IF('Ügyfelek'!S28="",'Beállítások'!$B$84,MIN(10,MAX(1,ROUND('Ügyfelek'!S28,0)))))</f>
        <v/>
      </c>
      <c r="T28">
        <f>IF($A28="","",IF('Ügyfelek'!T28="",'Beállítások'!$B$84,VLOOKUP(MAX('Ügyfelek'!T28,'Beállítások'!$H$7),'Beállítások'!$H$7:$I$12,2,TRUE)))</f>
        <v/>
      </c>
      <c r="U28">
        <f>IF($A28="","",IF('Ügyfelek'!U28="",'Beállítások'!$B$84,VLOOKUP(MAX('Ügyfelek'!U28,'Beállítások'!$K$7),'Beállítások'!$K$7:$L$12,2,TRUE)))</f>
        <v/>
      </c>
      <c r="V28">
        <f>IF($A28="","",IF('Ügyfelek'!V28="",'Beállítások'!$B$84,MIN(10,MAX(1,ROUND('Ügyfelek'!V28,0)))))</f>
        <v/>
      </c>
      <c r="W28">
        <f>IF($A28="","",IF('Ügyfelek'!W28="",'Beállítások'!$B$84,VLOOKUP(MAX('Ügyfelek'!W28,'Beállítások'!$N$7),'Beállítások'!$N$7:$O$12,2,TRUE)))</f>
        <v/>
      </c>
      <c r="X28">
        <f>IF($A28="","",IF('Ügyfelek'!X28="",'Beállítások'!$B$84,MIN(10,MAX(1,ROUND('Ügyfelek'!X28,0)))))</f>
        <v/>
      </c>
      <c r="Y28">
        <f>IF($A28="","",IF('Ügyfelek'!Y28="",'Beállítások'!$B$84,IFERROR(VLOOKUP(TRIM('Ügyfelek'!Y28),'Beállítások'!$A$63:$B$69,2,FALSE),'Beállítások'!$B$84)))</f>
        <v/>
      </c>
      <c r="Z28">
        <f>IF($A28="","",IF('Ügyfelek'!Z28="",'Beállítások'!$B$84,VLOOKUP(MAX('Ügyfelek'!Z28,'Beállítások'!$Q$7),'Beállítások'!$Q$7:$R$12,2,TRUE)))</f>
        <v/>
      </c>
      <c r="AA28">
        <f>IF($A28="","",IF('Ügyfelek'!AA28="",'Beállítások'!$B$84,VLOOKUP(MAX('Ügyfelek'!AA28,'Beállítások'!$T$7),'Beállítások'!$T$7:$U$12,2,TRUE)))</f>
        <v/>
      </c>
      <c r="AB28">
        <f>IF($A28="","",IF('Ügyfelek'!AB28="",'Beállítások'!$B$84,MIN(10,MAX(1,ROUND('Ügyfelek'!AB28,0)))))</f>
        <v/>
      </c>
      <c r="AC28">
        <f>IF($A28="","",IF('Ügyfelek'!AC28="",'Beállítások'!$B$84,MIN(10,MAX(1,ROUND('Ügyfelek'!AC28,0)))))</f>
        <v/>
      </c>
      <c r="AD28">
        <f>IF($A28="","",IF('Ügyfelek'!AD28="",'Beállítások'!$B$84,MIN(10,MAX(1,ROUND('Ügyfelek'!AD28,0)))))</f>
        <v/>
      </c>
      <c r="AE28">
        <f>IF($A28="","",IF('Ügyfelek'!AE28="",'Beállítások'!$B$84,MIN(10,MAX(1,ROUND('Ügyfelek'!AE28,0)))))</f>
        <v/>
      </c>
      <c r="AF28">
        <f>IF($A28="","",IF('Ügyfelek'!AF28="",'Beállítások'!$B$84,MIN(10,MAX(1,ROUND('Ügyfelek'!AF28,0)))))</f>
        <v/>
      </c>
      <c r="AG28">
        <f>IF($A28="","",IF('Ügyfelek'!AG28="",'Beállítások'!$B$84,MIN(10,MAX(1,ROUND('Ügyfelek'!AG28,0)))))</f>
        <v/>
      </c>
      <c r="AH28">
        <f>IF($A28="","",IF('Ügyfelek'!AH28="",'Beállítások'!$B$84,IFERROR(VLOOKUP(TRIM('Ügyfelek'!AH28),'Beállítások'!$A$73:$B$79,2,FALSE),'Beállítások'!$B$84)))</f>
        <v/>
      </c>
      <c r="AI28" s="23">
        <f>IF($A28="","",ROUND(100*('Beállítások'!$E$6*(B28-1)+'Beállítások'!$E$7*(C28-1))/(9*'Beállítások'!$B$43),1))</f>
        <v/>
      </c>
      <c r="AJ28" s="23">
        <f>IF($A28="","",ROUND(100*('Beállítások'!$E$8*(D28-1)+'Beállítások'!$E$9*(E28-1)+'Beállítások'!$E$10*(F28-1)+'Beállítások'!$E$11*(G28-1)+'Beállítások'!$E$12*(H28-1)+'Beállítások'!$E$13*(I28-1)+'Beállítások'!$E$14*(J28-1)+'Beállítások'!$E$15*(K28-1)+'Beállítások'!$E$16*(L28-1)+'Beállítások'!$E$17*(M28-1)+'Beállítások'!$E$18*(N28-1)+'Beállítások'!$E$19*(O28-1)+'Beállítások'!$E$20*(P28-1)+'Beállítások'!$E$21*(Q28-1)+'Beállítások'!$E$22*(R28-1))/(9*'Beállítások'!$B$44),1))</f>
        <v/>
      </c>
      <c r="AK28" s="23">
        <f>IF($A28="","",ROUND(100*('Beállítások'!$E$23*(S28-1)+'Beállítások'!$E$24*(T28-1)+'Beállítások'!$E$25*(U28-1)+'Beállítások'!$E$26*(V28-1)+'Beállítások'!$E$27*(W28-1)+'Beállítások'!$E$28*(X28-1)+'Beállítások'!$E$29*(Y28-1))/(9*'Beállítások'!$B$45),1))</f>
        <v/>
      </c>
      <c r="AL28" s="23">
        <f>IF($A28="","",ROUND(100*('Beállítások'!$E$30*(Z28-1)+'Beállítások'!$E$31*(AA28-1)+'Beállítások'!$E$32*(AB28-1)+'Beállítások'!$E$33*(AC28-1)+'Beállítások'!$E$34*(AD28-1)+'Beállítások'!$E$35*(AE28-1)+'Beállítások'!$E$36*(AF28-1)+'Beállítások'!$E$37*(AG28-1)+'Beállítások'!$E$38*(AH28-1))/(9*'Beállítások'!$B$46),1))</f>
        <v/>
      </c>
      <c r="AM28" s="23">
        <f>IF($A28="","",ROUND(100*('Beállítások'!$E$6*(B28-1)+'Beállítások'!$E$7*(C28-1)+'Beállítások'!$E$8*(D28-1)+'Beállítások'!$E$9*(E28-1)+'Beállítások'!$E$10*(F28-1)+'Beállítások'!$E$11*(G28-1)+'Beállítások'!$E$12*(H28-1)+'Beállítások'!$E$13*(I28-1)+'Beállítások'!$E$14*(J28-1)+'Beállítások'!$E$15*(K28-1)+'Beállítások'!$E$16*(L28-1)+'Beállítások'!$E$17*(M28-1)+'Beállítások'!$E$18*(N28-1)+'Beállítások'!$E$19*(O28-1)+'Beállítások'!$E$20*(P28-1)+'Beállítások'!$E$21*(Q28-1)+'Beállítások'!$E$22*(R28-1)+'Beállítások'!$E$23*(S28-1)+'Beállítások'!$E$24*(T28-1)+'Beállítások'!$E$25*(U28-1)+'Beállítások'!$E$26*(V28-1)+'Beállítások'!$E$27*(W28-1)+'Beállítások'!$E$28*(X28-1)+'Beállítások'!$E$29*(Y28-1)+'Beállítások'!$E$30*(Z28-1)+'Beállítások'!$E$31*(AA28-1)+'Beállítások'!$E$32*(AB28-1)+'Beállítások'!$E$33*(AC28-1)+'Beállítások'!$E$34*(AD28-1)+'Beállítások'!$E$35*(AE28-1)+'Beállítások'!$E$36*(AF28-1)+'Beállítások'!$E$37*(AG28-1)+'Beállítások'!$E$38*(AH28-1))/(9*'Beállítások'!$E$39),1))</f>
        <v/>
      </c>
      <c r="AN28" s="23">
        <f>IF($A28="","",ROUND(100*('Beállítások'!$E$8*(D28-1)+'Beállítások'!$E$9*(E28-1)+'Beállítások'!$E$10*(F28-1)+'Beállítások'!$E$11*(G28-1)+'Beállítások'!$E$12*(H28-1)+'Beállítások'!$E$13*(I28-1)+'Beállítások'!$E$14*(J28-1)+'Beállítások'!$E$15*(K28-1)+'Beállítások'!$E$16*(L28-1)+'Beállítások'!$E$17*(M28-1)+'Beállítások'!$E$18*(N28-1)+'Beállítások'!$E$19*(O28-1)+'Beállítások'!$E$20*(P28-1)+'Beállítások'!$E$21*(Q28-1)+'Beállítások'!$E$22*(R28-1)+'Beállítások'!$E$23*(S28-1)+'Beállítások'!$E$24*(T28-1)+'Beállítások'!$E$25*(U28-1)+'Beállítások'!$E$26*(V28-1)+'Beállítások'!$E$27*(W28-1)+'Beállítások'!$E$28*(X28-1)+'Beállítások'!$E$29*(Y28-1))/(9*('Beállítások'!$B$44+'Beállítások'!$B$45)),1))</f>
        <v/>
      </c>
      <c r="AO28" s="24">
        <f>IF($A28="","",RANK(AM28,$AM$2:$AM$201))</f>
        <v/>
      </c>
      <c r="AP28">
        <f>IF($A28="","",IF(OR(AND('Ügyfelek'!B28&lt;&gt;"",B28&lt;='Beállítások'!$B$85),AND('Ügyfelek'!C28&lt;&gt;"",C28&lt;='Beállítások'!$B$86)),"Igen","Nem"))</f>
        <v/>
      </c>
      <c r="AQ28" s="24">
        <f>IF($A28="","",IF(AP28="Igen",5,IF(AN28&gt;='Beállítások'!$C$108,1,IF(AN28&gt;='Beállítások'!$C$109,2,IF(AN28&gt;='Beállítások'!$C$110,3,IF(AND(AN28&gt;='Beállítások'!$B$87,AI28&gt;='Beállítások'!$B$88,AL28&gt;='Beállítások'!$B$89),4,5))))))</f>
        <v/>
      </c>
      <c r="AR28">
        <f>IF($A28="","",INDEX('Beállítások'!$B$108:$B$112,AQ28))</f>
        <v/>
      </c>
      <c r="AS28">
        <f>IF($A28="","",IF(AQ28=5,"Elutasítjuk",IF(AND(AQ28=4,COUNTIFS('Eredmény'!$AQ$2:$AQ$201,4,'Eredmény'!$DY$2:$DY$201,"&gt;"&amp;DY28)&gt;='Beállítások'!$B$90),"Várólista (a 4-es hely foglalt)","Elfogadjuk")))</f>
        <v/>
      </c>
      <c r="AT28">
        <f>IF($A28="","",INDEX('Beállítások'!$F$108:$F$112,AQ28))</f>
        <v/>
      </c>
      <c r="AU28">
        <f>IF($A28="","",INDEX('Beállítások'!$B$6:$B$38,MATCH(MAX(BK28:CQ28),BK28:CQ28,0)))</f>
        <v/>
      </c>
      <c r="AV28">
        <f>IF($A28="","",IF(MAX(CR28:DX28)=0,"—",INDEX('Beállítások'!$B$6:$B$38,MATCH(MAX(CR28:DX28),CR28:DX28,0))))</f>
        <v/>
      </c>
      <c r="AW28" s="10">
        <f>IF($A28="","",'Beállítások'!$B$94*(TRIM('Ügyfelek'!AI28)="igen")+'Beállítások'!$B$95*(TRIM('Ügyfelek'!AJ28)="igen")+'Beállítások'!$B$96*N('Ügyfelek'!AK28)+'Beállítások'!$B$93*N('Ügyfelek'!AL28))</f>
        <v/>
      </c>
      <c r="AX28" s="25">
        <f>IF(OR($A28="",AQ28=5),"",INDEX('Beállítások'!$D$108:$D$112,AQ28))</f>
        <v/>
      </c>
      <c r="AY28" s="10">
        <f>IF($A28="","",N('Ügyfelek'!U28)*'Beállítások'!$B$98)</f>
        <v/>
      </c>
      <c r="AZ28" s="10">
        <f>IF(OR($A28="",AQ28=5),"",CEILING(ROUND(MAX('Beállítások'!$B$97,AW28*AX28,AY28),2),'Beállítások'!$B$99))</f>
        <v/>
      </c>
      <c r="BA28">
        <f>IF($A28="","",IF(AQ28=5,"Elutasítva",IF(MAX('Beállítások'!$B$97,AW28*AX28,AY28)=AW28*AX28,"Munkaigény × státuszszorzó",IF(MAX('Beállítások'!$B$97,AW28*AX28,AY28)=AY28,"Hirdetési keret arányában","Minimumdíj"))))</f>
        <v/>
      </c>
      <c r="BB28" s="10">
        <f>IF(OR($A28="",'Ügyfelek'!AM28=""),"",'Ügyfelek'!AM28)</f>
        <v/>
      </c>
      <c r="BC28" s="10">
        <f>IF(OR(BB28="",AZ28=""),"",AZ28-BB28)</f>
        <v/>
      </c>
      <c r="BD28" s="18">
        <f>IF(OR(BB28="",AZ28="",BB28=0),"",BC28/BB28)</f>
        <v/>
      </c>
      <c r="BE28">
        <f>IF(OR($A28="",AQ28=5),"",IF(AND(INDEX('Beállítások'!$E$108:$E$112,AQ28)&gt;0,Y28&gt;='Beállítások'!$B$91),"Igen","Nem"))</f>
        <v/>
      </c>
      <c r="BF28" s="10">
        <f>IF(BE28="Igen",CEILING(ROUND(AZ28*(1-'Beállítások'!$B$92),2),'Beállítások'!$B$99),"")</f>
        <v/>
      </c>
      <c r="BG28" s="20">
        <f>IF(BE28="Igen",INDEX('Beállítások'!$E$108:$E$112,AQ28),"")</f>
        <v/>
      </c>
      <c r="BH28" s="10">
        <f>IF(OR(BE28&lt;&gt;"Igen",'Ügyfelek'!AN28=""),"",'Ügyfelek'!AN28*BG28)</f>
        <v/>
      </c>
      <c r="BI28" s="24">
        <f>IF($A28="","",('Ügyfelek'!B28="")+('Ügyfelek'!C28="")+('Ügyfelek'!D28="")+('Ügyfelek'!E28="")+('Ügyfelek'!F28="")+('Ügyfelek'!G28="")+('Ügyfelek'!H28="")+('Ügyfelek'!I28="")+('Ügyfelek'!J28="")+('Ügyfelek'!K28="")+('Ügyfelek'!L28="")+('Ügyfelek'!M28="")+('Ügyfelek'!N28="")+('Ügyfelek'!O28="")+('Ügyfelek'!P28="")+('Ügyfelek'!Q28="")+('Ügyfelek'!R28="")+('Ügyfelek'!S28="")+('Ügyfelek'!T28="")+('Ügyfelek'!U28="")+('Ügyfelek'!V28="")+('Ügyfelek'!W28="")+('Ügyfelek'!X28="")+('Ügyfelek'!Y28="")+('Ügyfelek'!Z28="")+('Ügyfelek'!AA28="")+('Ügyfelek'!AB28="")+('Ügyfelek'!AC28="")+('Ügyfelek'!AD28="")+('Ügyfelek'!AE28="")+('Ügyfelek'!AF28="")+('Ügyfelek'!AG28="")+('Ügyfelek'!AH28=""))</f>
        <v/>
      </c>
      <c r="BK28">
        <f>IF($A28="","",B28+'Beállítások'!$E$6/1000)</f>
        <v/>
      </c>
      <c r="BL28">
        <f>IF($A28="","",C28+'Beállítások'!$E$7/1000)</f>
        <v/>
      </c>
      <c r="BM28">
        <f>IF($A28="","",D28+'Beállítások'!$E$8/1000)</f>
        <v/>
      </c>
      <c r="BN28">
        <f>IF($A28="","",E28+'Beállítások'!$E$9/1000)</f>
        <v/>
      </c>
      <c r="BO28">
        <f>IF($A28="","",F28+'Beállítások'!$E$10/1000)</f>
        <v/>
      </c>
      <c r="BP28">
        <f>IF($A28="","",G28+'Beállítások'!$E$11/1000)</f>
        <v/>
      </c>
      <c r="BQ28">
        <f>IF($A28="","",H28+'Beállítások'!$E$12/1000)</f>
        <v/>
      </c>
      <c r="BR28">
        <f>IF($A28="","",I28+'Beállítások'!$E$13/1000)</f>
        <v/>
      </c>
      <c r="BS28">
        <f>IF($A28="","",J28+'Beállítások'!$E$14/1000)</f>
        <v/>
      </c>
      <c r="BT28">
        <f>IF($A28="","",K28+'Beállítások'!$E$15/1000)</f>
        <v/>
      </c>
      <c r="BU28">
        <f>IF($A28="","",L28+'Beállítások'!$E$16/1000)</f>
        <v/>
      </c>
      <c r="BV28">
        <f>IF($A28="","",M28+'Beállítások'!$E$17/1000)</f>
        <v/>
      </c>
      <c r="BW28">
        <f>IF($A28="","",N28+'Beállítások'!$E$18/1000)</f>
        <v/>
      </c>
      <c r="BX28">
        <f>IF($A28="","",O28+'Beállítások'!$E$19/1000)</f>
        <v/>
      </c>
      <c r="BY28">
        <f>IF($A28="","",P28+'Beállítások'!$E$20/1000)</f>
        <v/>
      </c>
      <c r="BZ28">
        <f>IF($A28="","",Q28+'Beállítások'!$E$21/1000)</f>
        <v/>
      </c>
      <c r="CA28">
        <f>IF($A28="","",R28+'Beállítások'!$E$22/1000)</f>
        <v/>
      </c>
      <c r="CB28">
        <f>IF($A28="","",S28+'Beállítások'!$E$23/1000)</f>
        <v/>
      </c>
      <c r="CC28">
        <f>IF($A28="","",T28+'Beállítások'!$E$24/1000)</f>
        <v/>
      </c>
      <c r="CD28">
        <f>IF($A28="","",U28+'Beállítások'!$E$25/1000)</f>
        <v/>
      </c>
      <c r="CE28">
        <f>IF($A28="","",V28+'Beállítások'!$E$26/1000)</f>
        <v/>
      </c>
      <c r="CF28">
        <f>IF($A28="","",W28+'Beállítások'!$E$27/1000)</f>
        <v/>
      </c>
      <c r="CG28">
        <f>IF($A28="","",X28+'Beállítások'!$E$28/1000)</f>
        <v/>
      </c>
      <c r="CH28">
        <f>IF($A28="","",Y28+'Beállítások'!$E$29/1000)</f>
        <v/>
      </c>
      <c r="CI28">
        <f>IF($A28="","",Z28+'Beállítások'!$E$30/1000)</f>
        <v/>
      </c>
      <c r="CJ28">
        <f>IF($A28="","",AA28+'Beállítások'!$E$31/1000)</f>
        <v/>
      </c>
      <c r="CK28">
        <f>IF($A28="","",AB28+'Beállítások'!$E$32/1000)</f>
        <v/>
      </c>
      <c r="CL28">
        <f>IF($A28="","",AC28+'Beállítások'!$E$33/1000)</f>
        <v/>
      </c>
      <c r="CM28">
        <f>IF($A28="","",AD28+'Beállítások'!$E$34/1000)</f>
        <v/>
      </c>
      <c r="CN28">
        <f>IF($A28="","",AE28+'Beállítások'!$E$35/1000)</f>
        <v/>
      </c>
      <c r="CO28">
        <f>IF($A28="","",AF28+'Beállítások'!$E$36/1000)</f>
        <v/>
      </c>
      <c r="CP28">
        <f>IF($A28="","",AG28+'Beállítások'!$E$37/1000)</f>
        <v/>
      </c>
      <c r="CQ28">
        <f>IF($A28="","",AH28+'Beállítások'!$E$38/1000)</f>
        <v/>
      </c>
      <c r="CR28">
        <f>IF($A28="","",'Beállítások'!$E$6*(10-B28))</f>
        <v/>
      </c>
      <c r="CS28">
        <f>IF($A28="","",'Beállítások'!$E$7*(10-C28))</f>
        <v/>
      </c>
      <c r="CT28">
        <f>IF($A28="","",'Beállítások'!$E$8*(10-D28))</f>
        <v/>
      </c>
      <c r="CU28">
        <f>IF($A28="","",'Beállítások'!$E$9*(10-E28))</f>
        <v/>
      </c>
      <c r="CV28">
        <f>IF($A28="","",'Beállítások'!$E$10*(10-F28))</f>
        <v/>
      </c>
      <c r="CW28">
        <f>IF($A28="","",'Beállítások'!$E$11*(10-G28))</f>
        <v/>
      </c>
      <c r="CX28">
        <f>IF($A28="","",'Beállítások'!$E$12*(10-H28))</f>
        <v/>
      </c>
      <c r="CY28">
        <f>IF($A28="","",'Beállítások'!$E$13*(10-I28))</f>
        <v/>
      </c>
      <c r="CZ28">
        <f>IF($A28="","",'Beállítások'!$E$14*(10-J28))</f>
        <v/>
      </c>
      <c r="DA28">
        <f>IF($A28="","",'Beállítások'!$E$15*(10-K28))</f>
        <v/>
      </c>
      <c r="DB28">
        <f>IF($A28="","",'Beállítások'!$E$16*(10-L28))</f>
        <v/>
      </c>
      <c r="DC28">
        <f>IF($A28="","",'Beállítások'!$E$17*(10-M28))</f>
        <v/>
      </c>
      <c r="DD28">
        <f>IF($A28="","",'Beállítások'!$E$18*(10-N28))</f>
        <v/>
      </c>
      <c r="DE28">
        <f>IF($A28="","",'Beállítások'!$E$19*(10-O28))</f>
        <v/>
      </c>
      <c r="DF28">
        <f>IF($A28="","",'Beállítások'!$E$20*(10-P28))</f>
        <v/>
      </c>
      <c r="DG28">
        <f>IF($A28="","",'Beállítások'!$E$21*(10-Q28))</f>
        <v/>
      </c>
      <c r="DH28">
        <f>IF($A28="","",'Beállítások'!$E$22*(10-R28))</f>
        <v/>
      </c>
      <c r="DI28">
        <f>IF($A28="","",'Beállítások'!$E$23*(10-S28))</f>
        <v/>
      </c>
      <c r="DJ28">
        <f>IF($A28="","",'Beállítások'!$E$24*(10-T28))</f>
        <v/>
      </c>
      <c r="DK28">
        <f>IF($A28="","",'Beállítások'!$E$25*(10-U28))</f>
        <v/>
      </c>
      <c r="DL28">
        <f>IF($A28="","",'Beállítások'!$E$26*(10-V28))</f>
        <v/>
      </c>
      <c r="DM28">
        <f>IF($A28="","",'Beállítások'!$E$27*(10-W28))</f>
        <v/>
      </c>
      <c r="DN28">
        <f>IF($A28="","",'Beállítások'!$E$28*(10-X28))</f>
        <v/>
      </c>
      <c r="DO28">
        <f>IF($A28="","",'Beállítások'!$E$29*(10-Y28))</f>
        <v/>
      </c>
      <c r="DP28">
        <f>IF($A28="","",'Beállítások'!$E$30*(10-Z28))</f>
        <v/>
      </c>
      <c r="DQ28">
        <f>IF($A28="","",'Beállítások'!$E$31*(10-AA28))</f>
        <v/>
      </c>
      <c r="DR28">
        <f>IF($A28="","",'Beállítások'!$E$32*(10-AB28))</f>
        <v/>
      </c>
      <c r="DS28">
        <f>IF($A28="","",'Beállítások'!$E$33*(10-AC28))</f>
        <v/>
      </c>
      <c r="DT28">
        <f>IF($A28="","",'Beállítások'!$E$34*(10-AD28))</f>
        <v/>
      </c>
      <c r="DU28">
        <f>IF($A28="","",'Beállítások'!$E$35*(10-AE28))</f>
        <v/>
      </c>
      <c r="DV28">
        <f>IF($A28="","",'Beállítások'!$E$36*(10-AF28))</f>
        <v/>
      </c>
      <c r="DW28">
        <f>IF($A28="","",'Beállítások'!$E$37*(10-AG28))</f>
        <v/>
      </c>
      <c r="DX28">
        <f>IF($A28="","",'Beállítások'!$E$38*(10-AH28))</f>
        <v/>
      </c>
      <c r="DY28">
        <f>IF($A28="","",AM28-ROW()/100000)</f>
        <v/>
      </c>
    </row>
    <row r="29">
      <c r="A29">
        <f>IF('Ügyfelek'!A29="","",'Ügyfelek'!A29)</f>
        <v/>
      </c>
      <c r="B29">
        <f>IF($A29="","",IF('Ügyfelek'!B29="",'Beállítások'!$B$84,IFERROR(VLOOKUP(TRIM('Ügyfelek'!B29),'Beállítások'!$A$51:$B$59,2,FALSE),'Beállítások'!$B$84)))</f>
        <v/>
      </c>
      <c r="C29">
        <f>IF($A29="","",IF('Ügyfelek'!C29="",'Beállítások'!$B$84,MIN(10,MAX(1,ROUND('Ügyfelek'!C29,0)))))</f>
        <v/>
      </c>
      <c r="D29">
        <f>IF($A29="","",IF('Ügyfelek'!D29="",'Beállítások'!$B$84,MIN(10,MAX(1,ROUND('Ügyfelek'!D29,0)))))</f>
        <v/>
      </c>
      <c r="E29">
        <f>IF($A29="","",IF('Ügyfelek'!E29="",'Beállítások'!$B$84,MIN(10,MAX(1,ROUND('Ügyfelek'!E29,0)))))</f>
        <v/>
      </c>
      <c r="F29">
        <f>IF($A29="","",IF('Ügyfelek'!F29="",'Beállítások'!$B$84,MIN(10,MAX(1,ROUND('Ügyfelek'!F29,0)))))</f>
        <v/>
      </c>
      <c r="G29">
        <f>IF($A29="","",IF('Ügyfelek'!G29="",'Beállítások'!$B$84,MIN(10,MAX(1,ROUND('Ügyfelek'!G29,0)))))</f>
        <v/>
      </c>
      <c r="H29">
        <f>IF($A29="","",IF('Ügyfelek'!H29="",'Beállítások'!$B$84,MIN(10,MAX(1,ROUND('Ügyfelek'!H29,0)))))</f>
        <v/>
      </c>
      <c r="I29">
        <f>IF($A29="","",IF('Ügyfelek'!I29="",'Beállítások'!$B$84,MIN(10,MAX(1,ROUND('Ügyfelek'!I29,0)))))</f>
        <v/>
      </c>
      <c r="J29">
        <f>IF($A29="","",IF('Ügyfelek'!J29="",'Beállítások'!$B$84,MIN(10,MAX(1,ROUND('Ügyfelek'!J29,0)))))</f>
        <v/>
      </c>
      <c r="K29">
        <f>IF($A29="","",IF('Ügyfelek'!K29="",'Beállítások'!$B$84,MIN(10,MAX(1,ROUND('Ügyfelek'!K29,0)))))</f>
        <v/>
      </c>
      <c r="L29">
        <f>IF($A29="","",IF('Ügyfelek'!L29="",'Beállítások'!$B$84,MIN(10,MAX(1,ROUND('Ügyfelek'!L29,0)))))</f>
        <v/>
      </c>
      <c r="M29">
        <f>IF($A29="","",IF('Ügyfelek'!M29="",'Beállítások'!$B$84,MIN(10,MAX(1,ROUND('Ügyfelek'!M29,0)))))</f>
        <v/>
      </c>
      <c r="N29">
        <f>IF($A29="","",IF('Ügyfelek'!N29="",'Beállítások'!$B$84,MIN(10,MAX(1,ROUND('Ügyfelek'!N29,0)))))</f>
        <v/>
      </c>
      <c r="O29">
        <f>IF($A29="","",IF('Ügyfelek'!O29="",'Beállítások'!$B$84,MIN(10,MAX(1,ROUND('Ügyfelek'!O29,0)))))</f>
        <v/>
      </c>
      <c r="P29">
        <f>IF($A29="","",IF('Ügyfelek'!P29="",'Beállítások'!$B$84,MIN(10,MAX(1,ROUND('Ügyfelek'!P29,0)))))</f>
        <v/>
      </c>
      <c r="Q29">
        <f>IF($A29="","",IF('Ügyfelek'!Q29="",'Beállítások'!$B$84,MIN(10,MAX(1,ROUND('Ügyfelek'!Q29,0)))))</f>
        <v/>
      </c>
      <c r="R29">
        <f>IF($A29="","",IF('Ügyfelek'!R29="",'Beállítások'!$B$84,MIN(10,MAX(1,ROUND('Ügyfelek'!R29,0)))))</f>
        <v/>
      </c>
      <c r="S29">
        <f>IF($A29="","",IF('Ügyfelek'!S29="",'Beállítások'!$B$84,MIN(10,MAX(1,ROUND('Ügyfelek'!S29,0)))))</f>
        <v/>
      </c>
      <c r="T29">
        <f>IF($A29="","",IF('Ügyfelek'!T29="",'Beállítások'!$B$84,VLOOKUP(MAX('Ügyfelek'!T29,'Beállítások'!$H$7),'Beállítások'!$H$7:$I$12,2,TRUE)))</f>
        <v/>
      </c>
      <c r="U29">
        <f>IF($A29="","",IF('Ügyfelek'!U29="",'Beállítások'!$B$84,VLOOKUP(MAX('Ügyfelek'!U29,'Beállítások'!$K$7),'Beállítások'!$K$7:$L$12,2,TRUE)))</f>
        <v/>
      </c>
      <c r="V29">
        <f>IF($A29="","",IF('Ügyfelek'!V29="",'Beállítások'!$B$84,MIN(10,MAX(1,ROUND('Ügyfelek'!V29,0)))))</f>
        <v/>
      </c>
      <c r="W29">
        <f>IF($A29="","",IF('Ügyfelek'!W29="",'Beállítások'!$B$84,VLOOKUP(MAX('Ügyfelek'!W29,'Beállítások'!$N$7),'Beállítások'!$N$7:$O$12,2,TRUE)))</f>
        <v/>
      </c>
      <c r="X29">
        <f>IF($A29="","",IF('Ügyfelek'!X29="",'Beállítások'!$B$84,MIN(10,MAX(1,ROUND('Ügyfelek'!X29,0)))))</f>
        <v/>
      </c>
      <c r="Y29">
        <f>IF($A29="","",IF('Ügyfelek'!Y29="",'Beállítások'!$B$84,IFERROR(VLOOKUP(TRIM('Ügyfelek'!Y29),'Beállítások'!$A$63:$B$69,2,FALSE),'Beállítások'!$B$84)))</f>
        <v/>
      </c>
      <c r="Z29">
        <f>IF($A29="","",IF('Ügyfelek'!Z29="",'Beállítások'!$B$84,VLOOKUP(MAX('Ügyfelek'!Z29,'Beállítások'!$Q$7),'Beállítások'!$Q$7:$R$12,2,TRUE)))</f>
        <v/>
      </c>
      <c r="AA29">
        <f>IF($A29="","",IF('Ügyfelek'!AA29="",'Beállítások'!$B$84,VLOOKUP(MAX('Ügyfelek'!AA29,'Beállítások'!$T$7),'Beállítások'!$T$7:$U$12,2,TRUE)))</f>
        <v/>
      </c>
      <c r="AB29">
        <f>IF($A29="","",IF('Ügyfelek'!AB29="",'Beállítások'!$B$84,MIN(10,MAX(1,ROUND('Ügyfelek'!AB29,0)))))</f>
        <v/>
      </c>
      <c r="AC29">
        <f>IF($A29="","",IF('Ügyfelek'!AC29="",'Beállítások'!$B$84,MIN(10,MAX(1,ROUND('Ügyfelek'!AC29,0)))))</f>
        <v/>
      </c>
      <c r="AD29">
        <f>IF($A29="","",IF('Ügyfelek'!AD29="",'Beállítások'!$B$84,MIN(10,MAX(1,ROUND('Ügyfelek'!AD29,0)))))</f>
        <v/>
      </c>
      <c r="AE29">
        <f>IF($A29="","",IF('Ügyfelek'!AE29="",'Beállítások'!$B$84,MIN(10,MAX(1,ROUND('Ügyfelek'!AE29,0)))))</f>
        <v/>
      </c>
      <c r="AF29">
        <f>IF($A29="","",IF('Ügyfelek'!AF29="",'Beállítások'!$B$84,MIN(10,MAX(1,ROUND('Ügyfelek'!AF29,0)))))</f>
        <v/>
      </c>
      <c r="AG29">
        <f>IF($A29="","",IF('Ügyfelek'!AG29="",'Beállítások'!$B$84,MIN(10,MAX(1,ROUND('Ügyfelek'!AG29,0)))))</f>
        <v/>
      </c>
      <c r="AH29">
        <f>IF($A29="","",IF('Ügyfelek'!AH29="",'Beállítások'!$B$84,IFERROR(VLOOKUP(TRIM('Ügyfelek'!AH29),'Beállítások'!$A$73:$B$79,2,FALSE),'Beállítások'!$B$84)))</f>
        <v/>
      </c>
      <c r="AI29" s="23">
        <f>IF($A29="","",ROUND(100*('Beállítások'!$E$6*(B29-1)+'Beállítások'!$E$7*(C29-1))/(9*'Beállítások'!$B$43),1))</f>
        <v/>
      </c>
      <c r="AJ29" s="23">
        <f>IF($A29="","",ROUND(100*('Beállítások'!$E$8*(D29-1)+'Beállítások'!$E$9*(E29-1)+'Beállítások'!$E$10*(F29-1)+'Beállítások'!$E$11*(G29-1)+'Beállítások'!$E$12*(H29-1)+'Beállítások'!$E$13*(I29-1)+'Beállítások'!$E$14*(J29-1)+'Beállítások'!$E$15*(K29-1)+'Beállítások'!$E$16*(L29-1)+'Beállítások'!$E$17*(M29-1)+'Beállítások'!$E$18*(N29-1)+'Beállítások'!$E$19*(O29-1)+'Beállítások'!$E$20*(P29-1)+'Beállítások'!$E$21*(Q29-1)+'Beállítások'!$E$22*(R29-1))/(9*'Beállítások'!$B$44),1))</f>
        <v/>
      </c>
      <c r="AK29" s="23">
        <f>IF($A29="","",ROUND(100*('Beállítások'!$E$23*(S29-1)+'Beállítások'!$E$24*(T29-1)+'Beállítások'!$E$25*(U29-1)+'Beállítások'!$E$26*(V29-1)+'Beállítások'!$E$27*(W29-1)+'Beállítások'!$E$28*(X29-1)+'Beállítások'!$E$29*(Y29-1))/(9*'Beállítások'!$B$45),1))</f>
        <v/>
      </c>
      <c r="AL29" s="23">
        <f>IF($A29="","",ROUND(100*('Beállítások'!$E$30*(Z29-1)+'Beállítások'!$E$31*(AA29-1)+'Beállítások'!$E$32*(AB29-1)+'Beállítások'!$E$33*(AC29-1)+'Beállítások'!$E$34*(AD29-1)+'Beállítások'!$E$35*(AE29-1)+'Beállítások'!$E$36*(AF29-1)+'Beállítások'!$E$37*(AG29-1)+'Beállítások'!$E$38*(AH29-1))/(9*'Beállítások'!$B$46),1))</f>
        <v/>
      </c>
      <c r="AM29" s="23">
        <f>IF($A29="","",ROUND(100*('Beállítások'!$E$6*(B29-1)+'Beállítások'!$E$7*(C29-1)+'Beállítások'!$E$8*(D29-1)+'Beállítások'!$E$9*(E29-1)+'Beállítások'!$E$10*(F29-1)+'Beállítások'!$E$11*(G29-1)+'Beállítások'!$E$12*(H29-1)+'Beállítások'!$E$13*(I29-1)+'Beállítások'!$E$14*(J29-1)+'Beállítások'!$E$15*(K29-1)+'Beállítások'!$E$16*(L29-1)+'Beállítások'!$E$17*(M29-1)+'Beállítások'!$E$18*(N29-1)+'Beállítások'!$E$19*(O29-1)+'Beállítások'!$E$20*(P29-1)+'Beállítások'!$E$21*(Q29-1)+'Beállítások'!$E$22*(R29-1)+'Beállítások'!$E$23*(S29-1)+'Beállítások'!$E$24*(T29-1)+'Beállítások'!$E$25*(U29-1)+'Beállítások'!$E$26*(V29-1)+'Beállítások'!$E$27*(W29-1)+'Beállítások'!$E$28*(X29-1)+'Beállítások'!$E$29*(Y29-1)+'Beállítások'!$E$30*(Z29-1)+'Beállítások'!$E$31*(AA29-1)+'Beállítások'!$E$32*(AB29-1)+'Beállítások'!$E$33*(AC29-1)+'Beállítások'!$E$34*(AD29-1)+'Beállítások'!$E$35*(AE29-1)+'Beállítások'!$E$36*(AF29-1)+'Beállítások'!$E$37*(AG29-1)+'Beállítások'!$E$38*(AH29-1))/(9*'Beállítások'!$E$39),1))</f>
        <v/>
      </c>
      <c r="AN29" s="23">
        <f>IF($A29="","",ROUND(100*('Beállítások'!$E$8*(D29-1)+'Beállítások'!$E$9*(E29-1)+'Beállítások'!$E$10*(F29-1)+'Beállítások'!$E$11*(G29-1)+'Beállítások'!$E$12*(H29-1)+'Beállítások'!$E$13*(I29-1)+'Beállítások'!$E$14*(J29-1)+'Beállítások'!$E$15*(K29-1)+'Beállítások'!$E$16*(L29-1)+'Beállítások'!$E$17*(M29-1)+'Beállítások'!$E$18*(N29-1)+'Beállítások'!$E$19*(O29-1)+'Beállítások'!$E$20*(P29-1)+'Beállítások'!$E$21*(Q29-1)+'Beállítások'!$E$22*(R29-1)+'Beállítások'!$E$23*(S29-1)+'Beállítások'!$E$24*(T29-1)+'Beállítások'!$E$25*(U29-1)+'Beállítások'!$E$26*(V29-1)+'Beállítások'!$E$27*(W29-1)+'Beállítások'!$E$28*(X29-1)+'Beállítások'!$E$29*(Y29-1))/(9*('Beállítások'!$B$44+'Beállítások'!$B$45)),1))</f>
        <v/>
      </c>
      <c r="AO29" s="24">
        <f>IF($A29="","",RANK(AM29,$AM$2:$AM$201))</f>
        <v/>
      </c>
      <c r="AP29">
        <f>IF($A29="","",IF(OR(AND('Ügyfelek'!B29&lt;&gt;"",B29&lt;='Beállítások'!$B$85),AND('Ügyfelek'!C29&lt;&gt;"",C29&lt;='Beállítások'!$B$86)),"Igen","Nem"))</f>
        <v/>
      </c>
      <c r="AQ29" s="24">
        <f>IF($A29="","",IF(AP29="Igen",5,IF(AN29&gt;='Beállítások'!$C$108,1,IF(AN29&gt;='Beállítások'!$C$109,2,IF(AN29&gt;='Beállítások'!$C$110,3,IF(AND(AN29&gt;='Beállítások'!$B$87,AI29&gt;='Beállítások'!$B$88,AL29&gt;='Beállítások'!$B$89),4,5))))))</f>
        <v/>
      </c>
      <c r="AR29">
        <f>IF($A29="","",INDEX('Beállítások'!$B$108:$B$112,AQ29))</f>
        <v/>
      </c>
      <c r="AS29">
        <f>IF($A29="","",IF(AQ29=5,"Elutasítjuk",IF(AND(AQ29=4,COUNTIFS('Eredmény'!$AQ$2:$AQ$201,4,'Eredmény'!$DY$2:$DY$201,"&gt;"&amp;DY29)&gt;='Beállítások'!$B$90),"Várólista (a 4-es hely foglalt)","Elfogadjuk")))</f>
        <v/>
      </c>
      <c r="AT29">
        <f>IF($A29="","",INDEX('Beállítások'!$F$108:$F$112,AQ29))</f>
        <v/>
      </c>
      <c r="AU29">
        <f>IF($A29="","",INDEX('Beállítások'!$B$6:$B$38,MATCH(MAX(BK29:CQ29),BK29:CQ29,0)))</f>
        <v/>
      </c>
      <c r="AV29">
        <f>IF($A29="","",IF(MAX(CR29:DX29)=0,"—",INDEX('Beállítások'!$B$6:$B$38,MATCH(MAX(CR29:DX29),CR29:DX29,0))))</f>
        <v/>
      </c>
      <c r="AW29" s="10">
        <f>IF($A29="","",'Beállítások'!$B$94*(TRIM('Ügyfelek'!AI29)="igen")+'Beállítások'!$B$95*(TRIM('Ügyfelek'!AJ29)="igen")+'Beállítások'!$B$96*N('Ügyfelek'!AK29)+'Beállítások'!$B$93*N('Ügyfelek'!AL29))</f>
        <v/>
      </c>
      <c r="AX29" s="25">
        <f>IF(OR($A29="",AQ29=5),"",INDEX('Beállítások'!$D$108:$D$112,AQ29))</f>
        <v/>
      </c>
      <c r="AY29" s="10">
        <f>IF($A29="","",N('Ügyfelek'!U29)*'Beállítások'!$B$98)</f>
        <v/>
      </c>
      <c r="AZ29" s="10">
        <f>IF(OR($A29="",AQ29=5),"",CEILING(ROUND(MAX('Beállítások'!$B$97,AW29*AX29,AY29),2),'Beállítások'!$B$99))</f>
        <v/>
      </c>
      <c r="BA29">
        <f>IF($A29="","",IF(AQ29=5,"Elutasítva",IF(MAX('Beállítások'!$B$97,AW29*AX29,AY29)=AW29*AX29,"Munkaigény × státuszszorzó",IF(MAX('Beállítások'!$B$97,AW29*AX29,AY29)=AY29,"Hirdetési keret arányában","Minimumdíj"))))</f>
        <v/>
      </c>
      <c r="BB29" s="10">
        <f>IF(OR($A29="",'Ügyfelek'!AM29=""),"",'Ügyfelek'!AM29)</f>
        <v/>
      </c>
      <c r="BC29" s="10">
        <f>IF(OR(BB29="",AZ29=""),"",AZ29-BB29)</f>
        <v/>
      </c>
      <c r="BD29" s="18">
        <f>IF(OR(BB29="",AZ29="",BB29=0),"",BC29/BB29)</f>
        <v/>
      </c>
      <c r="BE29">
        <f>IF(OR($A29="",AQ29=5),"",IF(AND(INDEX('Beállítások'!$E$108:$E$112,AQ29)&gt;0,Y29&gt;='Beállítások'!$B$91),"Igen","Nem"))</f>
        <v/>
      </c>
      <c r="BF29" s="10">
        <f>IF(BE29="Igen",CEILING(ROUND(AZ29*(1-'Beállítások'!$B$92),2),'Beállítások'!$B$99),"")</f>
        <v/>
      </c>
      <c r="BG29" s="20">
        <f>IF(BE29="Igen",INDEX('Beállítások'!$E$108:$E$112,AQ29),"")</f>
        <v/>
      </c>
      <c r="BH29" s="10">
        <f>IF(OR(BE29&lt;&gt;"Igen",'Ügyfelek'!AN29=""),"",'Ügyfelek'!AN29*BG29)</f>
        <v/>
      </c>
      <c r="BI29" s="24">
        <f>IF($A29="","",('Ügyfelek'!B29="")+('Ügyfelek'!C29="")+('Ügyfelek'!D29="")+('Ügyfelek'!E29="")+('Ügyfelek'!F29="")+('Ügyfelek'!G29="")+('Ügyfelek'!H29="")+('Ügyfelek'!I29="")+('Ügyfelek'!J29="")+('Ügyfelek'!K29="")+('Ügyfelek'!L29="")+('Ügyfelek'!M29="")+('Ügyfelek'!N29="")+('Ügyfelek'!O29="")+('Ügyfelek'!P29="")+('Ügyfelek'!Q29="")+('Ügyfelek'!R29="")+('Ügyfelek'!S29="")+('Ügyfelek'!T29="")+('Ügyfelek'!U29="")+('Ügyfelek'!V29="")+('Ügyfelek'!W29="")+('Ügyfelek'!X29="")+('Ügyfelek'!Y29="")+('Ügyfelek'!Z29="")+('Ügyfelek'!AA29="")+('Ügyfelek'!AB29="")+('Ügyfelek'!AC29="")+('Ügyfelek'!AD29="")+('Ügyfelek'!AE29="")+('Ügyfelek'!AF29="")+('Ügyfelek'!AG29="")+('Ügyfelek'!AH29=""))</f>
        <v/>
      </c>
      <c r="BK29">
        <f>IF($A29="","",B29+'Beállítások'!$E$6/1000)</f>
        <v/>
      </c>
      <c r="BL29">
        <f>IF($A29="","",C29+'Beállítások'!$E$7/1000)</f>
        <v/>
      </c>
      <c r="BM29">
        <f>IF($A29="","",D29+'Beállítások'!$E$8/1000)</f>
        <v/>
      </c>
      <c r="BN29">
        <f>IF($A29="","",E29+'Beállítások'!$E$9/1000)</f>
        <v/>
      </c>
      <c r="BO29">
        <f>IF($A29="","",F29+'Beállítások'!$E$10/1000)</f>
        <v/>
      </c>
      <c r="BP29">
        <f>IF($A29="","",G29+'Beállítások'!$E$11/1000)</f>
        <v/>
      </c>
      <c r="BQ29">
        <f>IF($A29="","",H29+'Beállítások'!$E$12/1000)</f>
        <v/>
      </c>
      <c r="BR29">
        <f>IF($A29="","",I29+'Beállítások'!$E$13/1000)</f>
        <v/>
      </c>
      <c r="BS29">
        <f>IF($A29="","",J29+'Beállítások'!$E$14/1000)</f>
        <v/>
      </c>
      <c r="BT29">
        <f>IF($A29="","",K29+'Beállítások'!$E$15/1000)</f>
        <v/>
      </c>
      <c r="BU29">
        <f>IF($A29="","",L29+'Beállítások'!$E$16/1000)</f>
        <v/>
      </c>
      <c r="BV29">
        <f>IF($A29="","",M29+'Beállítások'!$E$17/1000)</f>
        <v/>
      </c>
      <c r="BW29">
        <f>IF($A29="","",N29+'Beállítások'!$E$18/1000)</f>
        <v/>
      </c>
      <c r="BX29">
        <f>IF($A29="","",O29+'Beállítások'!$E$19/1000)</f>
        <v/>
      </c>
      <c r="BY29">
        <f>IF($A29="","",P29+'Beállítások'!$E$20/1000)</f>
        <v/>
      </c>
      <c r="BZ29">
        <f>IF($A29="","",Q29+'Beállítások'!$E$21/1000)</f>
        <v/>
      </c>
      <c r="CA29">
        <f>IF($A29="","",R29+'Beállítások'!$E$22/1000)</f>
        <v/>
      </c>
      <c r="CB29">
        <f>IF($A29="","",S29+'Beállítások'!$E$23/1000)</f>
        <v/>
      </c>
      <c r="CC29">
        <f>IF($A29="","",T29+'Beállítások'!$E$24/1000)</f>
        <v/>
      </c>
      <c r="CD29">
        <f>IF($A29="","",U29+'Beállítások'!$E$25/1000)</f>
        <v/>
      </c>
      <c r="CE29">
        <f>IF($A29="","",V29+'Beállítások'!$E$26/1000)</f>
        <v/>
      </c>
      <c r="CF29">
        <f>IF($A29="","",W29+'Beállítások'!$E$27/1000)</f>
        <v/>
      </c>
      <c r="CG29">
        <f>IF($A29="","",X29+'Beállítások'!$E$28/1000)</f>
        <v/>
      </c>
      <c r="CH29">
        <f>IF($A29="","",Y29+'Beállítások'!$E$29/1000)</f>
        <v/>
      </c>
      <c r="CI29">
        <f>IF($A29="","",Z29+'Beállítások'!$E$30/1000)</f>
        <v/>
      </c>
      <c r="CJ29">
        <f>IF($A29="","",AA29+'Beállítások'!$E$31/1000)</f>
        <v/>
      </c>
      <c r="CK29">
        <f>IF($A29="","",AB29+'Beállítások'!$E$32/1000)</f>
        <v/>
      </c>
      <c r="CL29">
        <f>IF($A29="","",AC29+'Beállítások'!$E$33/1000)</f>
        <v/>
      </c>
      <c r="CM29">
        <f>IF($A29="","",AD29+'Beállítások'!$E$34/1000)</f>
        <v/>
      </c>
      <c r="CN29">
        <f>IF($A29="","",AE29+'Beállítások'!$E$35/1000)</f>
        <v/>
      </c>
      <c r="CO29">
        <f>IF($A29="","",AF29+'Beállítások'!$E$36/1000)</f>
        <v/>
      </c>
      <c r="CP29">
        <f>IF($A29="","",AG29+'Beállítások'!$E$37/1000)</f>
        <v/>
      </c>
      <c r="CQ29">
        <f>IF($A29="","",AH29+'Beállítások'!$E$38/1000)</f>
        <v/>
      </c>
      <c r="CR29">
        <f>IF($A29="","",'Beállítások'!$E$6*(10-B29))</f>
        <v/>
      </c>
      <c r="CS29">
        <f>IF($A29="","",'Beállítások'!$E$7*(10-C29))</f>
        <v/>
      </c>
      <c r="CT29">
        <f>IF($A29="","",'Beállítások'!$E$8*(10-D29))</f>
        <v/>
      </c>
      <c r="CU29">
        <f>IF($A29="","",'Beállítások'!$E$9*(10-E29))</f>
        <v/>
      </c>
      <c r="CV29">
        <f>IF($A29="","",'Beállítások'!$E$10*(10-F29))</f>
        <v/>
      </c>
      <c r="CW29">
        <f>IF($A29="","",'Beállítások'!$E$11*(10-G29))</f>
        <v/>
      </c>
      <c r="CX29">
        <f>IF($A29="","",'Beállítások'!$E$12*(10-H29))</f>
        <v/>
      </c>
      <c r="CY29">
        <f>IF($A29="","",'Beállítások'!$E$13*(10-I29))</f>
        <v/>
      </c>
      <c r="CZ29">
        <f>IF($A29="","",'Beállítások'!$E$14*(10-J29))</f>
        <v/>
      </c>
      <c r="DA29">
        <f>IF($A29="","",'Beállítások'!$E$15*(10-K29))</f>
        <v/>
      </c>
      <c r="DB29">
        <f>IF($A29="","",'Beállítások'!$E$16*(10-L29))</f>
        <v/>
      </c>
      <c r="DC29">
        <f>IF($A29="","",'Beállítások'!$E$17*(10-M29))</f>
        <v/>
      </c>
      <c r="DD29">
        <f>IF($A29="","",'Beállítások'!$E$18*(10-N29))</f>
        <v/>
      </c>
      <c r="DE29">
        <f>IF($A29="","",'Beállítások'!$E$19*(10-O29))</f>
        <v/>
      </c>
      <c r="DF29">
        <f>IF($A29="","",'Beállítások'!$E$20*(10-P29))</f>
        <v/>
      </c>
      <c r="DG29">
        <f>IF($A29="","",'Beállítások'!$E$21*(10-Q29))</f>
        <v/>
      </c>
      <c r="DH29">
        <f>IF($A29="","",'Beállítások'!$E$22*(10-R29))</f>
        <v/>
      </c>
      <c r="DI29">
        <f>IF($A29="","",'Beállítások'!$E$23*(10-S29))</f>
        <v/>
      </c>
      <c r="DJ29">
        <f>IF($A29="","",'Beállítások'!$E$24*(10-T29))</f>
        <v/>
      </c>
      <c r="DK29">
        <f>IF($A29="","",'Beállítások'!$E$25*(10-U29))</f>
        <v/>
      </c>
      <c r="DL29">
        <f>IF($A29="","",'Beállítások'!$E$26*(10-V29))</f>
        <v/>
      </c>
      <c r="DM29">
        <f>IF($A29="","",'Beállítások'!$E$27*(10-W29))</f>
        <v/>
      </c>
      <c r="DN29">
        <f>IF($A29="","",'Beállítások'!$E$28*(10-X29))</f>
        <v/>
      </c>
      <c r="DO29">
        <f>IF($A29="","",'Beállítások'!$E$29*(10-Y29))</f>
        <v/>
      </c>
      <c r="DP29">
        <f>IF($A29="","",'Beállítások'!$E$30*(10-Z29))</f>
        <v/>
      </c>
      <c r="DQ29">
        <f>IF($A29="","",'Beállítások'!$E$31*(10-AA29))</f>
        <v/>
      </c>
      <c r="DR29">
        <f>IF($A29="","",'Beállítások'!$E$32*(10-AB29))</f>
        <v/>
      </c>
      <c r="DS29">
        <f>IF($A29="","",'Beállítások'!$E$33*(10-AC29))</f>
        <v/>
      </c>
      <c r="DT29">
        <f>IF($A29="","",'Beállítások'!$E$34*(10-AD29))</f>
        <v/>
      </c>
      <c r="DU29">
        <f>IF($A29="","",'Beállítások'!$E$35*(10-AE29))</f>
        <v/>
      </c>
      <c r="DV29">
        <f>IF($A29="","",'Beállítások'!$E$36*(10-AF29))</f>
        <v/>
      </c>
      <c r="DW29">
        <f>IF($A29="","",'Beállítások'!$E$37*(10-AG29))</f>
        <v/>
      </c>
      <c r="DX29">
        <f>IF($A29="","",'Beállítások'!$E$38*(10-AH29))</f>
        <v/>
      </c>
      <c r="DY29">
        <f>IF($A29="","",AM29-ROW()/100000)</f>
        <v/>
      </c>
    </row>
    <row r="30">
      <c r="A30">
        <f>IF('Ügyfelek'!A30="","",'Ügyfelek'!A30)</f>
        <v/>
      </c>
      <c r="B30">
        <f>IF($A30="","",IF('Ügyfelek'!B30="",'Beállítások'!$B$84,IFERROR(VLOOKUP(TRIM('Ügyfelek'!B30),'Beállítások'!$A$51:$B$59,2,FALSE),'Beállítások'!$B$84)))</f>
        <v/>
      </c>
      <c r="C30">
        <f>IF($A30="","",IF('Ügyfelek'!C30="",'Beállítások'!$B$84,MIN(10,MAX(1,ROUND('Ügyfelek'!C30,0)))))</f>
        <v/>
      </c>
      <c r="D30">
        <f>IF($A30="","",IF('Ügyfelek'!D30="",'Beállítások'!$B$84,MIN(10,MAX(1,ROUND('Ügyfelek'!D30,0)))))</f>
        <v/>
      </c>
      <c r="E30">
        <f>IF($A30="","",IF('Ügyfelek'!E30="",'Beállítások'!$B$84,MIN(10,MAX(1,ROUND('Ügyfelek'!E30,0)))))</f>
        <v/>
      </c>
      <c r="F30">
        <f>IF($A30="","",IF('Ügyfelek'!F30="",'Beállítások'!$B$84,MIN(10,MAX(1,ROUND('Ügyfelek'!F30,0)))))</f>
        <v/>
      </c>
      <c r="G30">
        <f>IF($A30="","",IF('Ügyfelek'!G30="",'Beállítások'!$B$84,MIN(10,MAX(1,ROUND('Ügyfelek'!G30,0)))))</f>
        <v/>
      </c>
      <c r="H30">
        <f>IF($A30="","",IF('Ügyfelek'!H30="",'Beállítások'!$B$84,MIN(10,MAX(1,ROUND('Ügyfelek'!H30,0)))))</f>
        <v/>
      </c>
      <c r="I30">
        <f>IF($A30="","",IF('Ügyfelek'!I30="",'Beállítások'!$B$84,MIN(10,MAX(1,ROUND('Ügyfelek'!I30,0)))))</f>
        <v/>
      </c>
      <c r="J30">
        <f>IF($A30="","",IF('Ügyfelek'!J30="",'Beállítások'!$B$84,MIN(10,MAX(1,ROUND('Ügyfelek'!J30,0)))))</f>
        <v/>
      </c>
      <c r="K30">
        <f>IF($A30="","",IF('Ügyfelek'!K30="",'Beállítások'!$B$84,MIN(10,MAX(1,ROUND('Ügyfelek'!K30,0)))))</f>
        <v/>
      </c>
      <c r="L30">
        <f>IF($A30="","",IF('Ügyfelek'!L30="",'Beállítások'!$B$84,MIN(10,MAX(1,ROUND('Ügyfelek'!L30,0)))))</f>
        <v/>
      </c>
      <c r="M30">
        <f>IF($A30="","",IF('Ügyfelek'!M30="",'Beállítások'!$B$84,MIN(10,MAX(1,ROUND('Ügyfelek'!M30,0)))))</f>
        <v/>
      </c>
      <c r="N30">
        <f>IF($A30="","",IF('Ügyfelek'!N30="",'Beállítások'!$B$84,MIN(10,MAX(1,ROUND('Ügyfelek'!N30,0)))))</f>
        <v/>
      </c>
      <c r="O30">
        <f>IF($A30="","",IF('Ügyfelek'!O30="",'Beállítások'!$B$84,MIN(10,MAX(1,ROUND('Ügyfelek'!O30,0)))))</f>
        <v/>
      </c>
      <c r="P30">
        <f>IF($A30="","",IF('Ügyfelek'!P30="",'Beállítások'!$B$84,MIN(10,MAX(1,ROUND('Ügyfelek'!P30,0)))))</f>
        <v/>
      </c>
      <c r="Q30">
        <f>IF($A30="","",IF('Ügyfelek'!Q30="",'Beállítások'!$B$84,MIN(10,MAX(1,ROUND('Ügyfelek'!Q30,0)))))</f>
        <v/>
      </c>
      <c r="R30">
        <f>IF($A30="","",IF('Ügyfelek'!R30="",'Beállítások'!$B$84,MIN(10,MAX(1,ROUND('Ügyfelek'!R30,0)))))</f>
        <v/>
      </c>
      <c r="S30">
        <f>IF($A30="","",IF('Ügyfelek'!S30="",'Beállítások'!$B$84,MIN(10,MAX(1,ROUND('Ügyfelek'!S30,0)))))</f>
        <v/>
      </c>
      <c r="T30">
        <f>IF($A30="","",IF('Ügyfelek'!T30="",'Beállítások'!$B$84,VLOOKUP(MAX('Ügyfelek'!T30,'Beállítások'!$H$7),'Beállítások'!$H$7:$I$12,2,TRUE)))</f>
        <v/>
      </c>
      <c r="U30">
        <f>IF($A30="","",IF('Ügyfelek'!U30="",'Beállítások'!$B$84,VLOOKUP(MAX('Ügyfelek'!U30,'Beállítások'!$K$7),'Beállítások'!$K$7:$L$12,2,TRUE)))</f>
        <v/>
      </c>
      <c r="V30">
        <f>IF($A30="","",IF('Ügyfelek'!V30="",'Beállítások'!$B$84,MIN(10,MAX(1,ROUND('Ügyfelek'!V30,0)))))</f>
        <v/>
      </c>
      <c r="W30">
        <f>IF($A30="","",IF('Ügyfelek'!W30="",'Beállítások'!$B$84,VLOOKUP(MAX('Ügyfelek'!W30,'Beállítások'!$N$7),'Beállítások'!$N$7:$O$12,2,TRUE)))</f>
        <v/>
      </c>
      <c r="X30">
        <f>IF($A30="","",IF('Ügyfelek'!X30="",'Beállítások'!$B$84,MIN(10,MAX(1,ROUND('Ügyfelek'!X30,0)))))</f>
        <v/>
      </c>
      <c r="Y30">
        <f>IF($A30="","",IF('Ügyfelek'!Y30="",'Beállítások'!$B$84,IFERROR(VLOOKUP(TRIM('Ügyfelek'!Y30),'Beállítások'!$A$63:$B$69,2,FALSE),'Beállítások'!$B$84)))</f>
        <v/>
      </c>
      <c r="Z30">
        <f>IF($A30="","",IF('Ügyfelek'!Z30="",'Beállítások'!$B$84,VLOOKUP(MAX('Ügyfelek'!Z30,'Beállítások'!$Q$7),'Beállítások'!$Q$7:$R$12,2,TRUE)))</f>
        <v/>
      </c>
      <c r="AA30">
        <f>IF($A30="","",IF('Ügyfelek'!AA30="",'Beállítások'!$B$84,VLOOKUP(MAX('Ügyfelek'!AA30,'Beállítások'!$T$7),'Beállítások'!$T$7:$U$12,2,TRUE)))</f>
        <v/>
      </c>
      <c r="AB30">
        <f>IF($A30="","",IF('Ügyfelek'!AB30="",'Beállítások'!$B$84,MIN(10,MAX(1,ROUND('Ügyfelek'!AB30,0)))))</f>
        <v/>
      </c>
      <c r="AC30">
        <f>IF($A30="","",IF('Ügyfelek'!AC30="",'Beállítások'!$B$84,MIN(10,MAX(1,ROUND('Ügyfelek'!AC30,0)))))</f>
        <v/>
      </c>
      <c r="AD30">
        <f>IF($A30="","",IF('Ügyfelek'!AD30="",'Beállítások'!$B$84,MIN(10,MAX(1,ROUND('Ügyfelek'!AD30,0)))))</f>
        <v/>
      </c>
      <c r="AE30">
        <f>IF($A30="","",IF('Ügyfelek'!AE30="",'Beállítások'!$B$84,MIN(10,MAX(1,ROUND('Ügyfelek'!AE30,0)))))</f>
        <v/>
      </c>
      <c r="AF30">
        <f>IF($A30="","",IF('Ügyfelek'!AF30="",'Beállítások'!$B$84,MIN(10,MAX(1,ROUND('Ügyfelek'!AF30,0)))))</f>
        <v/>
      </c>
      <c r="AG30">
        <f>IF($A30="","",IF('Ügyfelek'!AG30="",'Beállítások'!$B$84,MIN(10,MAX(1,ROUND('Ügyfelek'!AG30,0)))))</f>
        <v/>
      </c>
      <c r="AH30">
        <f>IF($A30="","",IF('Ügyfelek'!AH30="",'Beállítások'!$B$84,IFERROR(VLOOKUP(TRIM('Ügyfelek'!AH30),'Beállítások'!$A$73:$B$79,2,FALSE),'Beállítások'!$B$84)))</f>
        <v/>
      </c>
      <c r="AI30" s="23">
        <f>IF($A30="","",ROUND(100*('Beállítások'!$E$6*(B30-1)+'Beállítások'!$E$7*(C30-1))/(9*'Beállítások'!$B$43),1))</f>
        <v/>
      </c>
      <c r="AJ30" s="23">
        <f>IF($A30="","",ROUND(100*('Beállítások'!$E$8*(D30-1)+'Beállítások'!$E$9*(E30-1)+'Beállítások'!$E$10*(F30-1)+'Beállítások'!$E$11*(G30-1)+'Beállítások'!$E$12*(H30-1)+'Beállítások'!$E$13*(I30-1)+'Beállítások'!$E$14*(J30-1)+'Beállítások'!$E$15*(K30-1)+'Beállítások'!$E$16*(L30-1)+'Beállítások'!$E$17*(M30-1)+'Beállítások'!$E$18*(N30-1)+'Beállítások'!$E$19*(O30-1)+'Beállítások'!$E$20*(P30-1)+'Beállítások'!$E$21*(Q30-1)+'Beállítások'!$E$22*(R30-1))/(9*'Beállítások'!$B$44),1))</f>
        <v/>
      </c>
      <c r="AK30" s="23">
        <f>IF($A30="","",ROUND(100*('Beállítások'!$E$23*(S30-1)+'Beállítások'!$E$24*(T30-1)+'Beállítások'!$E$25*(U30-1)+'Beállítások'!$E$26*(V30-1)+'Beállítások'!$E$27*(W30-1)+'Beállítások'!$E$28*(X30-1)+'Beállítások'!$E$29*(Y30-1))/(9*'Beállítások'!$B$45),1))</f>
        <v/>
      </c>
      <c r="AL30" s="23">
        <f>IF($A30="","",ROUND(100*('Beállítások'!$E$30*(Z30-1)+'Beállítások'!$E$31*(AA30-1)+'Beállítások'!$E$32*(AB30-1)+'Beállítások'!$E$33*(AC30-1)+'Beállítások'!$E$34*(AD30-1)+'Beállítások'!$E$35*(AE30-1)+'Beállítások'!$E$36*(AF30-1)+'Beállítások'!$E$37*(AG30-1)+'Beállítások'!$E$38*(AH30-1))/(9*'Beállítások'!$B$46),1))</f>
        <v/>
      </c>
      <c r="AM30" s="23">
        <f>IF($A30="","",ROUND(100*('Beállítások'!$E$6*(B30-1)+'Beállítások'!$E$7*(C30-1)+'Beállítások'!$E$8*(D30-1)+'Beállítások'!$E$9*(E30-1)+'Beállítások'!$E$10*(F30-1)+'Beállítások'!$E$11*(G30-1)+'Beállítások'!$E$12*(H30-1)+'Beállítások'!$E$13*(I30-1)+'Beállítások'!$E$14*(J30-1)+'Beállítások'!$E$15*(K30-1)+'Beállítások'!$E$16*(L30-1)+'Beállítások'!$E$17*(M30-1)+'Beállítások'!$E$18*(N30-1)+'Beállítások'!$E$19*(O30-1)+'Beállítások'!$E$20*(P30-1)+'Beállítások'!$E$21*(Q30-1)+'Beállítások'!$E$22*(R30-1)+'Beállítások'!$E$23*(S30-1)+'Beállítások'!$E$24*(T30-1)+'Beállítások'!$E$25*(U30-1)+'Beállítások'!$E$26*(V30-1)+'Beállítások'!$E$27*(W30-1)+'Beállítások'!$E$28*(X30-1)+'Beállítások'!$E$29*(Y30-1)+'Beállítások'!$E$30*(Z30-1)+'Beállítások'!$E$31*(AA30-1)+'Beállítások'!$E$32*(AB30-1)+'Beállítások'!$E$33*(AC30-1)+'Beállítások'!$E$34*(AD30-1)+'Beállítások'!$E$35*(AE30-1)+'Beállítások'!$E$36*(AF30-1)+'Beállítások'!$E$37*(AG30-1)+'Beállítások'!$E$38*(AH30-1))/(9*'Beállítások'!$E$39),1))</f>
        <v/>
      </c>
      <c r="AN30" s="23">
        <f>IF($A30="","",ROUND(100*('Beállítások'!$E$8*(D30-1)+'Beállítások'!$E$9*(E30-1)+'Beállítások'!$E$10*(F30-1)+'Beállítások'!$E$11*(G30-1)+'Beállítások'!$E$12*(H30-1)+'Beállítások'!$E$13*(I30-1)+'Beállítások'!$E$14*(J30-1)+'Beállítások'!$E$15*(K30-1)+'Beállítások'!$E$16*(L30-1)+'Beállítások'!$E$17*(M30-1)+'Beállítások'!$E$18*(N30-1)+'Beállítások'!$E$19*(O30-1)+'Beállítások'!$E$20*(P30-1)+'Beállítások'!$E$21*(Q30-1)+'Beállítások'!$E$22*(R30-1)+'Beállítások'!$E$23*(S30-1)+'Beállítások'!$E$24*(T30-1)+'Beállítások'!$E$25*(U30-1)+'Beállítások'!$E$26*(V30-1)+'Beállítások'!$E$27*(W30-1)+'Beállítások'!$E$28*(X30-1)+'Beállítások'!$E$29*(Y30-1))/(9*('Beállítások'!$B$44+'Beállítások'!$B$45)),1))</f>
        <v/>
      </c>
      <c r="AO30" s="24">
        <f>IF($A30="","",RANK(AM30,$AM$2:$AM$201))</f>
        <v/>
      </c>
      <c r="AP30">
        <f>IF($A30="","",IF(OR(AND('Ügyfelek'!B30&lt;&gt;"",B30&lt;='Beállítások'!$B$85),AND('Ügyfelek'!C30&lt;&gt;"",C30&lt;='Beállítások'!$B$86)),"Igen","Nem"))</f>
        <v/>
      </c>
      <c r="AQ30" s="24">
        <f>IF($A30="","",IF(AP30="Igen",5,IF(AN30&gt;='Beállítások'!$C$108,1,IF(AN30&gt;='Beállítások'!$C$109,2,IF(AN30&gt;='Beállítások'!$C$110,3,IF(AND(AN30&gt;='Beállítások'!$B$87,AI30&gt;='Beállítások'!$B$88,AL30&gt;='Beállítások'!$B$89),4,5))))))</f>
        <v/>
      </c>
      <c r="AR30">
        <f>IF($A30="","",INDEX('Beállítások'!$B$108:$B$112,AQ30))</f>
        <v/>
      </c>
      <c r="AS30">
        <f>IF($A30="","",IF(AQ30=5,"Elutasítjuk",IF(AND(AQ30=4,COUNTIFS('Eredmény'!$AQ$2:$AQ$201,4,'Eredmény'!$DY$2:$DY$201,"&gt;"&amp;DY30)&gt;='Beállítások'!$B$90),"Várólista (a 4-es hely foglalt)","Elfogadjuk")))</f>
        <v/>
      </c>
      <c r="AT30">
        <f>IF($A30="","",INDEX('Beállítások'!$F$108:$F$112,AQ30))</f>
        <v/>
      </c>
      <c r="AU30">
        <f>IF($A30="","",INDEX('Beállítások'!$B$6:$B$38,MATCH(MAX(BK30:CQ30),BK30:CQ30,0)))</f>
        <v/>
      </c>
      <c r="AV30">
        <f>IF($A30="","",IF(MAX(CR30:DX30)=0,"—",INDEX('Beállítások'!$B$6:$B$38,MATCH(MAX(CR30:DX30),CR30:DX30,0))))</f>
        <v/>
      </c>
      <c r="AW30" s="10">
        <f>IF($A30="","",'Beállítások'!$B$94*(TRIM('Ügyfelek'!AI30)="igen")+'Beállítások'!$B$95*(TRIM('Ügyfelek'!AJ30)="igen")+'Beállítások'!$B$96*N('Ügyfelek'!AK30)+'Beállítások'!$B$93*N('Ügyfelek'!AL30))</f>
        <v/>
      </c>
      <c r="AX30" s="25">
        <f>IF(OR($A30="",AQ30=5),"",INDEX('Beállítások'!$D$108:$D$112,AQ30))</f>
        <v/>
      </c>
      <c r="AY30" s="10">
        <f>IF($A30="","",N('Ügyfelek'!U30)*'Beállítások'!$B$98)</f>
        <v/>
      </c>
      <c r="AZ30" s="10">
        <f>IF(OR($A30="",AQ30=5),"",CEILING(ROUND(MAX('Beállítások'!$B$97,AW30*AX30,AY30),2),'Beállítások'!$B$99))</f>
        <v/>
      </c>
      <c r="BA30">
        <f>IF($A30="","",IF(AQ30=5,"Elutasítva",IF(MAX('Beállítások'!$B$97,AW30*AX30,AY30)=AW30*AX30,"Munkaigény × státuszszorzó",IF(MAX('Beállítások'!$B$97,AW30*AX30,AY30)=AY30,"Hirdetési keret arányában","Minimumdíj"))))</f>
        <v/>
      </c>
      <c r="BB30" s="10">
        <f>IF(OR($A30="",'Ügyfelek'!AM30=""),"",'Ügyfelek'!AM30)</f>
        <v/>
      </c>
      <c r="BC30" s="10">
        <f>IF(OR(BB30="",AZ30=""),"",AZ30-BB30)</f>
        <v/>
      </c>
      <c r="BD30" s="18">
        <f>IF(OR(BB30="",AZ30="",BB30=0),"",BC30/BB30)</f>
        <v/>
      </c>
      <c r="BE30">
        <f>IF(OR($A30="",AQ30=5),"",IF(AND(INDEX('Beállítások'!$E$108:$E$112,AQ30)&gt;0,Y30&gt;='Beállítások'!$B$91),"Igen","Nem"))</f>
        <v/>
      </c>
      <c r="BF30" s="10">
        <f>IF(BE30="Igen",CEILING(ROUND(AZ30*(1-'Beállítások'!$B$92),2),'Beállítások'!$B$99),"")</f>
        <v/>
      </c>
      <c r="BG30" s="20">
        <f>IF(BE30="Igen",INDEX('Beállítások'!$E$108:$E$112,AQ30),"")</f>
        <v/>
      </c>
      <c r="BH30" s="10">
        <f>IF(OR(BE30&lt;&gt;"Igen",'Ügyfelek'!AN30=""),"",'Ügyfelek'!AN30*BG30)</f>
        <v/>
      </c>
      <c r="BI30" s="24">
        <f>IF($A30="","",('Ügyfelek'!B30="")+('Ügyfelek'!C30="")+('Ügyfelek'!D30="")+('Ügyfelek'!E30="")+('Ügyfelek'!F30="")+('Ügyfelek'!G30="")+('Ügyfelek'!H30="")+('Ügyfelek'!I30="")+('Ügyfelek'!J30="")+('Ügyfelek'!K30="")+('Ügyfelek'!L30="")+('Ügyfelek'!M30="")+('Ügyfelek'!N30="")+('Ügyfelek'!O30="")+('Ügyfelek'!P30="")+('Ügyfelek'!Q30="")+('Ügyfelek'!R30="")+('Ügyfelek'!S30="")+('Ügyfelek'!T30="")+('Ügyfelek'!U30="")+('Ügyfelek'!V30="")+('Ügyfelek'!W30="")+('Ügyfelek'!X30="")+('Ügyfelek'!Y30="")+('Ügyfelek'!Z30="")+('Ügyfelek'!AA30="")+('Ügyfelek'!AB30="")+('Ügyfelek'!AC30="")+('Ügyfelek'!AD30="")+('Ügyfelek'!AE30="")+('Ügyfelek'!AF30="")+('Ügyfelek'!AG30="")+('Ügyfelek'!AH30=""))</f>
        <v/>
      </c>
      <c r="BK30">
        <f>IF($A30="","",B30+'Beállítások'!$E$6/1000)</f>
        <v/>
      </c>
      <c r="BL30">
        <f>IF($A30="","",C30+'Beállítások'!$E$7/1000)</f>
        <v/>
      </c>
      <c r="BM30">
        <f>IF($A30="","",D30+'Beállítások'!$E$8/1000)</f>
        <v/>
      </c>
      <c r="BN30">
        <f>IF($A30="","",E30+'Beállítások'!$E$9/1000)</f>
        <v/>
      </c>
      <c r="BO30">
        <f>IF($A30="","",F30+'Beállítások'!$E$10/1000)</f>
        <v/>
      </c>
      <c r="BP30">
        <f>IF($A30="","",G30+'Beállítások'!$E$11/1000)</f>
        <v/>
      </c>
      <c r="BQ30">
        <f>IF($A30="","",H30+'Beállítások'!$E$12/1000)</f>
        <v/>
      </c>
      <c r="BR30">
        <f>IF($A30="","",I30+'Beállítások'!$E$13/1000)</f>
        <v/>
      </c>
      <c r="BS30">
        <f>IF($A30="","",J30+'Beállítások'!$E$14/1000)</f>
        <v/>
      </c>
      <c r="BT30">
        <f>IF($A30="","",K30+'Beállítások'!$E$15/1000)</f>
        <v/>
      </c>
      <c r="BU30">
        <f>IF($A30="","",L30+'Beállítások'!$E$16/1000)</f>
        <v/>
      </c>
      <c r="BV30">
        <f>IF($A30="","",M30+'Beállítások'!$E$17/1000)</f>
        <v/>
      </c>
      <c r="BW30">
        <f>IF($A30="","",N30+'Beállítások'!$E$18/1000)</f>
        <v/>
      </c>
      <c r="BX30">
        <f>IF($A30="","",O30+'Beállítások'!$E$19/1000)</f>
        <v/>
      </c>
      <c r="BY30">
        <f>IF($A30="","",P30+'Beállítások'!$E$20/1000)</f>
        <v/>
      </c>
      <c r="BZ30">
        <f>IF($A30="","",Q30+'Beállítások'!$E$21/1000)</f>
        <v/>
      </c>
      <c r="CA30">
        <f>IF($A30="","",R30+'Beállítások'!$E$22/1000)</f>
        <v/>
      </c>
      <c r="CB30">
        <f>IF($A30="","",S30+'Beállítások'!$E$23/1000)</f>
        <v/>
      </c>
      <c r="CC30">
        <f>IF($A30="","",T30+'Beállítások'!$E$24/1000)</f>
        <v/>
      </c>
      <c r="CD30">
        <f>IF($A30="","",U30+'Beállítások'!$E$25/1000)</f>
        <v/>
      </c>
      <c r="CE30">
        <f>IF($A30="","",V30+'Beállítások'!$E$26/1000)</f>
        <v/>
      </c>
      <c r="CF30">
        <f>IF($A30="","",W30+'Beállítások'!$E$27/1000)</f>
        <v/>
      </c>
      <c r="CG30">
        <f>IF($A30="","",X30+'Beállítások'!$E$28/1000)</f>
        <v/>
      </c>
      <c r="CH30">
        <f>IF($A30="","",Y30+'Beállítások'!$E$29/1000)</f>
        <v/>
      </c>
      <c r="CI30">
        <f>IF($A30="","",Z30+'Beállítások'!$E$30/1000)</f>
        <v/>
      </c>
      <c r="CJ30">
        <f>IF($A30="","",AA30+'Beállítások'!$E$31/1000)</f>
        <v/>
      </c>
      <c r="CK30">
        <f>IF($A30="","",AB30+'Beállítások'!$E$32/1000)</f>
        <v/>
      </c>
      <c r="CL30">
        <f>IF($A30="","",AC30+'Beállítások'!$E$33/1000)</f>
        <v/>
      </c>
      <c r="CM30">
        <f>IF($A30="","",AD30+'Beállítások'!$E$34/1000)</f>
        <v/>
      </c>
      <c r="CN30">
        <f>IF($A30="","",AE30+'Beállítások'!$E$35/1000)</f>
        <v/>
      </c>
      <c r="CO30">
        <f>IF($A30="","",AF30+'Beállítások'!$E$36/1000)</f>
        <v/>
      </c>
      <c r="CP30">
        <f>IF($A30="","",AG30+'Beállítások'!$E$37/1000)</f>
        <v/>
      </c>
      <c r="CQ30">
        <f>IF($A30="","",AH30+'Beállítások'!$E$38/1000)</f>
        <v/>
      </c>
      <c r="CR30">
        <f>IF($A30="","",'Beállítások'!$E$6*(10-B30))</f>
        <v/>
      </c>
      <c r="CS30">
        <f>IF($A30="","",'Beállítások'!$E$7*(10-C30))</f>
        <v/>
      </c>
      <c r="CT30">
        <f>IF($A30="","",'Beállítások'!$E$8*(10-D30))</f>
        <v/>
      </c>
      <c r="CU30">
        <f>IF($A30="","",'Beállítások'!$E$9*(10-E30))</f>
        <v/>
      </c>
      <c r="CV30">
        <f>IF($A30="","",'Beállítások'!$E$10*(10-F30))</f>
        <v/>
      </c>
      <c r="CW30">
        <f>IF($A30="","",'Beállítások'!$E$11*(10-G30))</f>
        <v/>
      </c>
      <c r="CX30">
        <f>IF($A30="","",'Beállítások'!$E$12*(10-H30))</f>
        <v/>
      </c>
      <c r="CY30">
        <f>IF($A30="","",'Beállítások'!$E$13*(10-I30))</f>
        <v/>
      </c>
      <c r="CZ30">
        <f>IF($A30="","",'Beállítások'!$E$14*(10-J30))</f>
        <v/>
      </c>
      <c r="DA30">
        <f>IF($A30="","",'Beállítások'!$E$15*(10-K30))</f>
        <v/>
      </c>
      <c r="DB30">
        <f>IF($A30="","",'Beállítások'!$E$16*(10-L30))</f>
        <v/>
      </c>
      <c r="DC30">
        <f>IF($A30="","",'Beállítások'!$E$17*(10-M30))</f>
        <v/>
      </c>
      <c r="DD30">
        <f>IF($A30="","",'Beállítások'!$E$18*(10-N30))</f>
        <v/>
      </c>
      <c r="DE30">
        <f>IF($A30="","",'Beállítások'!$E$19*(10-O30))</f>
        <v/>
      </c>
      <c r="DF30">
        <f>IF($A30="","",'Beállítások'!$E$20*(10-P30))</f>
        <v/>
      </c>
      <c r="DG30">
        <f>IF($A30="","",'Beállítások'!$E$21*(10-Q30))</f>
        <v/>
      </c>
      <c r="DH30">
        <f>IF($A30="","",'Beállítások'!$E$22*(10-R30))</f>
        <v/>
      </c>
      <c r="DI30">
        <f>IF($A30="","",'Beállítások'!$E$23*(10-S30))</f>
        <v/>
      </c>
      <c r="DJ30">
        <f>IF($A30="","",'Beállítások'!$E$24*(10-T30))</f>
        <v/>
      </c>
      <c r="DK30">
        <f>IF($A30="","",'Beállítások'!$E$25*(10-U30))</f>
        <v/>
      </c>
      <c r="DL30">
        <f>IF($A30="","",'Beállítások'!$E$26*(10-V30))</f>
        <v/>
      </c>
      <c r="DM30">
        <f>IF($A30="","",'Beállítások'!$E$27*(10-W30))</f>
        <v/>
      </c>
      <c r="DN30">
        <f>IF($A30="","",'Beállítások'!$E$28*(10-X30))</f>
        <v/>
      </c>
      <c r="DO30">
        <f>IF($A30="","",'Beállítások'!$E$29*(10-Y30))</f>
        <v/>
      </c>
      <c r="DP30">
        <f>IF($A30="","",'Beállítások'!$E$30*(10-Z30))</f>
        <v/>
      </c>
      <c r="DQ30">
        <f>IF($A30="","",'Beállítások'!$E$31*(10-AA30))</f>
        <v/>
      </c>
      <c r="DR30">
        <f>IF($A30="","",'Beállítások'!$E$32*(10-AB30))</f>
        <v/>
      </c>
      <c r="DS30">
        <f>IF($A30="","",'Beállítások'!$E$33*(10-AC30))</f>
        <v/>
      </c>
      <c r="DT30">
        <f>IF($A30="","",'Beállítások'!$E$34*(10-AD30))</f>
        <v/>
      </c>
      <c r="DU30">
        <f>IF($A30="","",'Beállítások'!$E$35*(10-AE30))</f>
        <v/>
      </c>
      <c r="DV30">
        <f>IF($A30="","",'Beállítások'!$E$36*(10-AF30))</f>
        <v/>
      </c>
      <c r="DW30">
        <f>IF($A30="","",'Beállítások'!$E$37*(10-AG30))</f>
        <v/>
      </c>
      <c r="DX30">
        <f>IF($A30="","",'Beállítások'!$E$38*(10-AH30))</f>
        <v/>
      </c>
      <c r="DY30">
        <f>IF($A30="","",AM30-ROW()/100000)</f>
        <v/>
      </c>
    </row>
    <row r="31">
      <c r="A31">
        <f>IF('Ügyfelek'!A31="","",'Ügyfelek'!A31)</f>
        <v/>
      </c>
      <c r="B31">
        <f>IF($A31="","",IF('Ügyfelek'!B31="",'Beállítások'!$B$84,IFERROR(VLOOKUP(TRIM('Ügyfelek'!B31),'Beállítások'!$A$51:$B$59,2,FALSE),'Beállítások'!$B$84)))</f>
        <v/>
      </c>
      <c r="C31">
        <f>IF($A31="","",IF('Ügyfelek'!C31="",'Beállítások'!$B$84,MIN(10,MAX(1,ROUND('Ügyfelek'!C31,0)))))</f>
        <v/>
      </c>
      <c r="D31">
        <f>IF($A31="","",IF('Ügyfelek'!D31="",'Beállítások'!$B$84,MIN(10,MAX(1,ROUND('Ügyfelek'!D31,0)))))</f>
        <v/>
      </c>
      <c r="E31">
        <f>IF($A31="","",IF('Ügyfelek'!E31="",'Beállítások'!$B$84,MIN(10,MAX(1,ROUND('Ügyfelek'!E31,0)))))</f>
        <v/>
      </c>
      <c r="F31">
        <f>IF($A31="","",IF('Ügyfelek'!F31="",'Beállítások'!$B$84,MIN(10,MAX(1,ROUND('Ügyfelek'!F31,0)))))</f>
        <v/>
      </c>
      <c r="G31">
        <f>IF($A31="","",IF('Ügyfelek'!G31="",'Beállítások'!$B$84,MIN(10,MAX(1,ROUND('Ügyfelek'!G31,0)))))</f>
        <v/>
      </c>
      <c r="H31">
        <f>IF($A31="","",IF('Ügyfelek'!H31="",'Beállítások'!$B$84,MIN(10,MAX(1,ROUND('Ügyfelek'!H31,0)))))</f>
        <v/>
      </c>
      <c r="I31">
        <f>IF($A31="","",IF('Ügyfelek'!I31="",'Beállítások'!$B$84,MIN(10,MAX(1,ROUND('Ügyfelek'!I31,0)))))</f>
        <v/>
      </c>
      <c r="J31">
        <f>IF($A31="","",IF('Ügyfelek'!J31="",'Beállítások'!$B$84,MIN(10,MAX(1,ROUND('Ügyfelek'!J31,0)))))</f>
        <v/>
      </c>
      <c r="K31">
        <f>IF($A31="","",IF('Ügyfelek'!K31="",'Beállítások'!$B$84,MIN(10,MAX(1,ROUND('Ügyfelek'!K31,0)))))</f>
        <v/>
      </c>
      <c r="L31">
        <f>IF($A31="","",IF('Ügyfelek'!L31="",'Beállítások'!$B$84,MIN(10,MAX(1,ROUND('Ügyfelek'!L31,0)))))</f>
        <v/>
      </c>
      <c r="M31">
        <f>IF($A31="","",IF('Ügyfelek'!M31="",'Beállítások'!$B$84,MIN(10,MAX(1,ROUND('Ügyfelek'!M31,0)))))</f>
        <v/>
      </c>
      <c r="N31">
        <f>IF($A31="","",IF('Ügyfelek'!N31="",'Beállítások'!$B$84,MIN(10,MAX(1,ROUND('Ügyfelek'!N31,0)))))</f>
        <v/>
      </c>
      <c r="O31">
        <f>IF($A31="","",IF('Ügyfelek'!O31="",'Beállítások'!$B$84,MIN(10,MAX(1,ROUND('Ügyfelek'!O31,0)))))</f>
        <v/>
      </c>
      <c r="P31">
        <f>IF($A31="","",IF('Ügyfelek'!P31="",'Beállítások'!$B$84,MIN(10,MAX(1,ROUND('Ügyfelek'!P31,0)))))</f>
        <v/>
      </c>
      <c r="Q31">
        <f>IF($A31="","",IF('Ügyfelek'!Q31="",'Beállítások'!$B$84,MIN(10,MAX(1,ROUND('Ügyfelek'!Q31,0)))))</f>
        <v/>
      </c>
      <c r="R31">
        <f>IF($A31="","",IF('Ügyfelek'!R31="",'Beállítások'!$B$84,MIN(10,MAX(1,ROUND('Ügyfelek'!R31,0)))))</f>
        <v/>
      </c>
      <c r="S31">
        <f>IF($A31="","",IF('Ügyfelek'!S31="",'Beállítások'!$B$84,MIN(10,MAX(1,ROUND('Ügyfelek'!S31,0)))))</f>
        <v/>
      </c>
      <c r="T31">
        <f>IF($A31="","",IF('Ügyfelek'!T31="",'Beállítások'!$B$84,VLOOKUP(MAX('Ügyfelek'!T31,'Beállítások'!$H$7),'Beállítások'!$H$7:$I$12,2,TRUE)))</f>
        <v/>
      </c>
      <c r="U31">
        <f>IF($A31="","",IF('Ügyfelek'!U31="",'Beállítások'!$B$84,VLOOKUP(MAX('Ügyfelek'!U31,'Beállítások'!$K$7),'Beállítások'!$K$7:$L$12,2,TRUE)))</f>
        <v/>
      </c>
      <c r="V31">
        <f>IF($A31="","",IF('Ügyfelek'!V31="",'Beállítások'!$B$84,MIN(10,MAX(1,ROUND('Ügyfelek'!V31,0)))))</f>
        <v/>
      </c>
      <c r="W31">
        <f>IF($A31="","",IF('Ügyfelek'!W31="",'Beállítások'!$B$84,VLOOKUP(MAX('Ügyfelek'!W31,'Beállítások'!$N$7),'Beállítások'!$N$7:$O$12,2,TRUE)))</f>
        <v/>
      </c>
      <c r="X31">
        <f>IF($A31="","",IF('Ügyfelek'!X31="",'Beállítások'!$B$84,MIN(10,MAX(1,ROUND('Ügyfelek'!X31,0)))))</f>
        <v/>
      </c>
      <c r="Y31">
        <f>IF($A31="","",IF('Ügyfelek'!Y31="",'Beállítások'!$B$84,IFERROR(VLOOKUP(TRIM('Ügyfelek'!Y31),'Beállítások'!$A$63:$B$69,2,FALSE),'Beállítások'!$B$84)))</f>
        <v/>
      </c>
      <c r="Z31">
        <f>IF($A31="","",IF('Ügyfelek'!Z31="",'Beállítások'!$B$84,VLOOKUP(MAX('Ügyfelek'!Z31,'Beállítások'!$Q$7),'Beállítások'!$Q$7:$R$12,2,TRUE)))</f>
        <v/>
      </c>
      <c r="AA31">
        <f>IF($A31="","",IF('Ügyfelek'!AA31="",'Beállítások'!$B$84,VLOOKUP(MAX('Ügyfelek'!AA31,'Beállítások'!$T$7),'Beállítások'!$T$7:$U$12,2,TRUE)))</f>
        <v/>
      </c>
      <c r="AB31">
        <f>IF($A31="","",IF('Ügyfelek'!AB31="",'Beállítások'!$B$84,MIN(10,MAX(1,ROUND('Ügyfelek'!AB31,0)))))</f>
        <v/>
      </c>
      <c r="AC31">
        <f>IF($A31="","",IF('Ügyfelek'!AC31="",'Beállítások'!$B$84,MIN(10,MAX(1,ROUND('Ügyfelek'!AC31,0)))))</f>
        <v/>
      </c>
      <c r="AD31">
        <f>IF($A31="","",IF('Ügyfelek'!AD31="",'Beállítások'!$B$84,MIN(10,MAX(1,ROUND('Ügyfelek'!AD31,0)))))</f>
        <v/>
      </c>
      <c r="AE31">
        <f>IF($A31="","",IF('Ügyfelek'!AE31="",'Beállítások'!$B$84,MIN(10,MAX(1,ROUND('Ügyfelek'!AE31,0)))))</f>
        <v/>
      </c>
      <c r="AF31">
        <f>IF($A31="","",IF('Ügyfelek'!AF31="",'Beállítások'!$B$84,MIN(10,MAX(1,ROUND('Ügyfelek'!AF31,0)))))</f>
        <v/>
      </c>
      <c r="AG31">
        <f>IF($A31="","",IF('Ügyfelek'!AG31="",'Beállítások'!$B$84,MIN(10,MAX(1,ROUND('Ügyfelek'!AG31,0)))))</f>
        <v/>
      </c>
      <c r="AH31">
        <f>IF($A31="","",IF('Ügyfelek'!AH31="",'Beállítások'!$B$84,IFERROR(VLOOKUP(TRIM('Ügyfelek'!AH31),'Beállítások'!$A$73:$B$79,2,FALSE),'Beállítások'!$B$84)))</f>
        <v/>
      </c>
      <c r="AI31" s="23">
        <f>IF($A31="","",ROUND(100*('Beállítások'!$E$6*(B31-1)+'Beállítások'!$E$7*(C31-1))/(9*'Beállítások'!$B$43),1))</f>
        <v/>
      </c>
      <c r="AJ31" s="23">
        <f>IF($A31="","",ROUND(100*('Beállítások'!$E$8*(D31-1)+'Beállítások'!$E$9*(E31-1)+'Beállítások'!$E$10*(F31-1)+'Beállítások'!$E$11*(G31-1)+'Beállítások'!$E$12*(H31-1)+'Beállítások'!$E$13*(I31-1)+'Beállítások'!$E$14*(J31-1)+'Beállítások'!$E$15*(K31-1)+'Beállítások'!$E$16*(L31-1)+'Beállítások'!$E$17*(M31-1)+'Beállítások'!$E$18*(N31-1)+'Beállítások'!$E$19*(O31-1)+'Beállítások'!$E$20*(P31-1)+'Beállítások'!$E$21*(Q31-1)+'Beállítások'!$E$22*(R31-1))/(9*'Beállítások'!$B$44),1))</f>
        <v/>
      </c>
      <c r="AK31" s="23">
        <f>IF($A31="","",ROUND(100*('Beállítások'!$E$23*(S31-1)+'Beállítások'!$E$24*(T31-1)+'Beállítások'!$E$25*(U31-1)+'Beállítások'!$E$26*(V31-1)+'Beállítások'!$E$27*(W31-1)+'Beállítások'!$E$28*(X31-1)+'Beállítások'!$E$29*(Y31-1))/(9*'Beállítások'!$B$45),1))</f>
        <v/>
      </c>
      <c r="AL31" s="23">
        <f>IF($A31="","",ROUND(100*('Beállítások'!$E$30*(Z31-1)+'Beállítások'!$E$31*(AA31-1)+'Beállítások'!$E$32*(AB31-1)+'Beállítások'!$E$33*(AC31-1)+'Beállítások'!$E$34*(AD31-1)+'Beállítások'!$E$35*(AE31-1)+'Beállítások'!$E$36*(AF31-1)+'Beállítások'!$E$37*(AG31-1)+'Beállítások'!$E$38*(AH31-1))/(9*'Beállítások'!$B$46),1))</f>
        <v/>
      </c>
      <c r="AM31" s="23">
        <f>IF($A31="","",ROUND(100*('Beállítások'!$E$6*(B31-1)+'Beállítások'!$E$7*(C31-1)+'Beállítások'!$E$8*(D31-1)+'Beállítások'!$E$9*(E31-1)+'Beállítások'!$E$10*(F31-1)+'Beállítások'!$E$11*(G31-1)+'Beállítások'!$E$12*(H31-1)+'Beállítások'!$E$13*(I31-1)+'Beállítások'!$E$14*(J31-1)+'Beállítások'!$E$15*(K31-1)+'Beállítások'!$E$16*(L31-1)+'Beállítások'!$E$17*(M31-1)+'Beállítások'!$E$18*(N31-1)+'Beállítások'!$E$19*(O31-1)+'Beállítások'!$E$20*(P31-1)+'Beállítások'!$E$21*(Q31-1)+'Beállítások'!$E$22*(R31-1)+'Beállítások'!$E$23*(S31-1)+'Beállítások'!$E$24*(T31-1)+'Beállítások'!$E$25*(U31-1)+'Beállítások'!$E$26*(V31-1)+'Beállítások'!$E$27*(W31-1)+'Beállítások'!$E$28*(X31-1)+'Beállítások'!$E$29*(Y31-1)+'Beállítások'!$E$30*(Z31-1)+'Beállítások'!$E$31*(AA31-1)+'Beállítások'!$E$32*(AB31-1)+'Beállítások'!$E$33*(AC31-1)+'Beállítások'!$E$34*(AD31-1)+'Beállítások'!$E$35*(AE31-1)+'Beállítások'!$E$36*(AF31-1)+'Beállítások'!$E$37*(AG31-1)+'Beállítások'!$E$38*(AH31-1))/(9*'Beállítások'!$E$39),1))</f>
        <v/>
      </c>
      <c r="AN31" s="23">
        <f>IF($A31="","",ROUND(100*('Beállítások'!$E$8*(D31-1)+'Beállítások'!$E$9*(E31-1)+'Beállítások'!$E$10*(F31-1)+'Beállítások'!$E$11*(G31-1)+'Beállítások'!$E$12*(H31-1)+'Beállítások'!$E$13*(I31-1)+'Beállítások'!$E$14*(J31-1)+'Beállítások'!$E$15*(K31-1)+'Beállítások'!$E$16*(L31-1)+'Beállítások'!$E$17*(M31-1)+'Beállítások'!$E$18*(N31-1)+'Beállítások'!$E$19*(O31-1)+'Beállítások'!$E$20*(P31-1)+'Beállítások'!$E$21*(Q31-1)+'Beállítások'!$E$22*(R31-1)+'Beállítások'!$E$23*(S31-1)+'Beállítások'!$E$24*(T31-1)+'Beállítások'!$E$25*(U31-1)+'Beállítások'!$E$26*(V31-1)+'Beállítások'!$E$27*(W31-1)+'Beállítások'!$E$28*(X31-1)+'Beállítások'!$E$29*(Y31-1))/(9*('Beállítások'!$B$44+'Beállítások'!$B$45)),1))</f>
        <v/>
      </c>
      <c r="AO31" s="24">
        <f>IF($A31="","",RANK(AM31,$AM$2:$AM$201))</f>
        <v/>
      </c>
      <c r="AP31">
        <f>IF($A31="","",IF(OR(AND('Ügyfelek'!B31&lt;&gt;"",B31&lt;='Beállítások'!$B$85),AND('Ügyfelek'!C31&lt;&gt;"",C31&lt;='Beállítások'!$B$86)),"Igen","Nem"))</f>
        <v/>
      </c>
      <c r="AQ31" s="24">
        <f>IF($A31="","",IF(AP31="Igen",5,IF(AN31&gt;='Beállítások'!$C$108,1,IF(AN31&gt;='Beállítások'!$C$109,2,IF(AN31&gt;='Beállítások'!$C$110,3,IF(AND(AN31&gt;='Beállítások'!$B$87,AI31&gt;='Beállítások'!$B$88,AL31&gt;='Beállítások'!$B$89),4,5))))))</f>
        <v/>
      </c>
      <c r="AR31">
        <f>IF($A31="","",INDEX('Beállítások'!$B$108:$B$112,AQ31))</f>
        <v/>
      </c>
      <c r="AS31">
        <f>IF($A31="","",IF(AQ31=5,"Elutasítjuk",IF(AND(AQ31=4,COUNTIFS('Eredmény'!$AQ$2:$AQ$201,4,'Eredmény'!$DY$2:$DY$201,"&gt;"&amp;DY31)&gt;='Beállítások'!$B$90),"Várólista (a 4-es hely foglalt)","Elfogadjuk")))</f>
        <v/>
      </c>
      <c r="AT31">
        <f>IF($A31="","",INDEX('Beállítások'!$F$108:$F$112,AQ31))</f>
        <v/>
      </c>
      <c r="AU31">
        <f>IF($A31="","",INDEX('Beállítások'!$B$6:$B$38,MATCH(MAX(BK31:CQ31),BK31:CQ31,0)))</f>
        <v/>
      </c>
      <c r="AV31">
        <f>IF($A31="","",IF(MAX(CR31:DX31)=0,"—",INDEX('Beállítások'!$B$6:$B$38,MATCH(MAX(CR31:DX31),CR31:DX31,0))))</f>
        <v/>
      </c>
      <c r="AW31" s="10">
        <f>IF($A31="","",'Beállítások'!$B$94*(TRIM('Ügyfelek'!AI31)="igen")+'Beállítások'!$B$95*(TRIM('Ügyfelek'!AJ31)="igen")+'Beállítások'!$B$96*N('Ügyfelek'!AK31)+'Beállítások'!$B$93*N('Ügyfelek'!AL31))</f>
        <v/>
      </c>
      <c r="AX31" s="25">
        <f>IF(OR($A31="",AQ31=5),"",INDEX('Beállítások'!$D$108:$D$112,AQ31))</f>
        <v/>
      </c>
      <c r="AY31" s="10">
        <f>IF($A31="","",N('Ügyfelek'!U31)*'Beállítások'!$B$98)</f>
        <v/>
      </c>
      <c r="AZ31" s="10">
        <f>IF(OR($A31="",AQ31=5),"",CEILING(ROUND(MAX('Beállítások'!$B$97,AW31*AX31,AY31),2),'Beállítások'!$B$99))</f>
        <v/>
      </c>
      <c r="BA31">
        <f>IF($A31="","",IF(AQ31=5,"Elutasítva",IF(MAX('Beállítások'!$B$97,AW31*AX31,AY31)=AW31*AX31,"Munkaigény × státuszszorzó",IF(MAX('Beállítások'!$B$97,AW31*AX31,AY31)=AY31,"Hirdetési keret arányában","Minimumdíj"))))</f>
        <v/>
      </c>
      <c r="BB31" s="10">
        <f>IF(OR($A31="",'Ügyfelek'!AM31=""),"",'Ügyfelek'!AM31)</f>
        <v/>
      </c>
      <c r="BC31" s="10">
        <f>IF(OR(BB31="",AZ31=""),"",AZ31-BB31)</f>
        <v/>
      </c>
      <c r="BD31" s="18">
        <f>IF(OR(BB31="",AZ31="",BB31=0),"",BC31/BB31)</f>
        <v/>
      </c>
      <c r="BE31">
        <f>IF(OR($A31="",AQ31=5),"",IF(AND(INDEX('Beállítások'!$E$108:$E$112,AQ31)&gt;0,Y31&gt;='Beállítások'!$B$91),"Igen","Nem"))</f>
        <v/>
      </c>
      <c r="BF31" s="10">
        <f>IF(BE31="Igen",CEILING(ROUND(AZ31*(1-'Beállítások'!$B$92),2),'Beállítások'!$B$99),"")</f>
        <v/>
      </c>
      <c r="BG31" s="20">
        <f>IF(BE31="Igen",INDEX('Beállítások'!$E$108:$E$112,AQ31),"")</f>
        <v/>
      </c>
      <c r="BH31" s="10">
        <f>IF(OR(BE31&lt;&gt;"Igen",'Ügyfelek'!AN31=""),"",'Ügyfelek'!AN31*BG31)</f>
        <v/>
      </c>
      <c r="BI31" s="24">
        <f>IF($A31="","",('Ügyfelek'!B31="")+('Ügyfelek'!C31="")+('Ügyfelek'!D31="")+('Ügyfelek'!E31="")+('Ügyfelek'!F31="")+('Ügyfelek'!G31="")+('Ügyfelek'!H31="")+('Ügyfelek'!I31="")+('Ügyfelek'!J31="")+('Ügyfelek'!K31="")+('Ügyfelek'!L31="")+('Ügyfelek'!M31="")+('Ügyfelek'!N31="")+('Ügyfelek'!O31="")+('Ügyfelek'!P31="")+('Ügyfelek'!Q31="")+('Ügyfelek'!R31="")+('Ügyfelek'!S31="")+('Ügyfelek'!T31="")+('Ügyfelek'!U31="")+('Ügyfelek'!V31="")+('Ügyfelek'!W31="")+('Ügyfelek'!X31="")+('Ügyfelek'!Y31="")+('Ügyfelek'!Z31="")+('Ügyfelek'!AA31="")+('Ügyfelek'!AB31="")+('Ügyfelek'!AC31="")+('Ügyfelek'!AD31="")+('Ügyfelek'!AE31="")+('Ügyfelek'!AF31="")+('Ügyfelek'!AG31="")+('Ügyfelek'!AH31=""))</f>
        <v/>
      </c>
      <c r="BK31">
        <f>IF($A31="","",B31+'Beállítások'!$E$6/1000)</f>
        <v/>
      </c>
      <c r="BL31">
        <f>IF($A31="","",C31+'Beállítások'!$E$7/1000)</f>
        <v/>
      </c>
      <c r="BM31">
        <f>IF($A31="","",D31+'Beállítások'!$E$8/1000)</f>
        <v/>
      </c>
      <c r="BN31">
        <f>IF($A31="","",E31+'Beállítások'!$E$9/1000)</f>
        <v/>
      </c>
      <c r="BO31">
        <f>IF($A31="","",F31+'Beállítások'!$E$10/1000)</f>
        <v/>
      </c>
      <c r="BP31">
        <f>IF($A31="","",G31+'Beállítások'!$E$11/1000)</f>
        <v/>
      </c>
      <c r="BQ31">
        <f>IF($A31="","",H31+'Beállítások'!$E$12/1000)</f>
        <v/>
      </c>
      <c r="BR31">
        <f>IF($A31="","",I31+'Beállítások'!$E$13/1000)</f>
        <v/>
      </c>
      <c r="BS31">
        <f>IF($A31="","",J31+'Beállítások'!$E$14/1000)</f>
        <v/>
      </c>
      <c r="BT31">
        <f>IF($A31="","",K31+'Beállítások'!$E$15/1000)</f>
        <v/>
      </c>
      <c r="BU31">
        <f>IF($A31="","",L31+'Beállítások'!$E$16/1000)</f>
        <v/>
      </c>
      <c r="BV31">
        <f>IF($A31="","",M31+'Beállítások'!$E$17/1000)</f>
        <v/>
      </c>
      <c r="BW31">
        <f>IF($A31="","",N31+'Beállítások'!$E$18/1000)</f>
        <v/>
      </c>
      <c r="BX31">
        <f>IF($A31="","",O31+'Beállítások'!$E$19/1000)</f>
        <v/>
      </c>
      <c r="BY31">
        <f>IF($A31="","",P31+'Beállítások'!$E$20/1000)</f>
        <v/>
      </c>
      <c r="BZ31">
        <f>IF($A31="","",Q31+'Beállítások'!$E$21/1000)</f>
        <v/>
      </c>
      <c r="CA31">
        <f>IF($A31="","",R31+'Beállítások'!$E$22/1000)</f>
        <v/>
      </c>
      <c r="CB31">
        <f>IF($A31="","",S31+'Beállítások'!$E$23/1000)</f>
        <v/>
      </c>
      <c r="CC31">
        <f>IF($A31="","",T31+'Beállítások'!$E$24/1000)</f>
        <v/>
      </c>
      <c r="CD31">
        <f>IF($A31="","",U31+'Beállítások'!$E$25/1000)</f>
        <v/>
      </c>
      <c r="CE31">
        <f>IF($A31="","",V31+'Beállítások'!$E$26/1000)</f>
        <v/>
      </c>
      <c r="CF31">
        <f>IF($A31="","",W31+'Beállítások'!$E$27/1000)</f>
        <v/>
      </c>
      <c r="CG31">
        <f>IF($A31="","",X31+'Beállítások'!$E$28/1000)</f>
        <v/>
      </c>
      <c r="CH31">
        <f>IF($A31="","",Y31+'Beállítások'!$E$29/1000)</f>
        <v/>
      </c>
      <c r="CI31">
        <f>IF($A31="","",Z31+'Beállítások'!$E$30/1000)</f>
        <v/>
      </c>
      <c r="CJ31">
        <f>IF($A31="","",AA31+'Beállítások'!$E$31/1000)</f>
        <v/>
      </c>
      <c r="CK31">
        <f>IF($A31="","",AB31+'Beállítások'!$E$32/1000)</f>
        <v/>
      </c>
      <c r="CL31">
        <f>IF($A31="","",AC31+'Beállítások'!$E$33/1000)</f>
        <v/>
      </c>
      <c r="CM31">
        <f>IF($A31="","",AD31+'Beállítások'!$E$34/1000)</f>
        <v/>
      </c>
      <c r="CN31">
        <f>IF($A31="","",AE31+'Beállítások'!$E$35/1000)</f>
        <v/>
      </c>
      <c r="CO31">
        <f>IF($A31="","",AF31+'Beállítások'!$E$36/1000)</f>
        <v/>
      </c>
      <c r="CP31">
        <f>IF($A31="","",AG31+'Beállítások'!$E$37/1000)</f>
        <v/>
      </c>
      <c r="CQ31">
        <f>IF($A31="","",AH31+'Beállítások'!$E$38/1000)</f>
        <v/>
      </c>
      <c r="CR31">
        <f>IF($A31="","",'Beállítások'!$E$6*(10-B31))</f>
        <v/>
      </c>
      <c r="CS31">
        <f>IF($A31="","",'Beállítások'!$E$7*(10-C31))</f>
        <v/>
      </c>
      <c r="CT31">
        <f>IF($A31="","",'Beállítások'!$E$8*(10-D31))</f>
        <v/>
      </c>
      <c r="CU31">
        <f>IF($A31="","",'Beállítások'!$E$9*(10-E31))</f>
        <v/>
      </c>
      <c r="CV31">
        <f>IF($A31="","",'Beállítások'!$E$10*(10-F31))</f>
        <v/>
      </c>
      <c r="CW31">
        <f>IF($A31="","",'Beállítások'!$E$11*(10-G31))</f>
        <v/>
      </c>
      <c r="CX31">
        <f>IF($A31="","",'Beállítások'!$E$12*(10-H31))</f>
        <v/>
      </c>
      <c r="CY31">
        <f>IF($A31="","",'Beállítások'!$E$13*(10-I31))</f>
        <v/>
      </c>
      <c r="CZ31">
        <f>IF($A31="","",'Beállítások'!$E$14*(10-J31))</f>
        <v/>
      </c>
      <c r="DA31">
        <f>IF($A31="","",'Beállítások'!$E$15*(10-K31))</f>
        <v/>
      </c>
      <c r="DB31">
        <f>IF($A31="","",'Beállítások'!$E$16*(10-L31))</f>
        <v/>
      </c>
      <c r="DC31">
        <f>IF($A31="","",'Beállítások'!$E$17*(10-M31))</f>
        <v/>
      </c>
      <c r="DD31">
        <f>IF($A31="","",'Beállítások'!$E$18*(10-N31))</f>
        <v/>
      </c>
      <c r="DE31">
        <f>IF($A31="","",'Beállítások'!$E$19*(10-O31))</f>
        <v/>
      </c>
      <c r="DF31">
        <f>IF($A31="","",'Beállítások'!$E$20*(10-P31))</f>
        <v/>
      </c>
      <c r="DG31">
        <f>IF($A31="","",'Beállítások'!$E$21*(10-Q31))</f>
        <v/>
      </c>
      <c r="DH31">
        <f>IF($A31="","",'Beállítások'!$E$22*(10-R31))</f>
        <v/>
      </c>
      <c r="DI31">
        <f>IF($A31="","",'Beállítások'!$E$23*(10-S31))</f>
        <v/>
      </c>
      <c r="DJ31">
        <f>IF($A31="","",'Beállítások'!$E$24*(10-T31))</f>
        <v/>
      </c>
      <c r="DK31">
        <f>IF($A31="","",'Beállítások'!$E$25*(10-U31))</f>
        <v/>
      </c>
      <c r="DL31">
        <f>IF($A31="","",'Beállítások'!$E$26*(10-V31))</f>
        <v/>
      </c>
      <c r="DM31">
        <f>IF($A31="","",'Beállítások'!$E$27*(10-W31))</f>
        <v/>
      </c>
      <c r="DN31">
        <f>IF($A31="","",'Beállítások'!$E$28*(10-X31))</f>
        <v/>
      </c>
      <c r="DO31">
        <f>IF($A31="","",'Beállítások'!$E$29*(10-Y31))</f>
        <v/>
      </c>
      <c r="DP31">
        <f>IF($A31="","",'Beállítások'!$E$30*(10-Z31))</f>
        <v/>
      </c>
      <c r="DQ31">
        <f>IF($A31="","",'Beállítások'!$E$31*(10-AA31))</f>
        <v/>
      </c>
      <c r="DR31">
        <f>IF($A31="","",'Beállítások'!$E$32*(10-AB31))</f>
        <v/>
      </c>
      <c r="DS31">
        <f>IF($A31="","",'Beállítások'!$E$33*(10-AC31))</f>
        <v/>
      </c>
      <c r="DT31">
        <f>IF($A31="","",'Beállítások'!$E$34*(10-AD31))</f>
        <v/>
      </c>
      <c r="DU31">
        <f>IF($A31="","",'Beállítások'!$E$35*(10-AE31))</f>
        <v/>
      </c>
      <c r="DV31">
        <f>IF($A31="","",'Beállítások'!$E$36*(10-AF31))</f>
        <v/>
      </c>
      <c r="DW31">
        <f>IF($A31="","",'Beállítások'!$E$37*(10-AG31))</f>
        <v/>
      </c>
      <c r="DX31">
        <f>IF($A31="","",'Beállítások'!$E$38*(10-AH31))</f>
        <v/>
      </c>
      <c r="DY31">
        <f>IF($A31="","",AM31-ROW()/100000)</f>
        <v/>
      </c>
    </row>
    <row r="32">
      <c r="A32">
        <f>IF('Ügyfelek'!A32="","",'Ügyfelek'!A32)</f>
        <v/>
      </c>
      <c r="B32">
        <f>IF($A32="","",IF('Ügyfelek'!B32="",'Beállítások'!$B$84,IFERROR(VLOOKUP(TRIM('Ügyfelek'!B32),'Beállítások'!$A$51:$B$59,2,FALSE),'Beállítások'!$B$84)))</f>
        <v/>
      </c>
      <c r="C32">
        <f>IF($A32="","",IF('Ügyfelek'!C32="",'Beállítások'!$B$84,MIN(10,MAX(1,ROUND('Ügyfelek'!C32,0)))))</f>
        <v/>
      </c>
      <c r="D32">
        <f>IF($A32="","",IF('Ügyfelek'!D32="",'Beállítások'!$B$84,MIN(10,MAX(1,ROUND('Ügyfelek'!D32,0)))))</f>
        <v/>
      </c>
      <c r="E32">
        <f>IF($A32="","",IF('Ügyfelek'!E32="",'Beállítások'!$B$84,MIN(10,MAX(1,ROUND('Ügyfelek'!E32,0)))))</f>
        <v/>
      </c>
      <c r="F32">
        <f>IF($A32="","",IF('Ügyfelek'!F32="",'Beállítások'!$B$84,MIN(10,MAX(1,ROUND('Ügyfelek'!F32,0)))))</f>
        <v/>
      </c>
      <c r="G32">
        <f>IF($A32="","",IF('Ügyfelek'!G32="",'Beállítások'!$B$84,MIN(10,MAX(1,ROUND('Ügyfelek'!G32,0)))))</f>
        <v/>
      </c>
      <c r="H32">
        <f>IF($A32="","",IF('Ügyfelek'!H32="",'Beállítások'!$B$84,MIN(10,MAX(1,ROUND('Ügyfelek'!H32,0)))))</f>
        <v/>
      </c>
      <c r="I32">
        <f>IF($A32="","",IF('Ügyfelek'!I32="",'Beállítások'!$B$84,MIN(10,MAX(1,ROUND('Ügyfelek'!I32,0)))))</f>
        <v/>
      </c>
      <c r="J32">
        <f>IF($A32="","",IF('Ügyfelek'!J32="",'Beállítások'!$B$84,MIN(10,MAX(1,ROUND('Ügyfelek'!J32,0)))))</f>
        <v/>
      </c>
      <c r="K32">
        <f>IF($A32="","",IF('Ügyfelek'!K32="",'Beállítások'!$B$84,MIN(10,MAX(1,ROUND('Ügyfelek'!K32,0)))))</f>
        <v/>
      </c>
      <c r="L32">
        <f>IF($A32="","",IF('Ügyfelek'!L32="",'Beállítások'!$B$84,MIN(10,MAX(1,ROUND('Ügyfelek'!L32,0)))))</f>
        <v/>
      </c>
      <c r="M32">
        <f>IF($A32="","",IF('Ügyfelek'!M32="",'Beállítások'!$B$84,MIN(10,MAX(1,ROUND('Ügyfelek'!M32,0)))))</f>
        <v/>
      </c>
      <c r="N32">
        <f>IF($A32="","",IF('Ügyfelek'!N32="",'Beállítások'!$B$84,MIN(10,MAX(1,ROUND('Ügyfelek'!N32,0)))))</f>
        <v/>
      </c>
      <c r="O32">
        <f>IF($A32="","",IF('Ügyfelek'!O32="",'Beállítások'!$B$84,MIN(10,MAX(1,ROUND('Ügyfelek'!O32,0)))))</f>
        <v/>
      </c>
      <c r="P32">
        <f>IF($A32="","",IF('Ügyfelek'!P32="",'Beállítások'!$B$84,MIN(10,MAX(1,ROUND('Ügyfelek'!P32,0)))))</f>
        <v/>
      </c>
      <c r="Q32">
        <f>IF($A32="","",IF('Ügyfelek'!Q32="",'Beállítások'!$B$84,MIN(10,MAX(1,ROUND('Ügyfelek'!Q32,0)))))</f>
        <v/>
      </c>
      <c r="R32">
        <f>IF($A32="","",IF('Ügyfelek'!R32="",'Beállítások'!$B$84,MIN(10,MAX(1,ROUND('Ügyfelek'!R32,0)))))</f>
        <v/>
      </c>
      <c r="S32">
        <f>IF($A32="","",IF('Ügyfelek'!S32="",'Beállítások'!$B$84,MIN(10,MAX(1,ROUND('Ügyfelek'!S32,0)))))</f>
        <v/>
      </c>
      <c r="T32">
        <f>IF($A32="","",IF('Ügyfelek'!T32="",'Beállítások'!$B$84,VLOOKUP(MAX('Ügyfelek'!T32,'Beállítások'!$H$7),'Beállítások'!$H$7:$I$12,2,TRUE)))</f>
        <v/>
      </c>
      <c r="U32">
        <f>IF($A32="","",IF('Ügyfelek'!U32="",'Beállítások'!$B$84,VLOOKUP(MAX('Ügyfelek'!U32,'Beállítások'!$K$7),'Beállítások'!$K$7:$L$12,2,TRUE)))</f>
        <v/>
      </c>
      <c r="V32">
        <f>IF($A32="","",IF('Ügyfelek'!V32="",'Beállítások'!$B$84,MIN(10,MAX(1,ROUND('Ügyfelek'!V32,0)))))</f>
        <v/>
      </c>
      <c r="W32">
        <f>IF($A32="","",IF('Ügyfelek'!W32="",'Beállítások'!$B$84,VLOOKUP(MAX('Ügyfelek'!W32,'Beállítások'!$N$7),'Beállítások'!$N$7:$O$12,2,TRUE)))</f>
        <v/>
      </c>
      <c r="X32">
        <f>IF($A32="","",IF('Ügyfelek'!X32="",'Beállítások'!$B$84,MIN(10,MAX(1,ROUND('Ügyfelek'!X32,0)))))</f>
        <v/>
      </c>
      <c r="Y32">
        <f>IF($A32="","",IF('Ügyfelek'!Y32="",'Beállítások'!$B$84,IFERROR(VLOOKUP(TRIM('Ügyfelek'!Y32),'Beállítások'!$A$63:$B$69,2,FALSE),'Beállítások'!$B$84)))</f>
        <v/>
      </c>
      <c r="Z32">
        <f>IF($A32="","",IF('Ügyfelek'!Z32="",'Beállítások'!$B$84,VLOOKUP(MAX('Ügyfelek'!Z32,'Beállítások'!$Q$7),'Beállítások'!$Q$7:$R$12,2,TRUE)))</f>
        <v/>
      </c>
      <c r="AA32">
        <f>IF($A32="","",IF('Ügyfelek'!AA32="",'Beállítások'!$B$84,VLOOKUP(MAX('Ügyfelek'!AA32,'Beállítások'!$T$7),'Beállítások'!$T$7:$U$12,2,TRUE)))</f>
        <v/>
      </c>
      <c r="AB32">
        <f>IF($A32="","",IF('Ügyfelek'!AB32="",'Beállítások'!$B$84,MIN(10,MAX(1,ROUND('Ügyfelek'!AB32,0)))))</f>
        <v/>
      </c>
      <c r="AC32">
        <f>IF($A32="","",IF('Ügyfelek'!AC32="",'Beállítások'!$B$84,MIN(10,MAX(1,ROUND('Ügyfelek'!AC32,0)))))</f>
        <v/>
      </c>
      <c r="AD32">
        <f>IF($A32="","",IF('Ügyfelek'!AD32="",'Beállítások'!$B$84,MIN(10,MAX(1,ROUND('Ügyfelek'!AD32,0)))))</f>
        <v/>
      </c>
      <c r="AE32">
        <f>IF($A32="","",IF('Ügyfelek'!AE32="",'Beállítások'!$B$84,MIN(10,MAX(1,ROUND('Ügyfelek'!AE32,0)))))</f>
        <v/>
      </c>
      <c r="AF32">
        <f>IF($A32="","",IF('Ügyfelek'!AF32="",'Beállítások'!$B$84,MIN(10,MAX(1,ROUND('Ügyfelek'!AF32,0)))))</f>
        <v/>
      </c>
      <c r="AG32">
        <f>IF($A32="","",IF('Ügyfelek'!AG32="",'Beállítások'!$B$84,MIN(10,MAX(1,ROUND('Ügyfelek'!AG32,0)))))</f>
        <v/>
      </c>
      <c r="AH32">
        <f>IF($A32="","",IF('Ügyfelek'!AH32="",'Beállítások'!$B$84,IFERROR(VLOOKUP(TRIM('Ügyfelek'!AH32),'Beállítások'!$A$73:$B$79,2,FALSE),'Beállítások'!$B$84)))</f>
        <v/>
      </c>
      <c r="AI32" s="23">
        <f>IF($A32="","",ROUND(100*('Beállítások'!$E$6*(B32-1)+'Beállítások'!$E$7*(C32-1))/(9*'Beállítások'!$B$43),1))</f>
        <v/>
      </c>
      <c r="AJ32" s="23">
        <f>IF($A32="","",ROUND(100*('Beállítások'!$E$8*(D32-1)+'Beállítások'!$E$9*(E32-1)+'Beállítások'!$E$10*(F32-1)+'Beállítások'!$E$11*(G32-1)+'Beállítások'!$E$12*(H32-1)+'Beállítások'!$E$13*(I32-1)+'Beállítások'!$E$14*(J32-1)+'Beállítások'!$E$15*(K32-1)+'Beállítások'!$E$16*(L32-1)+'Beállítások'!$E$17*(M32-1)+'Beállítások'!$E$18*(N32-1)+'Beállítások'!$E$19*(O32-1)+'Beállítások'!$E$20*(P32-1)+'Beállítások'!$E$21*(Q32-1)+'Beállítások'!$E$22*(R32-1))/(9*'Beállítások'!$B$44),1))</f>
        <v/>
      </c>
      <c r="AK32" s="23">
        <f>IF($A32="","",ROUND(100*('Beállítások'!$E$23*(S32-1)+'Beállítások'!$E$24*(T32-1)+'Beállítások'!$E$25*(U32-1)+'Beállítások'!$E$26*(V32-1)+'Beállítások'!$E$27*(W32-1)+'Beállítások'!$E$28*(X32-1)+'Beállítások'!$E$29*(Y32-1))/(9*'Beállítások'!$B$45),1))</f>
        <v/>
      </c>
      <c r="AL32" s="23">
        <f>IF($A32="","",ROUND(100*('Beállítások'!$E$30*(Z32-1)+'Beállítások'!$E$31*(AA32-1)+'Beállítások'!$E$32*(AB32-1)+'Beállítások'!$E$33*(AC32-1)+'Beállítások'!$E$34*(AD32-1)+'Beállítások'!$E$35*(AE32-1)+'Beállítások'!$E$36*(AF32-1)+'Beállítások'!$E$37*(AG32-1)+'Beállítások'!$E$38*(AH32-1))/(9*'Beállítások'!$B$46),1))</f>
        <v/>
      </c>
      <c r="AM32" s="23">
        <f>IF($A32="","",ROUND(100*('Beállítások'!$E$6*(B32-1)+'Beállítások'!$E$7*(C32-1)+'Beállítások'!$E$8*(D32-1)+'Beállítások'!$E$9*(E32-1)+'Beállítások'!$E$10*(F32-1)+'Beállítások'!$E$11*(G32-1)+'Beállítások'!$E$12*(H32-1)+'Beállítások'!$E$13*(I32-1)+'Beállítások'!$E$14*(J32-1)+'Beállítások'!$E$15*(K32-1)+'Beállítások'!$E$16*(L32-1)+'Beállítások'!$E$17*(M32-1)+'Beállítások'!$E$18*(N32-1)+'Beállítások'!$E$19*(O32-1)+'Beállítások'!$E$20*(P32-1)+'Beállítások'!$E$21*(Q32-1)+'Beállítások'!$E$22*(R32-1)+'Beállítások'!$E$23*(S32-1)+'Beállítások'!$E$24*(T32-1)+'Beállítások'!$E$25*(U32-1)+'Beállítások'!$E$26*(V32-1)+'Beállítások'!$E$27*(W32-1)+'Beállítások'!$E$28*(X32-1)+'Beállítások'!$E$29*(Y32-1)+'Beállítások'!$E$30*(Z32-1)+'Beállítások'!$E$31*(AA32-1)+'Beállítások'!$E$32*(AB32-1)+'Beállítások'!$E$33*(AC32-1)+'Beállítások'!$E$34*(AD32-1)+'Beállítások'!$E$35*(AE32-1)+'Beállítások'!$E$36*(AF32-1)+'Beállítások'!$E$37*(AG32-1)+'Beállítások'!$E$38*(AH32-1))/(9*'Beállítások'!$E$39),1))</f>
        <v/>
      </c>
      <c r="AN32" s="23">
        <f>IF($A32="","",ROUND(100*('Beállítások'!$E$8*(D32-1)+'Beállítások'!$E$9*(E32-1)+'Beállítások'!$E$10*(F32-1)+'Beállítások'!$E$11*(G32-1)+'Beállítások'!$E$12*(H32-1)+'Beállítások'!$E$13*(I32-1)+'Beállítások'!$E$14*(J32-1)+'Beállítások'!$E$15*(K32-1)+'Beállítások'!$E$16*(L32-1)+'Beállítások'!$E$17*(M32-1)+'Beállítások'!$E$18*(N32-1)+'Beállítások'!$E$19*(O32-1)+'Beállítások'!$E$20*(P32-1)+'Beállítások'!$E$21*(Q32-1)+'Beállítások'!$E$22*(R32-1)+'Beállítások'!$E$23*(S32-1)+'Beállítások'!$E$24*(T32-1)+'Beállítások'!$E$25*(U32-1)+'Beállítások'!$E$26*(V32-1)+'Beállítások'!$E$27*(W32-1)+'Beállítások'!$E$28*(X32-1)+'Beállítások'!$E$29*(Y32-1))/(9*('Beállítások'!$B$44+'Beállítások'!$B$45)),1))</f>
        <v/>
      </c>
      <c r="AO32" s="24">
        <f>IF($A32="","",RANK(AM32,$AM$2:$AM$201))</f>
        <v/>
      </c>
      <c r="AP32">
        <f>IF($A32="","",IF(OR(AND('Ügyfelek'!B32&lt;&gt;"",B32&lt;='Beállítások'!$B$85),AND('Ügyfelek'!C32&lt;&gt;"",C32&lt;='Beállítások'!$B$86)),"Igen","Nem"))</f>
        <v/>
      </c>
      <c r="AQ32" s="24">
        <f>IF($A32="","",IF(AP32="Igen",5,IF(AN32&gt;='Beállítások'!$C$108,1,IF(AN32&gt;='Beállítások'!$C$109,2,IF(AN32&gt;='Beállítások'!$C$110,3,IF(AND(AN32&gt;='Beállítások'!$B$87,AI32&gt;='Beállítások'!$B$88,AL32&gt;='Beállítások'!$B$89),4,5))))))</f>
        <v/>
      </c>
      <c r="AR32">
        <f>IF($A32="","",INDEX('Beállítások'!$B$108:$B$112,AQ32))</f>
        <v/>
      </c>
      <c r="AS32">
        <f>IF($A32="","",IF(AQ32=5,"Elutasítjuk",IF(AND(AQ32=4,COUNTIFS('Eredmény'!$AQ$2:$AQ$201,4,'Eredmény'!$DY$2:$DY$201,"&gt;"&amp;DY32)&gt;='Beállítások'!$B$90),"Várólista (a 4-es hely foglalt)","Elfogadjuk")))</f>
        <v/>
      </c>
      <c r="AT32">
        <f>IF($A32="","",INDEX('Beállítások'!$F$108:$F$112,AQ32))</f>
        <v/>
      </c>
      <c r="AU32">
        <f>IF($A32="","",INDEX('Beállítások'!$B$6:$B$38,MATCH(MAX(BK32:CQ32),BK32:CQ32,0)))</f>
        <v/>
      </c>
      <c r="AV32">
        <f>IF($A32="","",IF(MAX(CR32:DX32)=0,"—",INDEX('Beállítások'!$B$6:$B$38,MATCH(MAX(CR32:DX32),CR32:DX32,0))))</f>
        <v/>
      </c>
      <c r="AW32" s="10">
        <f>IF($A32="","",'Beállítások'!$B$94*(TRIM('Ügyfelek'!AI32)="igen")+'Beállítások'!$B$95*(TRIM('Ügyfelek'!AJ32)="igen")+'Beállítások'!$B$96*N('Ügyfelek'!AK32)+'Beállítások'!$B$93*N('Ügyfelek'!AL32))</f>
        <v/>
      </c>
      <c r="AX32" s="25">
        <f>IF(OR($A32="",AQ32=5),"",INDEX('Beállítások'!$D$108:$D$112,AQ32))</f>
        <v/>
      </c>
      <c r="AY32" s="10">
        <f>IF($A32="","",N('Ügyfelek'!U32)*'Beállítások'!$B$98)</f>
        <v/>
      </c>
      <c r="AZ32" s="10">
        <f>IF(OR($A32="",AQ32=5),"",CEILING(ROUND(MAX('Beállítások'!$B$97,AW32*AX32,AY32),2),'Beállítások'!$B$99))</f>
        <v/>
      </c>
      <c r="BA32">
        <f>IF($A32="","",IF(AQ32=5,"Elutasítva",IF(MAX('Beállítások'!$B$97,AW32*AX32,AY32)=AW32*AX32,"Munkaigény × státuszszorzó",IF(MAX('Beállítások'!$B$97,AW32*AX32,AY32)=AY32,"Hirdetési keret arányában","Minimumdíj"))))</f>
        <v/>
      </c>
      <c r="BB32" s="10">
        <f>IF(OR($A32="",'Ügyfelek'!AM32=""),"",'Ügyfelek'!AM32)</f>
        <v/>
      </c>
      <c r="BC32" s="10">
        <f>IF(OR(BB32="",AZ32=""),"",AZ32-BB32)</f>
        <v/>
      </c>
      <c r="BD32" s="18">
        <f>IF(OR(BB32="",AZ32="",BB32=0),"",BC32/BB32)</f>
        <v/>
      </c>
      <c r="BE32">
        <f>IF(OR($A32="",AQ32=5),"",IF(AND(INDEX('Beállítások'!$E$108:$E$112,AQ32)&gt;0,Y32&gt;='Beállítások'!$B$91),"Igen","Nem"))</f>
        <v/>
      </c>
      <c r="BF32" s="10">
        <f>IF(BE32="Igen",CEILING(ROUND(AZ32*(1-'Beállítások'!$B$92),2),'Beállítások'!$B$99),"")</f>
        <v/>
      </c>
      <c r="BG32" s="20">
        <f>IF(BE32="Igen",INDEX('Beállítások'!$E$108:$E$112,AQ32),"")</f>
        <v/>
      </c>
      <c r="BH32" s="10">
        <f>IF(OR(BE32&lt;&gt;"Igen",'Ügyfelek'!AN32=""),"",'Ügyfelek'!AN32*BG32)</f>
        <v/>
      </c>
      <c r="BI32" s="24">
        <f>IF($A32="","",('Ügyfelek'!B32="")+('Ügyfelek'!C32="")+('Ügyfelek'!D32="")+('Ügyfelek'!E32="")+('Ügyfelek'!F32="")+('Ügyfelek'!G32="")+('Ügyfelek'!H32="")+('Ügyfelek'!I32="")+('Ügyfelek'!J32="")+('Ügyfelek'!K32="")+('Ügyfelek'!L32="")+('Ügyfelek'!M32="")+('Ügyfelek'!N32="")+('Ügyfelek'!O32="")+('Ügyfelek'!P32="")+('Ügyfelek'!Q32="")+('Ügyfelek'!R32="")+('Ügyfelek'!S32="")+('Ügyfelek'!T32="")+('Ügyfelek'!U32="")+('Ügyfelek'!V32="")+('Ügyfelek'!W32="")+('Ügyfelek'!X32="")+('Ügyfelek'!Y32="")+('Ügyfelek'!Z32="")+('Ügyfelek'!AA32="")+('Ügyfelek'!AB32="")+('Ügyfelek'!AC32="")+('Ügyfelek'!AD32="")+('Ügyfelek'!AE32="")+('Ügyfelek'!AF32="")+('Ügyfelek'!AG32="")+('Ügyfelek'!AH32=""))</f>
        <v/>
      </c>
      <c r="BK32">
        <f>IF($A32="","",B32+'Beállítások'!$E$6/1000)</f>
        <v/>
      </c>
      <c r="BL32">
        <f>IF($A32="","",C32+'Beállítások'!$E$7/1000)</f>
        <v/>
      </c>
      <c r="BM32">
        <f>IF($A32="","",D32+'Beállítások'!$E$8/1000)</f>
        <v/>
      </c>
      <c r="BN32">
        <f>IF($A32="","",E32+'Beállítások'!$E$9/1000)</f>
        <v/>
      </c>
      <c r="BO32">
        <f>IF($A32="","",F32+'Beállítások'!$E$10/1000)</f>
        <v/>
      </c>
      <c r="BP32">
        <f>IF($A32="","",G32+'Beállítások'!$E$11/1000)</f>
        <v/>
      </c>
      <c r="BQ32">
        <f>IF($A32="","",H32+'Beállítások'!$E$12/1000)</f>
        <v/>
      </c>
      <c r="BR32">
        <f>IF($A32="","",I32+'Beállítások'!$E$13/1000)</f>
        <v/>
      </c>
      <c r="BS32">
        <f>IF($A32="","",J32+'Beállítások'!$E$14/1000)</f>
        <v/>
      </c>
      <c r="BT32">
        <f>IF($A32="","",K32+'Beállítások'!$E$15/1000)</f>
        <v/>
      </c>
      <c r="BU32">
        <f>IF($A32="","",L32+'Beállítások'!$E$16/1000)</f>
        <v/>
      </c>
      <c r="BV32">
        <f>IF($A32="","",M32+'Beállítások'!$E$17/1000)</f>
        <v/>
      </c>
      <c r="BW32">
        <f>IF($A32="","",N32+'Beállítások'!$E$18/1000)</f>
        <v/>
      </c>
      <c r="BX32">
        <f>IF($A32="","",O32+'Beállítások'!$E$19/1000)</f>
        <v/>
      </c>
      <c r="BY32">
        <f>IF($A32="","",P32+'Beállítások'!$E$20/1000)</f>
        <v/>
      </c>
      <c r="BZ32">
        <f>IF($A32="","",Q32+'Beállítások'!$E$21/1000)</f>
        <v/>
      </c>
      <c r="CA32">
        <f>IF($A32="","",R32+'Beállítások'!$E$22/1000)</f>
        <v/>
      </c>
      <c r="CB32">
        <f>IF($A32="","",S32+'Beállítások'!$E$23/1000)</f>
        <v/>
      </c>
      <c r="CC32">
        <f>IF($A32="","",T32+'Beállítások'!$E$24/1000)</f>
        <v/>
      </c>
      <c r="CD32">
        <f>IF($A32="","",U32+'Beállítások'!$E$25/1000)</f>
        <v/>
      </c>
      <c r="CE32">
        <f>IF($A32="","",V32+'Beállítások'!$E$26/1000)</f>
        <v/>
      </c>
      <c r="CF32">
        <f>IF($A32="","",W32+'Beállítások'!$E$27/1000)</f>
        <v/>
      </c>
      <c r="CG32">
        <f>IF($A32="","",X32+'Beállítások'!$E$28/1000)</f>
        <v/>
      </c>
      <c r="CH32">
        <f>IF($A32="","",Y32+'Beállítások'!$E$29/1000)</f>
        <v/>
      </c>
      <c r="CI32">
        <f>IF($A32="","",Z32+'Beállítások'!$E$30/1000)</f>
        <v/>
      </c>
      <c r="CJ32">
        <f>IF($A32="","",AA32+'Beállítások'!$E$31/1000)</f>
        <v/>
      </c>
      <c r="CK32">
        <f>IF($A32="","",AB32+'Beállítások'!$E$32/1000)</f>
        <v/>
      </c>
      <c r="CL32">
        <f>IF($A32="","",AC32+'Beállítások'!$E$33/1000)</f>
        <v/>
      </c>
      <c r="CM32">
        <f>IF($A32="","",AD32+'Beállítások'!$E$34/1000)</f>
        <v/>
      </c>
      <c r="CN32">
        <f>IF($A32="","",AE32+'Beállítások'!$E$35/1000)</f>
        <v/>
      </c>
      <c r="CO32">
        <f>IF($A32="","",AF32+'Beállítások'!$E$36/1000)</f>
        <v/>
      </c>
      <c r="CP32">
        <f>IF($A32="","",AG32+'Beállítások'!$E$37/1000)</f>
        <v/>
      </c>
      <c r="CQ32">
        <f>IF($A32="","",AH32+'Beállítások'!$E$38/1000)</f>
        <v/>
      </c>
      <c r="CR32">
        <f>IF($A32="","",'Beállítások'!$E$6*(10-B32))</f>
        <v/>
      </c>
      <c r="CS32">
        <f>IF($A32="","",'Beállítások'!$E$7*(10-C32))</f>
        <v/>
      </c>
      <c r="CT32">
        <f>IF($A32="","",'Beállítások'!$E$8*(10-D32))</f>
        <v/>
      </c>
      <c r="CU32">
        <f>IF($A32="","",'Beállítások'!$E$9*(10-E32))</f>
        <v/>
      </c>
      <c r="CV32">
        <f>IF($A32="","",'Beállítások'!$E$10*(10-F32))</f>
        <v/>
      </c>
      <c r="CW32">
        <f>IF($A32="","",'Beállítások'!$E$11*(10-G32))</f>
        <v/>
      </c>
      <c r="CX32">
        <f>IF($A32="","",'Beállítások'!$E$12*(10-H32))</f>
        <v/>
      </c>
      <c r="CY32">
        <f>IF($A32="","",'Beállítások'!$E$13*(10-I32))</f>
        <v/>
      </c>
      <c r="CZ32">
        <f>IF($A32="","",'Beállítások'!$E$14*(10-J32))</f>
        <v/>
      </c>
      <c r="DA32">
        <f>IF($A32="","",'Beállítások'!$E$15*(10-K32))</f>
        <v/>
      </c>
      <c r="DB32">
        <f>IF($A32="","",'Beállítások'!$E$16*(10-L32))</f>
        <v/>
      </c>
      <c r="DC32">
        <f>IF($A32="","",'Beállítások'!$E$17*(10-M32))</f>
        <v/>
      </c>
      <c r="DD32">
        <f>IF($A32="","",'Beállítások'!$E$18*(10-N32))</f>
        <v/>
      </c>
      <c r="DE32">
        <f>IF($A32="","",'Beállítások'!$E$19*(10-O32))</f>
        <v/>
      </c>
      <c r="DF32">
        <f>IF($A32="","",'Beállítások'!$E$20*(10-P32))</f>
        <v/>
      </c>
      <c r="DG32">
        <f>IF($A32="","",'Beállítások'!$E$21*(10-Q32))</f>
        <v/>
      </c>
      <c r="DH32">
        <f>IF($A32="","",'Beállítások'!$E$22*(10-R32))</f>
        <v/>
      </c>
      <c r="DI32">
        <f>IF($A32="","",'Beállítások'!$E$23*(10-S32))</f>
        <v/>
      </c>
      <c r="DJ32">
        <f>IF($A32="","",'Beállítások'!$E$24*(10-T32))</f>
        <v/>
      </c>
      <c r="DK32">
        <f>IF($A32="","",'Beállítások'!$E$25*(10-U32))</f>
        <v/>
      </c>
      <c r="DL32">
        <f>IF($A32="","",'Beállítások'!$E$26*(10-V32))</f>
        <v/>
      </c>
      <c r="DM32">
        <f>IF($A32="","",'Beállítások'!$E$27*(10-W32))</f>
        <v/>
      </c>
      <c r="DN32">
        <f>IF($A32="","",'Beállítások'!$E$28*(10-X32))</f>
        <v/>
      </c>
      <c r="DO32">
        <f>IF($A32="","",'Beállítások'!$E$29*(10-Y32))</f>
        <v/>
      </c>
      <c r="DP32">
        <f>IF($A32="","",'Beállítások'!$E$30*(10-Z32))</f>
        <v/>
      </c>
      <c r="DQ32">
        <f>IF($A32="","",'Beállítások'!$E$31*(10-AA32))</f>
        <v/>
      </c>
      <c r="DR32">
        <f>IF($A32="","",'Beállítások'!$E$32*(10-AB32))</f>
        <v/>
      </c>
      <c r="DS32">
        <f>IF($A32="","",'Beállítások'!$E$33*(10-AC32))</f>
        <v/>
      </c>
      <c r="DT32">
        <f>IF($A32="","",'Beállítások'!$E$34*(10-AD32))</f>
        <v/>
      </c>
      <c r="DU32">
        <f>IF($A32="","",'Beállítások'!$E$35*(10-AE32))</f>
        <v/>
      </c>
      <c r="DV32">
        <f>IF($A32="","",'Beállítások'!$E$36*(10-AF32))</f>
        <v/>
      </c>
      <c r="DW32">
        <f>IF($A32="","",'Beállítások'!$E$37*(10-AG32))</f>
        <v/>
      </c>
      <c r="DX32">
        <f>IF($A32="","",'Beállítások'!$E$38*(10-AH32))</f>
        <v/>
      </c>
      <c r="DY32">
        <f>IF($A32="","",AM32-ROW()/100000)</f>
        <v/>
      </c>
    </row>
    <row r="33">
      <c r="A33">
        <f>IF('Ügyfelek'!A33="","",'Ügyfelek'!A33)</f>
        <v/>
      </c>
      <c r="B33">
        <f>IF($A33="","",IF('Ügyfelek'!B33="",'Beállítások'!$B$84,IFERROR(VLOOKUP(TRIM('Ügyfelek'!B33),'Beállítások'!$A$51:$B$59,2,FALSE),'Beállítások'!$B$84)))</f>
        <v/>
      </c>
      <c r="C33">
        <f>IF($A33="","",IF('Ügyfelek'!C33="",'Beállítások'!$B$84,MIN(10,MAX(1,ROUND('Ügyfelek'!C33,0)))))</f>
        <v/>
      </c>
      <c r="D33">
        <f>IF($A33="","",IF('Ügyfelek'!D33="",'Beállítások'!$B$84,MIN(10,MAX(1,ROUND('Ügyfelek'!D33,0)))))</f>
        <v/>
      </c>
      <c r="E33">
        <f>IF($A33="","",IF('Ügyfelek'!E33="",'Beállítások'!$B$84,MIN(10,MAX(1,ROUND('Ügyfelek'!E33,0)))))</f>
        <v/>
      </c>
      <c r="F33">
        <f>IF($A33="","",IF('Ügyfelek'!F33="",'Beállítások'!$B$84,MIN(10,MAX(1,ROUND('Ügyfelek'!F33,0)))))</f>
        <v/>
      </c>
      <c r="G33">
        <f>IF($A33="","",IF('Ügyfelek'!G33="",'Beállítások'!$B$84,MIN(10,MAX(1,ROUND('Ügyfelek'!G33,0)))))</f>
        <v/>
      </c>
      <c r="H33">
        <f>IF($A33="","",IF('Ügyfelek'!H33="",'Beállítások'!$B$84,MIN(10,MAX(1,ROUND('Ügyfelek'!H33,0)))))</f>
        <v/>
      </c>
      <c r="I33">
        <f>IF($A33="","",IF('Ügyfelek'!I33="",'Beállítások'!$B$84,MIN(10,MAX(1,ROUND('Ügyfelek'!I33,0)))))</f>
        <v/>
      </c>
      <c r="J33">
        <f>IF($A33="","",IF('Ügyfelek'!J33="",'Beállítások'!$B$84,MIN(10,MAX(1,ROUND('Ügyfelek'!J33,0)))))</f>
        <v/>
      </c>
      <c r="K33">
        <f>IF($A33="","",IF('Ügyfelek'!K33="",'Beállítások'!$B$84,MIN(10,MAX(1,ROUND('Ügyfelek'!K33,0)))))</f>
        <v/>
      </c>
      <c r="L33">
        <f>IF($A33="","",IF('Ügyfelek'!L33="",'Beállítások'!$B$84,MIN(10,MAX(1,ROUND('Ügyfelek'!L33,0)))))</f>
        <v/>
      </c>
      <c r="M33">
        <f>IF($A33="","",IF('Ügyfelek'!M33="",'Beállítások'!$B$84,MIN(10,MAX(1,ROUND('Ügyfelek'!M33,0)))))</f>
        <v/>
      </c>
      <c r="N33">
        <f>IF($A33="","",IF('Ügyfelek'!N33="",'Beállítások'!$B$84,MIN(10,MAX(1,ROUND('Ügyfelek'!N33,0)))))</f>
        <v/>
      </c>
      <c r="O33">
        <f>IF($A33="","",IF('Ügyfelek'!O33="",'Beállítások'!$B$84,MIN(10,MAX(1,ROUND('Ügyfelek'!O33,0)))))</f>
        <v/>
      </c>
      <c r="P33">
        <f>IF($A33="","",IF('Ügyfelek'!P33="",'Beállítások'!$B$84,MIN(10,MAX(1,ROUND('Ügyfelek'!P33,0)))))</f>
        <v/>
      </c>
      <c r="Q33">
        <f>IF($A33="","",IF('Ügyfelek'!Q33="",'Beállítások'!$B$84,MIN(10,MAX(1,ROUND('Ügyfelek'!Q33,0)))))</f>
        <v/>
      </c>
      <c r="R33">
        <f>IF($A33="","",IF('Ügyfelek'!R33="",'Beállítások'!$B$84,MIN(10,MAX(1,ROUND('Ügyfelek'!R33,0)))))</f>
        <v/>
      </c>
      <c r="S33">
        <f>IF($A33="","",IF('Ügyfelek'!S33="",'Beállítások'!$B$84,MIN(10,MAX(1,ROUND('Ügyfelek'!S33,0)))))</f>
        <v/>
      </c>
      <c r="T33">
        <f>IF($A33="","",IF('Ügyfelek'!T33="",'Beállítások'!$B$84,VLOOKUP(MAX('Ügyfelek'!T33,'Beállítások'!$H$7),'Beállítások'!$H$7:$I$12,2,TRUE)))</f>
        <v/>
      </c>
      <c r="U33">
        <f>IF($A33="","",IF('Ügyfelek'!U33="",'Beállítások'!$B$84,VLOOKUP(MAX('Ügyfelek'!U33,'Beállítások'!$K$7),'Beállítások'!$K$7:$L$12,2,TRUE)))</f>
        <v/>
      </c>
      <c r="V33">
        <f>IF($A33="","",IF('Ügyfelek'!V33="",'Beállítások'!$B$84,MIN(10,MAX(1,ROUND('Ügyfelek'!V33,0)))))</f>
        <v/>
      </c>
      <c r="W33">
        <f>IF($A33="","",IF('Ügyfelek'!W33="",'Beállítások'!$B$84,VLOOKUP(MAX('Ügyfelek'!W33,'Beállítások'!$N$7),'Beállítások'!$N$7:$O$12,2,TRUE)))</f>
        <v/>
      </c>
      <c r="X33">
        <f>IF($A33="","",IF('Ügyfelek'!X33="",'Beállítások'!$B$84,MIN(10,MAX(1,ROUND('Ügyfelek'!X33,0)))))</f>
        <v/>
      </c>
      <c r="Y33">
        <f>IF($A33="","",IF('Ügyfelek'!Y33="",'Beállítások'!$B$84,IFERROR(VLOOKUP(TRIM('Ügyfelek'!Y33),'Beállítások'!$A$63:$B$69,2,FALSE),'Beállítások'!$B$84)))</f>
        <v/>
      </c>
      <c r="Z33">
        <f>IF($A33="","",IF('Ügyfelek'!Z33="",'Beállítások'!$B$84,VLOOKUP(MAX('Ügyfelek'!Z33,'Beállítások'!$Q$7),'Beállítások'!$Q$7:$R$12,2,TRUE)))</f>
        <v/>
      </c>
      <c r="AA33">
        <f>IF($A33="","",IF('Ügyfelek'!AA33="",'Beállítások'!$B$84,VLOOKUP(MAX('Ügyfelek'!AA33,'Beállítások'!$T$7),'Beállítások'!$T$7:$U$12,2,TRUE)))</f>
        <v/>
      </c>
      <c r="AB33">
        <f>IF($A33="","",IF('Ügyfelek'!AB33="",'Beállítások'!$B$84,MIN(10,MAX(1,ROUND('Ügyfelek'!AB33,0)))))</f>
        <v/>
      </c>
      <c r="AC33">
        <f>IF($A33="","",IF('Ügyfelek'!AC33="",'Beállítások'!$B$84,MIN(10,MAX(1,ROUND('Ügyfelek'!AC33,0)))))</f>
        <v/>
      </c>
      <c r="AD33">
        <f>IF($A33="","",IF('Ügyfelek'!AD33="",'Beállítások'!$B$84,MIN(10,MAX(1,ROUND('Ügyfelek'!AD33,0)))))</f>
        <v/>
      </c>
      <c r="AE33">
        <f>IF($A33="","",IF('Ügyfelek'!AE33="",'Beállítások'!$B$84,MIN(10,MAX(1,ROUND('Ügyfelek'!AE33,0)))))</f>
        <v/>
      </c>
      <c r="AF33">
        <f>IF($A33="","",IF('Ügyfelek'!AF33="",'Beállítások'!$B$84,MIN(10,MAX(1,ROUND('Ügyfelek'!AF33,0)))))</f>
        <v/>
      </c>
      <c r="AG33">
        <f>IF($A33="","",IF('Ügyfelek'!AG33="",'Beállítások'!$B$84,MIN(10,MAX(1,ROUND('Ügyfelek'!AG33,0)))))</f>
        <v/>
      </c>
      <c r="AH33">
        <f>IF($A33="","",IF('Ügyfelek'!AH33="",'Beállítások'!$B$84,IFERROR(VLOOKUP(TRIM('Ügyfelek'!AH33),'Beállítások'!$A$73:$B$79,2,FALSE),'Beállítások'!$B$84)))</f>
        <v/>
      </c>
      <c r="AI33" s="23">
        <f>IF($A33="","",ROUND(100*('Beállítások'!$E$6*(B33-1)+'Beállítások'!$E$7*(C33-1))/(9*'Beállítások'!$B$43),1))</f>
        <v/>
      </c>
      <c r="AJ33" s="23">
        <f>IF($A33="","",ROUND(100*('Beállítások'!$E$8*(D33-1)+'Beállítások'!$E$9*(E33-1)+'Beállítások'!$E$10*(F33-1)+'Beállítások'!$E$11*(G33-1)+'Beállítások'!$E$12*(H33-1)+'Beállítások'!$E$13*(I33-1)+'Beállítások'!$E$14*(J33-1)+'Beállítások'!$E$15*(K33-1)+'Beállítások'!$E$16*(L33-1)+'Beállítások'!$E$17*(M33-1)+'Beállítások'!$E$18*(N33-1)+'Beállítások'!$E$19*(O33-1)+'Beállítások'!$E$20*(P33-1)+'Beállítások'!$E$21*(Q33-1)+'Beállítások'!$E$22*(R33-1))/(9*'Beállítások'!$B$44),1))</f>
        <v/>
      </c>
      <c r="AK33" s="23">
        <f>IF($A33="","",ROUND(100*('Beállítások'!$E$23*(S33-1)+'Beállítások'!$E$24*(T33-1)+'Beállítások'!$E$25*(U33-1)+'Beállítások'!$E$26*(V33-1)+'Beállítások'!$E$27*(W33-1)+'Beállítások'!$E$28*(X33-1)+'Beállítások'!$E$29*(Y33-1))/(9*'Beállítások'!$B$45),1))</f>
        <v/>
      </c>
      <c r="AL33" s="23">
        <f>IF($A33="","",ROUND(100*('Beállítások'!$E$30*(Z33-1)+'Beállítások'!$E$31*(AA33-1)+'Beállítások'!$E$32*(AB33-1)+'Beállítások'!$E$33*(AC33-1)+'Beállítások'!$E$34*(AD33-1)+'Beállítások'!$E$35*(AE33-1)+'Beállítások'!$E$36*(AF33-1)+'Beállítások'!$E$37*(AG33-1)+'Beállítások'!$E$38*(AH33-1))/(9*'Beállítások'!$B$46),1))</f>
        <v/>
      </c>
      <c r="AM33" s="23">
        <f>IF($A33="","",ROUND(100*('Beállítások'!$E$6*(B33-1)+'Beállítások'!$E$7*(C33-1)+'Beállítások'!$E$8*(D33-1)+'Beállítások'!$E$9*(E33-1)+'Beállítások'!$E$10*(F33-1)+'Beállítások'!$E$11*(G33-1)+'Beállítások'!$E$12*(H33-1)+'Beállítások'!$E$13*(I33-1)+'Beállítások'!$E$14*(J33-1)+'Beállítások'!$E$15*(K33-1)+'Beállítások'!$E$16*(L33-1)+'Beállítások'!$E$17*(M33-1)+'Beállítások'!$E$18*(N33-1)+'Beállítások'!$E$19*(O33-1)+'Beállítások'!$E$20*(P33-1)+'Beállítások'!$E$21*(Q33-1)+'Beállítások'!$E$22*(R33-1)+'Beállítások'!$E$23*(S33-1)+'Beállítások'!$E$24*(T33-1)+'Beállítások'!$E$25*(U33-1)+'Beállítások'!$E$26*(V33-1)+'Beállítások'!$E$27*(W33-1)+'Beállítások'!$E$28*(X33-1)+'Beállítások'!$E$29*(Y33-1)+'Beállítások'!$E$30*(Z33-1)+'Beállítások'!$E$31*(AA33-1)+'Beállítások'!$E$32*(AB33-1)+'Beállítások'!$E$33*(AC33-1)+'Beállítások'!$E$34*(AD33-1)+'Beállítások'!$E$35*(AE33-1)+'Beállítások'!$E$36*(AF33-1)+'Beállítások'!$E$37*(AG33-1)+'Beállítások'!$E$38*(AH33-1))/(9*'Beállítások'!$E$39),1))</f>
        <v/>
      </c>
      <c r="AN33" s="23">
        <f>IF($A33="","",ROUND(100*('Beállítások'!$E$8*(D33-1)+'Beállítások'!$E$9*(E33-1)+'Beállítások'!$E$10*(F33-1)+'Beállítások'!$E$11*(G33-1)+'Beállítások'!$E$12*(H33-1)+'Beállítások'!$E$13*(I33-1)+'Beállítások'!$E$14*(J33-1)+'Beállítások'!$E$15*(K33-1)+'Beállítások'!$E$16*(L33-1)+'Beállítások'!$E$17*(M33-1)+'Beállítások'!$E$18*(N33-1)+'Beállítások'!$E$19*(O33-1)+'Beállítások'!$E$20*(P33-1)+'Beállítások'!$E$21*(Q33-1)+'Beállítások'!$E$22*(R33-1)+'Beállítások'!$E$23*(S33-1)+'Beállítások'!$E$24*(T33-1)+'Beállítások'!$E$25*(U33-1)+'Beállítások'!$E$26*(V33-1)+'Beállítások'!$E$27*(W33-1)+'Beállítások'!$E$28*(X33-1)+'Beállítások'!$E$29*(Y33-1))/(9*('Beállítások'!$B$44+'Beállítások'!$B$45)),1))</f>
        <v/>
      </c>
      <c r="AO33" s="24">
        <f>IF($A33="","",RANK(AM33,$AM$2:$AM$201))</f>
        <v/>
      </c>
      <c r="AP33">
        <f>IF($A33="","",IF(OR(AND('Ügyfelek'!B33&lt;&gt;"",B33&lt;='Beállítások'!$B$85),AND('Ügyfelek'!C33&lt;&gt;"",C33&lt;='Beállítások'!$B$86)),"Igen","Nem"))</f>
        <v/>
      </c>
      <c r="AQ33" s="24">
        <f>IF($A33="","",IF(AP33="Igen",5,IF(AN33&gt;='Beállítások'!$C$108,1,IF(AN33&gt;='Beállítások'!$C$109,2,IF(AN33&gt;='Beállítások'!$C$110,3,IF(AND(AN33&gt;='Beállítások'!$B$87,AI33&gt;='Beállítások'!$B$88,AL33&gt;='Beállítások'!$B$89),4,5))))))</f>
        <v/>
      </c>
      <c r="AR33">
        <f>IF($A33="","",INDEX('Beállítások'!$B$108:$B$112,AQ33))</f>
        <v/>
      </c>
      <c r="AS33">
        <f>IF($A33="","",IF(AQ33=5,"Elutasítjuk",IF(AND(AQ33=4,COUNTIFS('Eredmény'!$AQ$2:$AQ$201,4,'Eredmény'!$DY$2:$DY$201,"&gt;"&amp;DY33)&gt;='Beállítások'!$B$90),"Várólista (a 4-es hely foglalt)","Elfogadjuk")))</f>
        <v/>
      </c>
      <c r="AT33">
        <f>IF($A33="","",INDEX('Beállítások'!$F$108:$F$112,AQ33))</f>
        <v/>
      </c>
      <c r="AU33">
        <f>IF($A33="","",INDEX('Beállítások'!$B$6:$B$38,MATCH(MAX(BK33:CQ33),BK33:CQ33,0)))</f>
        <v/>
      </c>
      <c r="AV33">
        <f>IF($A33="","",IF(MAX(CR33:DX33)=0,"—",INDEX('Beállítások'!$B$6:$B$38,MATCH(MAX(CR33:DX33),CR33:DX33,0))))</f>
        <v/>
      </c>
      <c r="AW33" s="10">
        <f>IF($A33="","",'Beállítások'!$B$94*(TRIM('Ügyfelek'!AI33)="igen")+'Beállítások'!$B$95*(TRIM('Ügyfelek'!AJ33)="igen")+'Beállítások'!$B$96*N('Ügyfelek'!AK33)+'Beállítások'!$B$93*N('Ügyfelek'!AL33))</f>
        <v/>
      </c>
      <c r="AX33" s="25">
        <f>IF(OR($A33="",AQ33=5),"",INDEX('Beállítások'!$D$108:$D$112,AQ33))</f>
        <v/>
      </c>
      <c r="AY33" s="10">
        <f>IF($A33="","",N('Ügyfelek'!U33)*'Beállítások'!$B$98)</f>
        <v/>
      </c>
      <c r="AZ33" s="10">
        <f>IF(OR($A33="",AQ33=5),"",CEILING(ROUND(MAX('Beállítások'!$B$97,AW33*AX33,AY33),2),'Beállítások'!$B$99))</f>
        <v/>
      </c>
      <c r="BA33">
        <f>IF($A33="","",IF(AQ33=5,"Elutasítva",IF(MAX('Beállítások'!$B$97,AW33*AX33,AY33)=AW33*AX33,"Munkaigény × státuszszorzó",IF(MAX('Beállítások'!$B$97,AW33*AX33,AY33)=AY33,"Hirdetési keret arányában","Minimumdíj"))))</f>
        <v/>
      </c>
      <c r="BB33" s="10">
        <f>IF(OR($A33="",'Ügyfelek'!AM33=""),"",'Ügyfelek'!AM33)</f>
        <v/>
      </c>
      <c r="BC33" s="10">
        <f>IF(OR(BB33="",AZ33=""),"",AZ33-BB33)</f>
        <v/>
      </c>
      <c r="BD33" s="18">
        <f>IF(OR(BB33="",AZ33="",BB33=0),"",BC33/BB33)</f>
        <v/>
      </c>
      <c r="BE33">
        <f>IF(OR($A33="",AQ33=5),"",IF(AND(INDEX('Beállítások'!$E$108:$E$112,AQ33)&gt;0,Y33&gt;='Beállítások'!$B$91),"Igen","Nem"))</f>
        <v/>
      </c>
      <c r="BF33" s="10">
        <f>IF(BE33="Igen",CEILING(ROUND(AZ33*(1-'Beállítások'!$B$92),2),'Beállítások'!$B$99),"")</f>
        <v/>
      </c>
      <c r="BG33" s="20">
        <f>IF(BE33="Igen",INDEX('Beállítások'!$E$108:$E$112,AQ33),"")</f>
        <v/>
      </c>
      <c r="BH33" s="10">
        <f>IF(OR(BE33&lt;&gt;"Igen",'Ügyfelek'!AN33=""),"",'Ügyfelek'!AN33*BG33)</f>
        <v/>
      </c>
      <c r="BI33" s="24">
        <f>IF($A33="","",('Ügyfelek'!B33="")+('Ügyfelek'!C33="")+('Ügyfelek'!D33="")+('Ügyfelek'!E33="")+('Ügyfelek'!F33="")+('Ügyfelek'!G33="")+('Ügyfelek'!H33="")+('Ügyfelek'!I33="")+('Ügyfelek'!J33="")+('Ügyfelek'!K33="")+('Ügyfelek'!L33="")+('Ügyfelek'!M33="")+('Ügyfelek'!N33="")+('Ügyfelek'!O33="")+('Ügyfelek'!P33="")+('Ügyfelek'!Q33="")+('Ügyfelek'!R33="")+('Ügyfelek'!S33="")+('Ügyfelek'!T33="")+('Ügyfelek'!U33="")+('Ügyfelek'!V33="")+('Ügyfelek'!W33="")+('Ügyfelek'!X33="")+('Ügyfelek'!Y33="")+('Ügyfelek'!Z33="")+('Ügyfelek'!AA33="")+('Ügyfelek'!AB33="")+('Ügyfelek'!AC33="")+('Ügyfelek'!AD33="")+('Ügyfelek'!AE33="")+('Ügyfelek'!AF33="")+('Ügyfelek'!AG33="")+('Ügyfelek'!AH33=""))</f>
        <v/>
      </c>
      <c r="BK33">
        <f>IF($A33="","",B33+'Beállítások'!$E$6/1000)</f>
        <v/>
      </c>
      <c r="BL33">
        <f>IF($A33="","",C33+'Beállítások'!$E$7/1000)</f>
        <v/>
      </c>
      <c r="BM33">
        <f>IF($A33="","",D33+'Beállítások'!$E$8/1000)</f>
        <v/>
      </c>
      <c r="BN33">
        <f>IF($A33="","",E33+'Beállítások'!$E$9/1000)</f>
        <v/>
      </c>
      <c r="BO33">
        <f>IF($A33="","",F33+'Beállítások'!$E$10/1000)</f>
        <v/>
      </c>
      <c r="BP33">
        <f>IF($A33="","",G33+'Beállítások'!$E$11/1000)</f>
        <v/>
      </c>
      <c r="BQ33">
        <f>IF($A33="","",H33+'Beállítások'!$E$12/1000)</f>
        <v/>
      </c>
      <c r="BR33">
        <f>IF($A33="","",I33+'Beállítások'!$E$13/1000)</f>
        <v/>
      </c>
      <c r="BS33">
        <f>IF($A33="","",J33+'Beállítások'!$E$14/1000)</f>
        <v/>
      </c>
      <c r="BT33">
        <f>IF($A33="","",K33+'Beállítások'!$E$15/1000)</f>
        <v/>
      </c>
      <c r="BU33">
        <f>IF($A33="","",L33+'Beállítások'!$E$16/1000)</f>
        <v/>
      </c>
      <c r="BV33">
        <f>IF($A33="","",M33+'Beállítások'!$E$17/1000)</f>
        <v/>
      </c>
      <c r="BW33">
        <f>IF($A33="","",N33+'Beállítások'!$E$18/1000)</f>
        <v/>
      </c>
      <c r="BX33">
        <f>IF($A33="","",O33+'Beállítások'!$E$19/1000)</f>
        <v/>
      </c>
      <c r="BY33">
        <f>IF($A33="","",P33+'Beállítások'!$E$20/1000)</f>
        <v/>
      </c>
      <c r="BZ33">
        <f>IF($A33="","",Q33+'Beállítások'!$E$21/1000)</f>
        <v/>
      </c>
      <c r="CA33">
        <f>IF($A33="","",R33+'Beállítások'!$E$22/1000)</f>
        <v/>
      </c>
      <c r="CB33">
        <f>IF($A33="","",S33+'Beállítások'!$E$23/1000)</f>
        <v/>
      </c>
      <c r="CC33">
        <f>IF($A33="","",T33+'Beállítások'!$E$24/1000)</f>
        <v/>
      </c>
      <c r="CD33">
        <f>IF($A33="","",U33+'Beállítások'!$E$25/1000)</f>
        <v/>
      </c>
      <c r="CE33">
        <f>IF($A33="","",V33+'Beállítások'!$E$26/1000)</f>
        <v/>
      </c>
      <c r="CF33">
        <f>IF($A33="","",W33+'Beállítások'!$E$27/1000)</f>
        <v/>
      </c>
      <c r="CG33">
        <f>IF($A33="","",X33+'Beállítások'!$E$28/1000)</f>
        <v/>
      </c>
      <c r="CH33">
        <f>IF($A33="","",Y33+'Beállítások'!$E$29/1000)</f>
        <v/>
      </c>
      <c r="CI33">
        <f>IF($A33="","",Z33+'Beállítások'!$E$30/1000)</f>
        <v/>
      </c>
      <c r="CJ33">
        <f>IF($A33="","",AA33+'Beállítások'!$E$31/1000)</f>
        <v/>
      </c>
      <c r="CK33">
        <f>IF($A33="","",AB33+'Beállítások'!$E$32/1000)</f>
        <v/>
      </c>
      <c r="CL33">
        <f>IF($A33="","",AC33+'Beállítások'!$E$33/1000)</f>
        <v/>
      </c>
      <c r="CM33">
        <f>IF($A33="","",AD33+'Beállítások'!$E$34/1000)</f>
        <v/>
      </c>
      <c r="CN33">
        <f>IF($A33="","",AE33+'Beállítások'!$E$35/1000)</f>
        <v/>
      </c>
      <c r="CO33">
        <f>IF($A33="","",AF33+'Beállítások'!$E$36/1000)</f>
        <v/>
      </c>
      <c r="CP33">
        <f>IF($A33="","",AG33+'Beállítások'!$E$37/1000)</f>
        <v/>
      </c>
      <c r="CQ33">
        <f>IF($A33="","",AH33+'Beállítások'!$E$38/1000)</f>
        <v/>
      </c>
      <c r="CR33">
        <f>IF($A33="","",'Beállítások'!$E$6*(10-B33))</f>
        <v/>
      </c>
      <c r="CS33">
        <f>IF($A33="","",'Beállítások'!$E$7*(10-C33))</f>
        <v/>
      </c>
      <c r="CT33">
        <f>IF($A33="","",'Beállítások'!$E$8*(10-D33))</f>
        <v/>
      </c>
      <c r="CU33">
        <f>IF($A33="","",'Beállítások'!$E$9*(10-E33))</f>
        <v/>
      </c>
      <c r="CV33">
        <f>IF($A33="","",'Beállítások'!$E$10*(10-F33))</f>
        <v/>
      </c>
      <c r="CW33">
        <f>IF($A33="","",'Beállítások'!$E$11*(10-G33))</f>
        <v/>
      </c>
      <c r="CX33">
        <f>IF($A33="","",'Beállítások'!$E$12*(10-H33))</f>
        <v/>
      </c>
      <c r="CY33">
        <f>IF($A33="","",'Beállítások'!$E$13*(10-I33))</f>
        <v/>
      </c>
      <c r="CZ33">
        <f>IF($A33="","",'Beállítások'!$E$14*(10-J33))</f>
        <v/>
      </c>
      <c r="DA33">
        <f>IF($A33="","",'Beállítások'!$E$15*(10-K33))</f>
        <v/>
      </c>
      <c r="DB33">
        <f>IF($A33="","",'Beállítások'!$E$16*(10-L33))</f>
        <v/>
      </c>
      <c r="DC33">
        <f>IF($A33="","",'Beállítások'!$E$17*(10-M33))</f>
        <v/>
      </c>
      <c r="DD33">
        <f>IF($A33="","",'Beállítások'!$E$18*(10-N33))</f>
        <v/>
      </c>
      <c r="DE33">
        <f>IF($A33="","",'Beállítások'!$E$19*(10-O33))</f>
        <v/>
      </c>
      <c r="DF33">
        <f>IF($A33="","",'Beállítások'!$E$20*(10-P33))</f>
        <v/>
      </c>
      <c r="DG33">
        <f>IF($A33="","",'Beállítások'!$E$21*(10-Q33))</f>
        <v/>
      </c>
      <c r="DH33">
        <f>IF($A33="","",'Beállítások'!$E$22*(10-R33))</f>
        <v/>
      </c>
      <c r="DI33">
        <f>IF($A33="","",'Beállítások'!$E$23*(10-S33))</f>
        <v/>
      </c>
      <c r="DJ33">
        <f>IF($A33="","",'Beállítások'!$E$24*(10-T33))</f>
        <v/>
      </c>
      <c r="DK33">
        <f>IF($A33="","",'Beállítások'!$E$25*(10-U33))</f>
        <v/>
      </c>
      <c r="DL33">
        <f>IF($A33="","",'Beállítások'!$E$26*(10-V33))</f>
        <v/>
      </c>
      <c r="DM33">
        <f>IF($A33="","",'Beállítások'!$E$27*(10-W33))</f>
        <v/>
      </c>
      <c r="DN33">
        <f>IF($A33="","",'Beállítások'!$E$28*(10-X33))</f>
        <v/>
      </c>
      <c r="DO33">
        <f>IF($A33="","",'Beállítások'!$E$29*(10-Y33))</f>
        <v/>
      </c>
      <c r="DP33">
        <f>IF($A33="","",'Beállítások'!$E$30*(10-Z33))</f>
        <v/>
      </c>
      <c r="DQ33">
        <f>IF($A33="","",'Beállítások'!$E$31*(10-AA33))</f>
        <v/>
      </c>
      <c r="DR33">
        <f>IF($A33="","",'Beállítások'!$E$32*(10-AB33))</f>
        <v/>
      </c>
      <c r="DS33">
        <f>IF($A33="","",'Beállítások'!$E$33*(10-AC33))</f>
        <v/>
      </c>
      <c r="DT33">
        <f>IF($A33="","",'Beállítások'!$E$34*(10-AD33))</f>
        <v/>
      </c>
      <c r="DU33">
        <f>IF($A33="","",'Beállítások'!$E$35*(10-AE33))</f>
        <v/>
      </c>
      <c r="DV33">
        <f>IF($A33="","",'Beállítások'!$E$36*(10-AF33))</f>
        <v/>
      </c>
      <c r="DW33">
        <f>IF($A33="","",'Beállítások'!$E$37*(10-AG33))</f>
        <v/>
      </c>
      <c r="DX33">
        <f>IF($A33="","",'Beállítások'!$E$38*(10-AH33))</f>
        <v/>
      </c>
      <c r="DY33">
        <f>IF($A33="","",AM33-ROW()/100000)</f>
        <v/>
      </c>
    </row>
    <row r="34">
      <c r="A34">
        <f>IF('Ügyfelek'!A34="","",'Ügyfelek'!A34)</f>
        <v/>
      </c>
      <c r="B34">
        <f>IF($A34="","",IF('Ügyfelek'!B34="",'Beállítások'!$B$84,IFERROR(VLOOKUP(TRIM('Ügyfelek'!B34),'Beállítások'!$A$51:$B$59,2,FALSE),'Beállítások'!$B$84)))</f>
        <v/>
      </c>
      <c r="C34">
        <f>IF($A34="","",IF('Ügyfelek'!C34="",'Beállítások'!$B$84,MIN(10,MAX(1,ROUND('Ügyfelek'!C34,0)))))</f>
        <v/>
      </c>
      <c r="D34">
        <f>IF($A34="","",IF('Ügyfelek'!D34="",'Beállítások'!$B$84,MIN(10,MAX(1,ROUND('Ügyfelek'!D34,0)))))</f>
        <v/>
      </c>
      <c r="E34">
        <f>IF($A34="","",IF('Ügyfelek'!E34="",'Beállítások'!$B$84,MIN(10,MAX(1,ROUND('Ügyfelek'!E34,0)))))</f>
        <v/>
      </c>
      <c r="F34">
        <f>IF($A34="","",IF('Ügyfelek'!F34="",'Beállítások'!$B$84,MIN(10,MAX(1,ROUND('Ügyfelek'!F34,0)))))</f>
        <v/>
      </c>
      <c r="G34">
        <f>IF($A34="","",IF('Ügyfelek'!G34="",'Beállítások'!$B$84,MIN(10,MAX(1,ROUND('Ügyfelek'!G34,0)))))</f>
        <v/>
      </c>
      <c r="H34">
        <f>IF($A34="","",IF('Ügyfelek'!H34="",'Beállítások'!$B$84,MIN(10,MAX(1,ROUND('Ügyfelek'!H34,0)))))</f>
        <v/>
      </c>
      <c r="I34">
        <f>IF($A34="","",IF('Ügyfelek'!I34="",'Beállítások'!$B$84,MIN(10,MAX(1,ROUND('Ügyfelek'!I34,0)))))</f>
        <v/>
      </c>
      <c r="J34">
        <f>IF($A34="","",IF('Ügyfelek'!J34="",'Beállítások'!$B$84,MIN(10,MAX(1,ROUND('Ügyfelek'!J34,0)))))</f>
        <v/>
      </c>
      <c r="K34">
        <f>IF($A34="","",IF('Ügyfelek'!K34="",'Beállítások'!$B$84,MIN(10,MAX(1,ROUND('Ügyfelek'!K34,0)))))</f>
        <v/>
      </c>
      <c r="L34">
        <f>IF($A34="","",IF('Ügyfelek'!L34="",'Beállítások'!$B$84,MIN(10,MAX(1,ROUND('Ügyfelek'!L34,0)))))</f>
        <v/>
      </c>
      <c r="M34">
        <f>IF($A34="","",IF('Ügyfelek'!M34="",'Beállítások'!$B$84,MIN(10,MAX(1,ROUND('Ügyfelek'!M34,0)))))</f>
        <v/>
      </c>
      <c r="N34">
        <f>IF($A34="","",IF('Ügyfelek'!N34="",'Beállítások'!$B$84,MIN(10,MAX(1,ROUND('Ügyfelek'!N34,0)))))</f>
        <v/>
      </c>
      <c r="O34">
        <f>IF($A34="","",IF('Ügyfelek'!O34="",'Beállítások'!$B$84,MIN(10,MAX(1,ROUND('Ügyfelek'!O34,0)))))</f>
        <v/>
      </c>
      <c r="P34">
        <f>IF($A34="","",IF('Ügyfelek'!P34="",'Beállítások'!$B$84,MIN(10,MAX(1,ROUND('Ügyfelek'!P34,0)))))</f>
        <v/>
      </c>
      <c r="Q34">
        <f>IF($A34="","",IF('Ügyfelek'!Q34="",'Beállítások'!$B$84,MIN(10,MAX(1,ROUND('Ügyfelek'!Q34,0)))))</f>
        <v/>
      </c>
      <c r="R34">
        <f>IF($A34="","",IF('Ügyfelek'!R34="",'Beállítások'!$B$84,MIN(10,MAX(1,ROUND('Ügyfelek'!R34,0)))))</f>
        <v/>
      </c>
      <c r="S34">
        <f>IF($A34="","",IF('Ügyfelek'!S34="",'Beállítások'!$B$84,MIN(10,MAX(1,ROUND('Ügyfelek'!S34,0)))))</f>
        <v/>
      </c>
      <c r="T34">
        <f>IF($A34="","",IF('Ügyfelek'!T34="",'Beállítások'!$B$84,VLOOKUP(MAX('Ügyfelek'!T34,'Beállítások'!$H$7),'Beállítások'!$H$7:$I$12,2,TRUE)))</f>
        <v/>
      </c>
      <c r="U34">
        <f>IF($A34="","",IF('Ügyfelek'!U34="",'Beállítások'!$B$84,VLOOKUP(MAX('Ügyfelek'!U34,'Beállítások'!$K$7),'Beállítások'!$K$7:$L$12,2,TRUE)))</f>
        <v/>
      </c>
      <c r="V34">
        <f>IF($A34="","",IF('Ügyfelek'!V34="",'Beállítások'!$B$84,MIN(10,MAX(1,ROUND('Ügyfelek'!V34,0)))))</f>
        <v/>
      </c>
      <c r="W34">
        <f>IF($A34="","",IF('Ügyfelek'!W34="",'Beállítások'!$B$84,VLOOKUP(MAX('Ügyfelek'!W34,'Beállítások'!$N$7),'Beállítások'!$N$7:$O$12,2,TRUE)))</f>
        <v/>
      </c>
      <c r="X34">
        <f>IF($A34="","",IF('Ügyfelek'!X34="",'Beállítások'!$B$84,MIN(10,MAX(1,ROUND('Ügyfelek'!X34,0)))))</f>
        <v/>
      </c>
      <c r="Y34">
        <f>IF($A34="","",IF('Ügyfelek'!Y34="",'Beállítások'!$B$84,IFERROR(VLOOKUP(TRIM('Ügyfelek'!Y34),'Beállítások'!$A$63:$B$69,2,FALSE),'Beállítások'!$B$84)))</f>
        <v/>
      </c>
      <c r="Z34">
        <f>IF($A34="","",IF('Ügyfelek'!Z34="",'Beállítások'!$B$84,VLOOKUP(MAX('Ügyfelek'!Z34,'Beállítások'!$Q$7),'Beállítások'!$Q$7:$R$12,2,TRUE)))</f>
        <v/>
      </c>
      <c r="AA34">
        <f>IF($A34="","",IF('Ügyfelek'!AA34="",'Beállítások'!$B$84,VLOOKUP(MAX('Ügyfelek'!AA34,'Beállítások'!$T$7),'Beállítások'!$T$7:$U$12,2,TRUE)))</f>
        <v/>
      </c>
      <c r="AB34">
        <f>IF($A34="","",IF('Ügyfelek'!AB34="",'Beállítások'!$B$84,MIN(10,MAX(1,ROUND('Ügyfelek'!AB34,0)))))</f>
        <v/>
      </c>
      <c r="AC34">
        <f>IF($A34="","",IF('Ügyfelek'!AC34="",'Beállítások'!$B$84,MIN(10,MAX(1,ROUND('Ügyfelek'!AC34,0)))))</f>
        <v/>
      </c>
      <c r="AD34">
        <f>IF($A34="","",IF('Ügyfelek'!AD34="",'Beállítások'!$B$84,MIN(10,MAX(1,ROUND('Ügyfelek'!AD34,0)))))</f>
        <v/>
      </c>
      <c r="AE34">
        <f>IF($A34="","",IF('Ügyfelek'!AE34="",'Beállítások'!$B$84,MIN(10,MAX(1,ROUND('Ügyfelek'!AE34,0)))))</f>
        <v/>
      </c>
      <c r="AF34">
        <f>IF($A34="","",IF('Ügyfelek'!AF34="",'Beállítások'!$B$84,MIN(10,MAX(1,ROUND('Ügyfelek'!AF34,0)))))</f>
        <v/>
      </c>
      <c r="AG34">
        <f>IF($A34="","",IF('Ügyfelek'!AG34="",'Beállítások'!$B$84,MIN(10,MAX(1,ROUND('Ügyfelek'!AG34,0)))))</f>
        <v/>
      </c>
      <c r="AH34">
        <f>IF($A34="","",IF('Ügyfelek'!AH34="",'Beállítások'!$B$84,IFERROR(VLOOKUP(TRIM('Ügyfelek'!AH34),'Beállítások'!$A$73:$B$79,2,FALSE),'Beállítások'!$B$84)))</f>
        <v/>
      </c>
      <c r="AI34" s="23">
        <f>IF($A34="","",ROUND(100*('Beállítások'!$E$6*(B34-1)+'Beállítások'!$E$7*(C34-1))/(9*'Beállítások'!$B$43),1))</f>
        <v/>
      </c>
      <c r="AJ34" s="23">
        <f>IF($A34="","",ROUND(100*('Beállítások'!$E$8*(D34-1)+'Beállítások'!$E$9*(E34-1)+'Beállítások'!$E$10*(F34-1)+'Beállítások'!$E$11*(G34-1)+'Beállítások'!$E$12*(H34-1)+'Beállítások'!$E$13*(I34-1)+'Beállítások'!$E$14*(J34-1)+'Beállítások'!$E$15*(K34-1)+'Beállítások'!$E$16*(L34-1)+'Beállítások'!$E$17*(M34-1)+'Beállítások'!$E$18*(N34-1)+'Beállítások'!$E$19*(O34-1)+'Beállítások'!$E$20*(P34-1)+'Beállítások'!$E$21*(Q34-1)+'Beállítások'!$E$22*(R34-1))/(9*'Beállítások'!$B$44),1))</f>
        <v/>
      </c>
      <c r="AK34" s="23">
        <f>IF($A34="","",ROUND(100*('Beállítások'!$E$23*(S34-1)+'Beállítások'!$E$24*(T34-1)+'Beállítások'!$E$25*(U34-1)+'Beállítások'!$E$26*(V34-1)+'Beállítások'!$E$27*(W34-1)+'Beállítások'!$E$28*(X34-1)+'Beállítások'!$E$29*(Y34-1))/(9*'Beállítások'!$B$45),1))</f>
        <v/>
      </c>
      <c r="AL34" s="23">
        <f>IF($A34="","",ROUND(100*('Beállítások'!$E$30*(Z34-1)+'Beállítások'!$E$31*(AA34-1)+'Beállítások'!$E$32*(AB34-1)+'Beállítások'!$E$33*(AC34-1)+'Beállítások'!$E$34*(AD34-1)+'Beállítások'!$E$35*(AE34-1)+'Beállítások'!$E$36*(AF34-1)+'Beállítások'!$E$37*(AG34-1)+'Beállítások'!$E$38*(AH34-1))/(9*'Beállítások'!$B$46),1))</f>
        <v/>
      </c>
      <c r="AM34" s="23">
        <f>IF($A34="","",ROUND(100*('Beállítások'!$E$6*(B34-1)+'Beállítások'!$E$7*(C34-1)+'Beállítások'!$E$8*(D34-1)+'Beállítások'!$E$9*(E34-1)+'Beállítások'!$E$10*(F34-1)+'Beállítások'!$E$11*(G34-1)+'Beállítások'!$E$12*(H34-1)+'Beállítások'!$E$13*(I34-1)+'Beállítások'!$E$14*(J34-1)+'Beállítások'!$E$15*(K34-1)+'Beállítások'!$E$16*(L34-1)+'Beállítások'!$E$17*(M34-1)+'Beállítások'!$E$18*(N34-1)+'Beállítások'!$E$19*(O34-1)+'Beállítások'!$E$20*(P34-1)+'Beállítások'!$E$21*(Q34-1)+'Beállítások'!$E$22*(R34-1)+'Beállítások'!$E$23*(S34-1)+'Beállítások'!$E$24*(T34-1)+'Beállítások'!$E$25*(U34-1)+'Beállítások'!$E$26*(V34-1)+'Beállítások'!$E$27*(W34-1)+'Beállítások'!$E$28*(X34-1)+'Beállítások'!$E$29*(Y34-1)+'Beállítások'!$E$30*(Z34-1)+'Beállítások'!$E$31*(AA34-1)+'Beállítások'!$E$32*(AB34-1)+'Beállítások'!$E$33*(AC34-1)+'Beállítások'!$E$34*(AD34-1)+'Beállítások'!$E$35*(AE34-1)+'Beállítások'!$E$36*(AF34-1)+'Beállítások'!$E$37*(AG34-1)+'Beállítások'!$E$38*(AH34-1))/(9*'Beállítások'!$E$39),1))</f>
        <v/>
      </c>
      <c r="AN34" s="23">
        <f>IF($A34="","",ROUND(100*('Beállítások'!$E$8*(D34-1)+'Beállítások'!$E$9*(E34-1)+'Beállítások'!$E$10*(F34-1)+'Beállítások'!$E$11*(G34-1)+'Beállítások'!$E$12*(H34-1)+'Beállítások'!$E$13*(I34-1)+'Beállítások'!$E$14*(J34-1)+'Beállítások'!$E$15*(K34-1)+'Beállítások'!$E$16*(L34-1)+'Beállítások'!$E$17*(M34-1)+'Beállítások'!$E$18*(N34-1)+'Beállítások'!$E$19*(O34-1)+'Beállítások'!$E$20*(P34-1)+'Beállítások'!$E$21*(Q34-1)+'Beállítások'!$E$22*(R34-1)+'Beállítások'!$E$23*(S34-1)+'Beállítások'!$E$24*(T34-1)+'Beállítások'!$E$25*(U34-1)+'Beállítások'!$E$26*(V34-1)+'Beállítások'!$E$27*(W34-1)+'Beállítások'!$E$28*(X34-1)+'Beállítások'!$E$29*(Y34-1))/(9*('Beállítások'!$B$44+'Beállítások'!$B$45)),1))</f>
        <v/>
      </c>
      <c r="AO34" s="24">
        <f>IF($A34="","",RANK(AM34,$AM$2:$AM$201))</f>
        <v/>
      </c>
      <c r="AP34">
        <f>IF($A34="","",IF(OR(AND('Ügyfelek'!B34&lt;&gt;"",B34&lt;='Beállítások'!$B$85),AND('Ügyfelek'!C34&lt;&gt;"",C34&lt;='Beállítások'!$B$86)),"Igen","Nem"))</f>
        <v/>
      </c>
      <c r="AQ34" s="24">
        <f>IF($A34="","",IF(AP34="Igen",5,IF(AN34&gt;='Beállítások'!$C$108,1,IF(AN34&gt;='Beállítások'!$C$109,2,IF(AN34&gt;='Beállítások'!$C$110,3,IF(AND(AN34&gt;='Beállítások'!$B$87,AI34&gt;='Beállítások'!$B$88,AL34&gt;='Beállítások'!$B$89),4,5))))))</f>
        <v/>
      </c>
      <c r="AR34">
        <f>IF($A34="","",INDEX('Beállítások'!$B$108:$B$112,AQ34))</f>
        <v/>
      </c>
      <c r="AS34">
        <f>IF($A34="","",IF(AQ34=5,"Elutasítjuk",IF(AND(AQ34=4,COUNTIFS('Eredmény'!$AQ$2:$AQ$201,4,'Eredmény'!$DY$2:$DY$201,"&gt;"&amp;DY34)&gt;='Beállítások'!$B$90),"Várólista (a 4-es hely foglalt)","Elfogadjuk")))</f>
        <v/>
      </c>
      <c r="AT34">
        <f>IF($A34="","",INDEX('Beállítások'!$F$108:$F$112,AQ34))</f>
        <v/>
      </c>
      <c r="AU34">
        <f>IF($A34="","",INDEX('Beállítások'!$B$6:$B$38,MATCH(MAX(BK34:CQ34),BK34:CQ34,0)))</f>
        <v/>
      </c>
      <c r="AV34">
        <f>IF($A34="","",IF(MAX(CR34:DX34)=0,"—",INDEX('Beállítások'!$B$6:$B$38,MATCH(MAX(CR34:DX34),CR34:DX34,0))))</f>
        <v/>
      </c>
      <c r="AW34" s="10">
        <f>IF($A34="","",'Beállítások'!$B$94*(TRIM('Ügyfelek'!AI34)="igen")+'Beállítások'!$B$95*(TRIM('Ügyfelek'!AJ34)="igen")+'Beállítások'!$B$96*N('Ügyfelek'!AK34)+'Beállítások'!$B$93*N('Ügyfelek'!AL34))</f>
        <v/>
      </c>
      <c r="AX34" s="25">
        <f>IF(OR($A34="",AQ34=5),"",INDEX('Beállítások'!$D$108:$D$112,AQ34))</f>
        <v/>
      </c>
      <c r="AY34" s="10">
        <f>IF($A34="","",N('Ügyfelek'!U34)*'Beállítások'!$B$98)</f>
        <v/>
      </c>
      <c r="AZ34" s="10">
        <f>IF(OR($A34="",AQ34=5),"",CEILING(ROUND(MAX('Beállítások'!$B$97,AW34*AX34,AY34),2),'Beállítások'!$B$99))</f>
        <v/>
      </c>
      <c r="BA34">
        <f>IF($A34="","",IF(AQ34=5,"Elutasítva",IF(MAX('Beállítások'!$B$97,AW34*AX34,AY34)=AW34*AX34,"Munkaigény × státuszszorzó",IF(MAX('Beállítások'!$B$97,AW34*AX34,AY34)=AY34,"Hirdetési keret arányában","Minimumdíj"))))</f>
        <v/>
      </c>
      <c r="BB34" s="10">
        <f>IF(OR($A34="",'Ügyfelek'!AM34=""),"",'Ügyfelek'!AM34)</f>
        <v/>
      </c>
      <c r="BC34" s="10">
        <f>IF(OR(BB34="",AZ34=""),"",AZ34-BB34)</f>
        <v/>
      </c>
      <c r="BD34" s="18">
        <f>IF(OR(BB34="",AZ34="",BB34=0),"",BC34/BB34)</f>
        <v/>
      </c>
      <c r="BE34">
        <f>IF(OR($A34="",AQ34=5),"",IF(AND(INDEX('Beállítások'!$E$108:$E$112,AQ34)&gt;0,Y34&gt;='Beállítások'!$B$91),"Igen","Nem"))</f>
        <v/>
      </c>
      <c r="BF34" s="10">
        <f>IF(BE34="Igen",CEILING(ROUND(AZ34*(1-'Beállítások'!$B$92),2),'Beállítások'!$B$99),"")</f>
        <v/>
      </c>
      <c r="BG34" s="20">
        <f>IF(BE34="Igen",INDEX('Beállítások'!$E$108:$E$112,AQ34),"")</f>
        <v/>
      </c>
      <c r="BH34" s="10">
        <f>IF(OR(BE34&lt;&gt;"Igen",'Ügyfelek'!AN34=""),"",'Ügyfelek'!AN34*BG34)</f>
        <v/>
      </c>
      <c r="BI34" s="24">
        <f>IF($A34="","",('Ügyfelek'!B34="")+('Ügyfelek'!C34="")+('Ügyfelek'!D34="")+('Ügyfelek'!E34="")+('Ügyfelek'!F34="")+('Ügyfelek'!G34="")+('Ügyfelek'!H34="")+('Ügyfelek'!I34="")+('Ügyfelek'!J34="")+('Ügyfelek'!K34="")+('Ügyfelek'!L34="")+('Ügyfelek'!M34="")+('Ügyfelek'!N34="")+('Ügyfelek'!O34="")+('Ügyfelek'!P34="")+('Ügyfelek'!Q34="")+('Ügyfelek'!R34="")+('Ügyfelek'!S34="")+('Ügyfelek'!T34="")+('Ügyfelek'!U34="")+('Ügyfelek'!V34="")+('Ügyfelek'!W34="")+('Ügyfelek'!X34="")+('Ügyfelek'!Y34="")+('Ügyfelek'!Z34="")+('Ügyfelek'!AA34="")+('Ügyfelek'!AB34="")+('Ügyfelek'!AC34="")+('Ügyfelek'!AD34="")+('Ügyfelek'!AE34="")+('Ügyfelek'!AF34="")+('Ügyfelek'!AG34="")+('Ügyfelek'!AH34=""))</f>
        <v/>
      </c>
      <c r="BK34">
        <f>IF($A34="","",B34+'Beállítások'!$E$6/1000)</f>
        <v/>
      </c>
      <c r="BL34">
        <f>IF($A34="","",C34+'Beállítások'!$E$7/1000)</f>
        <v/>
      </c>
      <c r="BM34">
        <f>IF($A34="","",D34+'Beállítások'!$E$8/1000)</f>
        <v/>
      </c>
      <c r="BN34">
        <f>IF($A34="","",E34+'Beállítások'!$E$9/1000)</f>
        <v/>
      </c>
      <c r="BO34">
        <f>IF($A34="","",F34+'Beállítások'!$E$10/1000)</f>
        <v/>
      </c>
      <c r="BP34">
        <f>IF($A34="","",G34+'Beállítások'!$E$11/1000)</f>
        <v/>
      </c>
      <c r="BQ34">
        <f>IF($A34="","",H34+'Beállítások'!$E$12/1000)</f>
        <v/>
      </c>
      <c r="BR34">
        <f>IF($A34="","",I34+'Beállítások'!$E$13/1000)</f>
        <v/>
      </c>
      <c r="BS34">
        <f>IF($A34="","",J34+'Beállítások'!$E$14/1000)</f>
        <v/>
      </c>
      <c r="BT34">
        <f>IF($A34="","",K34+'Beállítások'!$E$15/1000)</f>
        <v/>
      </c>
      <c r="BU34">
        <f>IF($A34="","",L34+'Beállítások'!$E$16/1000)</f>
        <v/>
      </c>
      <c r="BV34">
        <f>IF($A34="","",M34+'Beállítások'!$E$17/1000)</f>
        <v/>
      </c>
      <c r="BW34">
        <f>IF($A34="","",N34+'Beállítások'!$E$18/1000)</f>
        <v/>
      </c>
      <c r="BX34">
        <f>IF($A34="","",O34+'Beállítások'!$E$19/1000)</f>
        <v/>
      </c>
      <c r="BY34">
        <f>IF($A34="","",P34+'Beállítások'!$E$20/1000)</f>
        <v/>
      </c>
      <c r="BZ34">
        <f>IF($A34="","",Q34+'Beállítások'!$E$21/1000)</f>
        <v/>
      </c>
      <c r="CA34">
        <f>IF($A34="","",R34+'Beállítások'!$E$22/1000)</f>
        <v/>
      </c>
      <c r="CB34">
        <f>IF($A34="","",S34+'Beállítások'!$E$23/1000)</f>
        <v/>
      </c>
      <c r="CC34">
        <f>IF($A34="","",T34+'Beállítások'!$E$24/1000)</f>
        <v/>
      </c>
      <c r="CD34">
        <f>IF($A34="","",U34+'Beállítások'!$E$25/1000)</f>
        <v/>
      </c>
      <c r="CE34">
        <f>IF($A34="","",V34+'Beállítások'!$E$26/1000)</f>
        <v/>
      </c>
      <c r="CF34">
        <f>IF($A34="","",W34+'Beállítások'!$E$27/1000)</f>
        <v/>
      </c>
      <c r="CG34">
        <f>IF($A34="","",X34+'Beállítások'!$E$28/1000)</f>
        <v/>
      </c>
      <c r="CH34">
        <f>IF($A34="","",Y34+'Beállítások'!$E$29/1000)</f>
        <v/>
      </c>
      <c r="CI34">
        <f>IF($A34="","",Z34+'Beállítások'!$E$30/1000)</f>
        <v/>
      </c>
      <c r="CJ34">
        <f>IF($A34="","",AA34+'Beállítások'!$E$31/1000)</f>
        <v/>
      </c>
      <c r="CK34">
        <f>IF($A34="","",AB34+'Beállítások'!$E$32/1000)</f>
        <v/>
      </c>
      <c r="CL34">
        <f>IF($A34="","",AC34+'Beállítások'!$E$33/1000)</f>
        <v/>
      </c>
      <c r="CM34">
        <f>IF($A34="","",AD34+'Beállítások'!$E$34/1000)</f>
        <v/>
      </c>
      <c r="CN34">
        <f>IF($A34="","",AE34+'Beállítások'!$E$35/1000)</f>
        <v/>
      </c>
      <c r="CO34">
        <f>IF($A34="","",AF34+'Beállítások'!$E$36/1000)</f>
        <v/>
      </c>
      <c r="CP34">
        <f>IF($A34="","",AG34+'Beállítások'!$E$37/1000)</f>
        <v/>
      </c>
      <c r="CQ34">
        <f>IF($A34="","",AH34+'Beállítások'!$E$38/1000)</f>
        <v/>
      </c>
      <c r="CR34">
        <f>IF($A34="","",'Beállítások'!$E$6*(10-B34))</f>
        <v/>
      </c>
      <c r="CS34">
        <f>IF($A34="","",'Beállítások'!$E$7*(10-C34))</f>
        <v/>
      </c>
      <c r="CT34">
        <f>IF($A34="","",'Beállítások'!$E$8*(10-D34))</f>
        <v/>
      </c>
      <c r="CU34">
        <f>IF($A34="","",'Beállítások'!$E$9*(10-E34))</f>
        <v/>
      </c>
      <c r="CV34">
        <f>IF($A34="","",'Beállítások'!$E$10*(10-F34))</f>
        <v/>
      </c>
      <c r="CW34">
        <f>IF($A34="","",'Beállítások'!$E$11*(10-G34))</f>
        <v/>
      </c>
      <c r="CX34">
        <f>IF($A34="","",'Beállítások'!$E$12*(10-H34))</f>
        <v/>
      </c>
      <c r="CY34">
        <f>IF($A34="","",'Beállítások'!$E$13*(10-I34))</f>
        <v/>
      </c>
      <c r="CZ34">
        <f>IF($A34="","",'Beállítások'!$E$14*(10-J34))</f>
        <v/>
      </c>
      <c r="DA34">
        <f>IF($A34="","",'Beállítások'!$E$15*(10-K34))</f>
        <v/>
      </c>
      <c r="DB34">
        <f>IF($A34="","",'Beállítások'!$E$16*(10-L34))</f>
        <v/>
      </c>
      <c r="DC34">
        <f>IF($A34="","",'Beállítások'!$E$17*(10-M34))</f>
        <v/>
      </c>
      <c r="DD34">
        <f>IF($A34="","",'Beállítások'!$E$18*(10-N34))</f>
        <v/>
      </c>
      <c r="DE34">
        <f>IF($A34="","",'Beállítások'!$E$19*(10-O34))</f>
        <v/>
      </c>
      <c r="DF34">
        <f>IF($A34="","",'Beállítások'!$E$20*(10-P34))</f>
        <v/>
      </c>
      <c r="DG34">
        <f>IF($A34="","",'Beállítások'!$E$21*(10-Q34))</f>
        <v/>
      </c>
      <c r="DH34">
        <f>IF($A34="","",'Beállítások'!$E$22*(10-R34))</f>
        <v/>
      </c>
      <c r="DI34">
        <f>IF($A34="","",'Beállítások'!$E$23*(10-S34))</f>
        <v/>
      </c>
      <c r="DJ34">
        <f>IF($A34="","",'Beállítások'!$E$24*(10-T34))</f>
        <v/>
      </c>
      <c r="DK34">
        <f>IF($A34="","",'Beállítások'!$E$25*(10-U34))</f>
        <v/>
      </c>
      <c r="DL34">
        <f>IF($A34="","",'Beállítások'!$E$26*(10-V34))</f>
        <v/>
      </c>
      <c r="DM34">
        <f>IF($A34="","",'Beállítások'!$E$27*(10-W34))</f>
        <v/>
      </c>
      <c r="DN34">
        <f>IF($A34="","",'Beállítások'!$E$28*(10-X34))</f>
        <v/>
      </c>
      <c r="DO34">
        <f>IF($A34="","",'Beállítások'!$E$29*(10-Y34))</f>
        <v/>
      </c>
      <c r="DP34">
        <f>IF($A34="","",'Beállítások'!$E$30*(10-Z34))</f>
        <v/>
      </c>
      <c r="DQ34">
        <f>IF($A34="","",'Beállítások'!$E$31*(10-AA34))</f>
        <v/>
      </c>
      <c r="DR34">
        <f>IF($A34="","",'Beállítások'!$E$32*(10-AB34))</f>
        <v/>
      </c>
      <c r="DS34">
        <f>IF($A34="","",'Beállítások'!$E$33*(10-AC34))</f>
        <v/>
      </c>
      <c r="DT34">
        <f>IF($A34="","",'Beállítások'!$E$34*(10-AD34))</f>
        <v/>
      </c>
      <c r="DU34">
        <f>IF($A34="","",'Beállítások'!$E$35*(10-AE34))</f>
        <v/>
      </c>
      <c r="DV34">
        <f>IF($A34="","",'Beállítások'!$E$36*(10-AF34))</f>
        <v/>
      </c>
      <c r="DW34">
        <f>IF($A34="","",'Beállítások'!$E$37*(10-AG34))</f>
        <v/>
      </c>
      <c r="DX34">
        <f>IF($A34="","",'Beállítások'!$E$38*(10-AH34))</f>
        <v/>
      </c>
      <c r="DY34">
        <f>IF($A34="","",AM34-ROW()/100000)</f>
        <v/>
      </c>
    </row>
    <row r="35">
      <c r="A35">
        <f>IF('Ügyfelek'!A35="","",'Ügyfelek'!A35)</f>
        <v/>
      </c>
      <c r="B35">
        <f>IF($A35="","",IF('Ügyfelek'!B35="",'Beállítások'!$B$84,IFERROR(VLOOKUP(TRIM('Ügyfelek'!B35),'Beállítások'!$A$51:$B$59,2,FALSE),'Beállítások'!$B$84)))</f>
        <v/>
      </c>
      <c r="C35">
        <f>IF($A35="","",IF('Ügyfelek'!C35="",'Beállítások'!$B$84,MIN(10,MAX(1,ROUND('Ügyfelek'!C35,0)))))</f>
        <v/>
      </c>
      <c r="D35">
        <f>IF($A35="","",IF('Ügyfelek'!D35="",'Beállítások'!$B$84,MIN(10,MAX(1,ROUND('Ügyfelek'!D35,0)))))</f>
        <v/>
      </c>
      <c r="E35">
        <f>IF($A35="","",IF('Ügyfelek'!E35="",'Beállítások'!$B$84,MIN(10,MAX(1,ROUND('Ügyfelek'!E35,0)))))</f>
        <v/>
      </c>
      <c r="F35">
        <f>IF($A35="","",IF('Ügyfelek'!F35="",'Beállítások'!$B$84,MIN(10,MAX(1,ROUND('Ügyfelek'!F35,0)))))</f>
        <v/>
      </c>
      <c r="G35">
        <f>IF($A35="","",IF('Ügyfelek'!G35="",'Beállítások'!$B$84,MIN(10,MAX(1,ROUND('Ügyfelek'!G35,0)))))</f>
        <v/>
      </c>
      <c r="H35">
        <f>IF($A35="","",IF('Ügyfelek'!H35="",'Beállítások'!$B$84,MIN(10,MAX(1,ROUND('Ügyfelek'!H35,0)))))</f>
        <v/>
      </c>
      <c r="I35">
        <f>IF($A35="","",IF('Ügyfelek'!I35="",'Beállítások'!$B$84,MIN(10,MAX(1,ROUND('Ügyfelek'!I35,0)))))</f>
        <v/>
      </c>
      <c r="J35">
        <f>IF($A35="","",IF('Ügyfelek'!J35="",'Beállítások'!$B$84,MIN(10,MAX(1,ROUND('Ügyfelek'!J35,0)))))</f>
        <v/>
      </c>
      <c r="K35">
        <f>IF($A35="","",IF('Ügyfelek'!K35="",'Beállítások'!$B$84,MIN(10,MAX(1,ROUND('Ügyfelek'!K35,0)))))</f>
        <v/>
      </c>
      <c r="L35">
        <f>IF($A35="","",IF('Ügyfelek'!L35="",'Beállítások'!$B$84,MIN(10,MAX(1,ROUND('Ügyfelek'!L35,0)))))</f>
        <v/>
      </c>
      <c r="M35">
        <f>IF($A35="","",IF('Ügyfelek'!M35="",'Beállítások'!$B$84,MIN(10,MAX(1,ROUND('Ügyfelek'!M35,0)))))</f>
        <v/>
      </c>
      <c r="N35">
        <f>IF($A35="","",IF('Ügyfelek'!N35="",'Beállítások'!$B$84,MIN(10,MAX(1,ROUND('Ügyfelek'!N35,0)))))</f>
        <v/>
      </c>
      <c r="O35">
        <f>IF($A35="","",IF('Ügyfelek'!O35="",'Beállítások'!$B$84,MIN(10,MAX(1,ROUND('Ügyfelek'!O35,0)))))</f>
        <v/>
      </c>
      <c r="P35">
        <f>IF($A35="","",IF('Ügyfelek'!P35="",'Beállítások'!$B$84,MIN(10,MAX(1,ROUND('Ügyfelek'!P35,0)))))</f>
        <v/>
      </c>
      <c r="Q35">
        <f>IF($A35="","",IF('Ügyfelek'!Q35="",'Beállítások'!$B$84,MIN(10,MAX(1,ROUND('Ügyfelek'!Q35,0)))))</f>
        <v/>
      </c>
      <c r="R35">
        <f>IF($A35="","",IF('Ügyfelek'!R35="",'Beállítások'!$B$84,MIN(10,MAX(1,ROUND('Ügyfelek'!R35,0)))))</f>
        <v/>
      </c>
      <c r="S35">
        <f>IF($A35="","",IF('Ügyfelek'!S35="",'Beállítások'!$B$84,MIN(10,MAX(1,ROUND('Ügyfelek'!S35,0)))))</f>
        <v/>
      </c>
      <c r="T35">
        <f>IF($A35="","",IF('Ügyfelek'!T35="",'Beállítások'!$B$84,VLOOKUP(MAX('Ügyfelek'!T35,'Beállítások'!$H$7),'Beállítások'!$H$7:$I$12,2,TRUE)))</f>
        <v/>
      </c>
      <c r="U35">
        <f>IF($A35="","",IF('Ügyfelek'!U35="",'Beállítások'!$B$84,VLOOKUP(MAX('Ügyfelek'!U35,'Beállítások'!$K$7),'Beállítások'!$K$7:$L$12,2,TRUE)))</f>
        <v/>
      </c>
      <c r="V35">
        <f>IF($A35="","",IF('Ügyfelek'!V35="",'Beállítások'!$B$84,MIN(10,MAX(1,ROUND('Ügyfelek'!V35,0)))))</f>
        <v/>
      </c>
      <c r="W35">
        <f>IF($A35="","",IF('Ügyfelek'!W35="",'Beállítások'!$B$84,VLOOKUP(MAX('Ügyfelek'!W35,'Beállítások'!$N$7),'Beállítások'!$N$7:$O$12,2,TRUE)))</f>
        <v/>
      </c>
      <c r="X35">
        <f>IF($A35="","",IF('Ügyfelek'!X35="",'Beállítások'!$B$84,MIN(10,MAX(1,ROUND('Ügyfelek'!X35,0)))))</f>
        <v/>
      </c>
      <c r="Y35">
        <f>IF($A35="","",IF('Ügyfelek'!Y35="",'Beállítások'!$B$84,IFERROR(VLOOKUP(TRIM('Ügyfelek'!Y35),'Beállítások'!$A$63:$B$69,2,FALSE),'Beállítások'!$B$84)))</f>
        <v/>
      </c>
      <c r="Z35">
        <f>IF($A35="","",IF('Ügyfelek'!Z35="",'Beállítások'!$B$84,VLOOKUP(MAX('Ügyfelek'!Z35,'Beállítások'!$Q$7),'Beállítások'!$Q$7:$R$12,2,TRUE)))</f>
        <v/>
      </c>
      <c r="AA35">
        <f>IF($A35="","",IF('Ügyfelek'!AA35="",'Beállítások'!$B$84,VLOOKUP(MAX('Ügyfelek'!AA35,'Beállítások'!$T$7),'Beállítások'!$T$7:$U$12,2,TRUE)))</f>
        <v/>
      </c>
      <c r="AB35">
        <f>IF($A35="","",IF('Ügyfelek'!AB35="",'Beállítások'!$B$84,MIN(10,MAX(1,ROUND('Ügyfelek'!AB35,0)))))</f>
        <v/>
      </c>
      <c r="AC35">
        <f>IF($A35="","",IF('Ügyfelek'!AC35="",'Beállítások'!$B$84,MIN(10,MAX(1,ROUND('Ügyfelek'!AC35,0)))))</f>
        <v/>
      </c>
      <c r="AD35">
        <f>IF($A35="","",IF('Ügyfelek'!AD35="",'Beállítások'!$B$84,MIN(10,MAX(1,ROUND('Ügyfelek'!AD35,0)))))</f>
        <v/>
      </c>
      <c r="AE35">
        <f>IF($A35="","",IF('Ügyfelek'!AE35="",'Beállítások'!$B$84,MIN(10,MAX(1,ROUND('Ügyfelek'!AE35,0)))))</f>
        <v/>
      </c>
      <c r="AF35">
        <f>IF($A35="","",IF('Ügyfelek'!AF35="",'Beállítások'!$B$84,MIN(10,MAX(1,ROUND('Ügyfelek'!AF35,0)))))</f>
        <v/>
      </c>
      <c r="AG35">
        <f>IF($A35="","",IF('Ügyfelek'!AG35="",'Beállítások'!$B$84,MIN(10,MAX(1,ROUND('Ügyfelek'!AG35,0)))))</f>
        <v/>
      </c>
      <c r="AH35">
        <f>IF($A35="","",IF('Ügyfelek'!AH35="",'Beállítások'!$B$84,IFERROR(VLOOKUP(TRIM('Ügyfelek'!AH35),'Beállítások'!$A$73:$B$79,2,FALSE),'Beállítások'!$B$84)))</f>
        <v/>
      </c>
      <c r="AI35" s="23">
        <f>IF($A35="","",ROUND(100*('Beállítások'!$E$6*(B35-1)+'Beállítások'!$E$7*(C35-1))/(9*'Beállítások'!$B$43),1))</f>
        <v/>
      </c>
      <c r="AJ35" s="23">
        <f>IF($A35="","",ROUND(100*('Beállítások'!$E$8*(D35-1)+'Beállítások'!$E$9*(E35-1)+'Beállítások'!$E$10*(F35-1)+'Beállítások'!$E$11*(G35-1)+'Beállítások'!$E$12*(H35-1)+'Beállítások'!$E$13*(I35-1)+'Beállítások'!$E$14*(J35-1)+'Beállítások'!$E$15*(K35-1)+'Beállítások'!$E$16*(L35-1)+'Beállítások'!$E$17*(M35-1)+'Beállítások'!$E$18*(N35-1)+'Beállítások'!$E$19*(O35-1)+'Beállítások'!$E$20*(P35-1)+'Beállítások'!$E$21*(Q35-1)+'Beállítások'!$E$22*(R35-1))/(9*'Beállítások'!$B$44),1))</f>
        <v/>
      </c>
      <c r="AK35" s="23">
        <f>IF($A35="","",ROUND(100*('Beállítások'!$E$23*(S35-1)+'Beállítások'!$E$24*(T35-1)+'Beállítások'!$E$25*(U35-1)+'Beállítások'!$E$26*(V35-1)+'Beállítások'!$E$27*(W35-1)+'Beállítások'!$E$28*(X35-1)+'Beállítások'!$E$29*(Y35-1))/(9*'Beállítások'!$B$45),1))</f>
        <v/>
      </c>
      <c r="AL35" s="23">
        <f>IF($A35="","",ROUND(100*('Beállítások'!$E$30*(Z35-1)+'Beállítások'!$E$31*(AA35-1)+'Beállítások'!$E$32*(AB35-1)+'Beállítások'!$E$33*(AC35-1)+'Beállítások'!$E$34*(AD35-1)+'Beállítások'!$E$35*(AE35-1)+'Beállítások'!$E$36*(AF35-1)+'Beállítások'!$E$37*(AG35-1)+'Beállítások'!$E$38*(AH35-1))/(9*'Beállítások'!$B$46),1))</f>
        <v/>
      </c>
      <c r="AM35" s="23">
        <f>IF($A35="","",ROUND(100*('Beállítások'!$E$6*(B35-1)+'Beállítások'!$E$7*(C35-1)+'Beállítások'!$E$8*(D35-1)+'Beállítások'!$E$9*(E35-1)+'Beállítások'!$E$10*(F35-1)+'Beállítások'!$E$11*(G35-1)+'Beállítások'!$E$12*(H35-1)+'Beállítások'!$E$13*(I35-1)+'Beállítások'!$E$14*(J35-1)+'Beállítások'!$E$15*(K35-1)+'Beállítások'!$E$16*(L35-1)+'Beállítások'!$E$17*(M35-1)+'Beállítások'!$E$18*(N35-1)+'Beállítások'!$E$19*(O35-1)+'Beállítások'!$E$20*(P35-1)+'Beállítások'!$E$21*(Q35-1)+'Beállítások'!$E$22*(R35-1)+'Beállítások'!$E$23*(S35-1)+'Beállítások'!$E$24*(T35-1)+'Beállítások'!$E$25*(U35-1)+'Beállítások'!$E$26*(V35-1)+'Beállítások'!$E$27*(W35-1)+'Beállítások'!$E$28*(X35-1)+'Beállítások'!$E$29*(Y35-1)+'Beállítások'!$E$30*(Z35-1)+'Beállítások'!$E$31*(AA35-1)+'Beállítások'!$E$32*(AB35-1)+'Beállítások'!$E$33*(AC35-1)+'Beállítások'!$E$34*(AD35-1)+'Beállítások'!$E$35*(AE35-1)+'Beállítások'!$E$36*(AF35-1)+'Beállítások'!$E$37*(AG35-1)+'Beállítások'!$E$38*(AH35-1))/(9*'Beállítások'!$E$39),1))</f>
        <v/>
      </c>
      <c r="AN35" s="23">
        <f>IF($A35="","",ROUND(100*('Beállítások'!$E$8*(D35-1)+'Beállítások'!$E$9*(E35-1)+'Beállítások'!$E$10*(F35-1)+'Beállítások'!$E$11*(G35-1)+'Beállítások'!$E$12*(H35-1)+'Beállítások'!$E$13*(I35-1)+'Beállítások'!$E$14*(J35-1)+'Beállítások'!$E$15*(K35-1)+'Beállítások'!$E$16*(L35-1)+'Beállítások'!$E$17*(M35-1)+'Beállítások'!$E$18*(N35-1)+'Beállítások'!$E$19*(O35-1)+'Beállítások'!$E$20*(P35-1)+'Beállítások'!$E$21*(Q35-1)+'Beállítások'!$E$22*(R35-1)+'Beállítások'!$E$23*(S35-1)+'Beállítások'!$E$24*(T35-1)+'Beállítások'!$E$25*(U35-1)+'Beállítások'!$E$26*(V35-1)+'Beállítások'!$E$27*(W35-1)+'Beállítások'!$E$28*(X35-1)+'Beállítások'!$E$29*(Y35-1))/(9*('Beállítások'!$B$44+'Beállítások'!$B$45)),1))</f>
        <v/>
      </c>
      <c r="AO35" s="24">
        <f>IF($A35="","",RANK(AM35,$AM$2:$AM$201))</f>
        <v/>
      </c>
      <c r="AP35">
        <f>IF($A35="","",IF(OR(AND('Ügyfelek'!B35&lt;&gt;"",B35&lt;='Beállítások'!$B$85),AND('Ügyfelek'!C35&lt;&gt;"",C35&lt;='Beállítások'!$B$86)),"Igen","Nem"))</f>
        <v/>
      </c>
      <c r="AQ35" s="24">
        <f>IF($A35="","",IF(AP35="Igen",5,IF(AN35&gt;='Beállítások'!$C$108,1,IF(AN35&gt;='Beállítások'!$C$109,2,IF(AN35&gt;='Beállítások'!$C$110,3,IF(AND(AN35&gt;='Beállítások'!$B$87,AI35&gt;='Beállítások'!$B$88,AL35&gt;='Beállítások'!$B$89),4,5))))))</f>
        <v/>
      </c>
      <c r="AR35">
        <f>IF($A35="","",INDEX('Beállítások'!$B$108:$B$112,AQ35))</f>
        <v/>
      </c>
      <c r="AS35">
        <f>IF($A35="","",IF(AQ35=5,"Elutasítjuk",IF(AND(AQ35=4,COUNTIFS('Eredmény'!$AQ$2:$AQ$201,4,'Eredmény'!$DY$2:$DY$201,"&gt;"&amp;DY35)&gt;='Beállítások'!$B$90),"Várólista (a 4-es hely foglalt)","Elfogadjuk")))</f>
        <v/>
      </c>
      <c r="AT35">
        <f>IF($A35="","",INDEX('Beállítások'!$F$108:$F$112,AQ35))</f>
        <v/>
      </c>
      <c r="AU35">
        <f>IF($A35="","",INDEX('Beállítások'!$B$6:$B$38,MATCH(MAX(BK35:CQ35),BK35:CQ35,0)))</f>
        <v/>
      </c>
      <c r="AV35">
        <f>IF($A35="","",IF(MAX(CR35:DX35)=0,"—",INDEX('Beállítások'!$B$6:$B$38,MATCH(MAX(CR35:DX35),CR35:DX35,0))))</f>
        <v/>
      </c>
      <c r="AW35" s="10">
        <f>IF($A35="","",'Beállítások'!$B$94*(TRIM('Ügyfelek'!AI35)="igen")+'Beállítások'!$B$95*(TRIM('Ügyfelek'!AJ35)="igen")+'Beállítások'!$B$96*N('Ügyfelek'!AK35)+'Beállítások'!$B$93*N('Ügyfelek'!AL35))</f>
        <v/>
      </c>
      <c r="AX35" s="25">
        <f>IF(OR($A35="",AQ35=5),"",INDEX('Beállítások'!$D$108:$D$112,AQ35))</f>
        <v/>
      </c>
      <c r="AY35" s="10">
        <f>IF($A35="","",N('Ügyfelek'!U35)*'Beállítások'!$B$98)</f>
        <v/>
      </c>
      <c r="AZ35" s="10">
        <f>IF(OR($A35="",AQ35=5),"",CEILING(ROUND(MAX('Beállítások'!$B$97,AW35*AX35,AY35),2),'Beállítások'!$B$99))</f>
        <v/>
      </c>
      <c r="BA35">
        <f>IF($A35="","",IF(AQ35=5,"Elutasítva",IF(MAX('Beállítások'!$B$97,AW35*AX35,AY35)=AW35*AX35,"Munkaigény × státuszszorzó",IF(MAX('Beállítások'!$B$97,AW35*AX35,AY35)=AY35,"Hirdetési keret arányában","Minimumdíj"))))</f>
        <v/>
      </c>
      <c r="BB35" s="10">
        <f>IF(OR($A35="",'Ügyfelek'!AM35=""),"",'Ügyfelek'!AM35)</f>
        <v/>
      </c>
      <c r="BC35" s="10">
        <f>IF(OR(BB35="",AZ35=""),"",AZ35-BB35)</f>
        <v/>
      </c>
      <c r="BD35" s="18">
        <f>IF(OR(BB35="",AZ35="",BB35=0),"",BC35/BB35)</f>
        <v/>
      </c>
      <c r="BE35">
        <f>IF(OR($A35="",AQ35=5),"",IF(AND(INDEX('Beállítások'!$E$108:$E$112,AQ35)&gt;0,Y35&gt;='Beállítások'!$B$91),"Igen","Nem"))</f>
        <v/>
      </c>
      <c r="BF35" s="10">
        <f>IF(BE35="Igen",CEILING(ROUND(AZ35*(1-'Beállítások'!$B$92),2),'Beállítások'!$B$99),"")</f>
        <v/>
      </c>
      <c r="BG35" s="20">
        <f>IF(BE35="Igen",INDEX('Beállítások'!$E$108:$E$112,AQ35),"")</f>
        <v/>
      </c>
      <c r="BH35" s="10">
        <f>IF(OR(BE35&lt;&gt;"Igen",'Ügyfelek'!AN35=""),"",'Ügyfelek'!AN35*BG35)</f>
        <v/>
      </c>
      <c r="BI35" s="24">
        <f>IF($A35="","",('Ügyfelek'!B35="")+('Ügyfelek'!C35="")+('Ügyfelek'!D35="")+('Ügyfelek'!E35="")+('Ügyfelek'!F35="")+('Ügyfelek'!G35="")+('Ügyfelek'!H35="")+('Ügyfelek'!I35="")+('Ügyfelek'!J35="")+('Ügyfelek'!K35="")+('Ügyfelek'!L35="")+('Ügyfelek'!M35="")+('Ügyfelek'!N35="")+('Ügyfelek'!O35="")+('Ügyfelek'!P35="")+('Ügyfelek'!Q35="")+('Ügyfelek'!R35="")+('Ügyfelek'!S35="")+('Ügyfelek'!T35="")+('Ügyfelek'!U35="")+('Ügyfelek'!V35="")+('Ügyfelek'!W35="")+('Ügyfelek'!X35="")+('Ügyfelek'!Y35="")+('Ügyfelek'!Z35="")+('Ügyfelek'!AA35="")+('Ügyfelek'!AB35="")+('Ügyfelek'!AC35="")+('Ügyfelek'!AD35="")+('Ügyfelek'!AE35="")+('Ügyfelek'!AF35="")+('Ügyfelek'!AG35="")+('Ügyfelek'!AH35=""))</f>
        <v/>
      </c>
      <c r="BK35">
        <f>IF($A35="","",B35+'Beállítások'!$E$6/1000)</f>
        <v/>
      </c>
      <c r="BL35">
        <f>IF($A35="","",C35+'Beállítások'!$E$7/1000)</f>
        <v/>
      </c>
      <c r="BM35">
        <f>IF($A35="","",D35+'Beállítások'!$E$8/1000)</f>
        <v/>
      </c>
      <c r="BN35">
        <f>IF($A35="","",E35+'Beállítások'!$E$9/1000)</f>
        <v/>
      </c>
      <c r="BO35">
        <f>IF($A35="","",F35+'Beállítások'!$E$10/1000)</f>
        <v/>
      </c>
      <c r="BP35">
        <f>IF($A35="","",G35+'Beállítások'!$E$11/1000)</f>
        <v/>
      </c>
      <c r="BQ35">
        <f>IF($A35="","",H35+'Beállítások'!$E$12/1000)</f>
        <v/>
      </c>
      <c r="BR35">
        <f>IF($A35="","",I35+'Beállítások'!$E$13/1000)</f>
        <v/>
      </c>
      <c r="BS35">
        <f>IF($A35="","",J35+'Beállítások'!$E$14/1000)</f>
        <v/>
      </c>
      <c r="BT35">
        <f>IF($A35="","",K35+'Beállítások'!$E$15/1000)</f>
        <v/>
      </c>
      <c r="BU35">
        <f>IF($A35="","",L35+'Beállítások'!$E$16/1000)</f>
        <v/>
      </c>
      <c r="BV35">
        <f>IF($A35="","",M35+'Beállítások'!$E$17/1000)</f>
        <v/>
      </c>
      <c r="BW35">
        <f>IF($A35="","",N35+'Beállítások'!$E$18/1000)</f>
        <v/>
      </c>
      <c r="BX35">
        <f>IF($A35="","",O35+'Beállítások'!$E$19/1000)</f>
        <v/>
      </c>
      <c r="BY35">
        <f>IF($A35="","",P35+'Beállítások'!$E$20/1000)</f>
        <v/>
      </c>
      <c r="BZ35">
        <f>IF($A35="","",Q35+'Beállítások'!$E$21/1000)</f>
        <v/>
      </c>
      <c r="CA35">
        <f>IF($A35="","",R35+'Beállítások'!$E$22/1000)</f>
        <v/>
      </c>
      <c r="CB35">
        <f>IF($A35="","",S35+'Beállítások'!$E$23/1000)</f>
        <v/>
      </c>
      <c r="CC35">
        <f>IF($A35="","",T35+'Beállítások'!$E$24/1000)</f>
        <v/>
      </c>
      <c r="CD35">
        <f>IF($A35="","",U35+'Beállítások'!$E$25/1000)</f>
        <v/>
      </c>
      <c r="CE35">
        <f>IF($A35="","",V35+'Beállítások'!$E$26/1000)</f>
        <v/>
      </c>
      <c r="CF35">
        <f>IF($A35="","",W35+'Beállítások'!$E$27/1000)</f>
        <v/>
      </c>
      <c r="CG35">
        <f>IF($A35="","",X35+'Beállítások'!$E$28/1000)</f>
        <v/>
      </c>
      <c r="CH35">
        <f>IF($A35="","",Y35+'Beállítások'!$E$29/1000)</f>
        <v/>
      </c>
      <c r="CI35">
        <f>IF($A35="","",Z35+'Beállítások'!$E$30/1000)</f>
        <v/>
      </c>
      <c r="CJ35">
        <f>IF($A35="","",AA35+'Beállítások'!$E$31/1000)</f>
        <v/>
      </c>
      <c r="CK35">
        <f>IF($A35="","",AB35+'Beállítások'!$E$32/1000)</f>
        <v/>
      </c>
      <c r="CL35">
        <f>IF($A35="","",AC35+'Beállítások'!$E$33/1000)</f>
        <v/>
      </c>
      <c r="CM35">
        <f>IF($A35="","",AD35+'Beállítások'!$E$34/1000)</f>
        <v/>
      </c>
      <c r="CN35">
        <f>IF($A35="","",AE35+'Beállítások'!$E$35/1000)</f>
        <v/>
      </c>
      <c r="CO35">
        <f>IF($A35="","",AF35+'Beállítások'!$E$36/1000)</f>
        <v/>
      </c>
      <c r="CP35">
        <f>IF($A35="","",AG35+'Beállítások'!$E$37/1000)</f>
        <v/>
      </c>
      <c r="CQ35">
        <f>IF($A35="","",AH35+'Beállítások'!$E$38/1000)</f>
        <v/>
      </c>
      <c r="CR35">
        <f>IF($A35="","",'Beállítások'!$E$6*(10-B35))</f>
        <v/>
      </c>
      <c r="CS35">
        <f>IF($A35="","",'Beállítások'!$E$7*(10-C35))</f>
        <v/>
      </c>
      <c r="CT35">
        <f>IF($A35="","",'Beállítások'!$E$8*(10-D35))</f>
        <v/>
      </c>
      <c r="CU35">
        <f>IF($A35="","",'Beállítások'!$E$9*(10-E35))</f>
        <v/>
      </c>
      <c r="CV35">
        <f>IF($A35="","",'Beállítások'!$E$10*(10-F35))</f>
        <v/>
      </c>
      <c r="CW35">
        <f>IF($A35="","",'Beállítások'!$E$11*(10-G35))</f>
        <v/>
      </c>
      <c r="CX35">
        <f>IF($A35="","",'Beállítások'!$E$12*(10-H35))</f>
        <v/>
      </c>
      <c r="CY35">
        <f>IF($A35="","",'Beállítások'!$E$13*(10-I35))</f>
        <v/>
      </c>
      <c r="CZ35">
        <f>IF($A35="","",'Beállítások'!$E$14*(10-J35))</f>
        <v/>
      </c>
      <c r="DA35">
        <f>IF($A35="","",'Beállítások'!$E$15*(10-K35))</f>
        <v/>
      </c>
      <c r="DB35">
        <f>IF($A35="","",'Beállítások'!$E$16*(10-L35))</f>
        <v/>
      </c>
      <c r="DC35">
        <f>IF($A35="","",'Beállítások'!$E$17*(10-M35))</f>
        <v/>
      </c>
      <c r="DD35">
        <f>IF($A35="","",'Beállítások'!$E$18*(10-N35))</f>
        <v/>
      </c>
      <c r="DE35">
        <f>IF($A35="","",'Beállítások'!$E$19*(10-O35))</f>
        <v/>
      </c>
      <c r="DF35">
        <f>IF($A35="","",'Beállítások'!$E$20*(10-P35))</f>
        <v/>
      </c>
      <c r="DG35">
        <f>IF($A35="","",'Beállítások'!$E$21*(10-Q35))</f>
        <v/>
      </c>
      <c r="DH35">
        <f>IF($A35="","",'Beállítások'!$E$22*(10-R35))</f>
        <v/>
      </c>
      <c r="DI35">
        <f>IF($A35="","",'Beállítások'!$E$23*(10-S35))</f>
        <v/>
      </c>
      <c r="DJ35">
        <f>IF($A35="","",'Beállítások'!$E$24*(10-T35))</f>
        <v/>
      </c>
      <c r="DK35">
        <f>IF($A35="","",'Beállítások'!$E$25*(10-U35))</f>
        <v/>
      </c>
      <c r="DL35">
        <f>IF($A35="","",'Beállítások'!$E$26*(10-V35))</f>
        <v/>
      </c>
      <c r="DM35">
        <f>IF($A35="","",'Beállítások'!$E$27*(10-W35))</f>
        <v/>
      </c>
      <c r="DN35">
        <f>IF($A35="","",'Beállítások'!$E$28*(10-X35))</f>
        <v/>
      </c>
      <c r="DO35">
        <f>IF($A35="","",'Beállítások'!$E$29*(10-Y35))</f>
        <v/>
      </c>
      <c r="DP35">
        <f>IF($A35="","",'Beállítások'!$E$30*(10-Z35))</f>
        <v/>
      </c>
      <c r="DQ35">
        <f>IF($A35="","",'Beállítások'!$E$31*(10-AA35))</f>
        <v/>
      </c>
      <c r="DR35">
        <f>IF($A35="","",'Beállítások'!$E$32*(10-AB35))</f>
        <v/>
      </c>
      <c r="DS35">
        <f>IF($A35="","",'Beállítások'!$E$33*(10-AC35))</f>
        <v/>
      </c>
      <c r="DT35">
        <f>IF($A35="","",'Beállítások'!$E$34*(10-AD35))</f>
        <v/>
      </c>
      <c r="DU35">
        <f>IF($A35="","",'Beállítások'!$E$35*(10-AE35))</f>
        <v/>
      </c>
      <c r="DV35">
        <f>IF($A35="","",'Beállítások'!$E$36*(10-AF35))</f>
        <v/>
      </c>
      <c r="DW35">
        <f>IF($A35="","",'Beállítások'!$E$37*(10-AG35))</f>
        <v/>
      </c>
      <c r="DX35">
        <f>IF($A35="","",'Beállítások'!$E$38*(10-AH35))</f>
        <v/>
      </c>
      <c r="DY35">
        <f>IF($A35="","",AM35-ROW()/100000)</f>
        <v/>
      </c>
    </row>
    <row r="36">
      <c r="A36">
        <f>IF('Ügyfelek'!A36="","",'Ügyfelek'!A36)</f>
        <v/>
      </c>
      <c r="B36">
        <f>IF($A36="","",IF('Ügyfelek'!B36="",'Beállítások'!$B$84,IFERROR(VLOOKUP(TRIM('Ügyfelek'!B36),'Beállítások'!$A$51:$B$59,2,FALSE),'Beállítások'!$B$84)))</f>
        <v/>
      </c>
      <c r="C36">
        <f>IF($A36="","",IF('Ügyfelek'!C36="",'Beállítások'!$B$84,MIN(10,MAX(1,ROUND('Ügyfelek'!C36,0)))))</f>
        <v/>
      </c>
      <c r="D36">
        <f>IF($A36="","",IF('Ügyfelek'!D36="",'Beállítások'!$B$84,MIN(10,MAX(1,ROUND('Ügyfelek'!D36,0)))))</f>
        <v/>
      </c>
      <c r="E36">
        <f>IF($A36="","",IF('Ügyfelek'!E36="",'Beállítások'!$B$84,MIN(10,MAX(1,ROUND('Ügyfelek'!E36,0)))))</f>
        <v/>
      </c>
      <c r="F36">
        <f>IF($A36="","",IF('Ügyfelek'!F36="",'Beállítások'!$B$84,MIN(10,MAX(1,ROUND('Ügyfelek'!F36,0)))))</f>
        <v/>
      </c>
      <c r="G36">
        <f>IF($A36="","",IF('Ügyfelek'!G36="",'Beállítások'!$B$84,MIN(10,MAX(1,ROUND('Ügyfelek'!G36,0)))))</f>
        <v/>
      </c>
      <c r="H36">
        <f>IF($A36="","",IF('Ügyfelek'!H36="",'Beállítások'!$B$84,MIN(10,MAX(1,ROUND('Ügyfelek'!H36,0)))))</f>
        <v/>
      </c>
      <c r="I36">
        <f>IF($A36="","",IF('Ügyfelek'!I36="",'Beállítások'!$B$84,MIN(10,MAX(1,ROUND('Ügyfelek'!I36,0)))))</f>
        <v/>
      </c>
      <c r="J36">
        <f>IF($A36="","",IF('Ügyfelek'!J36="",'Beállítások'!$B$84,MIN(10,MAX(1,ROUND('Ügyfelek'!J36,0)))))</f>
        <v/>
      </c>
      <c r="K36">
        <f>IF($A36="","",IF('Ügyfelek'!K36="",'Beállítások'!$B$84,MIN(10,MAX(1,ROUND('Ügyfelek'!K36,0)))))</f>
        <v/>
      </c>
      <c r="L36">
        <f>IF($A36="","",IF('Ügyfelek'!L36="",'Beállítások'!$B$84,MIN(10,MAX(1,ROUND('Ügyfelek'!L36,0)))))</f>
        <v/>
      </c>
      <c r="M36">
        <f>IF($A36="","",IF('Ügyfelek'!M36="",'Beállítások'!$B$84,MIN(10,MAX(1,ROUND('Ügyfelek'!M36,0)))))</f>
        <v/>
      </c>
      <c r="N36">
        <f>IF($A36="","",IF('Ügyfelek'!N36="",'Beállítások'!$B$84,MIN(10,MAX(1,ROUND('Ügyfelek'!N36,0)))))</f>
        <v/>
      </c>
      <c r="O36">
        <f>IF($A36="","",IF('Ügyfelek'!O36="",'Beállítások'!$B$84,MIN(10,MAX(1,ROUND('Ügyfelek'!O36,0)))))</f>
        <v/>
      </c>
      <c r="P36">
        <f>IF($A36="","",IF('Ügyfelek'!P36="",'Beállítások'!$B$84,MIN(10,MAX(1,ROUND('Ügyfelek'!P36,0)))))</f>
        <v/>
      </c>
      <c r="Q36">
        <f>IF($A36="","",IF('Ügyfelek'!Q36="",'Beállítások'!$B$84,MIN(10,MAX(1,ROUND('Ügyfelek'!Q36,0)))))</f>
        <v/>
      </c>
      <c r="R36">
        <f>IF($A36="","",IF('Ügyfelek'!R36="",'Beállítások'!$B$84,MIN(10,MAX(1,ROUND('Ügyfelek'!R36,0)))))</f>
        <v/>
      </c>
      <c r="S36">
        <f>IF($A36="","",IF('Ügyfelek'!S36="",'Beállítások'!$B$84,MIN(10,MAX(1,ROUND('Ügyfelek'!S36,0)))))</f>
        <v/>
      </c>
      <c r="T36">
        <f>IF($A36="","",IF('Ügyfelek'!T36="",'Beállítások'!$B$84,VLOOKUP(MAX('Ügyfelek'!T36,'Beállítások'!$H$7),'Beállítások'!$H$7:$I$12,2,TRUE)))</f>
        <v/>
      </c>
      <c r="U36">
        <f>IF($A36="","",IF('Ügyfelek'!U36="",'Beállítások'!$B$84,VLOOKUP(MAX('Ügyfelek'!U36,'Beállítások'!$K$7),'Beállítások'!$K$7:$L$12,2,TRUE)))</f>
        <v/>
      </c>
      <c r="V36">
        <f>IF($A36="","",IF('Ügyfelek'!V36="",'Beállítások'!$B$84,MIN(10,MAX(1,ROUND('Ügyfelek'!V36,0)))))</f>
        <v/>
      </c>
      <c r="W36">
        <f>IF($A36="","",IF('Ügyfelek'!W36="",'Beállítások'!$B$84,VLOOKUP(MAX('Ügyfelek'!W36,'Beállítások'!$N$7),'Beállítások'!$N$7:$O$12,2,TRUE)))</f>
        <v/>
      </c>
      <c r="X36">
        <f>IF($A36="","",IF('Ügyfelek'!X36="",'Beállítások'!$B$84,MIN(10,MAX(1,ROUND('Ügyfelek'!X36,0)))))</f>
        <v/>
      </c>
      <c r="Y36">
        <f>IF($A36="","",IF('Ügyfelek'!Y36="",'Beállítások'!$B$84,IFERROR(VLOOKUP(TRIM('Ügyfelek'!Y36),'Beállítások'!$A$63:$B$69,2,FALSE),'Beállítások'!$B$84)))</f>
        <v/>
      </c>
      <c r="Z36">
        <f>IF($A36="","",IF('Ügyfelek'!Z36="",'Beállítások'!$B$84,VLOOKUP(MAX('Ügyfelek'!Z36,'Beállítások'!$Q$7),'Beállítások'!$Q$7:$R$12,2,TRUE)))</f>
        <v/>
      </c>
      <c r="AA36">
        <f>IF($A36="","",IF('Ügyfelek'!AA36="",'Beállítások'!$B$84,VLOOKUP(MAX('Ügyfelek'!AA36,'Beállítások'!$T$7),'Beállítások'!$T$7:$U$12,2,TRUE)))</f>
        <v/>
      </c>
      <c r="AB36">
        <f>IF($A36="","",IF('Ügyfelek'!AB36="",'Beállítások'!$B$84,MIN(10,MAX(1,ROUND('Ügyfelek'!AB36,0)))))</f>
        <v/>
      </c>
      <c r="AC36">
        <f>IF($A36="","",IF('Ügyfelek'!AC36="",'Beállítások'!$B$84,MIN(10,MAX(1,ROUND('Ügyfelek'!AC36,0)))))</f>
        <v/>
      </c>
      <c r="AD36">
        <f>IF($A36="","",IF('Ügyfelek'!AD36="",'Beállítások'!$B$84,MIN(10,MAX(1,ROUND('Ügyfelek'!AD36,0)))))</f>
        <v/>
      </c>
      <c r="AE36">
        <f>IF($A36="","",IF('Ügyfelek'!AE36="",'Beállítások'!$B$84,MIN(10,MAX(1,ROUND('Ügyfelek'!AE36,0)))))</f>
        <v/>
      </c>
      <c r="AF36">
        <f>IF($A36="","",IF('Ügyfelek'!AF36="",'Beállítások'!$B$84,MIN(10,MAX(1,ROUND('Ügyfelek'!AF36,0)))))</f>
        <v/>
      </c>
      <c r="AG36">
        <f>IF($A36="","",IF('Ügyfelek'!AG36="",'Beállítások'!$B$84,MIN(10,MAX(1,ROUND('Ügyfelek'!AG36,0)))))</f>
        <v/>
      </c>
      <c r="AH36">
        <f>IF($A36="","",IF('Ügyfelek'!AH36="",'Beállítások'!$B$84,IFERROR(VLOOKUP(TRIM('Ügyfelek'!AH36),'Beállítások'!$A$73:$B$79,2,FALSE),'Beállítások'!$B$84)))</f>
        <v/>
      </c>
      <c r="AI36" s="23">
        <f>IF($A36="","",ROUND(100*('Beállítások'!$E$6*(B36-1)+'Beállítások'!$E$7*(C36-1))/(9*'Beállítások'!$B$43),1))</f>
        <v/>
      </c>
      <c r="AJ36" s="23">
        <f>IF($A36="","",ROUND(100*('Beállítások'!$E$8*(D36-1)+'Beállítások'!$E$9*(E36-1)+'Beállítások'!$E$10*(F36-1)+'Beállítások'!$E$11*(G36-1)+'Beállítások'!$E$12*(H36-1)+'Beállítások'!$E$13*(I36-1)+'Beállítások'!$E$14*(J36-1)+'Beállítások'!$E$15*(K36-1)+'Beállítások'!$E$16*(L36-1)+'Beállítások'!$E$17*(M36-1)+'Beállítások'!$E$18*(N36-1)+'Beállítások'!$E$19*(O36-1)+'Beállítások'!$E$20*(P36-1)+'Beállítások'!$E$21*(Q36-1)+'Beállítások'!$E$22*(R36-1))/(9*'Beállítások'!$B$44),1))</f>
        <v/>
      </c>
      <c r="AK36" s="23">
        <f>IF($A36="","",ROUND(100*('Beállítások'!$E$23*(S36-1)+'Beállítások'!$E$24*(T36-1)+'Beállítások'!$E$25*(U36-1)+'Beállítások'!$E$26*(V36-1)+'Beállítások'!$E$27*(W36-1)+'Beállítások'!$E$28*(X36-1)+'Beállítások'!$E$29*(Y36-1))/(9*'Beállítások'!$B$45),1))</f>
        <v/>
      </c>
      <c r="AL36" s="23">
        <f>IF($A36="","",ROUND(100*('Beállítások'!$E$30*(Z36-1)+'Beállítások'!$E$31*(AA36-1)+'Beállítások'!$E$32*(AB36-1)+'Beállítások'!$E$33*(AC36-1)+'Beállítások'!$E$34*(AD36-1)+'Beállítások'!$E$35*(AE36-1)+'Beállítások'!$E$36*(AF36-1)+'Beállítások'!$E$37*(AG36-1)+'Beállítások'!$E$38*(AH36-1))/(9*'Beállítások'!$B$46),1))</f>
        <v/>
      </c>
      <c r="AM36" s="23">
        <f>IF($A36="","",ROUND(100*('Beállítások'!$E$6*(B36-1)+'Beállítások'!$E$7*(C36-1)+'Beállítások'!$E$8*(D36-1)+'Beállítások'!$E$9*(E36-1)+'Beállítások'!$E$10*(F36-1)+'Beállítások'!$E$11*(G36-1)+'Beállítások'!$E$12*(H36-1)+'Beállítások'!$E$13*(I36-1)+'Beállítások'!$E$14*(J36-1)+'Beállítások'!$E$15*(K36-1)+'Beállítások'!$E$16*(L36-1)+'Beállítások'!$E$17*(M36-1)+'Beállítások'!$E$18*(N36-1)+'Beállítások'!$E$19*(O36-1)+'Beállítások'!$E$20*(P36-1)+'Beállítások'!$E$21*(Q36-1)+'Beállítások'!$E$22*(R36-1)+'Beállítások'!$E$23*(S36-1)+'Beállítások'!$E$24*(T36-1)+'Beállítások'!$E$25*(U36-1)+'Beállítások'!$E$26*(V36-1)+'Beállítások'!$E$27*(W36-1)+'Beállítások'!$E$28*(X36-1)+'Beállítások'!$E$29*(Y36-1)+'Beállítások'!$E$30*(Z36-1)+'Beállítások'!$E$31*(AA36-1)+'Beállítások'!$E$32*(AB36-1)+'Beállítások'!$E$33*(AC36-1)+'Beállítások'!$E$34*(AD36-1)+'Beállítások'!$E$35*(AE36-1)+'Beállítások'!$E$36*(AF36-1)+'Beállítások'!$E$37*(AG36-1)+'Beállítások'!$E$38*(AH36-1))/(9*'Beállítások'!$E$39),1))</f>
        <v/>
      </c>
      <c r="AN36" s="23">
        <f>IF($A36="","",ROUND(100*('Beállítások'!$E$8*(D36-1)+'Beállítások'!$E$9*(E36-1)+'Beállítások'!$E$10*(F36-1)+'Beállítások'!$E$11*(G36-1)+'Beállítások'!$E$12*(H36-1)+'Beállítások'!$E$13*(I36-1)+'Beállítások'!$E$14*(J36-1)+'Beállítások'!$E$15*(K36-1)+'Beállítások'!$E$16*(L36-1)+'Beállítások'!$E$17*(M36-1)+'Beállítások'!$E$18*(N36-1)+'Beállítások'!$E$19*(O36-1)+'Beállítások'!$E$20*(P36-1)+'Beállítások'!$E$21*(Q36-1)+'Beállítások'!$E$22*(R36-1)+'Beállítások'!$E$23*(S36-1)+'Beállítások'!$E$24*(T36-1)+'Beállítások'!$E$25*(U36-1)+'Beállítások'!$E$26*(V36-1)+'Beállítások'!$E$27*(W36-1)+'Beállítások'!$E$28*(X36-1)+'Beállítások'!$E$29*(Y36-1))/(9*('Beállítások'!$B$44+'Beállítások'!$B$45)),1))</f>
        <v/>
      </c>
      <c r="AO36" s="24">
        <f>IF($A36="","",RANK(AM36,$AM$2:$AM$201))</f>
        <v/>
      </c>
      <c r="AP36">
        <f>IF($A36="","",IF(OR(AND('Ügyfelek'!B36&lt;&gt;"",B36&lt;='Beállítások'!$B$85),AND('Ügyfelek'!C36&lt;&gt;"",C36&lt;='Beállítások'!$B$86)),"Igen","Nem"))</f>
        <v/>
      </c>
      <c r="AQ36" s="24">
        <f>IF($A36="","",IF(AP36="Igen",5,IF(AN36&gt;='Beállítások'!$C$108,1,IF(AN36&gt;='Beállítások'!$C$109,2,IF(AN36&gt;='Beállítások'!$C$110,3,IF(AND(AN36&gt;='Beállítások'!$B$87,AI36&gt;='Beállítások'!$B$88,AL36&gt;='Beállítások'!$B$89),4,5))))))</f>
        <v/>
      </c>
      <c r="AR36">
        <f>IF($A36="","",INDEX('Beállítások'!$B$108:$B$112,AQ36))</f>
        <v/>
      </c>
      <c r="AS36">
        <f>IF($A36="","",IF(AQ36=5,"Elutasítjuk",IF(AND(AQ36=4,COUNTIFS('Eredmény'!$AQ$2:$AQ$201,4,'Eredmény'!$DY$2:$DY$201,"&gt;"&amp;DY36)&gt;='Beállítások'!$B$90),"Várólista (a 4-es hely foglalt)","Elfogadjuk")))</f>
        <v/>
      </c>
      <c r="AT36">
        <f>IF($A36="","",INDEX('Beállítások'!$F$108:$F$112,AQ36))</f>
        <v/>
      </c>
      <c r="AU36">
        <f>IF($A36="","",INDEX('Beállítások'!$B$6:$B$38,MATCH(MAX(BK36:CQ36),BK36:CQ36,0)))</f>
        <v/>
      </c>
      <c r="AV36">
        <f>IF($A36="","",IF(MAX(CR36:DX36)=0,"—",INDEX('Beállítások'!$B$6:$B$38,MATCH(MAX(CR36:DX36),CR36:DX36,0))))</f>
        <v/>
      </c>
      <c r="AW36" s="10">
        <f>IF($A36="","",'Beállítások'!$B$94*(TRIM('Ügyfelek'!AI36)="igen")+'Beállítások'!$B$95*(TRIM('Ügyfelek'!AJ36)="igen")+'Beállítások'!$B$96*N('Ügyfelek'!AK36)+'Beállítások'!$B$93*N('Ügyfelek'!AL36))</f>
        <v/>
      </c>
      <c r="AX36" s="25">
        <f>IF(OR($A36="",AQ36=5),"",INDEX('Beállítások'!$D$108:$D$112,AQ36))</f>
        <v/>
      </c>
      <c r="AY36" s="10">
        <f>IF($A36="","",N('Ügyfelek'!U36)*'Beállítások'!$B$98)</f>
        <v/>
      </c>
      <c r="AZ36" s="10">
        <f>IF(OR($A36="",AQ36=5),"",CEILING(ROUND(MAX('Beállítások'!$B$97,AW36*AX36,AY36),2),'Beállítások'!$B$99))</f>
        <v/>
      </c>
      <c r="BA36">
        <f>IF($A36="","",IF(AQ36=5,"Elutasítva",IF(MAX('Beállítások'!$B$97,AW36*AX36,AY36)=AW36*AX36,"Munkaigény × státuszszorzó",IF(MAX('Beállítások'!$B$97,AW36*AX36,AY36)=AY36,"Hirdetési keret arányában","Minimumdíj"))))</f>
        <v/>
      </c>
      <c r="BB36" s="10">
        <f>IF(OR($A36="",'Ügyfelek'!AM36=""),"",'Ügyfelek'!AM36)</f>
        <v/>
      </c>
      <c r="BC36" s="10">
        <f>IF(OR(BB36="",AZ36=""),"",AZ36-BB36)</f>
        <v/>
      </c>
      <c r="BD36" s="18">
        <f>IF(OR(BB36="",AZ36="",BB36=0),"",BC36/BB36)</f>
        <v/>
      </c>
      <c r="BE36">
        <f>IF(OR($A36="",AQ36=5),"",IF(AND(INDEX('Beállítások'!$E$108:$E$112,AQ36)&gt;0,Y36&gt;='Beállítások'!$B$91),"Igen","Nem"))</f>
        <v/>
      </c>
      <c r="BF36" s="10">
        <f>IF(BE36="Igen",CEILING(ROUND(AZ36*(1-'Beállítások'!$B$92),2),'Beállítások'!$B$99),"")</f>
        <v/>
      </c>
      <c r="BG36" s="20">
        <f>IF(BE36="Igen",INDEX('Beállítások'!$E$108:$E$112,AQ36),"")</f>
        <v/>
      </c>
      <c r="BH36" s="10">
        <f>IF(OR(BE36&lt;&gt;"Igen",'Ügyfelek'!AN36=""),"",'Ügyfelek'!AN36*BG36)</f>
        <v/>
      </c>
      <c r="BI36" s="24">
        <f>IF($A36="","",('Ügyfelek'!B36="")+('Ügyfelek'!C36="")+('Ügyfelek'!D36="")+('Ügyfelek'!E36="")+('Ügyfelek'!F36="")+('Ügyfelek'!G36="")+('Ügyfelek'!H36="")+('Ügyfelek'!I36="")+('Ügyfelek'!J36="")+('Ügyfelek'!K36="")+('Ügyfelek'!L36="")+('Ügyfelek'!M36="")+('Ügyfelek'!N36="")+('Ügyfelek'!O36="")+('Ügyfelek'!P36="")+('Ügyfelek'!Q36="")+('Ügyfelek'!R36="")+('Ügyfelek'!S36="")+('Ügyfelek'!T36="")+('Ügyfelek'!U36="")+('Ügyfelek'!V36="")+('Ügyfelek'!W36="")+('Ügyfelek'!X36="")+('Ügyfelek'!Y36="")+('Ügyfelek'!Z36="")+('Ügyfelek'!AA36="")+('Ügyfelek'!AB36="")+('Ügyfelek'!AC36="")+('Ügyfelek'!AD36="")+('Ügyfelek'!AE36="")+('Ügyfelek'!AF36="")+('Ügyfelek'!AG36="")+('Ügyfelek'!AH36=""))</f>
        <v/>
      </c>
      <c r="BK36">
        <f>IF($A36="","",B36+'Beállítások'!$E$6/1000)</f>
        <v/>
      </c>
      <c r="BL36">
        <f>IF($A36="","",C36+'Beállítások'!$E$7/1000)</f>
        <v/>
      </c>
      <c r="BM36">
        <f>IF($A36="","",D36+'Beállítások'!$E$8/1000)</f>
        <v/>
      </c>
      <c r="BN36">
        <f>IF($A36="","",E36+'Beállítások'!$E$9/1000)</f>
        <v/>
      </c>
      <c r="BO36">
        <f>IF($A36="","",F36+'Beállítások'!$E$10/1000)</f>
        <v/>
      </c>
      <c r="BP36">
        <f>IF($A36="","",G36+'Beállítások'!$E$11/1000)</f>
        <v/>
      </c>
      <c r="BQ36">
        <f>IF($A36="","",H36+'Beállítások'!$E$12/1000)</f>
        <v/>
      </c>
      <c r="BR36">
        <f>IF($A36="","",I36+'Beállítások'!$E$13/1000)</f>
        <v/>
      </c>
      <c r="BS36">
        <f>IF($A36="","",J36+'Beállítások'!$E$14/1000)</f>
        <v/>
      </c>
      <c r="BT36">
        <f>IF($A36="","",K36+'Beállítások'!$E$15/1000)</f>
        <v/>
      </c>
      <c r="BU36">
        <f>IF($A36="","",L36+'Beállítások'!$E$16/1000)</f>
        <v/>
      </c>
      <c r="BV36">
        <f>IF($A36="","",M36+'Beállítások'!$E$17/1000)</f>
        <v/>
      </c>
      <c r="BW36">
        <f>IF($A36="","",N36+'Beállítások'!$E$18/1000)</f>
        <v/>
      </c>
      <c r="BX36">
        <f>IF($A36="","",O36+'Beállítások'!$E$19/1000)</f>
        <v/>
      </c>
      <c r="BY36">
        <f>IF($A36="","",P36+'Beállítások'!$E$20/1000)</f>
        <v/>
      </c>
      <c r="BZ36">
        <f>IF($A36="","",Q36+'Beállítások'!$E$21/1000)</f>
        <v/>
      </c>
      <c r="CA36">
        <f>IF($A36="","",R36+'Beállítások'!$E$22/1000)</f>
        <v/>
      </c>
      <c r="CB36">
        <f>IF($A36="","",S36+'Beállítások'!$E$23/1000)</f>
        <v/>
      </c>
      <c r="CC36">
        <f>IF($A36="","",T36+'Beállítások'!$E$24/1000)</f>
        <v/>
      </c>
      <c r="CD36">
        <f>IF($A36="","",U36+'Beállítások'!$E$25/1000)</f>
        <v/>
      </c>
      <c r="CE36">
        <f>IF($A36="","",V36+'Beállítások'!$E$26/1000)</f>
        <v/>
      </c>
      <c r="CF36">
        <f>IF($A36="","",W36+'Beállítások'!$E$27/1000)</f>
        <v/>
      </c>
      <c r="CG36">
        <f>IF($A36="","",X36+'Beállítások'!$E$28/1000)</f>
        <v/>
      </c>
      <c r="CH36">
        <f>IF($A36="","",Y36+'Beállítások'!$E$29/1000)</f>
        <v/>
      </c>
      <c r="CI36">
        <f>IF($A36="","",Z36+'Beállítások'!$E$30/1000)</f>
        <v/>
      </c>
      <c r="CJ36">
        <f>IF($A36="","",AA36+'Beállítások'!$E$31/1000)</f>
        <v/>
      </c>
      <c r="CK36">
        <f>IF($A36="","",AB36+'Beállítások'!$E$32/1000)</f>
        <v/>
      </c>
      <c r="CL36">
        <f>IF($A36="","",AC36+'Beállítások'!$E$33/1000)</f>
        <v/>
      </c>
      <c r="CM36">
        <f>IF($A36="","",AD36+'Beállítások'!$E$34/1000)</f>
        <v/>
      </c>
      <c r="CN36">
        <f>IF($A36="","",AE36+'Beállítások'!$E$35/1000)</f>
        <v/>
      </c>
      <c r="CO36">
        <f>IF($A36="","",AF36+'Beállítások'!$E$36/1000)</f>
        <v/>
      </c>
      <c r="CP36">
        <f>IF($A36="","",AG36+'Beállítások'!$E$37/1000)</f>
        <v/>
      </c>
      <c r="CQ36">
        <f>IF($A36="","",AH36+'Beállítások'!$E$38/1000)</f>
        <v/>
      </c>
      <c r="CR36">
        <f>IF($A36="","",'Beállítások'!$E$6*(10-B36))</f>
        <v/>
      </c>
      <c r="CS36">
        <f>IF($A36="","",'Beállítások'!$E$7*(10-C36))</f>
        <v/>
      </c>
      <c r="CT36">
        <f>IF($A36="","",'Beállítások'!$E$8*(10-D36))</f>
        <v/>
      </c>
      <c r="CU36">
        <f>IF($A36="","",'Beállítások'!$E$9*(10-E36))</f>
        <v/>
      </c>
      <c r="CV36">
        <f>IF($A36="","",'Beállítások'!$E$10*(10-F36))</f>
        <v/>
      </c>
      <c r="CW36">
        <f>IF($A36="","",'Beállítások'!$E$11*(10-G36))</f>
        <v/>
      </c>
      <c r="CX36">
        <f>IF($A36="","",'Beállítások'!$E$12*(10-H36))</f>
        <v/>
      </c>
      <c r="CY36">
        <f>IF($A36="","",'Beállítások'!$E$13*(10-I36))</f>
        <v/>
      </c>
      <c r="CZ36">
        <f>IF($A36="","",'Beállítások'!$E$14*(10-J36))</f>
        <v/>
      </c>
      <c r="DA36">
        <f>IF($A36="","",'Beállítások'!$E$15*(10-K36))</f>
        <v/>
      </c>
      <c r="DB36">
        <f>IF($A36="","",'Beállítások'!$E$16*(10-L36))</f>
        <v/>
      </c>
      <c r="DC36">
        <f>IF($A36="","",'Beállítások'!$E$17*(10-M36))</f>
        <v/>
      </c>
      <c r="DD36">
        <f>IF($A36="","",'Beállítások'!$E$18*(10-N36))</f>
        <v/>
      </c>
      <c r="DE36">
        <f>IF($A36="","",'Beállítások'!$E$19*(10-O36))</f>
        <v/>
      </c>
      <c r="DF36">
        <f>IF($A36="","",'Beállítások'!$E$20*(10-P36))</f>
        <v/>
      </c>
      <c r="DG36">
        <f>IF($A36="","",'Beállítások'!$E$21*(10-Q36))</f>
        <v/>
      </c>
      <c r="DH36">
        <f>IF($A36="","",'Beállítások'!$E$22*(10-R36))</f>
        <v/>
      </c>
      <c r="DI36">
        <f>IF($A36="","",'Beállítások'!$E$23*(10-S36))</f>
        <v/>
      </c>
      <c r="DJ36">
        <f>IF($A36="","",'Beállítások'!$E$24*(10-T36))</f>
        <v/>
      </c>
      <c r="DK36">
        <f>IF($A36="","",'Beállítások'!$E$25*(10-U36))</f>
        <v/>
      </c>
      <c r="DL36">
        <f>IF($A36="","",'Beállítások'!$E$26*(10-V36))</f>
        <v/>
      </c>
      <c r="DM36">
        <f>IF($A36="","",'Beállítások'!$E$27*(10-W36))</f>
        <v/>
      </c>
      <c r="DN36">
        <f>IF($A36="","",'Beállítások'!$E$28*(10-X36))</f>
        <v/>
      </c>
      <c r="DO36">
        <f>IF($A36="","",'Beállítások'!$E$29*(10-Y36))</f>
        <v/>
      </c>
      <c r="DP36">
        <f>IF($A36="","",'Beállítások'!$E$30*(10-Z36))</f>
        <v/>
      </c>
      <c r="DQ36">
        <f>IF($A36="","",'Beállítások'!$E$31*(10-AA36))</f>
        <v/>
      </c>
      <c r="DR36">
        <f>IF($A36="","",'Beállítások'!$E$32*(10-AB36))</f>
        <v/>
      </c>
      <c r="DS36">
        <f>IF($A36="","",'Beállítások'!$E$33*(10-AC36))</f>
        <v/>
      </c>
      <c r="DT36">
        <f>IF($A36="","",'Beállítások'!$E$34*(10-AD36))</f>
        <v/>
      </c>
      <c r="DU36">
        <f>IF($A36="","",'Beállítások'!$E$35*(10-AE36))</f>
        <v/>
      </c>
      <c r="DV36">
        <f>IF($A36="","",'Beállítások'!$E$36*(10-AF36))</f>
        <v/>
      </c>
      <c r="DW36">
        <f>IF($A36="","",'Beállítások'!$E$37*(10-AG36))</f>
        <v/>
      </c>
      <c r="DX36">
        <f>IF($A36="","",'Beállítások'!$E$38*(10-AH36))</f>
        <v/>
      </c>
      <c r="DY36">
        <f>IF($A36="","",AM36-ROW()/100000)</f>
        <v/>
      </c>
    </row>
    <row r="37">
      <c r="A37">
        <f>IF('Ügyfelek'!A37="","",'Ügyfelek'!A37)</f>
        <v/>
      </c>
      <c r="B37">
        <f>IF($A37="","",IF('Ügyfelek'!B37="",'Beállítások'!$B$84,IFERROR(VLOOKUP(TRIM('Ügyfelek'!B37),'Beállítások'!$A$51:$B$59,2,FALSE),'Beállítások'!$B$84)))</f>
        <v/>
      </c>
      <c r="C37">
        <f>IF($A37="","",IF('Ügyfelek'!C37="",'Beállítások'!$B$84,MIN(10,MAX(1,ROUND('Ügyfelek'!C37,0)))))</f>
        <v/>
      </c>
      <c r="D37">
        <f>IF($A37="","",IF('Ügyfelek'!D37="",'Beállítások'!$B$84,MIN(10,MAX(1,ROUND('Ügyfelek'!D37,0)))))</f>
        <v/>
      </c>
      <c r="E37">
        <f>IF($A37="","",IF('Ügyfelek'!E37="",'Beállítások'!$B$84,MIN(10,MAX(1,ROUND('Ügyfelek'!E37,0)))))</f>
        <v/>
      </c>
      <c r="F37">
        <f>IF($A37="","",IF('Ügyfelek'!F37="",'Beállítások'!$B$84,MIN(10,MAX(1,ROUND('Ügyfelek'!F37,0)))))</f>
        <v/>
      </c>
      <c r="G37">
        <f>IF($A37="","",IF('Ügyfelek'!G37="",'Beállítások'!$B$84,MIN(10,MAX(1,ROUND('Ügyfelek'!G37,0)))))</f>
        <v/>
      </c>
      <c r="H37">
        <f>IF($A37="","",IF('Ügyfelek'!H37="",'Beállítások'!$B$84,MIN(10,MAX(1,ROUND('Ügyfelek'!H37,0)))))</f>
        <v/>
      </c>
      <c r="I37">
        <f>IF($A37="","",IF('Ügyfelek'!I37="",'Beállítások'!$B$84,MIN(10,MAX(1,ROUND('Ügyfelek'!I37,0)))))</f>
        <v/>
      </c>
      <c r="J37">
        <f>IF($A37="","",IF('Ügyfelek'!J37="",'Beállítások'!$B$84,MIN(10,MAX(1,ROUND('Ügyfelek'!J37,0)))))</f>
        <v/>
      </c>
      <c r="K37">
        <f>IF($A37="","",IF('Ügyfelek'!K37="",'Beállítások'!$B$84,MIN(10,MAX(1,ROUND('Ügyfelek'!K37,0)))))</f>
        <v/>
      </c>
      <c r="L37">
        <f>IF($A37="","",IF('Ügyfelek'!L37="",'Beállítások'!$B$84,MIN(10,MAX(1,ROUND('Ügyfelek'!L37,0)))))</f>
        <v/>
      </c>
      <c r="M37">
        <f>IF($A37="","",IF('Ügyfelek'!M37="",'Beállítások'!$B$84,MIN(10,MAX(1,ROUND('Ügyfelek'!M37,0)))))</f>
        <v/>
      </c>
      <c r="N37">
        <f>IF($A37="","",IF('Ügyfelek'!N37="",'Beállítások'!$B$84,MIN(10,MAX(1,ROUND('Ügyfelek'!N37,0)))))</f>
        <v/>
      </c>
      <c r="O37">
        <f>IF($A37="","",IF('Ügyfelek'!O37="",'Beállítások'!$B$84,MIN(10,MAX(1,ROUND('Ügyfelek'!O37,0)))))</f>
        <v/>
      </c>
      <c r="P37">
        <f>IF($A37="","",IF('Ügyfelek'!P37="",'Beállítások'!$B$84,MIN(10,MAX(1,ROUND('Ügyfelek'!P37,0)))))</f>
        <v/>
      </c>
      <c r="Q37">
        <f>IF($A37="","",IF('Ügyfelek'!Q37="",'Beállítások'!$B$84,MIN(10,MAX(1,ROUND('Ügyfelek'!Q37,0)))))</f>
        <v/>
      </c>
      <c r="R37">
        <f>IF($A37="","",IF('Ügyfelek'!R37="",'Beállítások'!$B$84,MIN(10,MAX(1,ROUND('Ügyfelek'!R37,0)))))</f>
        <v/>
      </c>
      <c r="S37">
        <f>IF($A37="","",IF('Ügyfelek'!S37="",'Beállítások'!$B$84,MIN(10,MAX(1,ROUND('Ügyfelek'!S37,0)))))</f>
        <v/>
      </c>
      <c r="T37">
        <f>IF($A37="","",IF('Ügyfelek'!T37="",'Beállítások'!$B$84,VLOOKUP(MAX('Ügyfelek'!T37,'Beállítások'!$H$7),'Beállítások'!$H$7:$I$12,2,TRUE)))</f>
        <v/>
      </c>
      <c r="U37">
        <f>IF($A37="","",IF('Ügyfelek'!U37="",'Beállítások'!$B$84,VLOOKUP(MAX('Ügyfelek'!U37,'Beállítások'!$K$7),'Beállítások'!$K$7:$L$12,2,TRUE)))</f>
        <v/>
      </c>
      <c r="V37">
        <f>IF($A37="","",IF('Ügyfelek'!V37="",'Beállítások'!$B$84,MIN(10,MAX(1,ROUND('Ügyfelek'!V37,0)))))</f>
        <v/>
      </c>
      <c r="W37">
        <f>IF($A37="","",IF('Ügyfelek'!W37="",'Beállítások'!$B$84,VLOOKUP(MAX('Ügyfelek'!W37,'Beállítások'!$N$7),'Beállítások'!$N$7:$O$12,2,TRUE)))</f>
        <v/>
      </c>
      <c r="X37">
        <f>IF($A37="","",IF('Ügyfelek'!X37="",'Beállítások'!$B$84,MIN(10,MAX(1,ROUND('Ügyfelek'!X37,0)))))</f>
        <v/>
      </c>
      <c r="Y37">
        <f>IF($A37="","",IF('Ügyfelek'!Y37="",'Beállítások'!$B$84,IFERROR(VLOOKUP(TRIM('Ügyfelek'!Y37),'Beállítások'!$A$63:$B$69,2,FALSE),'Beállítások'!$B$84)))</f>
        <v/>
      </c>
      <c r="Z37">
        <f>IF($A37="","",IF('Ügyfelek'!Z37="",'Beállítások'!$B$84,VLOOKUP(MAX('Ügyfelek'!Z37,'Beállítások'!$Q$7),'Beállítások'!$Q$7:$R$12,2,TRUE)))</f>
        <v/>
      </c>
      <c r="AA37">
        <f>IF($A37="","",IF('Ügyfelek'!AA37="",'Beállítások'!$B$84,VLOOKUP(MAX('Ügyfelek'!AA37,'Beállítások'!$T$7),'Beállítások'!$T$7:$U$12,2,TRUE)))</f>
        <v/>
      </c>
      <c r="AB37">
        <f>IF($A37="","",IF('Ügyfelek'!AB37="",'Beállítások'!$B$84,MIN(10,MAX(1,ROUND('Ügyfelek'!AB37,0)))))</f>
        <v/>
      </c>
      <c r="AC37">
        <f>IF($A37="","",IF('Ügyfelek'!AC37="",'Beállítások'!$B$84,MIN(10,MAX(1,ROUND('Ügyfelek'!AC37,0)))))</f>
        <v/>
      </c>
      <c r="AD37">
        <f>IF($A37="","",IF('Ügyfelek'!AD37="",'Beállítások'!$B$84,MIN(10,MAX(1,ROUND('Ügyfelek'!AD37,0)))))</f>
        <v/>
      </c>
      <c r="AE37">
        <f>IF($A37="","",IF('Ügyfelek'!AE37="",'Beállítások'!$B$84,MIN(10,MAX(1,ROUND('Ügyfelek'!AE37,0)))))</f>
        <v/>
      </c>
      <c r="AF37">
        <f>IF($A37="","",IF('Ügyfelek'!AF37="",'Beállítások'!$B$84,MIN(10,MAX(1,ROUND('Ügyfelek'!AF37,0)))))</f>
        <v/>
      </c>
      <c r="AG37">
        <f>IF($A37="","",IF('Ügyfelek'!AG37="",'Beállítások'!$B$84,MIN(10,MAX(1,ROUND('Ügyfelek'!AG37,0)))))</f>
        <v/>
      </c>
      <c r="AH37">
        <f>IF($A37="","",IF('Ügyfelek'!AH37="",'Beállítások'!$B$84,IFERROR(VLOOKUP(TRIM('Ügyfelek'!AH37),'Beállítások'!$A$73:$B$79,2,FALSE),'Beállítások'!$B$84)))</f>
        <v/>
      </c>
      <c r="AI37" s="23">
        <f>IF($A37="","",ROUND(100*('Beállítások'!$E$6*(B37-1)+'Beállítások'!$E$7*(C37-1))/(9*'Beállítások'!$B$43),1))</f>
        <v/>
      </c>
      <c r="AJ37" s="23">
        <f>IF($A37="","",ROUND(100*('Beállítások'!$E$8*(D37-1)+'Beállítások'!$E$9*(E37-1)+'Beállítások'!$E$10*(F37-1)+'Beállítások'!$E$11*(G37-1)+'Beállítások'!$E$12*(H37-1)+'Beállítások'!$E$13*(I37-1)+'Beállítások'!$E$14*(J37-1)+'Beállítások'!$E$15*(K37-1)+'Beállítások'!$E$16*(L37-1)+'Beállítások'!$E$17*(M37-1)+'Beállítások'!$E$18*(N37-1)+'Beállítások'!$E$19*(O37-1)+'Beállítások'!$E$20*(P37-1)+'Beállítások'!$E$21*(Q37-1)+'Beállítások'!$E$22*(R37-1))/(9*'Beállítások'!$B$44),1))</f>
        <v/>
      </c>
      <c r="AK37" s="23">
        <f>IF($A37="","",ROUND(100*('Beállítások'!$E$23*(S37-1)+'Beállítások'!$E$24*(T37-1)+'Beállítások'!$E$25*(U37-1)+'Beállítások'!$E$26*(V37-1)+'Beállítások'!$E$27*(W37-1)+'Beállítások'!$E$28*(X37-1)+'Beállítások'!$E$29*(Y37-1))/(9*'Beállítások'!$B$45),1))</f>
        <v/>
      </c>
      <c r="AL37" s="23">
        <f>IF($A37="","",ROUND(100*('Beállítások'!$E$30*(Z37-1)+'Beállítások'!$E$31*(AA37-1)+'Beállítások'!$E$32*(AB37-1)+'Beállítások'!$E$33*(AC37-1)+'Beállítások'!$E$34*(AD37-1)+'Beállítások'!$E$35*(AE37-1)+'Beállítások'!$E$36*(AF37-1)+'Beállítások'!$E$37*(AG37-1)+'Beállítások'!$E$38*(AH37-1))/(9*'Beállítások'!$B$46),1))</f>
        <v/>
      </c>
      <c r="AM37" s="23">
        <f>IF($A37="","",ROUND(100*('Beállítások'!$E$6*(B37-1)+'Beállítások'!$E$7*(C37-1)+'Beállítások'!$E$8*(D37-1)+'Beállítások'!$E$9*(E37-1)+'Beállítások'!$E$10*(F37-1)+'Beállítások'!$E$11*(G37-1)+'Beállítások'!$E$12*(H37-1)+'Beállítások'!$E$13*(I37-1)+'Beállítások'!$E$14*(J37-1)+'Beállítások'!$E$15*(K37-1)+'Beállítások'!$E$16*(L37-1)+'Beállítások'!$E$17*(M37-1)+'Beállítások'!$E$18*(N37-1)+'Beállítások'!$E$19*(O37-1)+'Beállítások'!$E$20*(P37-1)+'Beállítások'!$E$21*(Q37-1)+'Beállítások'!$E$22*(R37-1)+'Beállítások'!$E$23*(S37-1)+'Beállítások'!$E$24*(T37-1)+'Beállítások'!$E$25*(U37-1)+'Beállítások'!$E$26*(V37-1)+'Beállítások'!$E$27*(W37-1)+'Beállítások'!$E$28*(X37-1)+'Beállítások'!$E$29*(Y37-1)+'Beállítások'!$E$30*(Z37-1)+'Beállítások'!$E$31*(AA37-1)+'Beállítások'!$E$32*(AB37-1)+'Beállítások'!$E$33*(AC37-1)+'Beállítások'!$E$34*(AD37-1)+'Beállítások'!$E$35*(AE37-1)+'Beállítások'!$E$36*(AF37-1)+'Beállítások'!$E$37*(AG37-1)+'Beállítások'!$E$38*(AH37-1))/(9*'Beállítások'!$E$39),1))</f>
        <v/>
      </c>
      <c r="AN37" s="23">
        <f>IF($A37="","",ROUND(100*('Beállítások'!$E$8*(D37-1)+'Beállítások'!$E$9*(E37-1)+'Beállítások'!$E$10*(F37-1)+'Beállítások'!$E$11*(G37-1)+'Beállítások'!$E$12*(H37-1)+'Beállítások'!$E$13*(I37-1)+'Beállítások'!$E$14*(J37-1)+'Beállítások'!$E$15*(K37-1)+'Beállítások'!$E$16*(L37-1)+'Beállítások'!$E$17*(M37-1)+'Beállítások'!$E$18*(N37-1)+'Beállítások'!$E$19*(O37-1)+'Beállítások'!$E$20*(P37-1)+'Beállítások'!$E$21*(Q37-1)+'Beállítások'!$E$22*(R37-1)+'Beállítások'!$E$23*(S37-1)+'Beállítások'!$E$24*(T37-1)+'Beállítások'!$E$25*(U37-1)+'Beállítások'!$E$26*(V37-1)+'Beállítások'!$E$27*(W37-1)+'Beállítások'!$E$28*(X37-1)+'Beállítások'!$E$29*(Y37-1))/(9*('Beállítások'!$B$44+'Beállítások'!$B$45)),1))</f>
        <v/>
      </c>
      <c r="AO37" s="24">
        <f>IF($A37="","",RANK(AM37,$AM$2:$AM$201))</f>
        <v/>
      </c>
      <c r="AP37">
        <f>IF($A37="","",IF(OR(AND('Ügyfelek'!B37&lt;&gt;"",B37&lt;='Beállítások'!$B$85),AND('Ügyfelek'!C37&lt;&gt;"",C37&lt;='Beállítások'!$B$86)),"Igen","Nem"))</f>
        <v/>
      </c>
      <c r="AQ37" s="24">
        <f>IF($A37="","",IF(AP37="Igen",5,IF(AN37&gt;='Beállítások'!$C$108,1,IF(AN37&gt;='Beállítások'!$C$109,2,IF(AN37&gt;='Beállítások'!$C$110,3,IF(AND(AN37&gt;='Beállítások'!$B$87,AI37&gt;='Beállítások'!$B$88,AL37&gt;='Beállítások'!$B$89),4,5))))))</f>
        <v/>
      </c>
      <c r="AR37">
        <f>IF($A37="","",INDEX('Beállítások'!$B$108:$B$112,AQ37))</f>
        <v/>
      </c>
      <c r="AS37">
        <f>IF($A37="","",IF(AQ37=5,"Elutasítjuk",IF(AND(AQ37=4,COUNTIFS('Eredmény'!$AQ$2:$AQ$201,4,'Eredmény'!$DY$2:$DY$201,"&gt;"&amp;DY37)&gt;='Beállítások'!$B$90),"Várólista (a 4-es hely foglalt)","Elfogadjuk")))</f>
        <v/>
      </c>
      <c r="AT37">
        <f>IF($A37="","",INDEX('Beállítások'!$F$108:$F$112,AQ37))</f>
        <v/>
      </c>
      <c r="AU37">
        <f>IF($A37="","",INDEX('Beállítások'!$B$6:$B$38,MATCH(MAX(BK37:CQ37),BK37:CQ37,0)))</f>
        <v/>
      </c>
      <c r="AV37">
        <f>IF($A37="","",IF(MAX(CR37:DX37)=0,"—",INDEX('Beállítások'!$B$6:$B$38,MATCH(MAX(CR37:DX37),CR37:DX37,0))))</f>
        <v/>
      </c>
      <c r="AW37" s="10">
        <f>IF($A37="","",'Beállítások'!$B$94*(TRIM('Ügyfelek'!AI37)="igen")+'Beállítások'!$B$95*(TRIM('Ügyfelek'!AJ37)="igen")+'Beállítások'!$B$96*N('Ügyfelek'!AK37)+'Beállítások'!$B$93*N('Ügyfelek'!AL37))</f>
        <v/>
      </c>
      <c r="AX37" s="25">
        <f>IF(OR($A37="",AQ37=5),"",INDEX('Beállítások'!$D$108:$D$112,AQ37))</f>
        <v/>
      </c>
      <c r="AY37" s="10">
        <f>IF($A37="","",N('Ügyfelek'!U37)*'Beállítások'!$B$98)</f>
        <v/>
      </c>
      <c r="AZ37" s="10">
        <f>IF(OR($A37="",AQ37=5),"",CEILING(ROUND(MAX('Beállítások'!$B$97,AW37*AX37,AY37),2),'Beállítások'!$B$99))</f>
        <v/>
      </c>
      <c r="BA37">
        <f>IF($A37="","",IF(AQ37=5,"Elutasítva",IF(MAX('Beállítások'!$B$97,AW37*AX37,AY37)=AW37*AX37,"Munkaigény × státuszszorzó",IF(MAX('Beállítások'!$B$97,AW37*AX37,AY37)=AY37,"Hirdetési keret arányában","Minimumdíj"))))</f>
        <v/>
      </c>
      <c r="BB37" s="10">
        <f>IF(OR($A37="",'Ügyfelek'!AM37=""),"",'Ügyfelek'!AM37)</f>
        <v/>
      </c>
      <c r="BC37" s="10">
        <f>IF(OR(BB37="",AZ37=""),"",AZ37-BB37)</f>
        <v/>
      </c>
      <c r="BD37" s="18">
        <f>IF(OR(BB37="",AZ37="",BB37=0),"",BC37/BB37)</f>
        <v/>
      </c>
      <c r="BE37">
        <f>IF(OR($A37="",AQ37=5),"",IF(AND(INDEX('Beállítások'!$E$108:$E$112,AQ37)&gt;0,Y37&gt;='Beállítások'!$B$91),"Igen","Nem"))</f>
        <v/>
      </c>
      <c r="BF37" s="10">
        <f>IF(BE37="Igen",CEILING(ROUND(AZ37*(1-'Beállítások'!$B$92),2),'Beállítások'!$B$99),"")</f>
        <v/>
      </c>
      <c r="BG37" s="20">
        <f>IF(BE37="Igen",INDEX('Beállítások'!$E$108:$E$112,AQ37),"")</f>
        <v/>
      </c>
      <c r="BH37" s="10">
        <f>IF(OR(BE37&lt;&gt;"Igen",'Ügyfelek'!AN37=""),"",'Ügyfelek'!AN37*BG37)</f>
        <v/>
      </c>
      <c r="BI37" s="24">
        <f>IF($A37="","",('Ügyfelek'!B37="")+('Ügyfelek'!C37="")+('Ügyfelek'!D37="")+('Ügyfelek'!E37="")+('Ügyfelek'!F37="")+('Ügyfelek'!G37="")+('Ügyfelek'!H37="")+('Ügyfelek'!I37="")+('Ügyfelek'!J37="")+('Ügyfelek'!K37="")+('Ügyfelek'!L37="")+('Ügyfelek'!M37="")+('Ügyfelek'!N37="")+('Ügyfelek'!O37="")+('Ügyfelek'!P37="")+('Ügyfelek'!Q37="")+('Ügyfelek'!R37="")+('Ügyfelek'!S37="")+('Ügyfelek'!T37="")+('Ügyfelek'!U37="")+('Ügyfelek'!V37="")+('Ügyfelek'!W37="")+('Ügyfelek'!X37="")+('Ügyfelek'!Y37="")+('Ügyfelek'!Z37="")+('Ügyfelek'!AA37="")+('Ügyfelek'!AB37="")+('Ügyfelek'!AC37="")+('Ügyfelek'!AD37="")+('Ügyfelek'!AE37="")+('Ügyfelek'!AF37="")+('Ügyfelek'!AG37="")+('Ügyfelek'!AH37=""))</f>
        <v/>
      </c>
      <c r="BK37">
        <f>IF($A37="","",B37+'Beállítások'!$E$6/1000)</f>
        <v/>
      </c>
      <c r="BL37">
        <f>IF($A37="","",C37+'Beállítások'!$E$7/1000)</f>
        <v/>
      </c>
      <c r="BM37">
        <f>IF($A37="","",D37+'Beállítások'!$E$8/1000)</f>
        <v/>
      </c>
      <c r="BN37">
        <f>IF($A37="","",E37+'Beállítások'!$E$9/1000)</f>
        <v/>
      </c>
      <c r="BO37">
        <f>IF($A37="","",F37+'Beállítások'!$E$10/1000)</f>
        <v/>
      </c>
      <c r="BP37">
        <f>IF($A37="","",G37+'Beállítások'!$E$11/1000)</f>
        <v/>
      </c>
      <c r="BQ37">
        <f>IF($A37="","",H37+'Beállítások'!$E$12/1000)</f>
        <v/>
      </c>
      <c r="BR37">
        <f>IF($A37="","",I37+'Beállítások'!$E$13/1000)</f>
        <v/>
      </c>
      <c r="BS37">
        <f>IF($A37="","",J37+'Beállítások'!$E$14/1000)</f>
        <v/>
      </c>
      <c r="BT37">
        <f>IF($A37="","",K37+'Beállítások'!$E$15/1000)</f>
        <v/>
      </c>
      <c r="BU37">
        <f>IF($A37="","",L37+'Beállítások'!$E$16/1000)</f>
        <v/>
      </c>
      <c r="BV37">
        <f>IF($A37="","",M37+'Beállítások'!$E$17/1000)</f>
        <v/>
      </c>
      <c r="BW37">
        <f>IF($A37="","",N37+'Beállítások'!$E$18/1000)</f>
        <v/>
      </c>
      <c r="BX37">
        <f>IF($A37="","",O37+'Beállítások'!$E$19/1000)</f>
        <v/>
      </c>
      <c r="BY37">
        <f>IF($A37="","",P37+'Beállítások'!$E$20/1000)</f>
        <v/>
      </c>
      <c r="BZ37">
        <f>IF($A37="","",Q37+'Beállítások'!$E$21/1000)</f>
        <v/>
      </c>
      <c r="CA37">
        <f>IF($A37="","",R37+'Beállítások'!$E$22/1000)</f>
        <v/>
      </c>
      <c r="CB37">
        <f>IF($A37="","",S37+'Beállítások'!$E$23/1000)</f>
        <v/>
      </c>
      <c r="CC37">
        <f>IF($A37="","",T37+'Beállítások'!$E$24/1000)</f>
        <v/>
      </c>
      <c r="CD37">
        <f>IF($A37="","",U37+'Beállítások'!$E$25/1000)</f>
        <v/>
      </c>
      <c r="CE37">
        <f>IF($A37="","",V37+'Beállítások'!$E$26/1000)</f>
        <v/>
      </c>
      <c r="CF37">
        <f>IF($A37="","",W37+'Beállítások'!$E$27/1000)</f>
        <v/>
      </c>
      <c r="CG37">
        <f>IF($A37="","",X37+'Beállítások'!$E$28/1000)</f>
        <v/>
      </c>
      <c r="CH37">
        <f>IF($A37="","",Y37+'Beállítások'!$E$29/1000)</f>
        <v/>
      </c>
      <c r="CI37">
        <f>IF($A37="","",Z37+'Beállítások'!$E$30/1000)</f>
        <v/>
      </c>
      <c r="CJ37">
        <f>IF($A37="","",AA37+'Beállítások'!$E$31/1000)</f>
        <v/>
      </c>
      <c r="CK37">
        <f>IF($A37="","",AB37+'Beállítások'!$E$32/1000)</f>
        <v/>
      </c>
      <c r="CL37">
        <f>IF($A37="","",AC37+'Beállítások'!$E$33/1000)</f>
        <v/>
      </c>
      <c r="CM37">
        <f>IF($A37="","",AD37+'Beállítások'!$E$34/1000)</f>
        <v/>
      </c>
      <c r="CN37">
        <f>IF($A37="","",AE37+'Beállítások'!$E$35/1000)</f>
        <v/>
      </c>
      <c r="CO37">
        <f>IF($A37="","",AF37+'Beállítások'!$E$36/1000)</f>
        <v/>
      </c>
      <c r="CP37">
        <f>IF($A37="","",AG37+'Beállítások'!$E$37/1000)</f>
        <v/>
      </c>
      <c r="CQ37">
        <f>IF($A37="","",AH37+'Beállítások'!$E$38/1000)</f>
        <v/>
      </c>
      <c r="CR37">
        <f>IF($A37="","",'Beállítások'!$E$6*(10-B37))</f>
        <v/>
      </c>
      <c r="CS37">
        <f>IF($A37="","",'Beállítások'!$E$7*(10-C37))</f>
        <v/>
      </c>
      <c r="CT37">
        <f>IF($A37="","",'Beállítások'!$E$8*(10-D37))</f>
        <v/>
      </c>
      <c r="CU37">
        <f>IF($A37="","",'Beállítások'!$E$9*(10-E37))</f>
        <v/>
      </c>
      <c r="CV37">
        <f>IF($A37="","",'Beállítások'!$E$10*(10-F37))</f>
        <v/>
      </c>
      <c r="CW37">
        <f>IF($A37="","",'Beállítások'!$E$11*(10-G37))</f>
        <v/>
      </c>
      <c r="CX37">
        <f>IF($A37="","",'Beállítások'!$E$12*(10-H37))</f>
        <v/>
      </c>
      <c r="CY37">
        <f>IF($A37="","",'Beállítások'!$E$13*(10-I37))</f>
        <v/>
      </c>
      <c r="CZ37">
        <f>IF($A37="","",'Beállítások'!$E$14*(10-J37))</f>
        <v/>
      </c>
      <c r="DA37">
        <f>IF($A37="","",'Beállítások'!$E$15*(10-K37))</f>
        <v/>
      </c>
      <c r="DB37">
        <f>IF($A37="","",'Beállítások'!$E$16*(10-L37))</f>
        <v/>
      </c>
      <c r="DC37">
        <f>IF($A37="","",'Beállítások'!$E$17*(10-M37))</f>
        <v/>
      </c>
      <c r="DD37">
        <f>IF($A37="","",'Beállítások'!$E$18*(10-N37))</f>
        <v/>
      </c>
      <c r="DE37">
        <f>IF($A37="","",'Beállítások'!$E$19*(10-O37))</f>
        <v/>
      </c>
      <c r="DF37">
        <f>IF($A37="","",'Beállítások'!$E$20*(10-P37))</f>
        <v/>
      </c>
      <c r="DG37">
        <f>IF($A37="","",'Beállítások'!$E$21*(10-Q37))</f>
        <v/>
      </c>
      <c r="DH37">
        <f>IF($A37="","",'Beállítások'!$E$22*(10-R37))</f>
        <v/>
      </c>
      <c r="DI37">
        <f>IF($A37="","",'Beállítások'!$E$23*(10-S37))</f>
        <v/>
      </c>
      <c r="DJ37">
        <f>IF($A37="","",'Beállítások'!$E$24*(10-T37))</f>
        <v/>
      </c>
      <c r="DK37">
        <f>IF($A37="","",'Beállítások'!$E$25*(10-U37))</f>
        <v/>
      </c>
      <c r="DL37">
        <f>IF($A37="","",'Beállítások'!$E$26*(10-V37))</f>
        <v/>
      </c>
      <c r="DM37">
        <f>IF($A37="","",'Beállítások'!$E$27*(10-W37))</f>
        <v/>
      </c>
      <c r="DN37">
        <f>IF($A37="","",'Beállítások'!$E$28*(10-X37))</f>
        <v/>
      </c>
      <c r="DO37">
        <f>IF($A37="","",'Beállítások'!$E$29*(10-Y37))</f>
        <v/>
      </c>
      <c r="DP37">
        <f>IF($A37="","",'Beállítások'!$E$30*(10-Z37))</f>
        <v/>
      </c>
      <c r="DQ37">
        <f>IF($A37="","",'Beállítások'!$E$31*(10-AA37))</f>
        <v/>
      </c>
      <c r="DR37">
        <f>IF($A37="","",'Beállítások'!$E$32*(10-AB37))</f>
        <v/>
      </c>
      <c r="DS37">
        <f>IF($A37="","",'Beállítások'!$E$33*(10-AC37))</f>
        <v/>
      </c>
      <c r="DT37">
        <f>IF($A37="","",'Beállítások'!$E$34*(10-AD37))</f>
        <v/>
      </c>
      <c r="DU37">
        <f>IF($A37="","",'Beállítások'!$E$35*(10-AE37))</f>
        <v/>
      </c>
      <c r="DV37">
        <f>IF($A37="","",'Beállítások'!$E$36*(10-AF37))</f>
        <v/>
      </c>
      <c r="DW37">
        <f>IF($A37="","",'Beállítások'!$E$37*(10-AG37))</f>
        <v/>
      </c>
      <c r="DX37">
        <f>IF($A37="","",'Beállítások'!$E$38*(10-AH37))</f>
        <v/>
      </c>
      <c r="DY37">
        <f>IF($A37="","",AM37-ROW()/100000)</f>
        <v/>
      </c>
    </row>
    <row r="38">
      <c r="A38">
        <f>IF('Ügyfelek'!A38="","",'Ügyfelek'!A38)</f>
        <v/>
      </c>
      <c r="B38">
        <f>IF($A38="","",IF('Ügyfelek'!B38="",'Beállítások'!$B$84,IFERROR(VLOOKUP(TRIM('Ügyfelek'!B38),'Beállítások'!$A$51:$B$59,2,FALSE),'Beállítások'!$B$84)))</f>
        <v/>
      </c>
      <c r="C38">
        <f>IF($A38="","",IF('Ügyfelek'!C38="",'Beállítások'!$B$84,MIN(10,MAX(1,ROUND('Ügyfelek'!C38,0)))))</f>
        <v/>
      </c>
      <c r="D38">
        <f>IF($A38="","",IF('Ügyfelek'!D38="",'Beállítások'!$B$84,MIN(10,MAX(1,ROUND('Ügyfelek'!D38,0)))))</f>
        <v/>
      </c>
      <c r="E38">
        <f>IF($A38="","",IF('Ügyfelek'!E38="",'Beállítások'!$B$84,MIN(10,MAX(1,ROUND('Ügyfelek'!E38,0)))))</f>
        <v/>
      </c>
      <c r="F38">
        <f>IF($A38="","",IF('Ügyfelek'!F38="",'Beállítások'!$B$84,MIN(10,MAX(1,ROUND('Ügyfelek'!F38,0)))))</f>
        <v/>
      </c>
      <c r="G38">
        <f>IF($A38="","",IF('Ügyfelek'!G38="",'Beállítások'!$B$84,MIN(10,MAX(1,ROUND('Ügyfelek'!G38,0)))))</f>
        <v/>
      </c>
      <c r="H38">
        <f>IF($A38="","",IF('Ügyfelek'!H38="",'Beállítások'!$B$84,MIN(10,MAX(1,ROUND('Ügyfelek'!H38,0)))))</f>
        <v/>
      </c>
      <c r="I38">
        <f>IF($A38="","",IF('Ügyfelek'!I38="",'Beállítások'!$B$84,MIN(10,MAX(1,ROUND('Ügyfelek'!I38,0)))))</f>
        <v/>
      </c>
      <c r="J38">
        <f>IF($A38="","",IF('Ügyfelek'!J38="",'Beállítások'!$B$84,MIN(10,MAX(1,ROUND('Ügyfelek'!J38,0)))))</f>
        <v/>
      </c>
      <c r="K38">
        <f>IF($A38="","",IF('Ügyfelek'!K38="",'Beállítások'!$B$84,MIN(10,MAX(1,ROUND('Ügyfelek'!K38,0)))))</f>
        <v/>
      </c>
      <c r="L38">
        <f>IF($A38="","",IF('Ügyfelek'!L38="",'Beállítások'!$B$84,MIN(10,MAX(1,ROUND('Ügyfelek'!L38,0)))))</f>
        <v/>
      </c>
      <c r="M38">
        <f>IF($A38="","",IF('Ügyfelek'!M38="",'Beállítások'!$B$84,MIN(10,MAX(1,ROUND('Ügyfelek'!M38,0)))))</f>
        <v/>
      </c>
      <c r="N38">
        <f>IF($A38="","",IF('Ügyfelek'!N38="",'Beállítások'!$B$84,MIN(10,MAX(1,ROUND('Ügyfelek'!N38,0)))))</f>
        <v/>
      </c>
      <c r="O38">
        <f>IF($A38="","",IF('Ügyfelek'!O38="",'Beállítások'!$B$84,MIN(10,MAX(1,ROUND('Ügyfelek'!O38,0)))))</f>
        <v/>
      </c>
      <c r="P38">
        <f>IF($A38="","",IF('Ügyfelek'!P38="",'Beállítások'!$B$84,MIN(10,MAX(1,ROUND('Ügyfelek'!P38,0)))))</f>
        <v/>
      </c>
      <c r="Q38">
        <f>IF($A38="","",IF('Ügyfelek'!Q38="",'Beállítások'!$B$84,MIN(10,MAX(1,ROUND('Ügyfelek'!Q38,0)))))</f>
        <v/>
      </c>
      <c r="R38">
        <f>IF($A38="","",IF('Ügyfelek'!R38="",'Beállítások'!$B$84,MIN(10,MAX(1,ROUND('Ügyfelek'!R38,0)))))</f>
        <v/>
      </c>
      <c r="S38">
        <f>IF($A38="","",IF('Ügyfelek'!S38="",'Beállítások'!$B$84,MIN(10,MAX(1,ROUND('Ügyfelek'!S38,0)))))</f>
        <v/>
      </c>
      <c r="T38">
        <f>IF($A38="","",IF('Ügyfelek'!T38="",'Beállítások'!$B$84,VLOOKUP(MAX('Ügyfelek'!T38,'Beállítások'!$H$7),'Beállítások'!$H$7:$I$12,2,TRUE)))</f>
        <v/>
      </c>
      <c r="U38">
        <f>IF($A38="","",IF('Ügyfelek'!U38="",'Beállítások'!$B$84,VLOOKUP(MAX('Ügyfelek'!U38,'Beállítások'!$K$7),'Beállítások'!$K$7:$L$12,2,TRUE)))</f>
        <v/>
      </c>
      <c r="V38">
        <f>IF($A38="","",IF('Ügyfelek'!V38="",'Beállítások'!$B$84,MIN(10,MAX(1,ROUND('Ügyfelek'!V38,0)))))</f>
        <v/>
      </c>
      <c r="W38">
        <f>IF($A38="","",IF('Ügyfelek'!W38="",'Beállítások'!$B$84,VLOOKUP(MAX('Ügyfelek'!W38,'Beállítások'!$N$7),'Beállítások'!$N$7:$O$12,2,TRUE)))</f>
        <v/>
      </c>
      <c r="X38">
        <f>IF($A38="","",IF('Ügyfelek'!X38="",'Beállítások'!$B$84,MIN(10,MAX(1,ROUND('Ügyfelek'!X38,0)))))</f>
        <v/>
      </c>
      <c r="Y38">
        <f>IF($A38="","",IF('Ügyfelek'!Y38="",'Beállítások'!$B$84,IFERROR(VLOOKUP(TRIM('Ügyfelek'!Y38),'Beállítások'!$A$63:$B$69,2,FALSE),'Beállítások'!$B$84)))</f>
        <v/>
      </c>
      <c r="Z38">
        <f>IF($A38="","",IF('Ügyfelek'!Z38="",'Beállítások'!$B$84,VLOOKUP(MAX('Ügyfelek'!Z38,'Beállítások'!$Q$7),'Beállítások'!$Q$7:$R$12,2,TRUE)))</f>
        <v/>
      </c>
      <c r="AA38">
        <f>IF($A38="","",IF('Ügyfelek'!AA38="",'Beállítások'!$B$84,VLOOKUP(MAX('Ügyfelek'!AA38,'Beállítások'!$T$7),'Beállítások'!$T$7:$U$12,2,TRUE)))</f>
        <v/>
      </c>
      <c r="AB38">
        <f>IF($A38="","",IF('Ügyfelek'!AB38="",'Beállítások'!$B$84,MIN(10,MAX(1,ROUND('Ügyfelek'!AB38,0)))))</f>
        <v/>
      </c>
      <c r="AC38">
        <f>IF($A38="","",IF('Ügyfelek'!AC38="",'Beállítások'!$B$84,MIN(10,MAX(1,ROUND('Ügyfelek'!AC38,0)))))</f>
        <v/>
      </c>
      <c r="AD38">
        <f>IF($A38="","",IF('Ügyfelek'!AD38="",'Beállítások'!$B$84,MIN(10,MAX(1,ROUND('Ügyfelek'!AD38,0)))))</f>
        <v/>
      </c>
      <c r="AE38">
        <f>IF($A38="","",IF('Ügyfelek'!AE38="",'Beállítások'!$B$84,MIN(10,MAX(1,ROUND('Ügyfelek'!AE38,0)))))</f>
        <v/>
      </c>
      <c r="AF38">
        <f>IF($A38="","",IF('Ügyfelek'!AF38="",'Beállítások'!$B$84,MIN(10,MAX(1,ROUND('Ügyfelek'!AF38,0)))))</f>
        <v/>
      </c>
      <c r="AG38">
        <f>IF($A38="","",IF('Ügyfelek'!AG38="",'Beállítások'!$B$84,MIN(10,MAX(1,ROUND('Ügyfelek'!AG38,0)))))</f>
        <v/>
      </c>
      <c r="AH38">
        <f>IF($A38="","",IF('Ügyfelek'!AH38="",'Beállítások'!$B$84,IFERROR(VLOOKUP(TRIM('Ügyfelek'!AH38),'Beállítások'!$A$73:$B$79,2,FALSE),'Beállítások'!$B$84)))</f>
        <v/>
      </c>
      <c r="AI38" s="23">
        <f>IF($A38="","",ROUND(100*('Beállítások'!$E$6*(B38-1)+'Beállítások'!$E$7*(C38-1))/(9*'Beállítások'!$B$43),1))</f>
        <v/>
      </c>
      <c r="AJ38" s="23">
        <f>IF($A38="","",ROUND(100*('Beállítások'!$E$8*(D38-1)+'Beállítások'!$E$9*(E38-1)+'Beállítások'!$E$10*(F38-1)+'Beállítások'!$E$11*(G38-1)+'Beállítások'!$E$12*(H38-1)+'Beállítások'!$E$13*(I38-1)+'Beállítások'!$E$14*(J38-1)+'Beállítások'!$E$15*(K38-1)+'Beállítások'!$E$16*(L38-1)+'Beállítások'!$E$17*(M38-1)+'Beállítások'!$E$18*(N38-1)+'Beállítások'!$E$19*(O38-1)+'Beállítások'!$E$20*(P38-1)+'Beállítások'!$E$21*(Q38-1)+'Beállítások'!$E$22*(R38-1))/(9*'Beállítások'!$B$44),1))</f>
        <v/>
      </c>
      <c r="AK38" s="23">
        <f>IF($A38="","",ROUND(100*('Beállítások'!$E$23*(S38-1)+'Beállítások'!$E$24*(T38-1)+'Beállítások'!$E$25*(U38-1)+'Beállítások'!$E$26*(V38-1)+'Beállítások'!$E$27*(W38-1)+'Beállítások'!$E$28*(X38-1)+'Beállítások'!$E$29*(Y38-1))/(9*'Beállítások'!$B$45),1))</f>
        <v/>
      </c>
      <c r="AL38" s="23">
        <f>IF($A38="","",ROUND(100*('Beállítások'!$E$30*(Z38-1)+'Beállítások'!$E$31*(AA38-1)+'Beállítások'!$E$32*(AB38-1)+'Beállítások'!$E$33*(AC38-1)+'Beállítások'!$E$34*(AD38-1)+'Beállítások'!$E$35*(AE38-1)+'Beállítások'!$E$36*(AF38-1)+'Beállítások'!$E$37*(AG38-1)+'Beállítások'!$E$38*(AH38-1))/(9*'Beállítások'!$B$46),1))</f>
        <v/>
      </c>
      <c r="AM38" s="23">
        <f>IF($A38="","",ROUND(100*('Beállítások'!$E$6*(B38-1)+'Beállítások'!$E$7*(C38-1)+'Beállítások'!$E$8*(D38-1)+'Beállítások'!$E$9*(E38-1)+'Beállítások'!$E$10*(F38-1)+'Beállítások'!$E$11*(G38-1)+'Beállítások'!$E$12*(H38-1)+'Beállítások'!$E$13*(I38-1)+'Beállítások'!$E$14*(J38-1)+'Beállítások'!$E$15*(K38-1)+'Beállítások'!$E$16*(L38-1)+'Beállítások'!$E$17*(M38-1)+'Beállítások'!$E$18*(N38-1)+'Beállítások'!$E$19*(O38-1)+'Beállítások'!$E$20*(P38-1)+'Beállítások'!$E$21*(Q38-1)+'Beállítások'!$E$22*(R38-1)+'Beállítások'!$E$23*(S38-1)+'Beállítások'!$E$24*(T38-1)+'Beállítások'!$E$25*(U38-1)+'Beállítások'!$E$26*(V38-1)+'Beállítások'!$E$27*(W38-1)+'Beállítások'!$E$28*(X38-1)+'Beállítások'!$E$29*(Y38-1)+'Beállítások'!$E$30*(Z38-1)+'Beállítások'!$E$31*(AA38-1)+'Beállítások'!$E$32*(AB38-1)+'Beállítások'!$E$33*(AC38-1)+'Beállítások'!$E$34*(AD38-1)+'Beállítások'!$E$35*(AE38-1)+'Beállítások'!$E$36*(AF38-1)+'Beállítások'!$E$37*(AG38-1)+'Beállítások'!$E$38*(AH38-1))/(9*'Beállítások'!$E$39),1))</f>
        <v/>
      </c>
      <c r="AN38" s="23">
        <f>IF($A38="","",ROUND(100*('Beállítások'!$E$8*(D38-1)+'Beállítások'!$E$9*(E38-1)+'Beállítások'!$E$10*(F38-1)+'Beállítások'!$E$11*(G38-1)+'Beállítások'!$E$12*(H38-1)+'Beállítások'!$E$13*(I38-1)+'Beállítások'!$E$14*(J38-1)+'Beállítások'!$E$15*(K38-1)+'Beállítások'!$E$16*(L38-1)+'Beállítások'!$E$17*(M38-1)+'Beállítások'!$E$18*(N38-1)+'Beállítások'!$E$19*(O38-1)+'Beállítások'!$E$20*(P38-1)+'Beállítások'!$E$21*(Q38-1)+'Beállítások'!$E$22*(R38-1)+'Beállítások'!$E$23*(S38-1)+'Beállítások'!$E$24*(T38-1)+'Beállítások'!$E$25*(U38-1)+'Beállítások'!$E$26*(V38-1)+'Beállítások'!$E$27*(W38-1)+'Beállítások'!$E$28*(X38-1)+'Beállítások'!$E$29*(Y38-1))/(9*('Beállítások'!$B$44+'Beállítások'!$B$45)),1))</f>
        <v/>
      </c>
      <c r="AO38" s="24">
        <f>IF($A38="","",RANK(AM38,$AM$2:$AM$201))</f>
        <v/>
      </c>
      <c r="AP38">
        <f>IF($A38="","",IF(OR(AND('Ügyfelek'!B38&lt;&gt;"",B38&lt;='Beállítások'!$B$85),AND('Ügyfelek'!C38&lt;&gt;"",C38&lt;='Beállítások'!$B$86)),"Igen","Nem"))</f>
        <v/>
      </c>
      <c r="AQ38" s="24">
        <f>IF($A38="","",IF(AP38="Igen",5,IF(AN38&gt;='Beállítások'!$C$108,1,IF(AN38&gt;='Beállítások'!$C$109,2,IF(AN38&gt;='Beállítások'!$C$110,3,IF(AND(AN38&gt;='Beállítások'!$B$87,AI38&gt;='Beállítások'!$B$88,AL38&gt;='Beállítások'!$B$89),4,5))))))</f>
        <v/>
      </c>
      <c r="AR38">
        <f>IF($A38="","",INDEX('Beállítások'!$B$108:$B$112,AQ38))</f>
        <v/>
      </c>
      <c r="AS38">
        <f>IF($A38="","",IF(AQ38=5,"Elutasítjuk",IF(AND(AQ38=4,COUNTIFS('Eredmény'!$AQ$2:$AQ$201,4,'Eredmény'!$DY$2:$DY$201,"&gt;"&amp;DY38)&gt;='Beállítások'!$B$90),"Várólista (a 4-es hely foglalt)","Elfogadjuk")))</f>
        <v/>
      </c>
      <c r="AT38">
        <f>IF($A38="","",INDEX('Beállítások'!$F$108:$F$112,AQ38))</f>
        <v/>
      </c>
      <c r="AU38">
        <f>IF($A38="","",INDEX('Beállítások'!$B$6:$B$38,MATCH(MAX(BK38:CQ38),BK38:CQ38,0)))</f>
        <v/>
      </c>
      <c r="AV38">
        <f>IF($A38="","",IF(MAX(CR38:DX38)=0,"—",INDEX('Beállítások'!$B$6:$B$38,MATCH(MAX(CR38:DX38),CR38:DX38,0))))</f>
        <v/>
      </c>
      <c r="AW38" s="10">
        <f>IF($A38="","",'Beállítások'!$B$94*(TRIM('Ügyfelek'!AI38)="igen")+'Beállítások'!$B$95*(TRIM('Ügyfelek'!AJ38)="igen")+'Beállítások'!$B$96*N('Ügyfelek'!AK38)+'Beállítások'!$B$93*N('Ügyfelek'!AL38))</f>
        <v/>
      </c>
      <c r="AX38" s="25">
        <f>IF(OR($A38="",AQ38=5),"",INDEX('Beállítások'!$D$108:$D$112,AQ38))</f>
        <v/>
      </c>
      <c r="AY38" s="10">
        <f>IF($A38="","",N('Ügyfelek'!U38)*'Beállítások'!$B$98)</f>
        <v/>
      </c>
      <c r="AZ38" s="10">
        <f>IF(OR($A38="",AQ38=5),"",CEILING(ROUND(MAX('Beállítások'!$B$97,AW38*AX38,AY38),2),'Beállítások'!$B$99))</f>
        <v/>
      </c>
      <c r="BA38">
        <f>IF($A38="","",IF(AQ38=5,"Elutasítva",IF(MAX('Beállítások'!$B$97,AW38*AX38,AY38)=AW38*AX38,"Munkaigény × státuszszorzó",IF(MAX('Beállítások'!$B$97,AW38*AX38,AY38)=AY38,"Hirdetési keret arányában","Minimumdíj"))))</f>
        <v/>
      </c>
      <c r="BB38" s="10">
        <f>IF(OR($A38="",'Ügyfelek'!AM38=""),"",'Ügyfelek'!AM38)</f>
        <v/>
      </c>
      <c r="BC38" s="10">
        <f>IF(OR(BB38="",AZ38=""),"",AZ38-BB38)</f>
        <v/>
      </c>
      <c r="BD38" s="18">
        <f>IF(OR(BB38="",AZ38="",BB38=0),"",BC38/BB38)</f>
        <v/>
      </c>
      <c r="BE38">
        <f>IF(OR($A38="",AQ38=5),"",IF(AND(INDEX('Beállítások'!$E$108:$E$112,AQ38)&gt;0,Y38&gt;='Beállítások'!$B$91),"Igen","Nem"))</f>
        <v/>
      </c>
      <c r="BF38" s="10">
        <f>IF(BE38="Igen",CEILING(ROUND(AZ38*(1-'Beállítások'!$B$92),2),'Beállítások'!$B$99),"")</f>
        <v/>
      </c>
      <c r="BG38" s="20">
        <f>IF(BE38="Igen",INDEX('Beállítások'!$E$108:$E$112,AQ38),"")</f>
        <v/>
      </c>
      <c r="BH38" s="10">
        <f>IF(OR(BE38&lt;&gt;"Igen",'Ügyfelek'!AN38=""),"",'Ügyfelek'!AN38*BG38)</f>
        <v/>
      </c>
      <c r="BI38" s="24">
        <f>IF($A38="","",('Ügyfelek'!B38="")+('Ügyfelek'!C38="")+('Ügyfelek'!D38="")+('Ügyfelek'!E38="")+('Ügyfelek'!F38="")+('Ügyfelek'!G38="")+('Ügyfelek'!H38="")+('Ügyfelek'!I38="")+('Ügyfelek'!J38="")+('Ügyfelek'!K38="")+('Ügyfelek'!L38="")+('Ügyfelek'!M38="")+('Ügyfelek'!N38="")+('Ügyfelek'!O38="")+('Ügyfelek'!P38="")+('Ügyfelek'!Q38="")+('Ügyfelek'!R38="")+('Ügyfelek'!S38="")+('Ügyfelek'!T38="")+('Ügyfelek'!U38="")+('Ügyfelek'!V38="")+('Ügyfelek'!W38="")+('Ügyfelek'!X38="")+('Ügyfelek'!Y38="")+('Ügyfelek'!Z38="")+('Ügyfelek'!AA38="")+('Ügyfelek'!AB38="")+('Ügyfelek'!AC38="")+('Ügyfelek'!AD38="")+('Ügyfelek'!AE38="")+('Ügyfelek'!AF38="")+('Ügyfelek'!AG38="")+('Ügyfelek'!AH38=""))</f>
        <v/>
      </c>
      <c r="BK38">
        <f>IF($A38="","",B38+'Beállítások'!$E$6/1000)</f>
        <v/>
      </c>
      <c r="BL38">
        <f>IF($A38="","",C38+'Beállítások'!$E$7/1000)</f>
        <v/>
      </c>
      <c r="BM38">
        <f>IF($A38="","",D38+'Beállítások'!$E$8/1000)</f>
        <v/>
      </c>
      <c r="BN38">
        <f>IF($A38="","",E38+'Beállítások'!$E$9/1000)</f>
        <v/>
      </c>
      <c r="BO38">
        <f>IF($A38="","",F38+'Beállítások'!$E$10/1000)</f>
        <v/>
      </c>
      <c r="BP38">
        <f>IF($A38="","",G38+'Beállítások'!$E$11/1000)</f>
        <v/>
      </c>
      <c r="BQ38">
        <f>IF($A38="","",H38+'Beállítások'!$E$12/1000)</f>
        <v/>
      </c>
      <c r="BR38">
        <f>IF($A38="","",I38+'Beállítások'!$E$13/1000)</f>
        <v/>
      </c>
      <c r="BS38">
        <f>IF($A38="","",J38+'Beállítások'!$E$14/1000)</f>
        <v/>
      </c>
      <c r="BT38">
        <f>IF($A38="","",K38+'Beállítások'!$E$15/1000)</f>
        <v/>
      </c>
      <c r="BU38">
        <f>IF($A38="","",L38+'Beállítások'!$E$16/1000)</f>
        <v/>
      </c>
      <c r="BV38">
        <f>IF($A38="","",M38+'Beállítások'!$E$17/1000)</f>
        <v/>
      </c>
      <c r="BW38">
        <f>IF($A38="","",N38+'Beállítások'!$E$18/1000)</f>
        <v/>
      </c>
      <c r="BX38">
        <f>IF($A38="","",O38+'Beállítások'!$E$19/1000)</f>
        <v/>
      </c>
      <c r="BY38">
        <f>IF($A38="","",P38+'Beállítások'!$E$20/1000)</f>
        <v/>
      </c>
      <c r="BZ38">
        <f>IF($A38="","",Q38+'Beállítások'!$E$21/1000)</f>
        <v/>
      </c>
      <c r="CA38">
        <f>IF($A38="","",R38+'Beállítások'!$E$22/1000)</f>
        <v/>
      </c>
      <c r="CB38">
        <f>IF($A38="","",S38+'Beállítások'!$E$23/1000)</f>
        <v/>
      </c>
      <c r="CC38">
        <f>IF($A38="","",T38+'Beállítások'!$E$24/1000)</f>
        <v/>
      </c>
      <c r="CD38">
        <f>IF($A38="","",U38+'Beállítások'!$E$25/1000)</f>
        <v/>
      </c>
      <c r="CE38">
        <f>IF($A38="","",V38+'Beállítások'!$E$26/1000)</f>
        <v/>
      </c>
      <c r="CF38">
        <f>IF($A38="","",W38+'Beállítások'!$E$27/1000)</f>
        <v/>
      </c>
      <c r="CG38">
        <f>IF($A38="","",X38+'Beállítások'!$E$28/1000)</f>
        <v/>
      </c>
      <c r="CH38">
        <f>IF($A38="","",Y38+'Beállítások'!$E$29/1000)</f>
        <v/>
      </c>
      <c r="CI38">
        <f>IF($A38="","",Z38+'Beállítások'!$E$30/1000)</f>
        <v/>
      </c>
      <c r="CJ38">
        <f>IF($A38="","",AA38+'Beállítások'!$E$31/1000)</f>
        <v/>
      </c>
      <c r="CK38">
        <f>IF($A38="","",AB38+'Beállítások'!$E$32/1000)</f>
        <v/>
      </c>
      <c r="CL38">
        <f>IF($A38="","",AC38+'Beállítások'!$E$33/1000)</f>
        <v/>
      </c>
      <c r="CM38">
        <f>IF($A38="","",AD38+'Beállítások'!$E$34/1000)</f>
        <v/>
      </c>
      <c r="CN38">
        <f>IF($A38="","",AE38+'Beállítások'!$E$35/1000)</f>
        <v/>
      </c>
      <c r="CO38">
        <f>IF($A38="","",AF38+'Beállítások'!$E$36/1000)</f>
        <v/>
      </c>
      <c r="CP38">
        <f>IF($A38="","",AG38+'Beállítások'!$E$37/1000)</f>
        <v/>
      </c>
      <c r="CQ38">
        <f>IF($A38="","",AH38+'Beállítások'!$E$38/1000)</f>
        <v/>
      </c>
      <c r="CR38">
        <f>IF($A38="","",'Beállítások'!$E$6*(10-B38))</f>
        <v/>
      </c>
      <c r="CS38">
        <f>IF($A38="","",'Beállítások'!$E$7*(10-C38))</f>
        <v/>
      </c>
      <c r="CT38">
        <f>IF($A38="","",'Beállítások'!$E$8*(10-D38))</f>
        <v/>
      </c>
      <c r="CU38">
        <f>IF($A38="","",'Beállítások'!$E$9*(10-E38))</f>
        <v/>
      </c>
      <c r="CV38">
        <f>IF($A38="","",'Beállítások'!$E$10*(10-F38))</f>
        <v/>
      </c>
      <c r="CW38">
        <f>IF($A38="","",'Beállítások'!$E$11*(10-G38))</f>
        <v/>
      </c>
      <c r="CX38">
        <f>IF($A38="","",'Beállítások'!$E$12*(10-H38))</f>
        <v/>
      </c>
      <c r="CY38">
        <f>IF($A38="","",'Beállítások'!$E$13*(10-I38))</f>
        <v/>
      </c>
      <c r="CZ38">
        <f>IF($A38="","",'Beállítások'!$E$14*(10-J38))</f>
        <v/>
      </c>
      <c r="DA38">
        <f>IF($A38="","",'Beállítások'!$E$15*(10-K38))</f>
        <v/>
      </c>
      <c r="DB38">
        <f>IF($A38="","",'Beállítások'!$E$16*(10-L38))</f>
        <v/>
      </c>
      <c r="DC38">
        <f>IF($A38="","",'Beállítások'!$E$17*(10-M38))</f>
        <v/>
      </c>
      <c r="DD38">
        <f>IF($A38="","",'Beállítások'!$E$18*(10-N38))</f>
        <v/>
      </c>
      <c r="DE38">
        <f>IF($A38="","",'Beállítások'!$E$19*(10-O38))</f>
        <v/>
      </c>
      <c r="DF38">
        <f>IF($A38="","",'Beállítások'!$E$20*(10-P38))</f>
        <v/>
      </c>
      <c r="DG38">
        <f>IF($A38="","",'Beállítások'!$E$21*(10-Q38))</f>
        <v/>
      </c>
      <c r="DH38">
        <f>IF($A38="","",'Beállítások'!$E$22*(10-R38))</f>
        <v/>
      </c>
      <c r="DI38">
        <f>IF($A38="","",'Beállítások'!$E$23*(10-S38))</f>
        <v/>
      </c>
      <c r="DJ38">
        <f>IF($A38="","",'Beállítások'!$E$24*(10-T38))</f>
        <v/>
      </c>
      <c r="DK38">
        <f>IF($A38="","",'Beállítások'!$E$25*(10-U38))</f>
        <v/>
      </c>
      <c r="DL38">
        <f>IF($A38="","",'Beállítások'!$E$26*(10-V38))</f>
        <v/>
      </c>
      <c r="DM38">
        <f>IF($A38="","",'Beállítások'!$E$27*(10-W38))</f>
        <v/>
      </c>
      <c r="DN38">
        <f>IF($A38="","",'Beállítások'!$E$28*(10-X38))</f>
        <v/>
      </c>
      <c r="DO38">
        <f>IF($A38="","",'Beállítások'!$E$29*(10-Y38))</f>
        <v/>
      </c>
      <c r="DP38">
        <f>IF($A38="","",'Beállítások'!$E$30*(10-Z38))</f>
        <v/>
      </c>
      <c r="DQ38">
        <f>IF($A38="","",'Beállítások'!$E$31*(10-AA38))</f>
        <v/>
      </c>
      <c r="DR38">
        <f>IF($A38="","",'Beállítások'!$E$32*(10-AB38))</f>
        <v/>
      </c>
      <c r="DS38">
        <f>IF($A38="","",'Beállítások'!$E$33*(10-AC38))</f>
        <v/>
      </c>
      <c r="DT38">
        <f>IF($A38="","",'Beállítások'!$E$34*(10-AD38))</f>
        <v/>
      </c>
      <c r="DU38">
        <f>IF($A38="","",'Beállítások'!$E$35*(10-AE38))</f>
        <v/>
      </c>
      <c r="DV38">
        <f>IF($A38="","",'Beállítások'!$E$36*(10-AF38))</f>
        <v/>
      </c>
      <c r="DW38">
        <f>IF($A38="","",'Beállítások'!$E$37*(10-AG38))</f>
        <v/>
      </c>
      <c r="DX38">
        <f>IF($A38="","",'Beállítások'!$E$38*(10-AH38))</f>
        <v/>
      </c>
      <c r="DY38">
        <f>IF($A38="","",AM38-ROW()/100000)</f>
        <v/>
      </c>
    </row>
    <row r="39">
      <c r="A39">
        <f>IF('Ügyfelek'!A39="","",'Ügyfelek'!A39)</f>
        <v/>
      </c>
      <c r="B39">
        <f>IF($A39="","",IF('Ügyfelek'!B39="",'Beállítások'!$B$84,IFERROR(VLOOKUP(TRIM('Ügyfelek'!B39),'Beállítások'!$A$51:$B$59,2,FALSE),'Beállítások'!$B$84)))</f>
        <v/>
      </c>
      <c r="C39">
        <f>IF($A39="","",IF('Ügyfelek'!C39="",'Beállítások'!$B$84,MIN(10,MAX(1,ROUND('Ügyfelek'!C39,0)))))</f>
        <v/>
      </c>
      <c r="D39">
        <f>IF($A39="","",IF('Ügyfelek'!D39="",'Beállítások'!$B$84,MIN(10,MAX(1,ROUND('Ügyfelek'!D39,0)))))</f>
        <v/>
      </c>
      <c r="E39">
        <f>IF($A39="","",IF('Ügyfelek'!E39="",'Beállítások'!$B$84,MIN(10,MAX(1,ROUND('Ügyfelek'!E39,0)))))</f>
        <v/>
      </c>
      <c r="F39">
        <f>IF($A39="","",IF('Ügyfelek'!F39="",'Beállítások'!$B$84,MIN(10,MAX(1,ROUND('Ügyfelek'!F39,0)))))</f>
        <v/>
      </c>
      <c r="G39">
        <f>IF($A39="","",IF('Ügyfelek'!G39="",'Beállítások'!$B$84,MIN(10,MAX(1,ROUND('Ügyfelek'!G39,0)))))</f>
        <v/>
      </c>
      <c r="H39">
        <f>IF($A39="","",IF('Ügyfelek'!H39="",'Beállítások'!$B$84,MIN(10,MAX(1,ROUND('Ügyfelek'!H39,0)))))</f>
        <v/>
      </c>
      <c r="I39">
        <f>IF($A39="","",IF('Ügyfelek'!I39="",'Beállítások'!$B$84,MIN(10,MAX(1,ROUND('Ügyfelek'!I39,0)))))</f>
        <v/>
      </c>
      <c r="J39">
        <f>IF($A39="","",IF('Ügyfelek'!J39="",'Beállítások'!$B$84,MIN(10,MAX(1,ROUND('Ügyfelek'!J39,0)))))</f>
        <v/>
      </c>
      <c r="K39">
        <f>IF($A39="","",IF('Ügyfelek'!K39="",'Beállítások'!$B$84,MIN(10,MAX(1,ROUND('Ügyfelek'!K39,0)))))</f>
        <v/>
      </c>
      <c r="L39">
        <f>IF($A39="","",IF('Ügyfelek'!L39="",'Beállítások'!$B$84,MIN(10,MAX(1,ROUND('Ügyfelek'!L39,0)))))</f>
        <v/>
      </c>
      <c r="M39">
        <f>IF($A39="","",IF('Ügyfelek'!M39="",'Beállítások'!$B$84,MIN(10,MAX(1,ROUND('Ügyfelek'!M39,0)))))</f>
        <v/>
      </c>
      <c r="N39">
        <f>IF($A39="","",IF('Ügyfelek'!N39="",'Beállítások'!$B$84,MIN(10,MAX(1,ROUND('Ügyfelek'!N39,0)))))</f>
        <v/>
      </c>
      <c r="O39">
        <f>IF($A39="","",IF('Ügyfelek'!O39="",'Beállítások'!$B$84,MIN(10,MAX(1,ROUND('Ügyfelek'!O39,0)))))</f>
        <v/>
      </c>
      <c r="P39">
        <f>IF($A39="","",IF('Ügyfelek'!P39="",'Beállítások'!$B$84,MIN(10,MAX(1,ROUND('Ügyfelek'!P39,0)))))</f>
        <v/>
      </c>
      <c r="Q39">
        <f>IF($A39="","",IF('Ügyfelek'!Q39="",'Beállítások'!$B$84,MIN(10,MAX(1,ROUND('Ügyfelek'!Q39,0)))))</f>
        <v/>
      </c>
      <c r="R39">
        <f>IF($A39="","",IF('Ügyfelek'!R39="",'Beállítások'!$B$84,MIN(10,MAX(1,ROUND('Ügyfelek'!R39,0)))))</f>
        <v/>
      </c>
      <c r="S39">
        <f>IF($A39="","",IF('Ügyfelek'!S39="",'Beállítások'!$B$84,MIN(10,MAX(1,ROUND('Ügyfelek'!S39,0)))))</f>
        <v/>
      </c>
      <c r="T39">
        <f>IF($A39="","",IF('Ügyfelek'!T39="",'Beállítások'!$B$84,VLOOKUP(MAX('Ügyfelek'!T39,'Beállítások'!$H$7),'Beállítások'!$H$7:$I$12,2,TRUE)))</f>
        <v/>
      </c>
      <c r="U39">
        <f>IF($A39="","",IF('Ügyfelek'!U39="",'Beállítások'!$B$84,VLOOKUP(MAX('Ügyfelek'!U39,'Beállítások'!$K$7),'Beállítások'!$K$7:$L$12,2,TRUE)))</f>
        <v/>
      </c>
      <c r="V39">
        <f>IF($A39="","",IF('Ügyfelek'!V39="",'Beállítások'!$B$84,MIN(10,MAX(1,ROUND('Ügyfelek'!V39,0)))))</f>
        <v/>
      </c>
      <c r="W39">
        <f>IF($A39="","",IF('Ügyfelek'!W39="",'Beállítások'!$B$84,VLOOKUP(MAX('Ügyfelek'!W39,'Beállítások'!$N$7),'Beállítások'!$N$7:$O$12,2,TRUE)))</f>
        <v/>
      </c>
      <c r="X39">
        <f>IF($A39="","",IF('Ügyfelek'!X39="",'Beállítások'!$B$84,MIN(10,MAX(1,ROUND('Ügyfelek'!X39,0)))))</f>
        <v/>
      </c>
      <c r="Y39">
        <f>IF($A39="","",IF('Ügyfelek'!Y39="",'Beállítások'!$B$84,IFERROR(VLOOKUP(TRIM('Ügyfelek'!Y39),'Beállítások'!$A$63:$B$69,2,FALSE),'Beállítások'!$B$84)))</f>
        <v/>
      </c>
      <c r="Z39">
        <f>IF($A39="","",IF('Ügyfelek'!Z39="",'Beállítások'!$B$84,VLOOKUP(MAX('Ügyfelek'!Z39,'Beállítások'!$Q$7),'Beállítások'!$Q$7:$R$12,2,TRUE)))</f>
        <v/>
      </c>
      <c r="AA39">
        <f>IF($A39="","",IF('Ügyfelek'!AA39="",'Beállítások'!$B$84,VLOOKUP(MAX('Ügyfelek'!AA39,'Beállítások'!$T$7),'Beállítások'!$T$7:$U$12,2,TRUE)))</f>
        <v/>
      </c>
      <c r="AB39">
        <f>IF($A39="","",IF('Ügyfelek'!AB39="",'Beállítások'!$B$84,MIN(10,MAX(1,ROUND('Ügyfelek'!AB39,0)))))</f>
        <v/>
      </c>
      <c r="AC39">
        <f>IF($A39="","",IF('Ügyfelek'!AC39="",'Beállítások'!$B$84,MIN(10,MAX(1,ROUND('Ügyfelek'!AC39,0)))))</f>
        <v/>
      </c>
      <c r="AD39">
        <f>IF($A39="","",IF('Ügyfelek'!AD39="",'Beállítások'!$B$84,MIN(10,MAX(1,ROUND('Ügyfelek'!AD39,0)))))</f>
        <v/>
      </c>
      <c r="AE39">
        <f>IF($A39="","",IF('Ügyfelek'!AE39="",'Beállítások'!$B$84,MIN(10,MAX(1,ROUND('Ügyfelek'!AE39,0)))))</f>
        <v/>
      </c>
      <c r="AF39">
        <f>IF($A39="","",IF('Ügyfelek'!AF39="",'Beállítások'!$B$84,MIN(10,MAX(1,ROUND('Ügyfelek'!AF39,0)))))</f>
        <v/>
      </c>
      <c r="AG39">
        <f>IF($A39="","",IF('Ügyfelek'!AG39="",'Beállítások'!$B$84,MIN(10,MAX(1,ROUND('Ügyfelek'!AG39,0)))))</f>
        <v/>
      </c>
      <c r="AH39">
        <f>IF($A39="","",IF('Ügyfelek'!AH39="",'Beállítások'!$B$84,IFERROR(VLOOKUP(TRIM('Ügyfelek'!AH39),'Beállítások'!$A$73:$B$79,2,FALSE),'Beállítások'!$B$84)))</f>
        <v/>
      </c>
      <c r="AI39" s="23">
        <f>IF($A39="","",ROUND(100*('Beállítások'!$E$6*(B39-1)+'Beállítások'!$E$7*(C39-1))/(9*'Beállítások'!$B$43),1))</f>
        <v/>
      </c>
      <c r="AJ39" s="23">
        <f>IF($A39="","",ROUND(100*('Beállítások'!$E$8*(D39-1)+'Beállítások'!$E$9*(E39-1)+'Beállítások'!$E$10*(F39-1)+'Beállítások'!$E$11*(G39-1)+'Beállítások'!$E$12*(H39-1)+'Beállítások'!$E$13*(I39-1)+'Beállítások'!$E$14*(J39-1)+'Beállítások'!$E$15*(K39-1)+'Beállítások'!$E$16*(L39-1)+'Beállítások'!$E$17*(M39-1)+'Beállítások'!$E$18*(N39-1)+'Beállítások'!$E$19*(O39-1)+'Beállítások'!$E$20*(P39-1)+'Beállítások'!$E$21*(Q39-1)+'Beállítások'!$E$22*(R39-1))/(9*'Beállítások'!$B$44),1))</f>
        <v/>
      </c>
      <c r="AK39" s="23">
        <f>IF($A39="","",ROUND(100*('Beállítások'!$E$23*(S39-1)+'Beállítások'!$E$24*(T39-1)+'Beállítások'!$E$25*(U39-1)+'Beállítások'!$E$26*(V39-1)+'Beállítások'!$E$27*(W39-1)+'Beállítások'!$E$28*(X39-1)+'Beállítások'!$E$29*(Y39-1))/(9*'Beállítások'!$B$45),1))</f>
        <v/>
      </c>
      <c r="AL39" s="23">
        <f>IF($A39="","",ROUND(100*('Beállítások'!$E$30*(Z39-1)+'Beállítások'!$E$31*(AA39-1)+'Beállítások'!$E$32*(AB39-1)+'Beállítások'!$E$33*(AC39-1)+'Beállítások'!$E$34*(AD39-1)+'Beállítások'!$E$35*(AE39-1)+'Beállítások'!$E$36*(AF39-1)+'Beállítások'!$E$37*(AG39-1)+'Beállítások'!$E$38*(AH39-1))/(9*'Beállítások'!$B$46),1))</f>
        <v/>
      </c>
      <c r="AM39" s="23">
        <f>IF($A39="","",ROUND(100*('Beállítások'!$E$6*(B39-1)+'Beállítások'!$E$7*(C39-1)+'Beállítások'!$E$8*(D39-1)+'Beállítások'!$E$9*(E39-1)+'Beállítások'!$E$10*(F39-1)+'Beállítások'!$E$11*(G39-1)+'Beállítások'!$E$12*(H39-1)+'Beállítások'!$E$13*(I39-1)+'Beállítások'!$E$14*(J39-1)+'Beállítások'!$E$15*(K39-1)+'Beállítások'!$E$16*(L39-1)+'Beállítások'!$E$17*(M39-1)+'Beállítások'!$E$18*(N39-1)+'Beállítások'!$E$19*(O39-1)+'Beállítások'!$E$20*(P39-1)+'Beállítások'!$E$21*(Q39-1)+'Beállítások'!$E$22*(R39-1)+'Beállítások'!$E$23*(S39-1)+'Beállítások'!$E$24*(T39-1)+'Beállítások'!$E$25*(U39-1)+'Beállítások'!$E$26*(V39-1)+'Beállítások'!$E$27*(W39-1)+'Beállítások'!$E$28*(X39-1)+'Beállítások'!$E$29*(Y39-1)+'Beállítások'!$E$30*(Z39-1)+'Beállítások'!$E$31*(AA39-1)+'Beállítások'!$E$32*(AB39-1)+'Beállítások'!$E$33*(AC39-1)+'Beállítások'!$E$34*(AD39-1)+'Beállítások'!$E$35*(AE39-1)+'Beállítások'!$E$36*(AF39-1)+'Beállítások'!$E$37*(AG39-1)+'Beállítások'!$E$38*(AH39-1))/(9*'Beállítások'!$E$39),1))</f>
        <v/>
      </c>
      <c r="AN39" s="23">
        <f>IF($A39="","",ROUND(100*('Beállítások'!$E$8*(D39-1)+'Beállítások'!$E$9*(E39-1)+'Beállítások'!$E$10*(F39-1)+'Beállítások'!$E$11*(G39-1)+'Beállítások'!$E$12*(H39-1)+'Beállítások'!$E$13*(I39-1)+'Beállítások'!$E$14*(J39-1)+'Beállítások'!$E$15*(K39-1)+'Beállítások'!$E$16*(L39-1)+'Beállítások'!$E$17*(M39-1)+'Beállítások'!$E$18*(N39-1)+'Beállítások'!$E$19*(O39-1)+'Beállítások'!$E$20*(P39-1)+'Beállítások'!$E$21*(Q39-1)+'Beállítások'!$E$22*(R39-1)+'Beállítások'!$E$23*(S39-1)+'Beállítások'!$E$24*(T39-1)+'Beállítások'!$E$25*(U39-1)+'Beállítások'!$E$26*(V39-1)+'Beállítások'!$E$27*(W39-1)+'Beállítások'!$E$28*(X39-1)+'Beállítások'!$E$29*(Y39-1))/(9*('Beállítások'!$B$44+'Beállítások'!$B$45)),1))</f>
        <v/>
      </c>
      <c r="AO39" s="24">
        <f>IF($A39="","",RANK(AM39,$AM$2:$AM$201))</f>
        <v/>
      </c>
      <c r="AP39">
        <f>IF($A39="","",IF(OR(AND('Ügyfelek'!B39&lt;&gt;"",B39&lt;='Beállítások'!$B$85),AND('Ügyfelek'!C39&lt;&gt;"",C39&lt;='Beállítások'!$B$86)),"Igen","Nem"))</f>
        <v/>
      </c>
      <c r="AQ39" s="24">
        <f>IF($A39="","",IF(AP39="Igen",5,IF(AN39&gt;='Beállítások'!$C$108,1,IF(AN39&gt;='Beállítások'!$C$109,2,IF(AN39&gt;='Beállítások'!$C$110,3,IF(AND(AN39&gt;='Beállítások'!$B$87,AI39&gt;='Beállítások'!$B$88,AL39&gt;='Beállítások'!$B$89),4,5))))))</f>
        <v/>
      </c>
      <c r="AR39">
        <f>IF($A39="","",INDEX('Beállítások'!$B$108:$B$112,AQ39))</f>
        <v/>
      </c>
      <c r="AS39">
        <f>IF($A39="","",IF(AQ39=5,"Elutasítjuk",IF(AND(AQ39=4,COUNTIFS('Eredmény'!$AQ$2:$AQ$201,4,'Eredmény'!$DY$2:$DY$201,"&gt;"&amp;DY39)&gt;='Beállítások'!$B$90),"Várólista (a 4-es hely foglalt)","Elfogadjuk")))</f>
        <v/>
      </c>
      <c r="AT39">
        <f>IF($A39="","",INDEX('Beállítások'!$F$108:$F$112,AQ39))</f>
        <v/>
      </c>
      <c r="AU39">
        <f>IF($A39="","",INDEX('Beállítások'!$B$6:$B$38,MATCH(MAX(BK39:CQ39),BK39:CQ39,0)))</f>
        <v/>
      </c>
      <c r="AV39">
        <f>IF($A39="","",IF(MAX(CR39:DX39)=0,"—",INDEX('Beállítások'!$B$6:$B$38,MATCH(MAX(CR39:DX39),CR39:DX39,0))))</f>
        <v/>
      </c>
      <c r="AW39" s="10">
        <f>IF($A39="","",'Beállítások'!$B$94*(TRIM('Ügyfelek'!AI39)="igen")+'Beállítások'!$B$95*(TRIM('Ügyfelek'!AJ39)="igen")+'Beállítások'!$B$96*N('Ügyfelek'!AK39)+'Beállítások'!$B$93*N('Ügyfelek'!AL39))</f>
        <v/>
      </c>
      <c r="AX39" s="25">
        <f>IF(OR($A39="",AQ39=5),"",INDEX('Beállítások'!$D$108:$D$112,AQ39))</f>
        <v/>
      </c>
      <c r="AY39" s="10">
        <f>IF($A39="","",N('Ügyfelek'!U39)*'Beállítások'!$B$98)</f>
        <v/>
      </c>
      <c r="AZ39" s="10">
        <f>IF(OR($A39="",AQ39=5),"",CEILING(ROUND(MAX('Beállítások'!$B$97,AW39*AX39,AY39),2),'Beállítások'!$B$99))</f>
        <v/>
      </c>
      <c r="BA39">
        <f>IF($A39="","",IF(AQ39=5,"Elutasítva",IF(MAX('Beállítások'!$B$97,AW39*AX39,AY39)=AW39*AX39,"Munkaigény × státuszszorzó",IF(MAX('Beállítások'!$B$97,AW39*AX39,AY39)=AY39,"Hirdetési keret arányában","Minimumdíj"))))</f>
        <v/>
      </c>
      <c r="BB39" s="10">
        <f>IF(OR($A39="",'Ügyfelek'!AM39=""),"",'Ügyfelek'!AM39)</f>
        <v/>
      </c>
      <c r="BC39" s="10">
        <f>IF(OR(BB39="",AZ39=""),"",AZ39-BB39)</f>
        <v/>
      </c>
      <c r="BD39" s="18">
        <f>IF(OR(BB39="",AZ39="",BB39=0),"",BC39/BB39)</f>
        <v/>
      </c>
      <c r="BE39">
        <f>IF(OR($A39="",AQ39=5),"",IF(AND(INDEX('Beállítások'!$E$108:$E$112,AQ39)&gt;0,Y39&gt;='Beállítások'!$B$91),"Igen","Nem"))</f>
        <v/>
      </c>
      <c r="BF39" s="10">
        <f>IF(BE39="Igen",CEILING(ROUND(AZ39*(1-'Beállítások'!$B$92),2),'Beállítások'!$B$99),"")</f>
        <v/>
      </c>
      <c r="BG39" s="20">
        <f>IF(BE39="Igen",INDEX('Beállítások'!$E$108:$E$112,AQ39),"")</f>
        <v/>
      </c>
      <c r="BH39" s="10">
        <f>IF(OR(BE39&lt;&gt;"Igen",'Ügyfelek'!AN39=""),"",'Ügyfelek'!AN39*BG39)</f>
        <v/>
      </c>
      <c r="BI39" s="24">
        <f>IF($A39="","",('Ügyfelek'!B39="")+('Ügyfelek'!C39="")+('Ügyfelek'!D39="")+('Ügyfelek'!E39="")+('Ügyfelek'!F39="")+('Ügyfelek'!G39="")+('Ügyfelek'!H39="")+('Ügyfelek'!I39="")+('Ügyfelek'!J39="")+('Ügyfelek'!K39="")+('Ügyfelek'!L39="")+('Ügyfelek'!M39="")+('Ügyfelek'!N39="")+('Ügyfelek'!O39="")+('Ügyfelek'!P39="")+('Ügyfelek'!Q39="")+('Ügyfelek'!R39="")+('Ügyfelek'!S39="")+('Ügyfelek'!T39="")+('Ügyfelek'!U39="")+('Ügyfelek'!V39="")+('Ügyfelek'!W39="")+('Ügyfelek'!X39="")+('Ügyfelek'!Y39="")+('Ügyfelek'!Z39="")+('Ügyfelek'!AA39="")+('Ügyfelek'!AB39="")+('Ügyfelek'!AC39="")+('Ügyfelek'!AD39="")+('Ügyfelek'!AE39="")+('Ügyfelek'!AF39="")+('Ügyfelek'!AG39="")+('Ügyfelek'!AH39=""))</f>
        <v/>
      </c>
      <c r="BK39">
        <f>IF($A39="","",B39+'Beállítások'!$E$6/1000)</f>
        <v/>
      </c>
      <c r="BL39">
        <f>IF($A39="","",C39+'Beállítások'!$E$7/1000)</f>
        <v/>
      </c>
      <c r="BM39">
        <f>IF($A39="","",D39+'Beállítások'!$E$8/1000)</f>
        <v/>
      </c>
      <c r="BN39">
        <f>IF($A39="","",E39+'Beállítások'!$E$9/1000)</f>
        <v/>
      </c>
      <c r="BO39">
        <f>IF($A39="","",F39+'Beállítások'!$E$10/1000)</f>
        <v/>
      </c>
      <c r="BP39">
        <f>IF($A39="","",G39+'Beállítások'!$E$11/1000)</f>
        <v/>
      </c>
      <c r="BQ39">
        <f>IF($A39="","",H39+'Beállítások'!$E$12/1000)</f>
        <v/>
      </c>
      <c r="BR39">
        <f>IF($A39="","",I39+'Beállítások'!$E$13/1000)</f>
        <v/>
      </c>
      <c r="BS39">
        <f>IF($A39="","",J39+'Beállítások'!$E$14/1000)</f>
        <v/>
      </c>
      <c r="BT39">
        <f>IF($A39="","",K39+'Beállítások'!$E$15/1000)</f>
        <v/>
      </c>
      <c r="BU39">
        <f>IF($A39="","",L39+'Beállítások'!$E$16/1000)</f>
        <v/>
      </c>
      <c r="BV39">
        <f>IF($A39="","",M39+'Beállítások'!$E$17/1000)</f>
        <v/>
      </c>
      <c r="BW39">
        <f>IF($A39="","",N39+'Beállítások'!$E$18/1000)</f>
        <v/>
      </c>
      <c r="BX39">
        <f>IF($A39="","",O39+'Beállítások'!$E$19/1000)</f>
        <v/>
      </c>
      <c r="BY39">
        <f>IF($A39="","",P39+'Beállítások'!$E$20/1000)</f>
        <v/>
      </c>
      <c r="BZ39">
        <f>IF($A39="","",Q39+'Beállítások'!$E$21/1000)</f>
        <v/>
      </c>
      <c r="CA39">
        <f>IF($A39="","",R39+'Beállítások'!$E$22/1000)</f>
        <v/>
      </c>
      <c r="CB39">
        <f>IF($A39="","",S39+'Beállítások'!$E$23/1000)</f>
        <v/>
      </c>
      <c r="CC39">
        <f>IF($A39="","",T39+'Beállítások'!$E$24/1000)</f>
        <v/>
      </c>
      <c r="CD39">
        <f>IF($A39="","",U39+'Beállítások'!$E$25/1000)</f>
        <v/>
      </c>
      <c r="CE39">
        <f>IF($A39="","",V39+'Beállítások'!$E$26/1000)</f>
        <v/>
      </c>
      <c r="CF39">
        <f>IF($A39="","",W39+'Beállítások'!$E$27/1000)</f>
        <v/>
      </c>
      <c r="CG39">
        <f>IF($A39="","",X39+'Beállítások'!$E$28/1000)</f>
        <v/>
      </c>
      <c r="CH39">
        <f>IF($A39="","",Y39+'Beállítások'!$E$29/1000)</f>
        <v/>
      </c>
      <c r="CI39">
        <f>IF($A39="","",Z39+'Beállítások'!$E$30/1000)</f>
        <v/>
      </c>
      <c r="CJ39">
        <f>IF($A39="","",AA39+'Beállítások'!$E$31/1000)</f>
        <v/>
      </c>
      <c r="CK39">
        <f>IF($A39="","",AB39+'Beállítások'!$E$32/1000)</f>
        <v/>
      </c>
      <c r="CL39">
        <f>IF($A39="","",AC39+'Beállítások'!$E$33/1000)</f>
        <v/>
      </c>
      <c r="CM39">
        <f>IF($A39="","",AD39+'Beállítások'!$E$34/1000)</f>
        <v/>
      </c>
      <c r="CN39">
        <f>IF($A39="","",AE39+'Beállítások'!$E$35/1000)</f>
        <v/>
      </c>
      <c r="CO39">
        <f>IF($A39="","",AF39+'Beállítások'!$E$36/1000)</f>
        <v/>
      </c>
      <c r="CP39">
        <f>IF($A39="","",AG39+'Beállítások'!$E$37/1000)</f>
        <v/>
      </c>
      <c r="CQ39">
        <f>IF($A39="","",AH39+'Beállítások'!$E$38/1000)</f>
        <v/>
      </c>
      <c r="CR39">
        <f>IF($A39="","",'Beállítások'!$E$6*(10-B39))</f>
        <v/>
      </c>
      <c r="CS39">
        <f>IF($A39="","",'Beállítások'!$E$7*(10-C39))</f>
        <v/>
      </c>
      <c r="CT39">
        <f>IF($A39="","",'Beállítások'!$E$8*(10-D39))</f>
        <v/>
      </c>
      <c r="CU39">
        <f>IF($A39="","",'Beállítások'!$E$9*(10-E39))</f>
        <v/>
      </c>
      <c r="CV39">
        <f>IF($A39="","",'Beállítások'!$E$10*(10-F39))</f>
        <v/>
      </c>
      <c r="CW39">
        <f>IF($A39="","",'Beállítások'!$E$11*(10-G39))</f>
        <v/>
      </c>
      <c r="CX39">
        <f>IF($A39="","",'Beállítások'!$E$12*(10-H39))</f>
        <v/>
      </c>
      <c r="CY39">
        <f>IF($A39="","",'Beállítások'!$E$13*(10-I39))</f>
        <v/>
      </c>
      <c r="CZ39">
        <f>IF($A39="","",'Beállítások'!$E$14*(10-J39))</f>
        <v/>
      </c>
      <c r="DA39">
        <f>IF($A39="","",'Beállítások'!$E$15*(10-K39))</f>
        <v/>
      </c>
      <c r="DB39">
        <f>IF($A39="","",'Beállítások'!$E$16*(10-L39))</f>
        <v/>
      </c>
      <c r="DC39">
        <f>IF($A39="","",'Beállítások'!$E$17*(10-M39))</f>
        <v/>
      </c>
      <c r="DD39">
        <f>IF($A39="","",'Beállítások'!$E$18*(10-N39))</f>
        <v/>
      </c>
      <c r="DE39">
        <f>IF($A39="","",'Beállítások'!$E$19*(10-O39))</f>
        <v/>
      </c>
      <c r="DF39">
        <f>IF($A39="","",'Beállítások'!$E$20*(10-P39))</f>
        <v/>
      </c>
      <c r="DG39">
        <f>IF($A39="","",'Beállítások'!$E$21*(10-Q39))</f>
        <v/>
      </c>
      <c r="DH39">
        <f>IF($A39="","",'Beállítások'!$E$22*(10-R39))</f>
        <v/>
      </c>
      <c r="DI39">
        <f>IF($A39="","",'Beállítások'!$E$23*(10-S39))</f>
        <v/>
      </c>
      <c r="DJ39">
        <f>IF($A39="","",'Beállítások'!$E$24*(10-T39))</f>
        <v/>
      </c>
      <c r="DK39">
        <f>IF($A39="","",'Beállítások'!$E$25*(10-U39))</f>
        <v/>
      </c>
      <c r="DL39">
        <f>IF($A39="","",'Beállítások'!$E$26*(10-V39))</f>
        <v/>
      </c>
      <c r="DM39">
        <f>IF($A39="","",'Beállítások'!$E$27*(10-W39))</f>
        <v/>
      </c>
      <c r="DN39">
        <f>IF($A39="","",'Beállítások'!$E$28*(10-X39))</f>
        <v/>
      </c>
      <c r="DO39">
        <f>IF($A39="","",'Beállítások'!$E$29*(10-Y39))</f>
        <v/>
      </c>
      <c r="DP39">
        <f>IF($A39="","",'Beállítások'!$E$30*(10-Z39))</f>
        <v/>
      </c>
      <c r="DQ39">
        <f>IF($A39="","",'Beállítások'!$E$31*(10-AA39))</f>
        <v/>
      </c>
      <c r="DR39">
        <f>IF($A39="","",'Beállítások'!$E$32*(10-AB39))</f>
        <v/>
      </c>
      <c r="DS39">
        <f>IF($A39="","",'Beállítások'!$E$33*(10-AC39))</f>
        <v/>
      </c>
      <c r="DT39">
        <f>IF($A39="","",'Beállítások'!$E$34*(10-AD39))</f>
        <v/>
      </c>
      <c r="DU39">
        <f>IF($A39="","",'Beállítások'!$E$35*(10-AE39))</f>
        <v/>
      </c>
      <c r="DV39">
        <f>IF($A39="","",'Beállítások'!$E$36*(10-AF39))</f>
        <v/>
      </c>
      <c r="DW39">
        <f>IF($A39="","",'Beállítások'!$E$37*(10-AG39))</f>
        <v/>
      </c>
      <c r="DX39">
        <f>IF($A39="","",'Beállítások'!$E$38*(10-AH39))</f>
        <v/>
      </c>
      <c r="DY39">
        <f>IF($A39="","",AM39-ROW()/100000)</f>
        <v/>
      </c>
    </row>
    <row r="40">
      <c r="A40">
        <f>IF('Ügyfelek'!A40="","",'Ügyfelek'!A40)</f>
        <v/>
      </c>
      <c r="B40">
        <f>IF($A40="","",IF('Ügyfelek'!B40="",'Beállítások'!$B$84,IFERROR(VLOOKUP(TRIM('Ügyfelek'!B40),'Beállítások'!$A$51:$B$59,2,FALSE),'Beállítások'!$B$84)))</f>
        <v/>
      </c>
      <c r="C40">
        <f>IF($A40="","",IF('Ügyfelek'!C40="",'Beállítások'!$B$84,MIN(10,MAX(1,ROUND('Ügyfelek'!C40,0)))))</f>
        <v/>
      </c>
      <c r="D40">
        <f>IF($A40="","",IF('Ügyfelek'!D40="",'Beállítások'!$B$84,MIN(10,MAX(1,ROUND('Ügyfelek'!D40,0)))))</f>
        <v/>
      </c>
      <c r="E40">
        <f>IF($A40="","",IF('Ügyfelek'!E40="",'Beállítások'!$B$84,MIN(10,MAX(1,ROUND('Ügyfelek'!E40,0)))))</f>
        <v/>
      </c>
      <c r="F40">
        <f>IF($A40="","",IF('Ügyfelek'!F40="",'Beállítások'!$B$84,MIN(10,MAX(1,ROUND('Ügyfelek'!F40,0)))))</f>
        <v/>
      </c>
      <c r="G40">
        <f>IF($A40="","",IF('Ügyfelek'!G40="",'Beállítások'!$B$84,MIN(10,MAX(1,ROUND('Ügyfelek'!G40,0)))))</f>
        <v/>
      </c>
      <c r="H40">
        <f>IF($A40="","",IF('Ügyfelek'!H40="",'Beállítások'!$B$84,MIN(10,MAX(1,ROUND('Ügyfelek'!H40,0)))))</f>
        <v/>
      </c>
      <c r="I40">
        <f>IF($A40="","",IF('Ügyfelek'!I40="",'Beállítások'!$B$84,MIN(10,MAX(1,ROUND('Ügyfelek'!I40,0)))))</f>
        <v/>
      </c>
      <c r="J40">
        <f>IF($A40="","",IF('Ügyfelek'!J40="",'Beállítások'!$B$84,MIN(10,MAX(1,ROUND('Ügyfelek'!J40,0)))))</f>
        <v/>
      </c>
      <c r="K40">
        <f>IF($A40="","",IF('Ügyfelek'!K40="",'Beállítások'!$B$84,MIN(10,MAX(1,ROUND('Ügyfelek'!K40,0)))))</f>
        <v/>
      </c>
      <c r="L40">
        <f>IF($A40="","",IF('Ügyfelek'!L40="",'Beállítások'!$B$84,MIN(10,MAX(1,ROUND('Ügyfelek'!L40,0)))))</f>
        <v/>
      </c>
      <c r="M40">
        <f>IF($A40="","",IF('Ügyfelek'!M40="",'Beállítások'!$B$84,MIN(10,MAX(1,ROUND('Ügyfelek'!M40,0)))))</f>
        <v/>
      </c>
      <c r="N40">
        <f>IF($A40="","",IF('Ügyfelek'!N40="",'Beállítások'!$B$84,MIN(10,MAX(1,ROUND('Ügyfelek'!N40,0)))))</f>
        <v/>
      </c>
      <c r="O40">
        <f>IF($A40="","",IF('Ügyfelek'!O40="",'Beállítások'!$B$84,MIN(10,MAX(1,ROUND('Ügyfelek'!O40,0)))))</f>
        <v/>
      </c>
      <c r="P40">
        <f>IF($A40="","",IF('Ügyfelek'!P40="",'Beállítások'!$B$84,MIN(10,MAX(1,ROUND('Ügyfelek'!P40,0)))))</f>
        <v/>
      </c>
      <c r="Q40">
        <f>IF($A40="","",IF('Ügyfelek'!Q40="",'Beállítások'!$B$84,MIN(10,MAX(1,ROUND('Ügyfelek'!Q40,0)))))</f>
        <v/>
      </c>
      <c r="R40">
        <f>IF($A40="","",IF('Ügyfelek'!R40="",'Beállítások'!$B$84,MIN(10,MAX(1,ROUND('Ügyfelek'!R40,0)))))</f>
        <v/>
      </c>
      <c r="S40">
        <f>IF($A40="","",IF('Ügyfelek'!S40="",'Beállítások'!$B$84,MIN(10,MAX(1,ROUND('Ügyfelek'!S40,0)))))</f>
        <v/>
      </c>
      <c r="T40">
        <f>IF($A40="","",IF('Ügyfelek'!T40="",'Beállítások'!$B$84,VLOOKUP(MAX('Ügyfelek'!T40,'Beállítások'!$H$7),'Beállítások'!$H$7:$I$12,2,TRUE)))</f>
        <v/>
      </c>
      <c r="U40">
        <f>IF($A40="","",IF('Ügyfelek'!U40="",'Beállítások'!$B$84,VLOOKUP(MAX('Ügyfelek'!U40,'Beállítások'!$K$7),'Beállítások'!$K$7:$L$12,2,TRUE)))</f>
        <v/>
      </c>
      <c r="V40">
        <f>IF($A40="","",IF('Ügyfelek'!V40="",'Beállítások'!$B$84,MIN(10,MAX(1,ROUND('Ügyfelek'!V40,0)))))</f>
        <v/>
      </c>
      <c r="W40">
        <f>IF($A40="","",IF('Ügyfelek'!W40="",'Beállítások'!$B$84,VLOOKUP(MAX('Ügyfelek'!W40,'Beállítások'!$N$7),'Beállítások'!$N$7:$O$12,2,TRUE)))</f>
        <v/>
      </c>
      <c r="X40">
        <f>IF($A40="","",IF('Ügyfelek'!X40="",'Beállítások'!$B$84,MIN(10,MAX(1,ROUND('Ügyfelek'!X40,0)))))</f>
        <v/>
      </c>
      <c r="Y40">
        <f>IF($A40="","",IF('Ügyfelek'!Y40="",'Beállítások'!$B$84,IFERROR(VLOOKUP(TRIM('Ügyfelek'!Y40),'Beállítások'!$A$63:$B$69,2,FALSE),'Beállítások'!$B$84)))</f>
        <v/>
      </c>
      <c r="Z40">
        <f>IF($A40="","",IF('Ügyfelek'!Z40="",'Beállítások'!$B$84,VLOOKUP(MAX('Ügyfelek'!Z40,'Beállítások'!$Q$7),'Beállítások'!$Q$7:$R$12,2,TRUE)))</f>
        <v/>
      </c>
      <c r="AA40">
        <f>IF($A40="","",IF('Ügyfelek'!AA40="",'Beállítások'!$B$84,VLOOKUP(MAX('Ügyfelek'!AA40,'Beállítások'!$T$7),'Beállítások'!$T$7:$U$12,2,TRUE)))</f>
        <v/>
      </c>
      <c r="AB40">
        <f>IF($A40="","",IF('Ügyfelek'!AB40="",'Beállítások'!$B$84,MIN(10,MAX(1,ROUND('Ügyfelek'!AB40,0)))))</f>
        <v/>
      </c>
      <c r="AC40">
        <f>IF($A40="","",IF('Ügyfelek'!AC40="",'Beállítások'!$B$84,MIN(10,MAX(1,ROUND('Ügyfelek'!AC40,0)))))</f>
        <v/>
      </c>
      <c r="AD40">
        <f>IF($A40="","",IF('Ügyfelek'!AD40="",'Beállítások'!$B$84,MIN(10,MAX(1,ROUND('Ügyfelek'!AD40,0)))))</f>
        <v/>
      </c>
      <c r="AE40">
        <f>IF($A40="","",IF('Ügyfelek'!AE40="",'Beállítások'!$B$84,MIN(10,MAX(1,ROUND('Ügyfelek'!AE40,0)))))</f>
        <v/>
      </c>
      <c r="AF40">
        <f>IF($A40="","",IF('Ügyfelek'!AF40="",'Beállítások'!$B$84,MIN(10,MAX(1,ROUND('Ügyfelek'!AF40,0)))))</f>
        <v/>
      </c>
      <c r="AG40">
        <f>IF($A40="","",IF('Ügyfelek'!AG40="",'Beállítások'!$B$84,MIN(10,MAX(1,ROUND('Ügyfelek'!AG40,0)))))</f>
        <v/>
      </c>
      <c r="AH40">
        <f>IF($A40="","",IF('Ügyfelek'!AH40="",'Beállítások'!$B$84,IFERROR(VLOOKUP(TRIM('Ügyfelek'!AH40),'Beállítások'!$A$73:$B$79,2,FALSE),'Beállítások'!$B$84)))</f>
        <v/>
      </c>
      <c r="AI40" s="23">
        <f>IF($A40="","",ROUND(100*('Beállítások'!$E$6*(B40-1)+'Beállítások'!$E$7*(C40-1))/(9*'Beállítások'!$B$43),1))</f>
        <v/>
      </c>
      <c r="AJ40" s="23">
        <f>IF($A40="","",ROUND(100*('Beállítások'!$E$8*(D40-1)+'Beállítások'!$E$9*(E40-1)+'Beállítások'!$E$10*(F40-1)+'Beállítások'!$E$11*(G40-1)+'Beállítások'!$E$12*(H40-1)+'Beállítások'!$E$13*(I40-1)+'Beállítások'!$E$14*(J40-1)+'Beállítások'!$E$15*(K40-1)+'Beállítások'!$E$16*(L40-1)+'Beállítások'!$E$17*(M40-1)+'Beállítások'!$E$18*(N40-1)+'Beállítások'!$E$19*(O40-1)+'Beállítások'!$E$20*(P40-1)+'Beállítások'!$E$21*(Q40-1)+'Beállítások'!$E$22*(R40-1))/(9*'Beállítások'!$B$44),1))</f>
        <v/>
      </c>
      <c r="AK40" s="23">
        <f>IF($A40="","",ROUND(100*('Beállítások'!$E$23*(S40-1)+'Beállítások'!$E$24*(T40-1)+'Beállítások'!$E$25*(U40-1)+'Beállítások'!$E$26*(V40-1)+'Beállítások'!$E$27*(W40-1)+'Beállítások'!$E$28*(X40-1)+'Beállítások'!$E$29*(Y40-1))/(9*'Beállítások'!$B$45),1))</f>
        <v/>
      </c>
      <c r="AL40" s="23">
        <f>IF($A40="","",ROUND(100*('Beállítások'!$E$30*(Z40-1)+'Beállítások'!$E$31*(AA40-1)+'Beállítások'!$E$32*(AB40-1)+'Beállítások'!$E$33*(AC40-1)+'Beállítások'!$E$34*(AD40-1)+'Beállítások'!$E$35*(AE40-1)+'Beállítások'!$E$36*(AF40-1)+'Beállítások'!$E$37*(AG40-1)+'Beállítások'!$E$38*(AH40-1))/(9*'Beállítások'!$B$46),1))</f>
        <v/>
      </c>
      <c r="AM40" s="23">
        <f>IF($A40="","",ROUND(100*('Beállítások'!$E$6*(B40-1)+'Beállítások'!$E$7*(C40-1)+'Beállítások'!$E$8*(D40-1)+'Beállítások'!$E$9*(E40-1)+'Beállítások'!$E$10*(F40-1)+'Beállítások'!$E$11*(G40-1)+'Beállítások'!$E$12*(H40-1)+'Beállítások'!$E$13*(I40-1)+'Beállítások'!$E$14*(J40-1)+'Beállítások'!$E$15*(K40-1)+'Beállítások'!$E$16*(L40-1)+'Beállítások'!$E$17*(M40-1)+'Beállítások'!$E$18*(N40-1)+'Beállítások'!$E$19*(O40-1)+'Beállítások'!$E$20*(P40-1)+'Beállítások'!$E$21*(Q40-1)+'Beállítások'!$E$22*(R40-1)+'Beállítások'!$E$23*(S40-1)+'Beállítások'!$E$24*(T40-1)+'Beállítások'!$E$25*(U40-1)+'Beállítások'!$E$26*(V40-1)+'Beállítások'!$E$27*(W40-1)+'Beállítások'!$E$28*(X40-1)+'Beállítások'!$E$29*(Y40-1)+'Beállítások'!$E$30*(Z40-1)+'Beállítások'!$E$31*(AA40-1)+'Beállítások'!$E$32*(AB40-1)+'Beállítások'!$E$33*(AC40-1)+'Beállítások'!$E$34*(AD40-1)+'Beállítások'!$E$35*(AE40-1)+'Beállítások'!$E$36*(AF40-1)+'Beállítások'!$E$37*(AG40-1)+'Beállítások'!$E$38*(AH40-1))/(9*'Beállítások'!$E$39),1))</f>
        <v/>
      </c>
      <c r="AN40" s="23">
        <f>IF($A40="","",ROUND(100*('Beállítások'!$E$8*(D40-1)+'Beállítások'!$E$9*(E40-1)+'Beállítások'!$E$10*(F40-1)+'Beállítások'!$E$11*(G40-1)+'Beállítások'!$E$12*(H40-1)+'Beállítások'!$E$13*(I40-1)+'Beállítások'!$E$14*(J40-1)+'Beállítások'!$E$15*(K40-1)+'Beállítások'!$E$16*(L40-1)+'Beállítások'!$E$17*(M40-1)+'Beállítások'!$E$18*(N40-1)+'Beállítások'!$E$19*(O40-1)+'Beállítások'!$E$20*(P40-1)+'Beállítások'!$E$21*(Q40-1)+'Beállítások'!$E$22*(R40-1)+'Beállítások'!$E$23*(S40-1)+'Beállítások'!$E$24*(T40-1)+'Beállítások'!$E$25*(U40-1)+'Beállítások'!$E$26*(V40-1)+'Beállítások'!$E$27*(W40-1)+'Beállítások'!$E$28*(X40-1)+'Beállítások'!$E$29*(Y40-1))/(9*('Beállítások'!$B$44+'Beállítások'!$B$45)),1))</f>
        <v/>
      </c>
      <c r="AO40" s="24">
        <f>IF($A40="","",RANK(AM40,$AM$2:$AM$201))</f>
        <v/>
      </c>
      <c r="AP40">
        <f>IF($A40="","",IF(OR(AND('Ügyfelek'!B40&lt;&gt;"",B40&lt;='Beállítások'!$B$85),AND('Ügyfelek'!C40&lt;&gt;"",C40&lt;='Beállítások'!$B$86)),"Igen","Nem"))</f>
        <v/>
      </c>
      <c r="AQ40" s="24">
        <f>IF($A40="","",IF(AP40="Igen",5,IF(AN40&gt;='Beállítások'!$C$108,1,IF(AN40&gt;='Beállítások'!$C$109,2,IF(AN40&gt;='Beállítások'!$C$110,3,IF(AND(AN40&gt;='Beállítások'!$B$87,AI40&gt;='Beállítások'!$B$88,AL40&gt;='Beállítások'!$B$89),4,5))))))</f>
        <v/>
      </c>
      <c r="AR40">
        <f>IF($A40="","",INDEX('Beállítások'!$B$108:$B$112,AQ40))</f>
        <v/>
      </c>
      <c r="AS40">
        <f>IF($A40="","",IF(AQ40=5,"Elutasítjuk",IF(AND(AQ40=4,COUNTIFS('Eredmény'!$AQ$2:$AQ$201,4,'Eredmény'!$DY$2:$DY$201,"&gt;"&amp;DY40)&gt;='Beállítások'!$B$90),"Várólista (a 4-es hely foglalt)","Elfogadjuk")))</f>
        <v/>
      </c>
      <c r="AT40">
        <f>IF($A40="","",INDEX('Beállítások'!$F$108:$F$112,AQ40))</f>
        <v/>
      </c>
      <c r="AU40">
        <f>IF($A40="","",INDEX('Beállítások'!$B$6:$B$38,MATCH(MAX(BK40:CQ40),BK40:CQ40,0)))</f>
        <v/>
      </c>
      <c r="AV40">
        <f>IF($A40="","",IF(MAX(CR40:DX40)=0,"—",INDEX('Beállítások'!$B$6:$B$38,MATCH(MAX(CR40:DX40),CR40:DX40,0))))</f>
        <v/>
      </c>
      <c r="AW40" s="10">
        <f>IF($A40="","",'Beállítások'!$B$94*(TRIM('Ügyfelek'!AI40)="igen")+'Beállítások'!$B$95*(TRIM('Ügyfelek'!AJ40)="igen")+'Beállítások'!$B$96*N('Ügyfelek'!AK40)+'Beállítások'!$B$93*N('Ügyfelek'!AL40))</f>
        <v/>
      </c>
      <c r="AX40" s="25">
        <f>IF(OR($A40="",AQ40=5),"",INDEX('Beállítások'!$D$108:$D$112,AQ40))</f>
        <v/>
      </c>
      <c r="AY40" s="10">
        <f>IF($A40="","",N('Ügyfelek'!U40)*'Beállítások'!$B$98)</f>
        <v/>
      </c>
      <c r="AZ40" s="10">
        <f>IF(OR($A40="",AQ40=5),"",CEILING(ROUND(MAX('Beállítások'!$B$97,AW40*AX40,AY40),2),'Beállítások'!$B$99))</f>
        <v/>
      </c>
      <c r="BA40">
        <f>IF($A40="","",IF(AQ40=5,"Elutasítva",IF(MAX('Beállítások'!$B$97,AW40*AX40,AY40)=AW40*AX40,"Munkaigény × státuszszorzó",IF(MAX('Beállítások'!$B$97,AW40*AX40,AY40)=AY40,"Hirdetési keret arányában","Minimumdíj"))))</f>
        <v/>
      </c>
      <c r="BB40" s="10">
        <f>IF(OR($A40="",'Ügyfelek'!AM40=""),"",'Ügyfelek'!AM40)</f>
        <v/>
      </c>
      <c r="BC40" s="10">
        <f>IF(OR(BB40="",AZ40=""),"",AZ40-BB40)</f>
        <v/>
      </c>
      <c r="BD40" s="18">
        <f>IF(OR(BB40="",AZ40="",BB40=0),"",BC40/BB40)</f>
        <v/>
      </c>
      <c r="BE40">
        <f>IF(OR($A40="",AQ40=5),"",IF(AND(INDEX('Beállítások'!$E$108:$E$112,AQ40)&gt;0,Y40&gt;='Beállítások'!$B$91),"Igen","Nem"))</f>
        <v/>
      </c>
      <c r="BF40" s="10">
        <f>IF(BE40="Igen",CEILING(ROUND(AZ40*(1-'Beállítások'!$B$92),2),'Beállítások'!$B$99),"")</f>
        <v/>
      </c>
      <c r="BG40" s="20">
        <f>IF(BE40="Igen",INDEX('Beállítások'!$E$108:$E$112,AQ40),"")</f>
        <v/>
      </c>
      <c r="BH40" s="10">
        <f>IF(OR(BE40&lt;&gt;"Igen",'Ügyfelek'!AN40=""),"",'Ügyfelek'!AN40*BG40)</f>
        <v/>
      </c>
      <c r="BI40" s="24">
        <f>IF($A40="","",('Ügyfelek'!B40="")+('Ügyfelek'!C40="")+('Ügyfelek'!D40="")+('Ügyfelek'!E40="")+('Ügyfelek'!F40="")+('Ügyfelek'!G40="")+('Ügyfelek'!H40="")+('Ügyfelek'!I40="")+('Ügyfelek'!J40="")+('Ügyfelek'!K40="")+('Ügyfelek'!L40="")+('Ügyfelek'!M40="")+('Ügyfelek'!N40="")+('Ügyfelek'!O40="")+('Ügyfelek'!P40="")+('Ügyfelek'!Q40="")+('Ügyfelek'!R40="")+('Ügyfelek'!S40="")+('Ügyfelek'!T40="")+('Ügyfelek'!U40="")+('Ügyfelek'!V40="")+('Ügyfelek'!W40="")+('Ügyfelek'!X40="")+('Ügyfelek'!Y40="")+('Ügyfelek'!Z40="")+('Ügyfelek'!AA40="")+('Ügyfelek'!AB40="")+('Ügyfelek'!AC40="")+('Ügyfelek'!AD40="")+('Ügyfelek'!AE40="")+('Ügyfelek'!AF40="")+('Ügyfelek'!AG40="")+('Ügyfelek'!AH40=""))</f>
        <v/>
      </c>
      <c r="BK40">
        <f>IF($A40="","",B40+'Beállítások'!$E$6/1000)</f>
        <v/>
      </c>
      <c r="BL40">
        <f>IF($A40="","",C40+'Beállítások'!$E$7/1000)</f>
        <v/>
      </c>
      <c r="BM40">
        <f>IF($A40="","",D40+'Beállítások'!$E$8/1000)</f>
        <v/>
      </c>
      <c r="BN40">
        <f>IF($A40="","",E40+'Beállítások'!$E$9/1000)</f>
        <v/>
      </c>
      <c r="BO40">
        <f>IF($A40="","",F40+'Beállítások'!$E$10/1000)</f>
        <v/>
      </c>
      <c r="BP40">
        <f>IF($A40="","",G40+'Beállítások'!$E$11/1000)</f>
        <v/>
      </c>
      <c r="BQ40">
        <f>IF($A40="","",H40+'Beállítások'!$E$12/1000)</f>
        <v/>
      </c>
      <c r="BR40">
        <f>IF($A40="","",I40+'Beállítások'!$E$13/1000)</f>
        <v/>
      </c>
      <c r="BS40">
        <f>IF($A40="","",J40+'Beállítások'!$E$14/1000)</f>
        <v/>
      </c>
      <c r="BT40">
        <f>IF($A40="","",K40+'Beállítások'!$E$15/1000)</f>
        <v/>
      </c>
      <c r="BU40">
        <f>IF($A40="","",L40+'Beállítások'!$E$16/1000)</f>
        <v/>
      </c>
      <c r="BV40">
        <f>IF($A40="","",M40+'Beállítások'!$E$17/1000)</f>
        <v/>
      </c>
      <c r="BW40">
        <f>IF($A40="","",N40+'Beállítások'!$E$18/1000)</f>
        <v/>
      </c>
      <c r="BX40">
        <f>IF($A40="","",O40+'Beállítások'!$E$19/1000)</f>
        <v/>
      </c>
      <c r="BY40">
        <f>IF($A40="","",P40+'Beállítások'!$E$20/1000)</f>
        <v/>
      </c>
      <c r="BZ40">
        <f>IF($A40="","",Q40+'Beállítások'!$E$21/1000)</f>
        <v/>
      </c>
      <c r="CA40">
        <f>IF($A40="","",R40+'Beállítások'!$E$22/1000)</f>
        <v/>
      </c>
      <c r="CB40">
        <f>IF($A40="","",S40+'Beállítások'!$E$23/1000)</f>
        <v/>
      </c>
      <c r="CC40">
        <f>IF($A40="","",T40+'Beállítások'!$E$24/1000)</f>
        <v/>
      </c>
      <c r="CD40">
        <f>IF($A40="","",U40+'Beállítások'!$E$25/1000)</f>
        <v/>
      </c>
      <c r="CE40">
        <f>IF($A40="","",V40+'Beállítások'!$E$26/1000)</f>
        <v/>
      </c>
      <c r="CF40">
        <f>IF($A40="","",W40+'Beállítások'!$E$27/1000)</f>
        <v/>
      </c>
      <c r="CG40">
        <f>IF($A40="","",X40+'Beállítások'!$E$28/1000)</f>
        <v/>
      </c>
      <c r="CH40">
        <f>IF($A40="","",Y40+'Beállítások'!$E$29/1000)</f>
        <v/>
      </c>
      <c r="CI40">
        <f>IF($A40="","",Z40+'Beállítások'!$E$30/1000)</f>
        <v/>
      </c>
      <c r="CJ40">
        <f>IF($A40="","",AA40+'Beállítások'!$E$31/1000)</f>
        <v/>
      </c>
      <c r="CK40">
        <f>IF($A40="","",AB40+'Beállítások'!$E$32/1000)</f>
        <v/>
      </c>
      <c r="CL40">
        <f>IF($A40="","",AC40+'Beállítások'!$E$33/1000)</f>
        <v/>
      </c>
      <c r="CM40">
        <f>IF($A40="","",AD40+'Beállítások'!$E$34/1000)</f>
        <v/>
      </c>
      <c r="CN40">
        <f>IF($A40="","",AE40+'Beállítások'!$E$35/1000)</f>
        <v/>
      </c>
      <c r="CO40">
        <f>IF($A40="","",AF40+'Beállítások'!$E$36/1000)</f>
        <v/>
      </c>
      <c r="CP40">
        <f>IF($A40="","",AG40+'Beállítások'!$E$37/1000)</f>
        <v/>
      </c>
      <c r="CQ40">
        <f>IF($A40="","",AH40+'Beállítások'!$E$38/1000)</f>
        <v/>
      </c>
      <c r="CR40">
        <f>IF($A40="","",'Beállítások'!$E$6*(10-B40))</f>
        <v/>
      </c>
      <c r="CS40">
        <f>IF($A40="","",'Beállítások'!$E$7*(10-C40))</f>
        <v/>
      </c>
      <c r="CT40">
        <f>IF($A40="","",'Beállítások'!$E$8*(10-D40))</f>
        <v/>
      </c>
      <c r="CU40">
        <f>IF($A40="","",'Beállítások'!$E$9*(10-E40))</f>
        <v/>
      </c>
      <c r="CV40">
        <f>IF($A40="","",'Beállítások'!$E$10*(10-F40))</f>
        <v/>
      </c>
      <c r="CW40">
        <f>IF($A40="","",'Beállítások'!$E$11*(10-G40))</f>
        <v/>
      </c>
      <c r="CX40">
        <f>IF($A40="","",'Beállítások'!$E$12*(10-H40))</f>
        <v/>
      </c>
      <c r="CY40">
        <f>IF($A40="","",'Beállítások'!$E$13*(10-I40))</f>
        <v/>
      </c>
      <c r="CZ40">
        <f>IF($A40="","",'Beállítások'!$E$14*(10-J40))</f>
        <v/>
      </c>
      <c r="DA40">
        <f>IF($A40="","",'Beállítások'!$E$15*(10-K40))</f>
        <v/>
      </c>
      <c r="DB40">
        <f>IF($A40="","",'Beállítások'!$E$16*(10-L40))</f>
        <v/>
      </c>
      <c r="DC40">
        <f>IF($A40="","",'Beállítások'!$E$17*(10-M40))</f>
        <v/>
      </c>
      <c r="DD40">
        <f>IF($A40="","",'Beállítások'!$E$18*(10-N40))</f>
        <v/>
      </c>
      <c r="DE40">
        <f>IF($A40="","",'Beállítások'!$E$19*(10-O40))</f>
        <v/>
      </c>
      <c r="DF40">
        <f>IF($A40="","",'Beállítások'!$E$20*(10-P40))</f>
        <v/>
      </c>
      <c r="DG40">
        <f>IF($A40="","",'Beállítások'!$E$21*(10-Q40))</f>
        <v/>
      </c>
      <c r="DH40">
        <f>IF($A40="","",'Beállítások'!$E$22*(10-R40))</f>
        <v/>
      </c>
      <c r="DI40">
        <f>IF($A40="","",'Beállítások'!$E$23*(10-S40))</f>
        <v/>
      </c>
      <c r="DJ40">
        <f>IF($A40="","",'Beállítások'!$E$24*(10-T40))</f>
        <v/>
      </c>
      <c r="DK40">
        <f>IF($A40="","",'Beállítások'!$E$25*(10-U40))</f>
        <v/>
      </c>
      <c r="DL40">
        <f>IF($A40="","",'Beállítások'!$E$26*(10-V40))</f>
        <v/>
      </c>
      <c r="DM40">
        <f>IF($A40="","",'Beállítások'!$E$27*(10-W40))</f>
        <v/>
      </c>
      <c r="DN40">
        <f>IF($A40="","",'Beállítások'!$E$28*(10-X40))</f>
        <v/>
      </c>
      <c r="DO40">
        <f>IF($A40="","",'Beállítások'!$E$29*(10-Y40))</f>
        <v/>
      </c>
      <c r="DP40">
        <f>IF($A40="","",'Beállítások'!$E$30*(10-Z40))</f>
        <v/>
      </c>
      <c r="DQ40">
        <f>IF($A40="","",'Beállítások'!$E$31*(10-AA40))</f>
        <v/>
      </c>
      <c r="DR40">
        <f>IF($A40="","",'Beállítások'!$E$32*(10-AB40))</f>
        <v/>
      </c>
      <c r="DS40">
        <f>IF($A40="","",'Beállítások'!$E$33*(10-AC40))</f>
        <v/>
      </c>
      <c r="DT40">
        <f>IF($A40="","",'Beállítások'!$E$34*(10-AD40))</f>
        <v/>
      </c>
      <c r="DU40">
        <f>IF($A40="","",'Beállítások'!$E$35*(10-AE40))</f>
        <v/>
      </c>
      <c r="DV40">
        <f>IF($A40="","",'Beállítások'!$E$36*(10-AF40))</f>
        <v/>
      </c>
      <c r="DW40">
        <f>IF($A40="","",'Beállítások'!$E$37*(10-AG40))</f>
        <v/>
      </c>
      <c r="DX40">
        <f>IF($A40="","",'Beállítások'!$E$38*(10-AH40))</f>
        <v/>
      </c>
      <c r="DY40">
        <f>IF($A40="","",AM40-ROW()/100000)</f>
        <v/>
      </c>
    </row>
    <row r="41">
      <c r="A41">
        <f>IF('Ügyfelek'!A41="","",'Ügyfelek'!A41)</f>
        <v/>
      </c>
      <c r="B41">
        <f>IF($A41="","",IF('Ügyfelek'!B41="",'Beállítások'!$B$84,IFERROR(VLOOKUP(TRIM('Ügyfelek'!B41),'Beállítások'!$A$51:$B$59,2,FALSE),'Beállítások'!$B$84)))</f>
        <v/>
      </c>
      <c r="C41">
        <f>IF($A41="","",IF('Ügyfelek'!C41="",'Beállítások'!$B$84,MIN(10,MAX(1,ROUND('Ügyfelek'!C41,0)))))</f>
        <v/>
      </c>
      <c r="D41">
        <f>IF($A41="","",IF('Ügyfelek'!D41="",'Beállítások'!$B$84,MIN(10,MAX(1,ROUND('Ügyfelek'!D41,0)))))</f>
        <v/>
      </c>
      <c r="E41">
        <f>IF($A41="","",IF('Ügyfelek'!E41="",'Beállítások'!$B$84,MIN(10,MAX(1,ROUND('Ügyfelek'!E41,0)))))</f>
        <v/>
      </c>
      <c r="F41">
        <f>IF($A41="","",IF('Ügyfelek'!F41="",'Beállítások'!$B$84,MIN(10,MAX(1,ROUND('Ügyfelek'!F41,0)))))</f>
        <v/>
      </c>
      <c r="G41">
        <f>IF($A41="","",IF('Ügyfelek'!G41="",'Beállítások'!$B$84,MIN(10,MAX(1,ROUND('Ügyfelek'!G41,0)))))</f>
        <v/>
      </c>
      <c r="H41">
        <f>IF($A41="","",IF('Ügyfelek'!H41="",'Beállítások'!$B$84,MIN(10,MAX(1,ROUND('Ügyfelek'!H41,0)))))</f>
        <v/>
      </c>
      <c r="I41">
        <f>IF($A41="","",IF('Ügyfelek'!I41="",'Beállítások'!$B$84,MIN(10,MAX(1,ROUND('Ügyfelek'!I41,0)))))</f>
        <v/>
      </c>
      <c r="J41">
        <f>IF($A41="","",IF('Ügyfelek'!J41="",'Beállítások'!$B$84,MIN(10,MAX(1,ROUND('Ügyfelek'!J41,0)))))</f>
        <v/>
      </c>
      <c r="K41">
        <f>IF($A41="","",IF('Ügyfelek'!K41="",'Beállítások'!$B$84,MIN(10,MAX(1,ROUND('Ügyfelek'!K41,0)))))</f>
        <v/>
      </c>
      <c r="L41">
        <f>IF($A41="","",IF('Ügyfelek'!L41="",'Beállítások'!$B$84,MIN(10,MAX(1,ROUND('Ügyfelek'!L41,0)))))</f>
        <v/>
      </c>
      <c r="M41">
        <f>IF($A41="","",IF('Ügyfelek'!M41="",'Beállítások'!$B$84,MIN(10,MAX(1,ROUND('Ügyfelek'!M41,0)))))</f>
        <v/>
      </c>
      <c r="N41">
        <f>IF($A41="","",IF('Ügyfelek'!N41="",'Beállítások'!$B$84,MIN(10,MAX(1,ROUND('Ügyfelek'!N41,0)))))</f>
        <v/>
      </c>
      <c r="O41">
        <f>IF($A41="","",IF('Ügyfelek'!O41="",'Beállítások'!$B$84,MIN(10,MAX(1,ROUND('Ügyfelek'!O41,0)))))</f>
        <v/>
      </c>
      <c r="P41">
        <f>IF($A41="","",IF('Ügyfelek'!P41="",'Beállítások'!$B$84,MIN(10,MAX(1,ROUND('Ügyfelek'!P41,0)))))</f>
        <v/>
      </c>
      <c r="Q41">
        <f>IF($A41="","",IF('Ügyfelek'!Q41="",'Beállítások'!$B$84,MIN(10,MAX(1,ROUND('Ügyfelek'!Q41,0)))))</f>
        <v/>
      </c>
      <c r="R41">
        <f>IF($A41="","",IF('Ügyfelek'!R41="",'Beállítások'!$B$84,MIN(10,MAX(1,ROUND('Ügyfelek'!R41,0)))))</f>
        <v/>
      </c>
      <c r="S41">
        <f>IF($A41="","",IF('Ügyfelek'!S41="",'Beállítások'!$B$84,MIN(10,MAX(1,ROUND('Ügyfelek'!S41,0)))))</f>
        <v/>
      </c>
      <c r="T41">
        <f>IF($A41="","",IF('Ügyfelek'!T41="",'Beállítások'!$B$84,VLOOKUP(MAX('Ügyfelek'!T41,'Beállítások'!$H$7),'Beállítások'!$H$7:$I$12,2,TRUE)))</f>
        <v/>
      </c>
      <c r="U41">
        <f>IF($A41="","",IF('Ügyfelek'!U41="",'Beállítások'!$B$84,VLOOKUP(MAX('Ügyfelek'!U41,'Beállítások'!$K$7),'Beállítások'!$K$7:$L$12,2,TRUE)))</f>
        <v/>
      </c>
      <c r="V41">
        <f>IF($A41="","",IF('Ügyfelek'!V41="",'Beállítások'!$B$84,MIN(10,MAX(1,ROUND('Ügyfelek'!V41,0)))))</f>
        <v/>
      </c>
      <c r="W41">
        <f>IF($A41="","",IF('Ügyfelek'!W41="",'Beállítások'!$B$84,VLOOKUP(MAX('Ügyfelek'!W41,'Beállítások'!$N$7),'Beállítások'!$N$7:$O$12,2,TRUE)))</f>
        <v/>
      </c>
      <c r="X41">
        <f>IF($A41="","",IF('Ügyfelek'!X41="",'Beállítások'!$B$84,MIN(10,MAX(1,ROUND('Ügyfelek'!X41,0)))))</f>
        <v/>
      </c>
      <c r="Y41">
        <f>IF($A41="","",IF('Ügyfelek'!Y41="",'Beállítások'!$B$84,IFERROR(VLOOKUP(TRIM('Ügyfelek'!Y41),'Beállítások'!$A$63:$B$69,2,FALSE),'Beállítások'!$B$84)))</f>
        <v/>
      </c>
      <c r="Z41">
        <f>IF($A41="","",IF('Ügyfelek'!Z41="",'Beállítások'!$B$84,VLOOKUP(MAX('Ügyfelek'!Z41,'Beállítások'!$Q$7),'Beállítások'!$Q$7:$R$12,2,TRUE)))</f>
        <v/>
      </c>
      <c r="AA41">
        <f>IF($A41="","",IF('Ügyfelek'!AA41="",'Beállítások'!$B$84,VLOOKUP(MAX('Ügyfelek'!AA41,'Beállítások'!$T$7),'Beállítások'!$T$7:$U$12,2,TRUE)))</f>
        <v/>
      </c>
      <c r="AB41">
        <f>IF($A41="","",IF('Ügyfelek'!AB41="",'Beállítások'!$B$84,MIN(10,MAX(1,ROUND('Ügyfelek'!AB41,0)))))</f>
        <v/>
      </c>
      <c r="AC41">
        <f>IF($A41="","",IF('Ügyfelek'!AC41="",'Beállítások'!$B$84,MIN(10,MAX(1,ROUND('Ügyfelek'!AC41,0)))))</f>
        <v/>
      </c>
      <c r="AD41">
        <f>IF($A41="","",IF('Ügyfelek'!AD41="",'Beállítások'!$B$84,MIN(10,MAX(1,ROUND('Ügyfelek'!AD41,0)))))</f>
        <v/>
      </c>
      <c r="AE41">
        <f>IF($A41="","",IF('Ügyfelek'!AE41="",'Beállítások'!$B$84,MIN(10,MAX(1,ROUND('Ügyfelek'!AE41,0)))))</f>
        <v/>
      </c>
      <c r="AF41">
        <f>IF($A41="","",IF('Ügyfelek'!AF41="",'Beállítások'!$B$84,MIN(10,MAX(1,ROUND('Ügyfelek'!AF41,0)))))</f>
        <v/>
      </c>
      <c r="AG41">
        <f>IF($A41="","",IF('Ügyfelek'!AG41="",'Beállítások'!$B$84,MIN(10,MAX(1,ROUND('Ügyfelek'!AG41,0)))))</f>
        <v/>
      </c>
      <c r="AH41">
        <f>IF($A41="","",IF('Ügyfelek'!AH41="",'Beállítások'!$B$84,IFERROR(VLOOKUP(TRIM('Ügyfelek'!AH41),'Beállítások'!$A$73:$B$79,2,FALSE),'Beállítások'!$B$84)))</f>
        <v/>
      </c>
      <c r="AI41" s="23">
        <f>IF($A41="","",ROUND(100*('Beállítások'!$E$6*(B41-1)+'Beállítások'!$E$7*(C41-1))/(9*'Beállítások'!$B$43),1))</f>
        <v/>
      </c>
      <c r="AJ41" s="23">
        <f>IF($A41="","",ROUND(100*('Beállítások'!$E$8*(D41-1)+'Beállítások'!$E$9*(E41-1)+'Beállítások'!$E$10*(F41-1)+'Beállítások'!$E$11*(G41-1)+'Beállítások'!$E$12*(H41-1)+'Beállítások'!$E$13*(I41-1)+'Beállítások'!$E$14*(J41-1)+'Beállítások'!$E$15*(K41-1)+'Beállítások'!$E$16*(L41-1)+'Beállítások'!$E$17*(M41-1)+'Beállítások'!$E$18*(N41-1)+'Beállítások'!$E$19*(O41-1)+'Beállítások'!$E$20*(P41-1)+'Beállítások'!$E$21*(Q41-1)+'Beállítások'!$E$22*(R41-1))/(9*'Beállítások'!$B$44),1))</f>
        <v/>
      </c>
      <c r="AK41" s="23">
        <f>IF($A41="","",ROUND(100*('Beállítások'!$E$23*(S41-1)+'Beállítások'!$E$24*(T41-1)+'Beállítások'!$E$25*(U41-1)+'Beállítások'!$E$26*(V41-1)+'Beállítások'!$E$27*(W41-1)+'Beállítások'!$E$28*(X41-1)+'Beállítások'!$E$29*(Y41-1))/(9*'Beállítások'!$B$45),1))</f>
        <v/>
      </c>
      <c r="AL41" s="23">
        <f>IF($A41="","",ROUND(100*('Beállítások'!$E$30*(Z41-1)+'Beállítások'!$E$31*(AA41-1)+'Beállítások'!$E$32*(AB41-1)+'Beállítások'!$E$33*(AC41-1)+'Beállítások'!$E$34*(AD41-1)+'Beállítások'!$E$35*(AE41-1)+'Beállítások'!$E$36*(AF41-1)+'Beállítások'!$E$37*(AG41-1)+'Beállítások'!$E$38*(AH41-1))/(9*'Beállítások'!$B$46),1))</f>
        <v/>
      </c>
      <c r="AM41" s="23">
        <f>IF($A41="","",ROUND(100*('Beállítások'!$E$6*(B41-1)+'Beállítások'!$E$7*(C41-1)+'Beállítások'!$E$8*(D41-1)+'Beállítások'!$E$9*(E41-1)+'Beállítások'!$E$10*(F41-1)+'Beállítások'!$E$11*(G41-1)+'Beállítások'!$E$12*(H41-1)+'Beállítások'!$E$13*(I41-1)+'Beállítások'!$E$14*(J41-1)+'Beállítások'!$E$15*(K41-1)+'Beállítások'!$E$16*(L41-1)+'Beállítások'!$E$17*(M41-1)+'Beállítások'!$E$18*(N41-1)+'Beállítások'!$E$19*(O41-1)+'Beállítások'!$E$20*(P41-1)+'Beállítások'!$E$21*(Q41-1)+'Beállítások'!$E$22*(R41-1)+'Beállítások'!$E$23*(S41-1)+'Beállítások'!$E$24*(T41-1)+'Beállítások'!$E$25*(U41-1)+'Beállítások'!$E$26*(V41-1)+'Beállítások'!$E$27*(W41-1)+'Beállítások'!$E$28*(X41-1)+'Beállítások'!$E$29*(Y41-1)+'Beállítások'!$E$30*(Z41-1)+'Beállítások'!$E$31*(AA41-1)+'Beállítások'!$E$32*(AB41-1)+'Beállítások'!$E$33*(AC41-1)+'Beállítások'!$E$34*(AD41-1)+'Beállítások'!$E$35*(AE41-1)+'Beállítások'!$E$36*(AF41-1)+'Beállítások'!$E$37*(AG41-1)+'Beállítások'!$E$38*(AH41-1))/(9*'Beállítások'!$E$39),1))</f>
        <v/>
      </c>
      <c r="AN41" s="23">
        <f>IF($A41="","",ROUND(100*('Beállítások'!$E$8*(D41-1)+'Beállítások'!$E$9*(E41-1)+'Beállítások'!$E$10*(F41-1)+'Beállítások'!$E$11*(G41-1)+'Beállítások'!$E$12*(H41-1)+'Beállítások'!$E$13*(I41-1)+'Beállítások'!$E$14*(J41-1)+'Beállítások'!$E$15*(K41-1)+'Beállítások'!$E$16*(L41-1)+'Beállítások'!$E$17*(M41-1)+'Beállítások'!$E$18*(N41-1)+'Beállítások'!$E$19*(O41-1)+'Beállítások'!$E$20*(P41-1)+'Beállítások'!$E$21*(Q41-1)+'Beállítások'!$E$22*(R41-1)+'Beállítások'!$E$23*(S41-1)+'Beállítások'!$E$24*(T41-1)+'Beállítások'!$E$25*(U41-1)+'Beállítások'!$E$26*(V41-1)+'Beállítások'!$E$27*(W41-1)+'Beállítások'!$E$28*(X41-1)+'Beállítások'!$E$29*(Y41-1))/(9*('Beállítások'!$B$44+'Beállítások'!$B$45)),1))</f>
        <v/>
      </c>
      <c r="AO41" s="24">
        <f>IF($A41="","",RANK(AM41,$AM$2:$AM$201))</f>
        <v/>
      </c>
      <c r="AP41">
        <f>IF($A41="","",IF(OR(AND('Ügyfelek'!B41&lt;&gt;"",B41&lt;='Beállítások'!$B$85),AND('Ügyfelek'!C41&lt;&gt;"",C41&lt;='Beállítások'!$B$86)),"Igen","Nem"))</f>
        <v/>
      </c>
      <c r="AQ41" s="24">
        <f>IF($A41="","",IF(AP41="Igen",5,IF(AN41&gt;='Beállítások'!$C$108,1,IF(AN41&gt;='Beállítások'!$C$109,2,IF(AN41&gt;='Beállítások'!$C$110,3,IF(AND(AN41&gt;='Beállítások'!$B$87,AI41&gt;='Beállítások'!$B$88,AL41&gt;='Beállítások'!$B$89),4,5))))))</f>
        <v/>
      </c>
      <c r="AR41">
        <f>IF($A41="","",INDEX('Beállítások'!$B$108:$B$112,AQ41))</f>
        <v/>
      </c>
      <c r="AS41">
        <f>IF($A41="","",IF(AQ41=5,"Elutasítjuk",IF(AND(AQ41=4,COUNTIFS('Eredmény'!$AQ$2:$AQ$201,4,'Eredmény'!$DY$2:$DY$201,"&gt;"&amp;DY41)&gt;='Beállítások'!$B$90),"Várólista (a 4-es hely foglalt)","Elfogadjuk")))</f>
        <v/>
      </c>
      <c r="AT41">
        <f>IF($A41="","",INDEX('Beállítások'!$F$108:$F$112,AQ41))</f>
        <v/>
      </c>
      <c r="AU41">
        <f>IF($A41="","",INDEX('Beállítások'!$B$6:$B$38,MATCH(MAX(BK41:CQ41),BK41:CQ41,0)))</f>
        <v/>
      </c>
      <c r="AV41">
        <f>IF($A41="","",IF(MAX(CR41:DX41)=0,"—",INDEX('Beállítások'!$B$6:$B$38,MATCH(MAX(CR41:DX41),CR41:DX41,0))))</f>
        <v/>
      </c>
      <c r="AW41" s="10">
        <f>IF($A41="","",'Beállítások'!$B$94*(TRIM('Ügyfelek'!AI41)="igen")+'Beállítások'!$B$95*(TRIM('Ügyfelek'!AJ41)="igen")+'Beállítások'!$B$96*N('Ügyfelek'!AK41)+'Beállítások'!$B$93*N('Ügyfelek'!AL41))</f>
        <v/>
      </c>
      <c r="AX41" s="25">
        <f>IF(OR($A41="",AQ41=5),"",INDEX('Beállítások'!$D$108:$D$112,AQ41))</f>
        <v/>
      </c>
      <c r="AY41" s="10">
        <f>IF($A41="","",N('Ügyfelek'!U41)*'Beállítások'!$B$98)</f>
        <v/>
      </c>
      <c r="AZ41" s="10">
        <f>IF(OR($A41="",AQ41=5),"",CEILING(ROUND(MAX('Beállítások'!$B$97,AW41*AX41,AY41),2),'Beállítások'!$B$99))</f>
        <v/>
      </c>
      <c r="BA41">
        <f>IF($A41="","",IF(AQ41=5,"Elutasítva",IF(MAX('Beállítások'!$B$97,AW41*AX41,AY41)=AW41*AX41,"Munkaigény × státuszszorzó",IF(MAX('Beállítások'!$B$97,AW41*AX41,AY41)=AY41,"Hirdetési keret arányában","Minimumdíj"))))</f>
        <v/>
      </c>
      <c r="BB41" s="10">
        <f>IF(OR($A41="",'Ügyfelek'!AM41=""),"",'Ügyfelek'!AM41)</f>
        <v/>
      </c>
      <c r="BC41" s="10">
        <f>IF(OR(BB41="",AZ41=""),"",AZ41-BB41)</f>
        <v/>
      </c>
      <c r="BD41" s="18">
        <f>IF(OR(BB41="",AZ41="",BB41=0),"",BC41/BB41)</f>
        <v/>
      </c>
      <c r="BE41">
        <f>IF(OR($A41="",AQ41=5),"",IF(AND(INDEX('Beállítások'!$E$108:$E$112,AQ41)&gt;0,Y41&gt;='Beállítások'!$B$91),"Igen","Nem"))</f>
        <v/>
      </c>
      <c r="BF41" s="10">
        <f>IF(BE41="Igen",CEILING(ROUND(AZ41*(1-'Beállítások'!$B$92),2),'Beállítások'!$B$99),"")</f>
        <v/>
      </c>
      <c r="BG41" s="20">
        <f>IF(BE41="Igen",INDEX('Beállítások'!$E$108:$E$112,AQ41),"")</f>
        <v/>
      </c>
      <c r="BH41" s="10">
        <f>IF(OR(BE41&lt;&gt;"Igen",'Ügyfelek'!AN41=""),"",'Ügyfelek'!AN41*BG41)</f>
        <v/>
      </c>
      <c r="BI41" s="24">
        <f>IF($A41="","",('Ügyfelek'!B41="")+('Ügyfelek'!C41="")+('Ügyfelek'!D41="")+('Ügyfelek'!E41="")+('Ügyfelek'!F41="")+('Ügyfelek'!G41="")+('Ügyfelek'!H41="")+('Ügyfelek'!I41="")+('Ügyfelek'!J41="")+('Ügyfelek'!K41="")+('Ügyfelek'!L41="")+('Ügyfelek'!M41="")+('Ügyfelek'!N41="")+('Ügyfelek'!O41="")+('Ügyfelek'!P41="")+('Ügyfelek'!Q41="")+('Ügyfelek'!R41="")+('Ügyfelek'!S41="")+('Ügyfelek'!T41="")+('Ügyfelek'!U41="")+('Ügyfelek'!V41="")+('Ügyfelek'!W41="")+('Ügyfelek'!X41="")+('Ügyfelek'!Y41="")+('Ügyfelek'!Z41="")+('Ügyfelek'!AA41="")+('Ügyfelek'!AB41="")+('Ügyfelek'!AC41="")+('Ügyfelek'!AD41="")+('Ügyfelek'!AE41="")+('Ügyfelek'!AF41="")+('Ügyfelek'!AG41="")+('Ügyfelek'!AH41=""))</f>
        <v/>
      </c>
      <c r="BK41">
        <f>IF($A41="","",B41+'Beállítások'!$E$6/1000)</f>
        <v/>
      </c>
      <c r="BL41">
        <f>IF($A41="","",C41+'Beállítások'!$E$7/1000)</f>
        <v/>
      </c>
      <c r="BM41">
        <f>IF($A41="","",D41+'Beállítások'!$E$8/1000)</f>
        <v/>
      </c>
      <c r="BN41">
        <f>IF($A41="","",E41+'Beállítások'!$E$9/1000)</f>
        <v/>
      </c>
      <c r="BO41">
        <f>IF($A41="","",F41+'Beállítások'!$E$10/1000)</f>
        <v/>
      </c>
      <c r="BP41">
        <f>IF($A41="","",G41+'Beállítások'!$E$11/1000)</f>
        <v/>
      </c>
      <c r="BQ41">
        <f>IF($A41="","",H41+'Beállítások'!$E$12/1000)</f>
        <v/>
      </c>
      <c r="BR41">
        <f>IF($A41="","",I41+'Beállítások'!$E$13/1000)</f>
        <v/>
      </c>
      <c r="BS41">
        <f>IF($A41="","",J41+'Beállítások'!$E$14/1000)</f>
        <v/>
      </c>
      <c r="BT41">
        <f>IF($A41="","",K41+'Beállítások'!$E$15/1000)</f>
        <v/>
      </c>
      <c r="BU41">
        <f>IF($A41="","",L41+'Beállítások'!$E$16/1000)</f>
        <v/>
      </c>
      <c r="BV41">
        <f>IF($A41="","",M41+'Beállítások'!$E$17/1000)</f>
        <v/>
      </c>
      <c r="BW41">
        <f>IF($A41="","",N41+'Beállítások'!$E$18/1000)</f>
        <v/>
      </c>
      <c r="BX41">
        <f>IF($A41="","",O41+'Beállítások'!$E$19/1000)</f>
        <v/>
      </c>
      <c r="BY41">
        <f>IF($A41="","",P41+'Beállítások'!$E$20/1000)</f>
        <v/>
      </c>
      <c r="BZ41">
        <f>IF($A41="","",Q41+'Beállítások'!$E$21/1000)</f>
        <v/>
      </c>
      <c r="CA41">
        <f>IF($A41="","",R41+'Beállítások'!$E$22/1000)</f>
        <v/>
      </c>
      <c r="CB41">
        <f>IF($A41="","",S41+'Beállítások'!$E$23/1000)</f>
        <v/>
      </c>
      <c r="CC41">
        <f>IF($A41="","",T41+'Beállítások'!$E$24/1000)</f>
        <v/>
      </c>
      <c r="CD41">
        <f>IF($A41="","",U41+'Beállítások'!$E$25/1000)</f>
        <v/>
      </c>
      <c r="CE41">
        <f>IF($A41="","",V41+'Beállítások'!$E$26/1000)</f>
        <v/>
      </c>
      <c r="CF41">
        <f>IF($A41="","",W41+'Beállítások'!$E$27/1000)</f>
        <v/>
      </c>
      <c r="CG41">
        <f>IF($A41="","",X41+'Beállítások'!$E$28/1000)</f>
        <v/>
      </c>
      <c r="CH41">
        <f>IF($A41="","",Y41+'Beállítások'!$E$29/1000)</f>
        <v/>
      </c>
      <c r="CI41">
        <f>IF($A41="","",Z41+'Beállítások'!$E$30/1000)</f>
        <v/>
      </c>
      <c r="CJ41">
        <f>IF($A41="","",AA41+'Beállítások'!$E$31/1000)</f>
        <v/>
      </c>
      <c r="CK41">
        <f>IF($A41="","",AB41+'Beállítások'!$E$32/1000)</f>
        <v/>
      </c>
      <c r="CL41">
        <f>IF($A41="","",AC41+'Beállítások'!$E$33/1000)</f>
        <v/>
      </c>
      <c r="CM41">
        <f>IF($A41="","",AD41+'Beállítások'!$E$34/1000)</f>
        <v/>
      </c>
      <c r="CN41">
        <f>IF($A41="","",AE41+'Beállítások'!$E$35/1000)</f>
        <v/>
      </c>
      <c r="CO41">
        <f>IF($A41="","",AF41+'Beállítások'!$E$36/1000)</f>
        <v/>
      </c>
      <c r="CP41">
        <f>IF($A41="","",AG41+'Beállítások'!$E$37/1000)</f>
        <v/>
      </c>
      <c r="CQ41">
        <f>IF($A41="","",AH41+'Beállítások'!$E$38/1000)</f>
        <v/>
      </c>
      <c r="CR41">
        <f>IF($A41="","",'Beállítások'!$E$6*(10-B41))</f>
        <v/>
      </c>
      <c r="CS41">
        <f>IF($A41="","",'Beállítások'!$E$7*(10-C41))</f>
        <v/>
      </c>
      <c r="CT41">
        <f>IF($A41="","",'Beállítások'!$E$8*(10-D41))</f>
        <v/>
      </c>
      <c r="CU41">
        <f>IF($A41="","",'Beállítások'!$E$9*(10-E41))</f>
        <v/>
      </c>
      <c r="CV41">
        <f>IF($A41="","",'Beállítások'!$E$10*(10-F41))</f>
        <v/>
      </c>
      <c r="CW41">
        <f>IF($A41="","",'Beállítások'!$E$11*(10-G41))</f>
        <v/>
      </c>
      <c r="CX41">
        <f>IF($A41="","",'Beállítások'!$E$12*(10-H41))</f>
        <v/>
      </c>
      <c r="CY41">
        <f>IF($A41="","",'Beállítások'!$E$13*(10-I41))</f>
        <v/>
      </c>
      <c r="CZ41">
        <f>IF($A41="","",'Beállítások'!$E$14*(10-J41))</f>
        <v/>
      </c>
      <c r="DA41">
        <f>IF($A41="","",'Beállítások'!$E$15*(10-K41))</f>
        <v/>
      </c>
      <c r="DB41">
        <f>IF($A41="","",'Beállítások'!$E$16*(10-L41))</f>
        <v/>
      </c>
      <c r="DC41">
        <f>IF($A41="","",'Beállítások'!$E$17*(10-M41))</f>
        <v/>
      </c>
      <c r="DD41">
        <f>IF($A41="","",'Beállítások'!$E$18*(10-N41))</f>
        <v/>
      </c>
      <c r="DE41">
        <f>IF($A41="","",'Beállítások'!$E$19*(10-O41))</f>
        <v/>
      </c>
      <c r="DF41">
        <f>IF($A41="","",'Beállítások'!$E$20*(10-P41))</f>
        <v/>
      </c>
      <c r="DG41">
        <f>IF($A41="","",'Beállítások'!$E$21*(10-Q41))</f>
        <v/>
      </c>
      <c r="DH41">
        <f>IF($A41="","",'Beállítások'!$E$22*(10-R41))</f>
        <v/>
      </c>
      <c r="DI41">
        <f>IF($A41="","",'Beállítások'!$E$23*(10-S41))</f>
        <v/>
      </c>
      <c r="DJ41">
        <f>IF($A41="","",'Beállítások'!$E$24*(10-T41))</f>
        <v/>
      </c>
      <c r="DK41">
        <f>IF($A41="","",'Beállítások'!$E$25*(10-U41))</f>
        <v/>
      </c>
      <c r="DL41">
        <f>IF($A41="","",'Beállítások'!$E$26*(10-V41))</f>
        <v/>
      </c>
      <c r="DM41">
        <f>IF($A41="","",'Beállítások'!$E$27*(10-W41))</f>
        <v/>
      </c>
      <c r="DN41">
        <f>IF($A41="","",'Beállítások'!$E$28*(10-X41))</f>
        <v/>
      </c>
      <c r="DO41">
        <f>IF($A41="","",'Beállítások'!$E$29*(10-Y41))</f>
        <v/>
      </c>
      <c r="DP41">
        <f>IF($A41="","",'Beállítások'!$E$30*(10-Z41))</f>
        <v/>
      </c>
      <c r="DQ41">
        <f>IF($A41="","",'Beállítások'!$E$31*(10-AA41))</f>
        <v/>
      </c>
      <c r="DR41">
        <f>IF($A41="","",'Beállítások'!$E$32*(10-AB41))</f>
        <v/>
      </c>
      <c r="DS41">
        <f>IF($A41="","",'Beállítások'!$E$33*(10-AC41))</f>
        <v/>
      </c>
      <c r="DT41">
        <f>IF($A41="","",'Beállítások'!$E$34*(10-AD41))</f>
        <v/>
      </c>
      <c r="DU41">
        <f>IF($A41="","",'Beállítások'!$E$35*(10-AE41))</f>
        <v/>
      </c>
      <c r="DV41">
        <f>IF($A41="","",'Beállítások'!$E$36*(10-AF41))</f>
        <v/>
      </c>
      <c r="DW41">
        <f>IF($A41="","",'Beállítások'!$E$37*(10-AG41))</f>
        <v/>
      </c>
      <c r="DX41">
        <f>IF($A41="","",'Beállítások'!$E$38*(10-AH41))</f>
        <v/>
      </c>
      <c r="DY41">
        <f>IF($A41="","",AM41-ROW()/100000)</f>
        <v/>
      </c>
    </row>
    <row r="42">
      <c r="A42">
        <f>IF('Ügyfelek'!A42="","",'Ügyfelek'!A42)</f>
        <v/>
      </c>
      <c r="B42">
        <f>IF($A42="","",IF('Ügyfelek'!B42="",'Beállítások'!$B$84,IFERROR(VLOOKUP(TRIM('Ügyfelek'!B42),'Beállítások'!$A$51:$B$59,2,FALSE),'Beállítások'!$B$84)))</f>
        <v/>
      </c>
      <c r="C42">
        <f>IF($A42="","",IF('Ügyfelek'!C42="",'Beállítások'!$B$84,MIN(10,MAX(1,ROUND('Ügyfelek'!C42,0)))))</f>
        <v/>
      </c>
      <c r="D42">
        <f>IF($A42="","",IF('Ügyfelek'!D42="",'Beállítások'!$B$84,MIN(10,MAX(1,ROUND('Ügyfelek'!D42,0)))))</f>
        <v/>
      </c>
      <c r="E42">
        <f>IF($A42="","",IF('Ügyfelek'!E42="",'Beállítások'!$B$84,MIN(10,MAX(1,ROUND('Ügyfelek'!E42,0)))))</f>
        <v/>
      </c>
      <c r="F42">
        <f>IF($A42="","",IF('Ügyfelek'!F42="",'Beállítások'!$B$84,MIN(10,MAX(1,ROUND('Ügyfelek'!F42,0)))))</f>
        <v/>
      </c>
      <c r="G42">
        <f>IF($A42="","",IF('Ügyfelek'!G42="",'Beállítások'!$B$84,MIN(10,MAX(1,ROUND('Ügyfelek'!G42,0)))))</f>
        <v/>
      </c>
      <c r="H42">
        <f>IF($A42="","",IF('Ügyfelek'!H42="",'Beállítások'!$B$84,MIN(10,MAX(1,ROUND('Ügyfelek'!H42,0)))))</f>
        <v/>
      </c>
      <c r="I42">
        <f>IF($A42="","",IF('Ügyfelek'!I42="",'Beállítások'!$B$84,MIN(10,MAX(1,ROUND('Ügyfelek'!I42,0)))))</f>
        <v/>
      </c>
      <c r="J42">
        <f>IF($A42="","",IF('Ügyfelek'!J42="",'Beállítások'!$B$84,MIN(10,MAX(1,ROUND('Ügyfelek'!J42,0)))))</f>
        <v/>
      </c>
      <c r="K42">
        <f>IF($A42="","",IF('Ügyfelek'!K42="",'Beállítások'!$B$84,MIN(10,MAX(1,ROUND('Ügyfelek'!K42,0)))))</f>
        <v/>
      </c>
      <c r="L42">
        <f>IF($A42="","",IF('Ügyfelek'!L42="",'Beállítások'!$B$84,MIN(10,MAX(1,ROUND('Ügyfelek'!L42,0)))))</f>
        <v/>
      </c>
      <c r="M42">
        <f>IF($A42="","",IF('Ügyfelek'!M42="",'Beállítások'!$B$84,MIN(10,MAX(1,ROUND('Ügyfelek'!M42,0)))))</f>
        <v/>
      </c>
      <c r="N42">
        <f>IF($A42="","",IF('Ügyfelek'!N42="",'Beállítások'!$B$84,MIN(10,MAX(1,ROUND('Ügyfelek'!N42,0)))))</f>
        <v/>
      </c>
      <c r="O42">
        <f>IF($A42="","",IF('Ügyfelek'!O42="",'Beállítások'!$B$84,MIN(10,MAX(1,ROUND('Ügyfelek'!O42,0)))))</f>
        <v/>
      </c>
      <c r="P42">
        <f>IF($A42="","",IF('Ügyfelek'!P42="",'Beállítások'!$B$84,MIN(10,MAX(1,ROUND('Ügyfelek'!P42,0)))))</f>
        <v/>
      </c>
      <c r="Q42">
        <f>IF($A42="","",IF('Ügyfelek'!Q42="",'Beállítások'!$B$84,MIN(10,MAX(1,ROUND('Ügyfelek'!Q42,0)))))</f>
        <v/>
      </c>
      <c r="R42">
        <f>IF($A42="","",IF('Ügyfelek'!R42="",'Beállítások'!$B$84,MIN(10,MAX(1,ROUND('Ügyfelek'!R42,0)))))</f>
        <v/>
      </c>
      <c r="S42">
        <f>IF($A42="","",IF('Ügyfelek'!S42="",'Beállítások'!$B$84,MIN(10,MAX(1,ROUND('Ügyfelek'!S42,0)))))</f>
        <v/>
      </c>
      <c r="T42">
        <f>IF($A42="","",IF('Ügyfelek'!T42="",'Beállítások'!$B$84,VLOOKUP(MAX('Ügyfelek'!T42,'Beállítások'!$H$7),'Beállítások'!$H$7:$I$12,2,TRUE)))</f>
        <v/>
      </c>
      <c r="U42">
        <f>IF($A42="","",IF('Ügyfelek'!U42="",'Beállítások'!$B$84,VLOOKUP(MAX('Ügyfelek'!U42,'Beállítások'!$K$7),'Beállítások'!$K$7:$L$12,2,TRUE)))</f>
        <v/>
      </c>
      <c r="V42">
        <f>IF($A42="","",IF('Ügyfelek'!V42="",'Beállítások'!$B$84,MIN(10,MAX(1,ROUND('Ügyfelek'!V42,0)))))</f>
        <v/>
      </c>
      <c r="W42">
        <f>IF($A42="","",IF('Ügyfelek'!W42="",'Beállítások'!$B$84,VLOOKUP(MAX('Ügyfelek'!W42,'Beállítások'!$N$7),'Beállítások'!$N$7:$O$12,2,TRUE)))</f>
        <v/>
      </c>
      <c r="X42">
        <f>IF($A42="","",IF('Ügyfelek'!X42="",'Beállítások'!$B$84,MIN(10,MAX(1,ROUND('Ügyfelek'!X42,0)))))</f>
        <v/>
      </c>
      <c r="Y42">
        <f>IF($A42="","",IF('Ügyfelek'!Y42="",'Beállítások'!$B$84,IFERROR(VLOOKUP(TRIM('Ügyfelek'!Y42),'Beállítások'!$A$63:$B$69,2,FALSE),'Beállítások'!$B$84)))</f>
        <v/>
      </c>
      <c r="Z42">
        <f>IF($A42="","",IF('Ügyfelek'!Z42="",'Beállítások'!$B$84,VLOOKUP(MAX('Ügyfelek'!Z42,'Beállítások'!$Q$7),'Beállítások'!$Q$7:$R$12,2,TRUE)))</f>
        <v/>
      </c>
      <c r="AA42">
        <f>IF($A42="","",IF('Ügyfelek'!AA42="",'Beállítások'!$B$84,VLOOKUP(MAX('Ügyfelek'!AA42,'Beállítások'!$T$7),'Beállítások'!$T$7:$U$12,2,TRUE)))</f>
        <v/>
      </c>
      <c r="AB42">
        <f>IF($A42="","",IF('Ügyfelek'!AB42="",'Beállítások'!$B$84,MIN(10,MAX(1,ROUND('Ügyfelek'!AB42,0)))))</f>
        <v/>
      </c>
      <c r="AC42">
        <f>IF($A42="","",IF('Ügyfelek'!AC42="",'Beállítások'!$B$84,MIN(10,MAX(1,ROUND('Ügyfelek'!AC42,0)))))</f>
        <v/>
      </c>
      <c r="AD42">
        <f>IF($A42="","",IF('Ügyfelek'!AD42="",'Beállítások'!$B$84,MIN(10,MAX(1,ROUND('Ügyfelek'!AD42,0)))))</f>
        <v/>
      </c>
      <c r="AE42">
        <f>IF($A42="","",IF('Ügyfelek'!AE42="",'Beállítások'!$B$84,MIN(10,MAX(1,ROUND('Ügyfelek'!AE42,0)))))</f>
        <v/>
      </c>
      <c r="AF42">
        <f>IF($A42="","",IF('Ügyfelek'!AF42="",'Beállítások'!$B$84,MIN(10,MAX(1,ROUND('Ügyfelek'!AF42,0)))))</f>
        <v/>
      </c>
      <c r="AG42">
        <f>IF($A42="","",IF('Ügyfelek'!AG42="",'Beállítások'!$B$84,MIN(10,MAX(1,ROUND('Ügyfelek'!AG42,0)))))</f>
        <v/>
      </c>
      <c r="AH42">
        <f>IF($A42="","",IF('Ügyfelek'!AH42="",'Beállítások'!$B$84,IFERROR(VLOOKUP(TRIM('Ügyfelek'!AH42),'Beállítások'!$A$73:$B$79,2,FALSE),'Beállítások'!$B$84)))</f>
        <v/>
      </c>
      <c r="AI42" s="23">
        <f>IF($A42="","",ROUND(100*('Beállítások'!$E$6*(B42-1)+'Beállítások'!$E$7*(C42-1))/(9*'Beállítások'!$B$43),1))</f>
        <v/>
      </c>
      <c r="AJ42" s="23">
        <f>IF($A42="","",ROUND(100*('Beállítások'!$E$8*(D42-1)+'Beállítások'!$E$9*(E42-1)+'Beállítások'!$E$10*(F42-1)+'Beállítások'!$E$11*(G42-1)+'Beállítások'!$E$12*(H42-1)+'Beállítások'!$E$13*(I42-1)+'Beállítások'!$E$14*(J42-1)+'Beállítások'!$E$15*(K42-1)+'Beállítások'!$E$16*(L42-1)+'Beállítások'!$E$17*(M42-1)+'Beállítások'!$E$18*(N42-1)+'Beállítások'!$E$19*(O42-1)+'Beállítások'!$E$20*(P42-1)+'Beállítások'!$E$21*(Q42-1)+'Beállítások'!$E$22*(R42-1))/(9*'Beállítások'!$B$44),1))</f>
        <v/>
      </c>
      <c r="AK42" s="23">
        <f>IF($A42="","",ROUND(100*('Beállítások'!$E$23*(S42-1)+'Beállítások'!$E$24*(T42-1)+'Beállítások'!$E$25*(U42-1)+'Beállítások'!$E$26*(V42-1)+'Beállítások'!$E$27*(W42-1)+'Beállítások'!$E$28*(X42-1)+'Beállítások'!$E$29*(Y42-1))/(9*'Beállítások'!$B$45),1))</f>
        <v/>
      </c>
      <c r="AL42" s="23">
        <f>IF($A42="","",ROUND(100*('Beállítások'!$E$30*(Z42-1)+'Beállítások'!$E$31*(AA42-1)+'Beállítások'!$E$32*(AB42-1)+'Beállítások'!$E$33*(AC42-1)+'Beállítások'!$E$34*(AD42-1)+'Beállítások'!$E$35*(AE42-1)+'Beállítások'!$E$36*(AF42-1)+'Beállítások'!$E$37*(AG42-1)+'Beállítások'!$E$38*(AH42-1))/(9*'Beállítások'!$B$46),1))</f>
        <v/>
      </c>
      <c r="AM42" s="23">
        <f>IF($A42="","",ROUND(100*('Beállítások'!$E$6*(B42-1)+'Beállítások'!$E$7*(C42-1)+'Beállítások'!$E$8*(D42-1)+'Beállítások'!$E$9*(E42-1)+'Beállítások'!$E$10*(F42-1)+'Beállítások'!$E$11*(G42-1)+'Beállítások'!$E$12*(H42-1)+'Beállítások'!$E$13*(I42-1)+'Beállítások'!$E$14*(J42-1)+'Beállítások'!$E$15*(K42-1)+'Beállítások'!$E$16*(L42-1)+'Beállítások'!$E$17*(M42-1)+'Beállítások'!$E$18*(N42-1)+'Beállítások'!$E$19*(O42-1)+'Beállítások'!$E$20*(P42-1)+'Beállítások'!$E$21*(Q42-1)+'Beállítások'!$E$22*(R42-1)+'Beállítások'!$E$23*(S42-1)+'Beállítások'!$E$24*(T42-1)+'Beállítások'!$E$25*(U42-1)+'Beállítások'!$E$26*(V42-1)+'Beállítások'!$E$27*(W42-1)+'Beállítások'!$E$28*(X42-1)+'Beállítások'!$E$29*(Y42-1)+'Beállítások'!$E$30*(Z42-1)+'Beállítások'!$E$31*(AA42-1)+'Beállítások'!$E$32*(AB42-1)+'Beállítások'!$E$33*(AC42-1)+'Beállítások'!$E$34*(AD42-1)+'Beállítások'!$E$35*(AE42-1)+'Beállítások'!$E$36*(AF42-1)+'Beállítások'!$E$37*(AG42-1)+'Beállítások'!$E$38*(AH42-1))/(9*'Beállítások'!$E$39),1))</f>
        <v/>
      </c>
      <c r="AN42" s="23">
        <f>IF($A42="","",ROUND(100*('Beállítások'!$E$8*(D42-1)+'Beállítások'!$E$9*(E42-1)+'Beállítások'!$E$10*(F42-1)+'Beállítások'!$E$11*(G42-1)+'Beállítások'!$E$12*(H42-1)+'Beállítások'!$E$13*(I42-1)+'Beállítások'!$E$14*(J42-1)+'Beállítások'!$E$15*(K42-1)+'Beállítások'!$E$16*(L42-1)+'Beállítások'!$E$17*(M42-1)+'Beállítások'!$E$18*(N42-1)+'Beállítások'!$E$19*(O42-1)+'Beállítások'!$E$20*(P42-1)+'Beállítások'!$E$21*(Q42-1)+'Beállítások'!$E$22*(R42-1)+'Beállítások'!$E$23*(S42-1)+'Beállítások'!$E$24*(T42-1)+'Beállítások'!$E$25*(U42-1)+'Beállítások'!$E$26*(V42-1)+'Beállítások'!$E$27*(W42-1)+'Beállítások'!$E$28*(X42-1)+'Beállítások'!$E$29*(Y42-1))/(9*('Beállítások'!$B$44+'Beállítások'!$B$45)),1))</f>
        <v/>
      </c>
      <c r="AO42" s="24">
        <f>IF($A42="","",RANK(AM42,$AM$2:$AM$201))</f>
        <v/>
      </c>
      <c r="AP42">
        <f>IF($A42="","",IF(OR(AND('Ügyfelek'!B42&lt;&gt;"",B42&lt;='Beállítások'!$B$85),AND('Ügyfelek'!C42&lt;&gt;"",C42&lt;='Beállítások'!$B$86)),"Igen","Nem"))</f>
        <v/>
      </c>
      <c r="AQ42" s="24">
        <f>IF($A42="","",IF(AP42="Igen",5,IF(AN42&gt;='Beállítások'!$C$108,1,IF(AN42&gt;='Beállítások'!$C$109,2,IF(AN42&gt;='Beállítások'!$C$110,3,IF(AND(AN42&gt;='Beállítások'!$B$87,AI42&gt;='Beállítások'!$B$88,AL42&gt;='Beállítások'!$B$89),4,5))))))</f>
        <v/>
      </c>
      <c r="AR42">
        <f>IF($A42="","",INDEX('Beállítások'!$B$108:$B$112,AQ42))</f>
        <v/>
      </c>
      <c r="AS42">
        <f>IF($A42="","",IF(AQ42=5,"Elutasítjuk",IF(AND(AQ42=4,COUNTIFS('Eredmény'!$AQ$2:$AQ$201,4,'Eredmény'!$DY$2:$DY$201,"&gt;"&amp;DY42)&gt;='Beállítások'!$B$90),"Várólista (a 4-es hely foglalt)","Elfogadjuk")))</f>
        <v/>
      </c>
      <c r="AT42">
        <f>IF($A42="","",INDEX('Beállítások'!$F$108:$F$112,AQ42))</f>
        <v/>
      </c>
      <c r="AU42">
        <f>IF($A42="","",INDEX('Beállítások'!$B$6:$B$38,MATCH(MAX(BK42:CQ42),BK42:CQ42,0)))</f>
        <v/>
      </c>
      <c r="AV42">
        <f>IF($A42="","",IF(MAX(CR42:DX42)=0,"—",INDEX('Beállítások'!$B$6:$B$38,MATCH(MAX(CR42:DX42),CR42:DX42,0))))</f>
        <v/>
      </c>
      <c r="AW42" s="10">
        <f>IF($A42="","",'Beállítások'!$B$94*(TRIM('Ügyfelek'!AI42)="igen")+'Beállítások'!$B$95*(TRIM('Ügyfelek'!AJ42)="igen")+'Beállítások'!$B$96*N('Ügyfelek'!AK42)+'Beállítások'!$B$93*N('Ügyfelek'!AL42))</f>
        <v/>
      </c>
      <c r="AX42" s="25">
        <f>IF(OR($A42="",AQ42=5),"",INDEX('Beállítások'!$D$108:$D$112,AQ42))</f>
        <v/>
      </c>
      <c r="AY42" s="10">
        <f>IF($A42="","",N('Ügyfelek'!U42)*'Beállítások'!$B$98)</f>
        <v/>
      </c>
      <c r="AZ42" s="10">
        <f>IF(OR($A42="",AQ42=5),"",CEILING(ROUND(MAX('Beállítások'!$B$97,AW42*AX42,AY42),2),'Beállítások'!$B$99))</f>
        <v/>
      </c>
      <c r="BA42">
        <f>IF($A42="","",IF(AQ42=5,"Elutasítva",IF(MAX('Beállítások'!$B$97,AW42*AX42,AY42)=AW42*AX42,"Munkaigény × státuszszorzó",IF(MAX('Beállítások'!$B$97,AW42*AX42,AY42)=AY42,"Hirdetési keret arányában","Minimumdíj"))))</f>
        <v/>
      </c>
      <c r="BB42" s="10">
        <f>IF(OR($A42="",'Ügyfelek'!AM42=""),"",'Ügyfelek'!AM42)</f>
        <v/>
      </c>
      <c r="BC42" s="10">
        <f>IF(OR(BB42="",AZ42=""),"",AZ42-BB42)</f>
        <v/>
      </c>
      <c r="BD42" s="18">
        <f>IF(OR(BB42="",AZ42="",BB42=0),"",BC42/BB42)</f>
        <v/>
      </c>
      <c r="BE42">
        <f>IF(OR($A42="",AQ42=5),"",IF(AND(INDEX('Beállítások'!$E$108:$E$112,AQ42)&gt;0,Y42&gt;='Beállítások'!$B$91),"Igen","Nem"))</f>
        <v/>
      </c>
      <c r="BF42" s="10">
        <f>IF(BE42="Igen",CEILING(ROUND(AZ42*(1-'Beállítások'!$B$92),2),'Beállítások'!$B$99),"")</f>
        <v/>
      </c>
      <c r="BG42" s="20">
        <f>IF(BE42="Igen",INDEX('Beállítások'!$E$108:$E$112,AQ42),"")</f>
        <v/>
      </c>
      <c r="BH42" s="10">
        <f>IF(OR(BE42&lt;&gt;"Igen",'Ügyfelek'!AN42=""),"",'Ügyfelek'!AN42*BG42)</f>
        <v/>
      </c>
      <c r="BI42" s="24">
        <f>IF($A42="","",('Ügyfelek'!B42="")+('Ügyfelek'!C42="")+('Ügyfelek'!D42="")+('Ügyfelek'!E42="")+('Ügyfelek'!F42="")+('Ügyfelek'!G42="")+('Ügyfelek'!H42="")+('Ügyfelek'!I42="")+('Ügyfelek'!J42="")+('Ügyfelek'!K42="")+('Ügyfelek'!L42="")+('Ügyfelek'!M42="")+('Ügyfelek'!N42="")+('Ügyfelek'!O42="")+('Ügyfelek'!P42="")+('Ügyfelek'!Q42="")+('Ügyfelek'!R42="")+('Ügyfelek'!S42="")+('Ügyfelek'!T42="")+('Ügyfelek'!U42="")+('Ügyfelek'!V42="")+('Ügyfelek'!W42="")+('Ügyfelek'!X42="")+('Ügyfelek'!Y42="")+('Ügyfelek'!Z42="")+('Ügyfelek'!AA42="")+('Ügyfelek'!AB42="")+('Ügyfelek'!AC42="")+('Ügyfelek'!AD42="")+('Ügyfelek'!AE42="")+('Ügyfelek'!AF42="")+('Ügyfelek'!AG42="")+('Ügyfelek'!AH42=""))</f>
        <v/>
      </c>
      <c r="BK42">
        <f>IF($A42="","",B42+'Beállítások'!$E$6/1000)</f>
        <v/>
      </c>
      <c r="BL42">
        <f>IF($A42="","",C42+'Beállítások'!$E$7/1000)</f>
        <v/>
      </c>
      <c r="BM42">
        <f>IF($A42="","",D42+'Beállítások'!$E$8/1000)</f>
        <v/>
      </c>
      <c r="BN42">
        <f>IF($A42="","",E42+'Beállítások'!$E$9/1000)</f>
        <v/>
      </c>
      <c r="BO42">
        <f>IF($A42="","",F42+'Beállítások'!$E$10/1000)</f>
        <v/>
      </c>
      <c r="BP42">
        <f>IF($A42="","",G42+'Beállítások'!$E$11/1000)</f>
        <v/>
      </c>
      <c r="BQ42">
        <f>IF($A42="","",H42+'Beállítások'!$E$12/1000)</f>
        <v/>
      </c>
      <c r="BR42">
        <f>IF($A42="","",I42+'Beállítások'!$E$13/1000)</f>
        <v/>
      </c>
      <c r="BS42">
        <f>IF($A42="","",J42+'Beállítások'!$E$14/1000)</f>
        <v/>
      </c>
      <c r="BT42">
        <f>IF($A42="","",K42+'Beállítások'!$E$15/1000)</f>
        <v/>
      </c>
      <c r="BU42">
        <f>IF($A42="","",L42+'Beállítások'!$E$16/1000)</f>
        <v/>
      </c>
      <c r="BV42">
        <f>IF($A42="","",M42+'Beállítások'!$E$17/1000)</f>
        <v/>
      </c>
      <c r="BW42">
        <f>IF($A42="","",N42+'Beállítások'!$E$18/1000)</f>
        <v/>
      </c>
      <c r="BX42">
        <f>IF($A42="","",O42+'Beállítások'!$E$19/1000)</f>
        <v/>
      </c>
      <c r="BY42">
        <f>IF($A42="","",P42+'Beállítások'!$E$20/1000)</f>
        <v/>
      </c>
      <c r="BZ42">
        <f>IF($A42="","",Q42+'Beállítások'!$E$21/1000)</f>
        <v/>
      </c>
      <c r="CA42">
        <f>IF($A42="","",R42+'Beállítások'!$E$22/1000)</f>
        <v/>
      </c>
      <c r="CB42">
        <f>IF($A42="","",S42+'Beállítások'!$E$23/1000)</f>
        <v/>
      </c>
      <c r="CC42">
        <f>IF($A42="","",T42+'Beállítások'!$E$24/1000)</f>
        <v/>
      </c>
      <c r="CD42">
        <f>IF($A42="","",U42+'Beállítások'!$E$25/1000)</f>
        <v/>
      </c>
      <c r="CE42">
        <f>IF($A42="","",V42+'Beállítások'!$E$26/1000)</f>
        <v/>
      </c>
      <c r="CF42">
        <f>IF($A42="","",W42+'Beállítások'!$E$27/1000)</f>
        <v/>
      </c>
      <c r="CG42">
        <f>IF($A42="","",X42+'Beállítások'!$E$28/1000)</f>
        <v/>
      </c>
      <c r="CH42">
        <f>IF($A42="","",Y42+'Beállítások'!$E$29/1000)</f>
        <v/>
      </c>
      <c r="CI42">
        <f>IF($A42="","",Z42+'Beállítások'!$E$30/1000)</f>
        <v/>
      </c>
      <c r="CJ42">
        <f>IF($A42="","",AA42+'Beállítások'!$E$31/1000)</f>
        <v/>
      </c>
      <c r="CK42">
        <f>IF($A42="","",AB42+'Beállítások'!$E$32/1000)</f>
        <v/>
      </c>
      <c r="CL42">
        <f>IF($A42="","",AC42+'Beállítások'!$E$33/1000)</f>
        <v/>
      </c>
      <c r="CM42">
        <f>IF($A42="","",AD42+'Beállítások'!$E$34/1000)</f>
        <v/>
      </c>
      <c r="CN42">
        <f>IF($A42="","",AE42+'Beállítások'!$E$35/1000)</f>
        <v/>
      </c>
      <c r="CO42">
        <f>IF($A42="","",AF42+'Beállítások'!$E$36/1000)</f>
        <v/>
      </c>
      <c r="CP42">
        <f>IF($A42="","",AG42+'Beállítások'!$E$37/1000)</f>
        <v/>
      </c>
      <c r="CQ42">
        <f>IF($A42="","",AH42+'Beállítások'!$E$38/1000)</f>
        <v/>
      </c>
      <c r="CR42">
        <f>IF($A42="","",'Beállítások'!$E$6*(10-B42))</f>
        <v/>
      </c>
      <c r="CS42">
        <f>IF($A42="","",'Beállítások'!$E$7*(10-C42))</f>
        <v/>
      </c>
      <c r="CT42">
        <f>IF($A42="","",'Beállítások'!$E$8*(10-D42))</f>
        <v/>
      </c>
      <c r="CU42">
        <f>IF($A42="","",'Beállítások'!$E$9*(10-E42))</f>
        <v/>
      </c>
      <c r="CV42">
        <f>IF($A42="","",'Beállítások'!$E$10*(10-F42))</f>
        <v/>
      </c>
      <c r="CW42">
        <f>IF($A42="","",'Beállítások'!$E$11*(10-G42))</f>
        <v/>
      </c>
      <c r="CX42">
        <f>IF($A42="","",'Beállítások'!$E$12*(10-H42))</f>
        <v/>
      </c>
      <c r="CY42">
        <f>IF($A42="","",'Beállítások'!$E$13*(10-I42))</f>
        <v/>
      </c>
      <c r="CZ42">
        <f>IF($A42="","",'Beállítások'!$E$14*(10-J42))</f>
        <v/>
      </c>
      <c r="DA42">
        <f>IF($A42="","",'Beállítások'!$E$15*(10-K42))</f>
        <v/>
      </c>
      <c r="DB42">
        <f>IF($A42="","",'Beállítások'!$E$16*(10-L42))</f>
        <v/>
      </c>
      <c r="DC42">
        <f>IF($A42="","",'Beállítások'!$E$17*(10-M42))</f>
        <v/>
      </c>
      <c r="DD42">
        <f>IF($A42="","",'Beállítások'!$E$18*(10-N42))</f>
        <v/>
      </c>
      <c r="DE42">
        <f>IF($A42="","",'Beállítások'!$E$19*(10-O42))</f>
        <v/>
      </c>
      <c r="DF42">
        <f>IF($A42="","",'Beállítások'!$E$20*(10-P42))</f>
        <v/>
      </c>
      <c r="DG42">
        <f>IF($A42="","",'Beállítások'!$E$21*(10-Q42))</f>
        <v/>
      </c>
      <c r="DH42">
        <f>IF($A42="","",'Beállítások'!$E$22*(10-R42))</f>
        <v/>
      </c>
      <c r="DI42">
        <f>IF($A42="","",'Beállítások'!$E$23*(10-S42))</f>
        <v/>
      </c>
      <c r="DJ42">
        <f>IF($A42="","",'Beállítások'!$E$24*(10-T42))</f>
        <v/>
      </c>
      <c r="DK42">
        <f>IF($A42="","",'Beállítások'!$E$25*(10-U42))</f>
        <v/>
      </c>
      <c r="DL42">
        <f>IF($A42="","",'Beállítások'!$E$26*(10-V42))</f>
        <v/>
      </c>
      <c r="DM42">
        <f>IF($A42="","",'Beállítások'!$E$27*(10-W42))</f>
        <v/>
      </c>
      <c r="DN42">
        <f>IF($A42="","",'Beállítások'!$E$28*(10-X42))</f>
        <v/>
      </c>
      <c r="DO42">
        <f>IF($A42="","",'Beállítások'!$E$29*(10-Y42))</f>
        <v/>
      </c>
      <c r="DP42">
        <f>IF($A42="","",'Beállítások'!$E$30*(10-Z42))</f>
        <v/>
      </c>
      <c r="DQ42">
        <f>IF($A42="","",'Beállítások'!$E$31*(10-AA42))</f>
        <v/>
      </c>
      <c r="DR42">
        <f>IF($A42="","",'Beállítások'!$E$32*(10-AB42))</f>
        <v/>
      </c>
      <c r="DS42">
        <f>IF($A42="","",'Beállítások'!$E$33*(10-AC42))</f>
        <v/>
      </c>
      <c r="DT42">
        <f>IF($A42="","",'Beállítások'!$E$34*(10-AD42))</f>
        <v/>
      </c>
      <c r="DU42">
        <f>IF($A42="","",'Beállítások'!$E$35*(10-AE42))</f>
        <v/>
      </c>
      <c r="DV42">
        <f>IF($A42="","",'Beállítások'!$E$36*(10-AF42))</f>
        <v/>
      </c>
      <c r="DW42">
        <f>IF($A42="","",'Beállítások'!$E$37*(10-AG42))</f>
        <v/>
      </c>
      <c r="DX42">
        <f>IF($A42="","",'Beállítások'!$E$38*(10-AH42))</f>
        <v/>
      </c>
      <c r="DY42">
        <f>IF($A42="","",AM42-ROW()/100000)</f>
        <v/>
      </c>
    </row>
    <row r="43">
      <c r="A43">
        <f>IF('Ügyfelek'!A43="","",'Ügyfelek'!A43)</f>
        <v/>
      </c>
      <c r="B43">
        <f>IF($A43="","",IF('Ügyfelek'!B43="",'Beállítások'!$B$84,IFERROR(VLOOKUP(TRIM('Ügyfelek'!B43),'Beállítások'!$A$51:$B$59,2,FALSE),'Beállítások'!$B$84)))</f>
        <v/>
      </c>
      <c r="C43">
        <f>IF($A43="","",IF('Ügyfelek'!C43="",'Beállítások'!$B$84,MIN(10,MAX(1,ROUND('Ügyfelek'!C43,0)))))</f>
        <v/>
      </c>
      <c r="D43">
        <f>IF($A43="","",IF('Ügyfelek'!D43="",'Beállítások'!$B$84,MIN(10,MAX(1,ROUND('Ügyfelek'!D43,0)))))</f>
        <v/>
      </c>
      <c r="E43">
        <f>IF($A43="","",IF('Ügyfelek'!E43="",'Beállítások'!$B$84,MIN(10,MAX(1,ROUND('Ügyfelek'!E43,0)))))</f>
        <v/>
      </c>
      <c r="F43">
        <f>IF($A43="","",IF('Ügyfelek'!F43="",'Beállítások'!$B$84,MIN(10,MAX(1,ROUND('Ügyfelek'!F43,0)))))</f>
        <v/>
      </c>
      <c r="G43">
        <f>IF($A43="","",IF('Ügyfelek'!G43="",'Beállítások'!$B$84,MIN(10,MAX(1,ROUND('Ügyfelek'!G43,0)))))</f>
        <v/>
      </c>
      <c r="H43">
        <f>IF($A43="","",IF('Ügyfelek'!H43="",'Beállítások'!$B$84,MIN(10,MAX(1,ROUND('Ügyfelek'!H43,0)))))</f>
        <v/>
      </c>
      <c r="I43">
        <f>IF($A43="","",IF('Ügyfelek'!I43="",'Beállítások'!$B$84,MIN(10,MAX(1,ROUND('Ügyfelek'!I43,0)))))</f>
        <v/>
      </c>
      <c r="J43">
        <f>IF($A43="","",IF('Ügyfelek'!J43="",'Beállítások'!$B$84,MIN(10,MAX(1,ROUND('Ügyfelek'!J43,0)))))</f>
        <v/>
      </c>
      <c r="K43">
        <f>IF($A43="","",IF('Ügyfelek'!K43="",'Beállítások'!$B$84,MIN(10,MAX(1,ROUND('Ügyfelek'!K43,0)))))</f>
        <v/>
      </c>
      <c r="L43">
        <f>IF($A43="","",IF('Ügyfelek'!L43="",'Beállítások'!$B$84,MIN(10,MAX(1,ROUND('Ügyfelek'!L43,0)))))</f>
        <v/>
      </c>
      <c r="M43">
        <f>IF($A43="","",IF('Ügyfelek'!M43="",'Beállítások'!$B$84,MIN(10,MAX(1,ROUND('Ügyfelek'!M43,0)))))</f>
        <v/>
      </c>
      <c r="N43">
        <f>IF($A43="","",IF('Ügyfelek'!N43="",'Beállítások'!$B$84,MIN(10,MAX(1,ROUND('Ügyfelek'!N43,0)))))</f>
        <v/>
      </c>
      <c r="O43">
        <f>IF($A43="","",IF('Ügyfelek'!O43="",'Beállítások'!$B$84,MIN(10,MAX(1,ROUND('Ügyfelek'!O43,0)))))</f>
        <v/>
      </c>
      <c r="P43">
        <f>IF($A43="","",IF('Ügyfelek'!P43="",'Beállítások'!$B$84,MIN(10,MAX(1,ROUND('Ügyfelek'!P43,0)))))</f>
        <v/>
      </c>
      <c r="Q43">
        <f>IF($A43="","",IF('Ügyfelek'!Q43="",'Beállítások'!$B$84,MIN(10,MAX(1,ROUND('Ügyfelek'!Q43,0)))))</f>
        <v/>
      </c>
      <c r="R43">
        <f>IF($A43="","",IF('Ügyfelek'!R43="",'Beállítások'!$B$84,MIN(10,MAX(1,ROUND('Ügyfelek'!R43,0)))))</f>
        <v/>
      </c>
      <c r="S43">
        <f>IF($A43="","",IF('Ügyfelek'!S43="",'Beállítások'!$B$84,MIN(10,MAX(1,ROUND('Ügyfelek'!S43,0)))))</f>
        <v/>
      </c>
      <c r="T43">
        <f>IF($A43="","",IF('Ügyfelek'!T43="",'Beállítások'!$B$84,VLOOKUP(MAX('Ügyfelek'!T43,'Beállítások'!$H$7),'Beállítások'!$H$7:$I$12,2,TRUE)))</f>
        <v/>
      </c>
      <c r="U43">
        <f>IF($A43="","",IF('Ügyfelek'!U43="",'Beállítások'!$B$84,VLOOKUP(MAX('Ügyfelek'!U43,'Beállítások'!$K$7),'Beállítások'!$K$7:$L$12,2,TRUE)))</f>
        <v/>
      </c>
      <c r="V43">
        <f>IF($A43="","",IF('Ügyfelek'!V43="",'Beállítások'!$B$84,MIN(10,MAX(1,ROUND('Ügyfelek'!V43,0)))))</f>
        <v/>
      </c>
      <c r="W43">
        <f>IF($A43="","",IF('Ügyfelek'!W43="",'Beállítások'!$B$84,VLOOKUP(MAX('Ügyfelek'!W43,'Beállítások'!$N$7),'Beállítások'!$N$7:$O$12,2,TRUE)))</f>
        <v/>
      </c>
      <c r="X43">
        <f>IF($A43="","",IF('Ügyfelek'!X43="",'Beállítások'!$B$84,MIN(10,MAX(1,ROUND('Ügyfelek'!X43,0)))))</f>
        <v/>
      </c>
      <c r="Y43">
        <f>IF($A43="","",IF('Ügyfelek'!Y43="",'Beállítások'!$B$84,IFERROR(VLOOKUP(TRIM('Ügyfelek'!Y43),'Beállítások'!$A$63:$B$69,2,FALSE),'Beállítások'!$B$84)))</f>
        <v/>
      </c>
      <c r="Z43">
        <f>IF($A43="","",IF('Ügyfelek'!Z43="",'Beállítások'!$B$84,VLOOKUP(MAX('Ügyfelek'!Z43,'Beállítások'!$Q$7),'Beállítások'!$Q$7:$R$12,2,TRUE)))</f>
        <v/>
      </c>
      <c r="AA43">
        <f>IF($A43="","",IF('Ügyfelek'!AA43="",'Beállítások'!$B$84,VLOOKUP(MAX('Ügyfelek'!AA43,'Beállítások'!$T$7),'Beállítások'!$T$7:$U$12,2,TRUE)))</f>
        <v/>
      </c>
      <c r="AB43">
        <f>IF($A43="","",IF('Ügyfelek'!AB43="",'Beállítások'!$B$84,MIN(10,MAX(1,ROUND('Ügyfelek'!AB43,0)))))</f>
        <v/>
      </c>
      <c r="AC43">
        <f>IF($A43="","",IF('Ügyfelek'!AC43="",'Beállítások'!$B$84,MIN(10,MAX(1,ROUND('Ügyfelek'!AC43,0)))))</f>
        <v/>
      </c>
      <c r="AD43">
        <f>IF($A43="","",IF('Ügyfelek'!AD43="",'Beállítások'!$B$84,MIN(10,MAX(1,ROUND('Ügyfelek'!AD43,0)))))</f>
        <v/>
      </c>
      <c r="AE43">
        <f>IF($A43="","",IF('Ügyfelek'!AE43="",'Beállítások'!$B$84,MIN(10,MAX(1,ROUND('Ügyfelek'!AE43,0)))))</f>
        <v/>
      </c>
      <c r="AF43">
        <f>IF($A43="","",IF('Ügyfelek'!AF43="",'Beállítások'!$B$84,MIN(10,MAX(1,ROUND('Ügyfelek'!AF43,0)))))</f>
        <v/>
      </c>
      <c r="AG43">
        <f>IF($A43="","",IF('Ügyfelek'!AG43="",'Beállítások'!$B$84,MIN(10,MAX(1,ROUND('Ügyfelek'!AG43,0)))))</f>
        <v/>
      </c>
      <c r="AH43">
        <f>IF($A43="","",IF('Ügyfelek'!AH43="",'Beállítások'!$B$84,IFERROR(VLOOKUP(TRIM('Ügyfelek'!AH43),'Beállítások'!$A$73:$B$79,2,FALSE),'Beállítások'!$B$84)))</f>
        <v/>
      </c>
      <c r="AI43" s="23">
        <f>IF($A43="","",ROUND(100*('Beállítások'!$E$6*(B43-1)+'Beállítások'!$E$7*(C43-1))/(9*'Beállítások'!$B$43),1))</f>
        <v/>
      </c>
      <c r="AJ43" s="23">
        <f>IF($A43="","",ROUND(100*('Beállítások'!$E$8*(D43-1)+'Beállítások'!$E$9*(E43-1)+'Beállítások'!$E$10*(F43-1)+'Beállítások'!$E$11*(G43-1)+'Beállítások'!$E$12*(H43-1)+'Beállítások'!$E$13*(I43-1)+'Beállítások'!$E$14*(J43-1)+'Beállítások'!$E$15*(K43-1)+'Beállítások'!$E$16*(L43-1)+'Beállítások'!$E$17*(M43-1)+'Beállítások'!$E$18*(N43-1)+'Beállítások'!$E$19*(O43-1)+'Beállítások'!$E$20*(P43-1)+'Beállítások'!$E$21*(Q43-1)+'Beállítások'!$E$22*(R43-1))/(9*'Beállítások'!$B$44),1))</f>
        <v/>
      </c>
      <c r="AK43" s="23">
        <f>IF($A43="","",ROUND(100*('Beállítások'!$E$23*(S43-1)+'Beállítások'!$E$24*(T43-1)+'Beállítások'!$E$25*(U43-1)+'Beállítások'!$E$26*(V43-1)+'Beállítások'!$E$27*(W43-1)+'Beállítások'!$E$28*(X43-1)+'Beállítások'!$E$29*(Y43-1))/(9*'Beállítások'!$B$45),1))</f>
        <v/>
      </c>
      <c r="AL43" s="23">
        <f>IF($A43="","",ROUND(100*('Beállítások'!$E$30*(Z43-1)+'Beállítások'!$E$31*(AA43-1)+'Beállítások'!$E$32*(AB43-1)+'Beállítások'!$E$33*(AC43-1)+'Beállítások'!$E$34*(AD43-1)+'Beállítások'!$E$35*(AE43-1)+'Beállítások'!$E$36*(AF43-1)+'Beállítások'!$E$37*(AG43-1)+'Beállítások'!$E$38*(AH43-1))/(9*'Beállítások'!$B$46),1))</f>
        <v/>
      </c>
      <c r="AM43" s="23">
        <f>IF($A43="","",ROUND(100*('Beállítások'!$E$6*(B43-1)+'Beállítások'!$E$7*(C43-1)+'Beállítások'!$E$8*(D43-1)+'Beállítások'!$E$9*(E43-1)+'Beállítások'!$E$10*(F43-1)+'Beállítások'!$E$11*(G43-1)+'Beállítások'!$E$12*(H43-1)+'Beállítások'!$E$13*(I43-1)+'Beállítások'!$E$14*(J43-1)+'Beállítások'!$E$15*(K43-1)+'Beállítások'!$E$16*(L43-1)+'Beállítások'!$E$17*(M43-1)+'Beállítások'!$E$18*(N43-1)+'Beállítások'!$E$19*(O43-1)+'Beállítások'!$E$20*(P43-1)+'Beállítások'!$E$21*(Q43-1)+'Beállítások'!$E$22*(R43-1)+'Beállítások'!$E$23*(S43-1)+'Beállítások'!$E$24*(T43-1)+'Beállítások'!$E$25*(U43-1)+'Beállítások'!$E$26*(V43-1)+'Beállítások'!$E$27*(W43-1)+'Beállítások'!$E$28*(X43-1)+'Beállítások'!$E$29*(Y43-1)+'Beállítások'!$E$30*(Z43-1)+'Beállítások'!$E$31*(AA43-1)+'Beállítások'!$E$32*(AB43-1)+'Beállítások'!$E$33*(AC43-1)+'Beállítások'!$E$34*(AD43-1)+'Beállítások'!$E$35*(AE43-1)+'Beállítások'!$E$36*(AF43-1)+'Beállítások'!$E$37*(AG43-1)+'Beállítások'!$E$38*(AH43-1))/(9*'Beállítások'!$E$39),1))</f>
        <v/>
      </c>
      <c r="AN43" s="23">
        <f>IF($A43="","",ROUND(100*('Beállítások'!$E$8*(D43-1)+'Beállítások'!$E$9*(E43-1)+'Beállítások'!$E$10*(F43-1)+'Beállítások'!$E$11*(G43-1)+'Beállítások'!$E$12*(H43-1)+'Beállítások'!$E$13*(I43-1)+'Beállítások'!$E$14*(J43-1)+'Beállítások'!$E$15*(K43-1)+'Beállítások'!$E$16*(L43-1)+'Beállítások'!$E$17*(M43-1)+'Beállítások'!$E$18*(N43-1)+'Beállítások'!$E$19*(O43-1)+'Beállítások'!$E$20*(P43-1)+'Beállítások'!$E$21*(Q43-1)+'Beállítások'!$E$22*(R43-1)+'Beállítások'!$E$23*(S43-1)+'Beállítások'!$E$24*(T43-1)+'Beállítások'!$E$25*(U43-1)+'Beállítások'!$E$26*(V43-1)+'Beállítások'!$E$27*(W43-1)+'Beállítások'!$E$28*(X43-1)+'Beállítások'!$E$29*(Y43-1))/(9*('Beállítások'!$B$44+'Beállítások'!$B$45)),1))</f>
        <v/>
      </c>
      <c r="AO43" s="24">
        <f>IF($A43="","",RANK(AM43,$AM$2:$AM$201))</f>
        <v/>
      </c>
      <c r="AP43">
        <f>IF($A43="","",IF(OR(AND('Ügyfelek'!B43&lt;&gt;"",B43&lt;='Beállítások'!$B$85),AND('Ügyfelek'!C43&lt;&gt;"",C43&lt;='Beállítások'!$B$86)),"Igen","Nem"))</f>
        <v/>
      </c>
      <c r="AQ43" s="24">
        <f>IF($A43="","",IF(AP43="Igen",5,IF(AN43&gt;='Beállítások'!$C$108,1,IF(AN43&gt;='Beállítások'!$C$109,2,IF(AN43&gt;='Beállítások'!$C$110,3,IF(AND(AN43&gt;='Beállítások'!$B$87,AI43&gt;='Beállítások'!$B$88,AL43&gt;='Beállítások'!$B$89),4,5))))))</f>
        <v/>
      </c>
      <c r="AR43">
        <f>IF($A43="","",INDEX('Beállítások'!$B$108:$B$112,AQ43))</f>
        <v/>
      </c>
      <c r="AS43">
        <f>IF($A43="","",IF(AQ43=5,"Elutasítjuk",IF(AND(AQ43=4,COUNTIFS('Eredmény'!$AQ$2:$AQ$201,4,'Eredmény'!$DY$2:$DY$201,"&gt;"&amp;DY43)&gt;='Beállítások'!$B$90),"Várólista (a 4-es hely foglalt)","Elfogadjuk")))</f>
        <v/>
      </c>
      <c r="AT43">
        <f>IF($A43="","",INDEX('Beállítások'!$F$108:$F$112,AQ43))</f>
        <v/>
      </c>
      <c r="AU43">
        <f>IF($A43="","",INDEX('Beállítások'!$B$6:$B$38,MATCH(MAX(BK43:CQ43),BK43:CQ43,0)))</f>
        <v/>
      </c>
      <c r="AV43">
        <f>IF($A43="","",IF(MAX(CR43:DX43)=0,"—",INDEX('Beállítások'!$B$6:$B$38,MATCH(MAX(CR43:DX43),CR43:DX43,0))))</f>
        <v/>
      </c>
      <c r="AW43" s="10">
        <f>IF($A43="","",'Beállítások'!$B$94*(TRIM('Ügyfelek'!AI43)="igen")+'Beállítások'!$B$95*(TRIM('Ügyfelek'!AJ43)="igen")+'Beállítások'!$B$96*N('Ügyfelek'!AK43)+'Beállítások'!$B$93*N('Ügyfelek'!AL43))</f>
        <v/>
      </c>
      <c r="AX43" s="25">
        <f>IF(OR($A43="",AQ43=5),"",INDEX('Beállítások'!$D$108:$D$112,AQ43))</f>
        <v/>
      </c>
      <c r="AY43" s="10">
        <f>IF($A43="","",N('Ügyfelek'!U43)*'Beállítások'!$B$98)</f>
        <v/>
      </c>
      <c r="AZ43" s="10">
        <f>IF(OR($A43="",AQ43=5),"",CEILING(ROUND(MAX('Beállítások'!$B$97,AW43*AX43,AY43),2),'Beállítások'!$B$99))</f>
        <v/>
      </c>
      <c r="BA43">
        <f>IF($A43="","",IF(AQ43=5,"Elutasítva",IF(MAX('Beállítások'!$B$97,AW43*AX43,AY43)=AW43*AX43,"Munkaigény × státuszszorzó",IF(MAX('Beállítások'!$B$97,AW43*AX43,AY43)=AY43,"Hirdetési keret arányában","Minimumdíj"))))</f>
        <v/>
      </c>
      <c r="BB43" s="10">
        <f>IF(OR($A43="",'Ügyfelek'!AM43=""),"",'Ügyfelek'!AM43)</f>
        <v/>
      </c>
      <c r="BC43" s="10">
        <f>IF(OR(BB43="",AZ43=""),"",AZ43-BB43)</f>
        <v/>
      </c>
      <c r="BD43" s="18">
        <f>IF(OR(BB43="",AZ43="",BB43=0),"",BC43/BB43)</f>
        <v/>
      </c>
      <c r="BE43">
        <f>IF(OR($A43="",AQ43=5),"",IF(AND(INDEX('Beállítások'!$E$108:$E$112,AQ43)&gt;0,Y43&gt;='Beállítások'!$B$91),"Igen","Nem"))</f>
        <v/>
      </c>
      <c r="BF43" s="10">
        <f>IF(BE43="Igen",CEILING(ROUND(AZ43*(1-'Beállítások'!$B$92),2),'Beállítások'!$B$99),"")</f>
        <v/>
      </c>
      <c r="BG43" s="20">
        <f>IF(BE43="Igen",INDEX('Beállítások'!$E$108:$E$112,AQ43),"")</f>
        <v/>
      </c>
      <c r="BH43" s="10">
        <f>IF(OR(BE43&lt;&gt;"Igen",'Ügyfelek'!AN43=""),"",'Ügyfelek'!AN43*BG43)</f>
        <v/>
      </c>
      <c r="BI43" s="24">
        <f>IF($A43="","",('Ügyfelek'!B43="")+('Ügyfelek'!C43="")+('Ügyfelek'!D43="")+('Ügyfelek'!E43="")+('Ügyfelek'!F43="")+('Ügyfelek'!G43="")+('Ügyfelek'!H43="")+('Ügyfelek'!I43="")+('Ügyfelek'!J43="")+('Ügyfelek'!K43="")+('Ügyfelek'!L43="")+('Ügyfelek'!M43="")+('Ügyfelek'!N43="")+('Ügyfelek'!O43="")+('Ügyfelek'!P43="")+('Ügyfelek'!Q43="")+('Ügyfelek'!R43="")+('Ügyfelek'!S43="")+('Ügyfelek'!T43="")+('Ügyfelek'!U43="")+('Ügyfelek'!V43="")+('Ügyfelek'!W43="")+('Ügyfelek'!X43="")+('Ügyfelek'!Y43="")+('Ügyfelek'!Z43="")+('Ügyfelek'!AA43="")+('Ügyfelek'!AB43="")+('Ügyfelek'!AC43="")+('Ügyfelek'!AD43="")+('Ügyfelek'!AE43="")+('Ügyfelek'!AF43="")+('Ügyfelek'!AG43="")+('Ügyfelek'!AH43=""))</f>
        <v/>
      </c>
      <c r="BK43">
        <f>IF($A43="","",B43+'Beállítások'!$E$6/1000)</f>
        <v/>
      </c>
      <c r="BL43">
        <f>IF($A43="","",C43+'Beállítások'!$E$7/1000)</f>
        <v/>
      </c>
      <c r="BM43">
        <f>IF($A43="","",D43+'Beállítások'!$E$8/1000)</f>
        <v/>
      </c>
      <c r="BN43">
        <f>IF($A43="","",E43+'Beállítások'!$E$9/1000)</f>
        <v/>
      </c>
      <c r="BO43">
        <f>IF($A43="","",F43+'Beállítások'!$E$10/1000)</f>
        <v/>
      </c>
      <c r="BP43">
        <f>IF($A43="","",G43+'Beállítások'!$E$11/1000)</f>
        <v/>
      </c>
      <c r="BQ43">
        <f>IF($A43="","",H43+'Beállítások'!$E$12/1000)</f>
        <v/>
      </c>
      <c r="BR43">
        <f>IF($A43="","",I43+'Beállítások'!$E$13/1000)</f>
        <v/>
      </c>
      <c r="BS43">
        <f>IF($A43="","",J43+'Beállítások'!$E$14/1000)</f>
        <v/>
      </c>
      <c r="BT43">
        <f>IF($A43="","",K43+'Beállítások'!$E$15/1000)</f>
        <v/>
      </c>
      <c r="BU43">
        <f>IF($A43="","",L43+'Beállítások'!$E$16/1000)</f>
        <v/>
      </c>
      <c r="BV43">
        <f>IF($A43="","",M43+'Beállítások'!$E$17/1000)</f>
        <v/>
      </c>
      <c r="BW43">
        <f>IF($A43="","",N43+'Beállítások'!$E$18/1000)</f>
        <v/>
      </c>
      <c r="BX43">
        <f>IF($A43="","",O43+'Beállítások'!$E$19/1000)</f>
        <v/>
      </c>
      <c r="BY43">
        <f>IF($A43="","",P43+'Beállítások'!$E$20/1000)</f>
        <v/>
      </c>
      <c r="BZ43">
        <f>IF($A43="","",Q43+'Beállítások'!$E$21/1000)</f>
        <v/>
      </c>
      <c r="CA43">
        <f>IF($A43="","",R43+'Beállítások'!$E$22/1000)</f>
        <v/>
      </c>
      <c r="CB43">
        <f>IF($A43="","",S43+'Beállítások'!$E$23/1000)</f>
        <v/>
      </c>
      <c r="CC43">
        <f>IF($A43="","",T43+'Beállítások'!$E$24/1000)</f>
        <v/>
      </c>
      <c r="CD43">
        <f>IF($A43="","",U43+'Beállítások'!$E$25/1000)</f>
        <v/>
      </c>
      <c r="CE43">
        <f>IF($A43="","",V43+'Beállítások'!$E$26/1000)</f>
        <v/>
      </c>
      <c r="CF43">
        <f>IF($A43="","",W43+'Beállítások'!$E$27/1000)</f>
        <v/>
      </c>
      <c r="CG43">
        <f>IF($A43="","",X43+'Beállítások'!$E$28/1000)</f>
        <v/>
      </c>
      <c r="CH43">
        <f>IF($A43="","",Y43+'Beállítások'!$E$29/1000)</f>
        <v/>
      </c>
      <c r="CI43">
        <f>IF($A43="","",Z43+'Beállítások'!$E$30/1000)</f>
        <v/>
      </c>
      <c r="CJ43">
        <f>IF($A43="","",AA43+'Beállítások'!$E$31/1000)</f>
        <v/>
      </c>
      <c r="CK43">
        <f>IF($A43="","",AB43+'Beállítások'!$E$32/1000)</f>
        <v/>
      </c>
      <c r="CL43">
        <f>IF($A43="","",AC43+'Beállítások'!$E$33/1000)</f>
        <v/>
      </c>
      <c r="CM43">
        <f>IF($A43="","",AD43+'Beállítások'!$E$34/1000)</f>
        <v/>
      </c>
      <c r="CN43">
        <f>IF($A43="","",AE43+'Beállítások'!$E$35/1000)</f>
        <v/>
      </c>
      <c r="CO43">
        <f>IF($A43="","",AF43+'Beállítások'!$E$36/1000)</f>
        <v/>
      </c>
      <c r="CP43">
        <f>IF($A43="","",AG43+'Beállítások'!$E$37/1000)</f>
        <v/>
      </c>
      <c r="CQ43">
        <f>IF($A43="","",AH43+'Beállítások'!$E$38/1000)</f>
        <v/>
      </c>
      <c r="CR43">
        <f>IF($A43="","",'Beállítások'!$E$6*(10-B43))</f>
        <v/>
      </c>
      <c r="CS43">
        <f>IF($A43="","",'Beállítások'!$E$7*(10-C43))</f>
        <v/>
      </c>
      <c r="CT43">
        <f>IF($A43="","",'Beállítások'!$E$8*(10-D43))</f>
        <v/>
      </c>
      <c r="CU43">
        <f>IF($A43="","",'Beállítások'!$E$9*(10-E43))</f>
        <v/>
      </c>
      <c r="CV43">
        <f>IF($A43="","",'Beállítások'!$E$10*(10-F43))</f>
        <v/>
      </c>
      <c r="CW43">
        <f>IF($A43="","",'Beállítások'!$E$11*(10-G43))</f>
        <v/>
      </c>
      <c r="CX43">
        <f>IF($A43="","",'Beállítások'!$E$12*(10-H43))</f>
        <v/>
      </c>
      <c r="CY43">
        <f>IF($A43="","",'Beállítások'!$E$13*(10-I43))</f>
        <v/>
      </c>
      <c r="CZ43">
        <f>IF($A43="","",'Beállítások'!$E$14*(10-J43))</f>
        <v/>
      </c>
      <c r="DA43">
        <f>IF($A43="","",'Beállítások'!$E$15*(10-K43))</f>
        <v/>
      </c>
      <c r="DB43">
        <f>IF($A43="","",'Beállítások'!$E$16*(10-L43))</f>
        <v/>
      </c>
      <c r="DC43">
        <f>IF($A43="","",'Beállítások'!$E$17*(10-M43))</f>
        <v/>
      </c>
      <c r="DD43">
        <f>IF($A43="","",'Beállítások'!$E$18*(10-N43))</f>
        <v/>
      </c>
      <c r="DE43">
        <f>IF($A43="","",'Beállítások'!$E$19*(10-O43))</f>
        <v/>
      </c>
      <c r="DF43">
        <f>IF($A43="","",'Beállítások'!$E$20*(10-P43))</f>
        <v/>
      </c>
      <c r="DG43">
        <f>IF($A43="","",'Beállítások'!$E$21*(10-Q43))</f>
        <v/>
      </c>
      <c r="DH43">
        <f>IF($A43="","",'Beállítások'!$E$22*(10-R43))</f>
        <v/>
      </c>
      <c r="DI43">
        <f>IF($A43="","",'Beállítások'!$E$23*(10-S43))</f>
        <v/>
      </c>
      <c r="DJ43">
        <f>IF($A43="","",'Beállítások'!$E$24*(10-T43))</f>
        <v/>
      </c>
      <c r="DK43">
        <f>IF($A43="","",'Beállítások'!$E$25*(10-U43))</f>
        <v/>
      </c>
      <c r="DL43">
        <f>IF($A43="","",'Beállítások'!$E$26*(10-V43))</f>
        <v/>
      </c>
      <c r="DM43">
        <f>IF($A43="","",'Beállítások'!$E$27*(10-W43))</f>
        <v/>
      </c>
      <c r="DN43">
        <f>IF($A43="","",'Beállítások'!$E$28*(10-X43))</f>
        <v/>
      </c>
      <c r="DO43">
        <f>IF($A43="","",'Beállítások'!$E$29*(10-Y43))</f>
        <v/>
      </c>
      <c r="DP43">
        <f>IF($A43="","",'Beállítások'!$E$30*(10-Z43))</f>
        <v/>
      </c>
      <c r="DQ43">
        <f>IF($A43="","",'Beállítások'!$E$31*(10-AA43))</f>
        <v/>
      </c>
      <c r="DR43">
        <f>IF($A43="","",'Beállítások'!$E$32*(10-AB43))</f>
        <v/>
      </c>
      <c r="DS43">
        <f>IF($A43="","",'Beállítások'!$E$33*(10-AC43))</f>
        <v/>
      </c>
      <c r="DT43">
        <f>IF($A43="","",'Beállítások'!$E$34*(10-AD43))</f>
        <v/>
      </c>
      <c r="DU43">
        <f>IF($A43="","",'Beállítások'!$E$35*(10-AE43))</f>
        <v/>
      </c>
      <c r="DV43">
        <f>IF($A43="","",'Beállítások'!$E$36*(10-AF43))</f>
        <v/>
      </c>
      <c r="DW43">
        <f>IF($A43="","",'Beállítások'!$E$37*(10-AG43))</f>
        <v/>
      </c>
      <c r="DX43">
        <f>IF($A43="","",'Beállítások'!$E$38*(10-AH43))</f>
        <v/>
      </c>
      <c r="DY43">
        <f>IF($A43="","",AM43-ROW()/100000)</f>
        <v/>
      </c>
    </row>
    <row r="44">
      <c r="A44">
        <f>IF('Ügyfelek'!A44="","",'Ügyfelek'!A44)</f>
        <v/>
      </c>
      <c r="B44">
        <f>IF($A44="","",IF('Ügyfelek'!B44="",'Beállítások'!$B$84,IFERROR(VLOOKUP(TRIM('Ügyfelek'!B44),'Beállítások'!$A$51:$B$59,2,FALSE),'Beállítások'!$B$84)))</f>
        <v/>
      </c>
      <c r="C44">
        <f>IF($A44="","",IF('Ügyfelek'!C44="",'Beállítások'!$B$84,MIN(10,MAX(1,ROUND('Ügyfelek'!C44,0)))))</f>
        <v/>
      </c>
      <c r="D44">
        <f>IF($A44="","",IF('Ügyfelek'!D44="",'Beállítások'!$B$84,MIN(10,MAX(1,ROUND('Ügyfelek'!D44,0)))))</f>
        <v/>
      </c>
      <c r="E44">
        <f>IF($A44="","",IF('Ügyfelek'!E44="",'Beállítások'!$B$84,MIN(10,MAX(1,ROUND('Ügyfelek'!E44,0)))))</f>
        <v/>
      </c>
      <c r="F44">
        <f>IF($A44="","",IF('Ügyfelek'!F44="",'Beállítások'!$B$84,MIN(10,MAX(1,ROUND('Ügyfelek'!F44,0)))))</f>
        <v/>
      </c>
      <c r="G44">
        <f>IF($A44="","",IF('Ügyfelek'!G44="",'Beállítások'!$B$84,MIN(10,MAX(1,ROUND('Ügyfelek'!G44,0)))))</f>
        <v/>
      </c>
      <c r="H44">
        <f>IF($A44="","",IF('Ügyfelek'!H44="",'Beállítások'!$B$84,MIN(10,MAX(1,ROUND('Ügyfelek'!H44,0)))))</f>
        <v/>
      </c>
      <c r="I44">
        <f>IF($A44="","",IF('Ügyfelek'!I44="",'Beállítások'!$B$84,MIN(10,MAX(1,ROUND('Ügyfelek'!I44,0)))))</f>
        <v/>
      </c>
      <c r="J44">
        <f>IF($A44="","",IF('Ügyfelek'!J44="",'Beállítások'!$B$84,MIN(10,MAX(1,ROUND('Ügyfelek'!J44,0)))))</f>
        <v/>
      </c>
      <c r="K44">
        <f>IF($A44="","",IF('Ügyfelek'!K44="",'Beállítások'!$B$84,MIN(10,MAX(1,ROUND('Ügyfelek'!K44,0)))))</f>
        <v/>
      </c>
      <c r="L44">
        <f>IF($A44="","",IF('Ügyfelek'!L44="",'Beállítások'!$B$84,MIN(10,MAX(1,ROUND('Ügyfelek'!L44,0)))))</f>
        <v/>
      </c>
      <c r="M44">
        <f>IF($A44="","",IF('Ügyfelek'!M44="",'Beállítások'!$B$84,MIN(10,MAX(1,ROUND('Ügyfelek'!M44,0)))))</f>
        <v/>
      </c>
      <c r="N44">
        <f>IF($A44="","",IF('Ügyfelek'!N44="",'Beállítások'!$B$84,MIN(10,MAX(1,ROUND('Ügyfelek'!N44,0)))))</f>
        <v/>
      </c>
      <c r="O44">
        <f>IF($A44="","",IF('Ügyfelek'!O44="",'Beállítások'!$B$84,MIN(10,MAX(1,ROUND('Ügyfelek'!O44,0)))))</f>
        <v/>
      </c>
      <c r="P44">
        <f>IF($A44="","",IF('Ügyfelek'!P44="",'Beállítások'!$B$84,MIN(10,MAX(1,ROUND('Ügyfelek'!P44,0)))))</f>
        <v/>
      </c>
      <c r="Q44">
        <f>IF($A44="","",IF('Ügyfelek'!Q44="",'Beállítások'!$B$84,MIN(10,MAX(1,ROUND('Ügyfelek'!Q44,0)))))</f>
        <v/>
      </c>
      <c r="R44">
        <f>IF($A44="","",IF('Ügyfelek'!R44="",'Beállítások'!$B$84,MIN(10,MAX(1,ROUND('Ügyfelek'!R44,0)))))</f>
        <v/>
      </c>
      <c r="S44">
        <f>IF($A44="","",IF('Ügyfelek'!S44="",'Beállítások'!$B$84,MIN(10,MAX(1,ROUND('Ügyfelek'!S44,0)))))</f>
        <v/>
      </c>
      <c r="T44">
        <f>IF($A44="","",IF('Ügyfelek'!T44="",'Beállítások'!$B$84,VLOOKUP(MAX('Ügyfelek'!T44,'Beállítások'!$H$7),'Beállítások'!$H$7:$I$12,2,TRUE)))</f>
        <v/>
      </c>
      <c r="U44">
        <f>IF($A44="","",IF('Ügyfelek'!U44="",'Beállítások'!$B$84,VLOOKUP(MAX('Ügyfelek'!U44,'Beállítások'!$K$7),'Beállítások'!$K$7:$L$12,2,TRUE)))</f>
        <v/>
      </c>
      <c r="V44">
        <f>IF($A44="","",IF('Ügyfelek'!V44="",'Beállítások'!$B$84,MIN(10,MAX(1,ROUND('Ügyfelek'!V44,0)))))</f>
        <v/>
      </c>
      <c r="W44">
        <f>IF($A44="","",IF('Ügyfelek'!W44="",'Beállítások'!$B$84,VLOOKUP(MAX('Ügyfelek'!W44,'Beállítások'!$N$7),'Beállítások'!$N$7:$O$12,2,TRUE)))</f>
        <v/>
      </c>
      <c r="X44">
        <f>IF($A44="","",IF('Ügyfelek'!X44="",'Beállítások'!$B$84,MIN(10,MAX(1,ROUND('Ügyfelek'!X44,0)))))</f>
        <v/>
      </c>
      <c r="Y44">
        <f>IF($A44="","",IF('Ügyfelek'!Y44="",'Beállítások'!$B$84,IFERROR(VLOOKUP(TRIM('Ügyfelek'!Y44),'Beállítások'!$A$63:$B$69,2,FALSE),'Beállítások'!$B$84)))</f>
        <v/>
      </c>
      <c r="Z44">
        <f>IF($A44="","",IF('Ügyfelek'!Z44="",'Beállítások'!$B$84,VLOOKUP(MAX('Ügyfelek'!Z44,'Beállítások'!$Q$7),'Beállítások'!$Q$7:$R$12,2,TRUE)))</f>
        <v/>
      </c>
      <c r="AA44">
        <f>IF($A44="","",IF('Ügyfelek'!AA44="",'Beállítások'!$B$84,VLOOKUP(MAX('Ügyfelek'!AA44,'Beállítások'!$T$7),'Beállítások'!$T$7:$U$12,2,TRUE)))</f>
        <v/>
      </c>
      <c r="AB44">
        <f>IF($A44="","",IF('Ügyfelek'!AB44="",'Beállítások'!$B$84,MIN(10,MAX(1,ROUND('Ügyfelek'!AB44,0)))))</f>
        <v/>
      </c>
      <c r="AC44">
        <f>IF($A44="","",IF('Ügyfelek'!AC44="",'Beállítások'!$B$84,MIN(10,MAX(1,ROUND('Ügyfelek'!AC44,0)))))</f>
        <v/>
      </c>
      <c r="AD44">
        <f>IF($A44="","",IF('Ügyfelek'!AD44="",'Beállítások'!$B$84,MIN(10,MAX(1,ROUND('Ügyfelek'!AD44,0)))))</f>
        <v/>
      </c>
      <c r="AE44">
        <f>IF($A44="","",IF('Ügyfelek'!AE44="",'Beállítások'!$B$84,MIN(10,MAX(1,ROUND('Ügyfelek'!AE44,0)))))</f>
        <v/>
      </c>
      <c r="AF44">
        <f>IF($A44="","",IF('Ügyfelek'!AF44="",'Beállítások'!$B$84,MIN(10,MAX(1,ROUND('Ügyfelek'!AF44,0)))))</f>
        <v/>
      </c>
      <c r="AG44">
        <f>IF($A44="","",IF('Ügyfelek'!AG44="",'Beállítások'!$B$84,MIN(10,MAX(1,ROUND('Ügyfelek'!AG44,0)))))</f>
        <v/>
      </c>
      <c r="AH44">
        <f>IF($A44="","",IF('Ügyfelek'!AH44="",'Beállítások'!$B$84,IFERROR(VLOOKUP(TRIM('Ügyfelek'!AH44),'Beállítások'!$A$73:$B$79,2,FALSE),'Beállítások'!$B$84)))</f>
        <v/>
      </c>
      <c r="AI44" s="23">
        <f>IF($A44="","",ROUND(100*('Beállítások'!$E$6*(B44-1)+'Beállítások'!$E$7*(C44-1))/(9*'Beállítások'!$B$43),1))</f>
        <v/>
      </c>
      <c r="AJ44" s="23">
        <f>IF($A44="","",ROUND(100*('Beállítások'!$E$8*(D44-1)+'Beállítások'!$E$9*(E44-1)+'Beállítások'!$E$10*(F44-1)+'Beállítások'!$E$11*(G44-1)+'Beállítások'!$E$12*(H44-1)+'Beállítások'!$E$13*(I44-1)+'Beállítások'!$E$14*(J44-1)+'Beállítások'!$E$15*(K44-1)+'Beállítások'!$E$16*(L44-1)+'Beállítások'!$E$17*(M44-1)+'Beállítások'!$E$18*(N44-1)+'Beállítások'!$E$19*(O44-1)+'Beállítások'!$E$20*(P44-1)+'Beállítások'!$E$21*(Q44-1)+'Beállítások'!$E$22*(R44-1))/(9*'Beállítások'!$B$44),1))</f>
        <v/>
      </c>
      <c r="AK44" s="23">
        <f>IF($A44="","",ROUND(100*('Beállítások'!$E$23*(S44-1)+'Beállítások'!$E$24*(T44-1)+'Beállítások'!$E$25*(U44-1)+'Beállítások'!$E$26*(V44-1)+'Beállítások'!$E$27*(W44-1)+'Beállítások'!$E$28*(X44-1)+'Beállítások'!$E$29*(Y44-1))/(9*'Beállítások'!$B$45),1))</f>
        <v/>
      </c>
      <c r="AL44" s="23">
        <f>IF($A44="","",ROUND(100*('Beállítások'!$E$30*(Z44-1)+'Beállítások'!$E$31*(AA44-1)+'Beállítások'!$E$32*(AB44-1)+'Beállítások'!$E$33*(AC44-1)+'Beállítások'!$E$34*(AD44-1)+'Beállítások'!$E$35*(AE44-1)+'Beállítások'!$E$36*(AF44-1)+'Beállítások'!$E$37*(AG44-1)+'Beállítások'!$E$38*(AH44-1))/(9*'Beállítások'!$B$46),1))</f>
        <v/>
      </c>
      <c r="AM44" s="23">
        <f>IF($A44="","",ROUND(100*('Beállítások'!$E$6*(B44-1)+'Beállítások'!$E$7*(C44-1)+'Beállítások'!$E$8*(D44-1)+'Beállítások'!$E$9*(E44-1)+'Beállítások'!$E$10*(F44-1)+'Beállítások'!$E$11*(G44-1)+'Beállítások'!$E$12*(H44-1)+'Beállítások'!$E$13*(I44-1)+'Beállítások'!$E$14*(J44-1)+'Beállítások'!$E$15*(K44-1)+'Beállítások'!$E$16*(L44-1)+'Beállítások'!$E$17*(M44-1)+'Beállítások'!$E$18*(N44-1)+'Beállítások'!$E$19*(O44-1)+'Beállítások'!$E$20*(P44-1)+'Beállítások'!$E$21*(Q44-1)+'Beállítások'!$E$22*(R44-1)+'Beállítások'!$E$23*(S44-1)+'Beállítások'!$E$24*(T44-1)+'Beállítások'!$E$25*(U44-1)+'Beállítások'!$E$26*(V44-1)+'Beállítások'!$E$27*(W44-1)+'Beállítások'!$E$28*(X44-1)+'Beállítások'!$E$29*(Y44-1)+'Beállítások'!$E$30*(Z44-1)+'Beállítások'!$E$31*(AA44-1)+'Beállítások'!$E$32*(AB44-1)+'Beállítások'!$E$33*(AC44-1)+'Beállítások'!$E$34*(AD44-1)+'Beállítások'!$E$35*(AE44-1)+'Beállítások'!$E$36*(AF44-1)+'Beállítások'!$E$37*(AG44-1)+'Beállítások'!$E$38*(AH44-1))/(9*'Beállítások'!$E$39),1))</f>
        <v/>
      </c>
      <c r="AN44" s="23">
        <f>IF($A44="","",ROUND(100*('Beállítások'!$E$8*(D44-1)+'Beállítások'!$E$9*(E44-1)+'Beállítások'!$E$10*(F44-1)+'Beállítások'!$E$11*(G44-1)+'Beállítások'!$E$12*(H44-1)+'Beállítások'!$E$13*(I44-1)+'Beállítások'!$E$14*(J44-1)+'Beállítások'!$E$15*(K44-1)+'Beállítások'!$E$16*(L44-1)+'Beállítások'!$E$17*(M44-1)+'Beállítások'!$E$18*(N44-1)+'Beállítások'!$E$19*(O44-1)+'Beállítások'!$E$20*(P44-1)+'Beállítások'!$E$21*(Q44-1)+'Beállítások'!$E$22*(R44-1)+'Beállítások'!$E$23*(S44-1)+'Beállítások'!$E$24*(T44-1)+'Beállítások'!$E$25*(U44-1)+'Beállítások'!$E$26*(V44-1)+'Beállítások'!$E$27*(W44-1)+'Beállítások'!$E$28*(X44-1)+'Beállítások'!$E$29*(Y44-1))/(9*('Beállítások'!$B$44+'Beállítások'!$B$45)),1))</f>
        <v/>
      </c>
      <c r="AO44" s="24">
        <f>IF($A44="","",RANK(AM44,$AM$2:$AM$201))</f>
        <v/>
      </c>
      <c r="AP44">
        <f>IF($A44="","",IF(OR(AND('Ügyfelek'!B44&lt;&gt;"",B44&lt;='Beállítások'!$B$85),AND('Ügyfelek'!C44&lt;&gt;"",C44&lt;='Beállítások'!$B$86)),"Igen","Nem"))</f>
        <v/>
      </c>
      <c r="AQ44" s="24">
        <f>IF($A44="","",IF(AP44="Igen",5,IF(AN44&gt;='Beállítások'!$C$108,1,IF(AN44&gt;='Beállítások'!$C$109,2,IF(AN44&gt;='Beállítások'!$C$110,3,IF(AND(AN44&gt;='Beállítások'!$B$87,AI44&gt;='Beállítások'!$B$88,AL44&gt;='Beállítások'!$B$89),4,5))))))</f>
        <v/>
      </c>
      <c r="AR44">
        <f>IF($A44="","",INDEX('Beállítások'!$B$108:$B$112,AQ44))</f>
        <v/>
      </c>
      <c r="AS44">
        <f>IF($A44="","",IF(AQ44=5,"Elutasítjuk",IF(AND(AQ44=4,COUNTIFS('Eredmény'!$AQ$2:$AQ$201,4,'Eredmény'!$DY$2:$DY$201,"&gt;"&amp;DY44)&gt;='Beállítások'!$B$90),"Várólista (a 4-es hely foglalt)","Elfogadjuk")))</f>
        <v/>
      </c>
      <c r="AT44">
        <f>IF($A44="","",INDEX('Beállítások'!$F$108:$F$112,AQ44))</f>
        <v/>
      </c>
      <c r="AU44">
        <f>IF($A44="","",INDEX('Beállítások'!$B$6:$B$38,MATCH(MAX(BK44:CQ44),BK44:CQ44,0)))</f>
        <v/>
      </c>
      <c r="AV44">
        <f>IF($A44="","",IF(MAX(CR44:DX44)=0,"—",INDEX('Beállítások'!$B$6:$B$38,MATCH(MAX(CR44:DX44),CR44:DX44,0))))</f>
        <v/>
      </c>
      <c r="AW44" s="10">
        <f>IF($A44="","",'Beállítások'!$B$94*(TRIM('Ügyfelek'!AI44)="igen")+'Beállítások'!$B$95*(TRIM('Ügyfelek'!AJ44)="igen")+'Beállítások'!$B$96*N('Ügyfelek'!AK44)+'Beállítások'!$B$93*N('Ügyfelek'!AL44))</f>
        <v/>
      </c>
      <c r="AX44" s="25">
        <f>IF(OR($A44="",AQ44=5),"",INDEX('Beállítások'!$D$108:$D$112,AQ44))</f>
        <v/>
      </c>
      <c r="AY44" s="10">
        <f>IF($A44="","",N('Ügyfelek'!U44)*'Beállítások'!$B$98)</f>
        <v/>
      </c>
      <c r="AZ44" s="10">
        <f>IF(OR($A44="",AQ44=5),"",CEILING(ROUND(MAX('Beállítások'!$B$97,AW44*AX44,AY44),2),'Beállítások'!$B$99))</f>
        <v/>
      </c>
      <c r="BA44">
        <f>IF($A44="","",IF(AQ44=5,"Elutasítva",IF(MAX('Beállítások'!$B$97,AW44*AX44,AY44)=AW44*AX44,"Munkaigény × státuszszorzó",IF(MAX('Beállítások'!$B$97,AW44*AX44,AY44)=AY44,"Hirdetési keret arányában","Minimumdíj"))))</f>
        <v/>
      </c>
      <c r="BB44" s="10">
        <f>IF(OR($A44="",'Ügyfelek'!AM44=""),"",'Ügyfelek'!AM44)</f>
        <v/>
      </c>
      <c r="BC44" s="10">
        <f>IF(OR(BB44="",AZ44=""),"",AZ44-BB44)</f>
        <v/>
      </c>
      <c r="BD44" s="18">
        <f>IF(OR(BB44="",AZ44="",BB44=0),"",BC44/BB44)</f>
        <v/>
      </c>
      <c r="BE44">
        <f>IF(OR($A44="",AQ44=5),"",IF(AND(INDEX('Beállítások'!$E$108:$E$112,AQ44)&gt;0,Y44&gt;='Beállítások'!$B$91),"Igen","Nem"))</f>
        <v/>
      </c>
      <c r="BF44" s="10">
        <f>IF(BE44="Igen",CEILING(ROUND(AZ44*(1-'Beállítások'!$B$92),2),'Beállítások'!$B$99),"")</f>
        <v/>
      </c>
      <c r="BG44" s="20">
        <f>IF(BE44="Igen",INDEX('Beállítások'!$E$108:$E$112,AQ44),"")</f>
        <v/>
      </c>
      <c r="BH44" s="10">
        <f>IF(OR(BE44&lt;&gt;"Igen",'Ügyfelek'!AN44=""),"",'Ügyfelek'!AN44*BG44)</f>
        <v/>
      </c>
      <c r="BI44" s="24">
        <f>IF($A44="","",('Ügyfelek'!B44="")+('Ügyfelek'!C44="")+('Ügyfelek'!D44="")+('Ügyfelek'!E44="")+('Ügyfelek'!F44="")+('Ügyfelek'!G44="")+('Ügyfelek'!H44="")+('Ügyfelek'!I44="")+('Ügyfelek'!J44="")+('Ügyfelek'!K44="")+('Ügyfelek'!L44="")+('Ügyfelek'!M44="")+('Ügyfelek'!N44="")+('Ügyfelek'!O44="")+('Ügyfelek'!P44="")+('Ügyfelek'!Q44="")+('Ügyfelek'!R44="")+('Ügyfelek'!S44="")+('Ügyfelek'!T44="")+('Ügyfelek'!U44="")+('Ügyfelek'!V44="")+('Ügyfelek'!W44="")+('Ügyfelek'!X44="")+('Ügyfelek'!Y44="")+('Ügyfelek'!Z44="")+('Ügyfelek'!AA44="")+('Ügyfelek'!AB44="")+('Ügyfelek'!AC44="")+('Ügyfelek'!AD44="")+('Ügyfelek'!AE44="")+('Ügyfelek'!AF44="")+('Ügyfelek'!AG44="")+('Ügyfelek'!AH44=""))</f>
        <v/>
      </c>
      <c r="BK44">
        <f>IF($A44="","",B44+'Beállítások'!$E$6/1000)</f>
        <v/>
      </c>
      <c r="BL44">
        <f>IF($A44="","",C44+'Beállítások'!$E$7/1000)</f>
        <v/>
      </c>
      <c r="BM44">
        <f>IF($A44="","",D44+'Beállítások'!$E$8/1000)</f>
        <v/>
      </c>
      <c r="BN44">
        <f>IF($A44="","",E44+'Beállítások'!$E$9/1000)</f>
        <v/>
      </c>
      <c r="BO44">
        <f>IF($A44="","",F44+'Beállítások'!$E$10/1000)</f>
        <v/>
      </c>
      <c r="BP44">
        <f>IF($A44="","",G44+'Beállítások'!$E$11/1000)</f>
        <v/>
      </c>
      <c r="BQ44">
        <f>IF($A44="","",H44+'Beállítások'!$E$12/1000)</f>
        <v/>
      </c>
      <c r="BR44">
        <f>IF($A44="","",I44+'Beállítások'!$E$13/1000)</f>
        <v/>
      </c>
      <c r="BS44">
        <f>IF($A44="","",J44+'Beállítások'!$E$14/1000)</f>
        <v/>
      </c>
      <c r="BT44">
        <f>IF($A44="","",K44+'Beállítások'!$E$15/1000)</f>
        <v/>
      </c>
      <c r="BU44">
        <f>IF($A44="","",L44+'Beállítások'!$E$16/1000)</f>
        <v/>
      </c>
      <c r="BV44">
        <f>IF($A44="","",M44+'Beállítások'!$E$17/1000)</f>
        <v/>
      </c>
      <c r="BW44">
        <f>IF($A44="","",N44+'Beállítások'!$E$18/1000)</f>
        <v/>
      </c>
      <c r="BX44">
        <f>IF($A44="","",O44+'Beállítások'!$E$19/1000)</f>
        <v/>
      </c>
      <c r="BY44">
        <f>IF($A44="","",P44+'Beállítások'!$E$20/1000)</f>
        <v/>
      </c>
      <c r="BZ44">
        <f>IF($A44="","",Q44+'Beállítások'!$E$21/1000)</f>
        <v/>
      </c>
      <c r="CA44">
        <f>IF($A44="","",R44+'Beállítások'!$E$22/1000)</f>
        <v/>
      </c>
      <c r="CB44">
        <f>IF($A44="","",S44+'Beállítások'!$E$23/1000)</f>
        <v/>
      </c>
      <c r="CC44">
        <f>IF($A44="","",T44+'Beállítások'!$E$24/1000)</f>
        <v/>
      </c>
      <c r="CD44">
        <f>IF($A44="","",U44+'Beállítások'!$E$25/1000)</f>
        <v/>
      </c>
      <c r="CE44">
        <f>IF($A44="","",V44+'Beállítások'!$E$26/1000)</f>
        <v/>
      </c>
      <c r="CF44">
        <f>IF($A44="","",W44+'Beállítások'!$E$27/1000)</f>
        <v/>
      </c>
      <c r="CG44">
        <f>IF($A44="","",X44+'Beállítások'!$E$28/1000)</f>
        <v/>
      </c>
      <c r="CH44">
        <f>IF($A44="","",Y44+'Beállítások'!$E$29/1000)</f>
        <v/>
      </c>
      <c r="CI44">
        <f>IF($A44="","",Z44+'Beállítások'!$E$30/1000)</f>
        <v/>
      </c>
      <c r="CJ44">
        <f>IF($A44="","",AA44+'Beállítások'!$E$31/1000)</f>
        <v/>
      </c>
      <c r="CK44">
        <f>IF($A44="","",AB44+'Beállítások'!$E$32/1000)</f>
        <v/>
      </c>
      <c r="CL44">
        <f>IF($A44="","",AC44+'Beállítások'!$E$33/1000)</f>
        <v/>
      </c>
      <c r="CM44">
        <f>IF($A44="","",AD44+'Beállítások'!$E$34/1000)</f>
        <v/>
      </c>
      <c r="CN44">
        <f>IF($A44="","",AE44+'Beállítások'!$E$35/1000)</f>
        <v/>
      </c>
      <c r="CO44">
        <f>IF($A44="","",AF44+'Beállítások'!$E$36/1000)</f>
        <v/>
      </c>
      <c r="CP44">
        <f>IF($A44="","",AG44+'Beállítások'!$E$37/1000)</f>
        <v/>
      </c>
      <c r="CQ44">
        <f>IF($A44="","",AH44+'Beállítások'!$E$38/1000)</f>
        <v/>
      </c>
      <c r="CR44">
        <f>IF($A44="","",'Beállítások'!$E$6*(10-B44))</f>
        <v/>
      </c>
      <c r="CS44">
        <f>IF($A44="","",'Beállítások'!$E$7*(10-C44))</f>
        <v/>
      </c>
      <c r="CT44">
        <f>IF($A44="","",'Beállítások'!$E$8*(10-D44))</f>
        <v/>
      </c>
      <c r="CU44">
        <f>IF($A44="","",'Beállítások'!$E$9*(10-E44))</f>
        <v/>
      </c>
      <c r="CV44">
        <f>IF($A44="","",'Beállítások'!$E$10*(10-F44))</f>
        <v/>
      </c>
      <c r="CW44">
        <f>IF($A44="","",'Beállítások'!$E$11*(10-G44))</f>
        <v/>
      </c>
      <c r="CX44">
        <f>IF($A44="","",'Beállítások'!$E$12*(10-H44))</f>
        <v/>
      </c>
      <c r="CY44">
        <f>IF($A44="","",'Beállítások'!$E$13*(10-I44))</f>
        <v/>
      </c>
      <c r="CZ44">
        <f>IF($A44="","",'Beállítások'!$E$14*(10-J44))</f>
        <v/>
      </c>
      <c r="DA44">
        <f>IF($A44="","",'Beállítások'!$E$15*(10-K44))</f>
        <v/>
      </c>
      <c r="DB44">
        <f>IF($A44="","",'Beállítások'!$E$16*(10-L44))</f>
        <v/>
      </c>
      <c r="DC44">
        <f>IF($A44="","",'Beállítások'!$E$17*(10-M44))</f>
        <v/>
      </c>
      <c r="DD44">
        <f>IF($A44="","",'Beállítások'!$E$18*(10-N44))</f>
        <v/>
      </c>
      <c r="DE44">
        <f>IF($A44="","",'Beállítások'!$E$19*(10-O44))</f>
        <v/>
      </c>
      <c r="DF44">
        <f>IF($A44="","",'Beállítások'!$E$20*(10-P44))</f>
        <v/>
      </c>
      <c r="DG44">
        <f>IF($A44="","",'Beállítások'!$E$21*(10-Q44))</f>
        <v/>
      </c>
      <c r="DH44">
        <f>IF($A44="","",'Beállítások'!$E$22*(10-R44))</f>
        <v/>
      </c>
      <c r="DI44">
        <f>IF($A44="","",'Beállítások'!$E$23*(10-S44))</f>
        <v/>
      </c>
      <c r="DJ44">
        <f>IF($A44="","",'Beállítások'!$E$24*(10-T44))</f>
        <v/>
      </c>
      <c r="DK44">
        <f>IF($A44="","",'Beállítások'!$E$25*(10-U44))</f>
        <v/>
      </c>
      <c r="DL44">
        <f>IF($A44="","",'Beállítások'!$E$26*(10-V44))</f>
        <v/>
      </c>
      <c r="DM44">
        <f>IF($A44="","",'Beállítások'!$E$27*(10-W44))</f>
        <v/>
      </c>
      <c r="DN44">
        <f>IF($A44="","",'Beállítások'!$E$28*(10-X44))</f>
        <v/>
      </c>
      <c r="DO44">
        <f>IF($A44="","",'Beállítások'!$E$29*(10-Y44))</f>
        <v/>
      </c>
      <c r="DP44">
        <f>IF($A44="","",'Beállítások'!$E$30*(10-Z44))</f>
        <v/>
      </c>
      <c r="DQ44">
        <f>IF($A44="","",'Beállítások'!$E$31*(10-AA44))</f>
        <v/>
      </c>
      <c r="DR44">
        <f>IF($A44="","",'Beállítások'!$E$32*(10-AB44))</f>
        <v/>
      </c>
      <c r="DS44">
        <f>IF($A44="","",'Beállítások'!$E$33*(10-AC44))</f>
        <v/>
      </c>
      <c r="DT44">
        <f>IF($A44="","",'Beállítások'!$E$34*(10-AD44))</f>
        <v/>
      </c>
      <c r="DU44">
        <f>IF($A44="","",'Beállítások'!$E$35*(10-AE44))</f>
        <v/>
      </c>
      <c r="DV44">
        <f>IF($A44="","",'Beállítások'!$E$36*(10-AF44))</f>
        <v/>
      </c>
      <c r="DW44">
        <f>IF($A44="","",'Beállítások'!$E$37*(10-AG44))</f>
        <v/>
      </c>
      <c r="DX44">
        <f>IF($A44="","",'Beállítások'!$E$38*(10-AH44))</f>
        <v/>
      </c>
      <c r="DY44">
        <f>IF($A44="","",AM44-ROW()/100000)</f>
        <v/>
      </c>
    </row>
    <row r="45">
      <c r="A45">
        <f>IF('Ügyfelek'!A45="","",'Ügyfelek'!A45)</f>
        <v/>
      </c>
      <c r="B45">
        <f>IF($A45="","",IF('Ügyfelek'!B45="",'Beállítások'!$B$84,IFERROR(VLOOKUP(TRIM('Ügyfelek'!B45),'Beállítások'!$A$51:$B$59,2,FALSE),'Beállítások'!$B$84)))</f>
        <v/>
      </c>
      <c r="C45">
        <f>IF($A45="","",IF('Ügyfelek'!C45="",'Beállítások'!$B$84,MIN(10,MAX(1,ROUND('Ügyfelek'!C45,0)))))</f>
        <v/>
      </c>
      <c r="D45">
        <f>IF($A45="","",IF('Ügyfelek'!D45="",'Beállítások'!$B$84,MIN(10,MAX(1,ROUND('Ügyfelek'!D45,0)))))</f>
        <v/>
      </c>
      <c r="E45">
        <f>IF($A45="","",IF('Ügyfelek'!E45="",'Beállítások'!$B$84,MIN(10,MAX(1,ROUND('Ügyfelek'!E45,0)))))</f>
        <v/>
      </c>
      <c r="F45">
        <f>IF($A45="","",IF('Ügyfelek'!F45="",'Beállítások'!$B$84,MIN(10,MAX(1,ROUND('Ügyfelek'!F45,0)))))</f>
        <v/>
      </c>
      <c r="G45">
        <f>IF($A45="","",IF('Ügyfelek'!G45="",'Beállítások'!$B$84,MIN(10,MAX(1,ROUND('Ügyfelek'!G45,0)))))</f>
        <v/>
      </c>
      <c r="H45">
        <f>IF($A45="","",IF('Ügyfelek'!H45="",'Beállítások'!$B$84,MIN(10,MAX(1,ROUND('Ügyfelek'!H45,0)))))</f>
        <v/>
      </c>
      <c r="I45">
        <f>IF($A45="","",IF('Ügyfelek'!I45="",'Beállítások'!$B$84,MIN(10,MAX(1,ROUND('Ügyfelek'!I45,0)))))</f>
        <v/>
      </c>
      <c r="J45">
        <f>IF($A45="","",IF('Ügyfelek'!J45="",'Beállítások'!$B$84,MIN(10,MAX(1,ROUND('Ügyfelek'!J45,0)))))</f>
        <v/>
      </c>
      <c r="K45">
        <f>IF($A45="","",IF('Ügyfelek'!K45="",'Beállítások'!$B$84,MIN(10,MAX(1,ROUND('Ügyfelek'!K45,0)))))</f>
        <v/>
      </c>
      <c r="L45">
        <f>IF($A45="","",IF('Ügyfelek'!L45="",'Beállítások'!$B$84,MIN(10,MAX(1,ROUND('Ügyfelek'!L45,0)))))</f>
        <v/>
      </c>
      <c r="M45">
        <f>IF($A45="","",IF('Ügyfelek'!M45="",'Beállítások'!$B$84,MIN(10,MAX(1,ROUND('Ügyfelek'!M45,0)))))</f>
        <v/>
      </c>
      <c r="N45">
        <f>IF($A45="","",IF('Ügyfelek'!N45="",'Beállítások'!$B$84,MIN(10,MAX(1,ROUND('Ügyfelek'!N45,0)))))</f>
        <v/>
      </c>
      <c r="O45">
        <f>IF($A45="","",IF('Ügyfelek'!O45="",'Beállítások'!$B$84,MIN(10,MAX(1,ROUND('Ügyfelek'!O45,0)))))</f>
        <v/>
      </c>
      <c r="P45">
        <f>IF($A45="","",IF('Ügyfelek'!P45="",'Beállítások'!$B$84,MIN(10,MAX(1,ROUND('Ügyfelek'!P45,0)))))</f>
        <v/>
      </c>
      <c r="Q45">
        <f>IF($A45="","",IF('Ügyfelek'!Q45="",'Beállítások'!$B$84,MIN(10,MAX(1,ROUND('Ügyfelek'!Q45,0)))))</f>
        <v/>
      </c>
      <c r="R45">
        <f>IF($A45="","",IF('Ügyfelek'!R45="",'Beállítások'!$B$84,MIN(10,MAX(1,ROUND('Ügyfelek'!R45,0)))))</f>
        <v/>
      </c>
      <c r="S45">
        <f>IF($A45="","",IF('Ügyfelek'!S45="",'Beállítások'!$B$84,MIN(10,MAX(1,ROUND('Ügyfelek'!S45,0)))))</f>
        <v/>
      </c>
      <c r="T45">
        <f>IF($A45="","",IF('Ügyfelek'!T45="",'Beállítások'!$B$84,VLOOKUP(MAX('Ügyfelek'!T45,'Beállítások'!$H$7),'Beállítások'!$H$7:$I$12,2,TRUE)))</f>
        <v/>
      </c>
      <c r="U45">
        <f>IF($A45="","",IF('Ügyfelek'!U45="",'Beállítások'!$B$84,VLOOKUP(MAX('Ügyfelek'!U45,'Beállítások'!$K$7),'Beállítások'!$K$7:$L$12,2,TRUE)))</f>
        <v/>
      </c>
      <c r="V45">
        <f>IF($A45="","",IF('Ügyfelek'!V45="",'Beállítások'!$B$84,MIN(10,MAX(1,ROUND('Ügyfelek'!V45,0)))))</f>
        <v/>
      </c>
      <c r="W45">
        <f>IF($A45="","",IF('Ügyfelek'!W45="",'Beállítások'!$B$84,VLOOKUP(MAX('Ügyfelek'!W45,'Beállítások'!$N$7),'Beállítások'!$N$7:$O$12,2,TRUE)))</f>
        <v/>
      </c>
      <c r="X45">
        <f>IF($A45="","",IF('Ügyfelek'!X45="",'Beállítások'!$B$84,MIN(10,MAX(1,ROUND('Ügyfelek'!X45,0)))))</f>
        <v/>
      </c>
      <c r="Y45">
        <f>IF($A45="","",IF('Ügyfelek'!Y45="",'Beállítások'!$B$84,IFERROR(VLOOKUP(TRIM('Ügyfelek'!Y45),'Beállítások'!$A$63:$B$69,2,FALSE),'Beállítások'!$B$84)))</f>
        <v/>
      </c>
      <c r="Z45">
        <f>IF($A45="","",IF('Ügyfelek'!Z45="",'Beállítások'!$B$84,VLOOKUP(MAX('Ügyfelek'!Z45,'Beállítások'!$Q$7),'Beállítások'!$Q$7:$R$12,2,TRUE)))</f>
        <v/>
      </c>
      <c r="AA45">
        <f>IF($A45="","",IF('Ügyfelek'!AA45="",'Beállítások'!$B$84,VLOOKUP(MAX('Ügyfelek'!AA45,'Beállítások'!$T$7),'Beállítások'!$T$7:$U$12,2,TRUE)))</f>
        <v/>
      </c>
      <c r="AB45">
        <f>IF($A45="","",IF('Ügyfelek'!AB45="",'Beállítások'!$B$84,MIN(10,MAX(1,ROUND('Ügyfelek'!AB45,0)))))</f>
        <v/>
      </c>
      <c r="AC45">
        <f>IF($A45="","",IF('Ügyfelek'!AC45="",'Beállítások'!$B$84,MIN(10,MAX(1,ROUND('Ügyfelek'!AC45,0)))))</f>
        <v/>
      </c>
      <c r="AD45">
        <f>IF($A45="","",IF('Ügyfelek'!AD45="",'Beállítások'!$B$84,MIN(10,MAX(1,ROUND('Ügyfelek'!AD45,0)))))</f>
        <v/>
      </c>
      <c r="AE45">
        <f>IF($A45="","",IF('Ügyfelek'!AE45="",'Beállítások'!$B$84,MIN(10,MAX(1,ROUND('Ügyfelek'!AE45,0)))))</f>
        <v/>
      </c>
      <c r="AF45">
        <f>IF($A45="","",IF('Ügyfelek'!AF45="",'Beállítások'!$B$84,MIN(10,MAX(1,ROUND('Ügyfelek'!AF45,0)))))</f>
        <v/>
      </c>
      <c r="AG45">
        <f>IF($A45="","",IF('Ügyfelek'!AG45="",'Beállítások'!$B$84,MIN(10,MAX(1,ROUND('Ügyfelek'!AG45,0)))))</f>
        <v/>
      </c>
      <c r="AH45">
        <f>IF($A45="","",IF('Ügyfelek'!AH45="",'Beállítások'!$B$84,IFERROR(VLOOKUP(TRIM('Ügyfelek'!AH45),'Beállítások'!$A$73:$B$79,2,FALSE),'Beállítások'!$B$84)))</f>
        <v/>
      </c>
      <c r="AI45" s="23">
        <f>IF($A45="","",ROUND(100*('Beállítások'!$E$6*(B45-1)+'Beállítások'!$E$7*(C45-1))/(9*'Beállítások'!$B$43),1))</f>
        <v/>
      </c>
      <c r="AJ45" s="23">
        <f>IF($A45="","",ROUND(100*('Beállítások'!$E$8*(D45-1)+'Beállítások'!$E$9*(E45-1)+'Beállítások'!$E$10*(F45-1)+'Beállítások'!$E$11*(G45-1)+'Beállítások'!$E$12*(H45-1)+'Beállítások'!$E$13*(I45-1)+'Beállítások'!$E$14*(J45-1)+'Beállítások'!$E$15*(K45-1)+'Beállítások'!$E$16*(L45-1)+'Beállítások'!$E$17*(M45-1)+'Beállítások'!$E$18*(N45-1)+'Beállítások'!$E$19*(O45-1)+'Beállítások'!$E$20*(P45-1)+'Beállítások'!$E$21*(Q45-1)+'Beállítások'!$E$22*(R45-1))/(9*'Beállítások'!$B$44),1))</f>
        <v/>
      </c>
      <c r="AK45" s="23">
        <f>IF($A45="","",ROUND(100*('Beállítások'!$E$23*(S45-1)+'Beállítások'!$E$24*(T45-1)+'Beállítások'!$E$25*(U45-1)+'Beállítások'!$E$26*(V45-1)+'Beállítások'!$E$27*(W45-1)+'Beállítások'!$E$28*(X45-1)+'Beállítások'!$E$29*(Y45-1))/(9*'Beállítások'!$B$45),1))</f>
        <v/>
      </c>
      <c r="AL45" s="23">
        <f>IF($A45="","",ROUND(100*('Beállítások'!$E$30*(Z45-1)+'Beállítások'!$E$31*(AA45-1)+'Beállítások'!$E$32*(AB45-1)+'Beállítások'!$E$33*(AC45-1)+'Beállítások'!$E$34*(AD45-1)+'Beállítások'!$E$35*(AE45-1)+'Beállítások'!$E$36*(AF45-1)+'Beállítások'!$E$37*(AG45-1)+'Beállítások'!$E$38*(AH45-1))/(9*'Beállítások'!$B$46),1))</f>
        <v/>
      </c>
      <c r="AM45" s="23">
        <f>IF($A45="","",ROUND(100*('Beállítások'!$E$6*(B45-1)+'Beállítások'!$E$7*(C45-1)+'Beállítások'!$E$8*(D45-1)+'Beállítások'!$E$9*(E45-1)+'Beállítások'!$E$10*(F45-1)+'Beállítások'!$E$11*(G45-1)+'Beállítások'!$E$12*(H45-1)+'Beállítások'!$E$13*(I45-1)+'Beállítások'!$E$14*(J45-1)+'Beállítások'!$E$15*(K45-1)+'Beállítások'!$E$16*(L45-1)+'Beállítások'!$E$17*(M45-1)+'Beállítások'!$E$18*(N45-1)+'Beállítások'!$E$19*(O45-1)+'Beállítások'!$E$20*(P45-1)+'Beállítások'!$E$21*(Q45-1)+'Beállítások'!$E$22*(R45-1)+'Beállítások'!$E$23*(S45-1)+'Beállítások'!$E$24*(T45-1)+'Beállítások'!$E$25*(U45-1)+'Beállítások'!$E$26*(V45-1)+'Beállítások'!$E$27*(W45-1)+'Beállítások'!$E$28*(X45-1)+'Beállítások'!$E$29*(Y45-1)+'Beállítások'!$E$30*(Z45-1)+'Beállítások'!$E$31*(AA45-1)+'Beállítások'!$E$32*(AB45-1)+'Beállítások'!$E$33*(AC45-1)+'Beállítások'!$E$34*(AD45-1)+'Beállítások'!$E$35*(AE45-1)+'Beállítások'!$E$36*(AF45-1)+'Beállítások'!$E$37*(AG45-1)+'Beállítások'!$E$38*(AH45-1))/(9*'Beállítások'!$E$39),1))</f>
        <v/>
      </c>
      <c r="AN45" s="23">
        <f>IF($A45="","",ROUND(100*('Beállítások'!$E$8*(D45-1)+'Beállítások'!$E$9*(E45-1)+'Beállítások'!$E$10*(F45-1)+'Beállítások'!$E$11*(G45-1)+'Beállítások'!$E$12*(H45-1)+'Beállítások'!$E$13*(I45-1)+'Beállítások'!$E$14*(J45-1)+'Beállítások'!$E$15*(K45-1)+'Beállítások'!$E$16*(L45-1)+'Beállítások'!$E$17*(M45-1)+'Beállítások'!$E$18*(N45-1)+'Beállítások'!$E$19*(O45-1)+'Beállítások'!$E$20*(P45-1)+'Beállítások'!$E$21*(Q45-1)+'Beállítások'!$E$22*(R45-1)+'Beállítások'!$E$23*(S45-1)+'Beállítások'!$E$24*(T45-1)+'Beállítások'!$E$25*(U45-1)+'Beállítások'!$E$26*(V45-1)+'Beállítások'!$E$27*(W45-1)+'Beállítások'!$E$28*(X45-1)+'Beállítások'!$E$29*(Y45-1))/(9*('Beállítások'!$B$44+'Beállítások'!$B$45)),1))</f>
        <v/>
      </c>
      <c r="AO45" s="24">
        <f>IF($A45="","",RANK(AM45,$AM$2:$AM$201))</f>
        <v/>
      </c>
      <c r="AP45">
        <f>IF($A45="","",IF(OR(AND('Ügyfelek'!B45&lt;&gt;"",B45&lt;='Beállítások'!$B$85),AND('Ügyfelek'!C45&lt;&gt;"",C45&lt;='Beállítások'!$B$86)),"Igen","Nem"))</f>
        <v/>
      </c>
      <c r="AQ45" s="24">
        <f>IF($A45="","",IF(AP45="Igen",5,IF(AN45&gt;='Beállítások'!$C$108,1,IF(AN45&gt;='Beállítások'!$C$109,2,IF(AN45&gt;='Beállítások'!$C$110,3,IF(AND(AN45&gt;='Beállítások'!$B$87,AI45&gt;='Beállítások'!$B$88,AL45&gt;='Beállítások'!$B$89),4,5))))))</f>
        <v/>
      </c>
      <c r="AR45">
        <f>IF($A45="","",INDEX('Beállítások'!$B$108:$B$112,AQ45))</f>
        <v/>
      </c>
      <c r="AS45">
        <f>IF($A45="","",IF(AQ45=5,"Elutasítjuk",IF(AND(AQ45=4,COUNTIFS('Eredmény'!$AQ$2:$AQ$201,4,'Eredmény'!$DY$2:$DY$201,"&gt;"&amp;DY45)&gt;='Beállítások'!$B$90),"Várólista (a 4-es hely foglalt)","Elfogadjuk")))</f>
        <v/>
      </c>
      <c r="AT45">
        <f>IF($A45="","",INDEX('Beállítások'!$F$108:$F$112,AQ45))</f>
        <v/>
      </c>
      <c r="AU45">
        <f>IF($A45="","",INDEX('Beállítások'!$B$6:$B$38,MATCH(MAX(BK45:CQ45),BK45:CQ45,0)))</f>
        <v/>
      </c>
      <c r="AV45">
        <f>IF($A45="","",IF(MAX(CR45:DX45)=0,"—",INDEX('Beállítások'!$B$6:$B$38,MATCH(MAX(CR45:DX45),CR45:DX45,0))))</f>
        <v/>
      </c>
      <c r="AW45" s="10">
        <f>IF($A45="","",'Beállítások'!$B$94*(TRIM('Ügyfelek'!AI45)="igen")+'Beállítások'!$B$95*(TRIM('Ügyfelek'!AJ45)="igen")+'Beállítások'!$B$96*N('Ügyfelek'!AK45)+'Beállítások'!$B$93*N('Ügyfelek'!AL45))</f>
        <v/>
      </c>
      <c r="AX45" s="25">
        <f>IF(OR($A45="",AQ45=5),"",INDEX('Beállítások'!$D$108:$D$112,AQ45))</f>
        <v/>
      </c>
      <c r="AY45" s="10">
        <f>IF($A45="","",N('Ügyfelek'!U45)*'Beállítások'!$B$98)</f>
        <v/>
      </c>
      <c r="AZ45" s="10">
        <f>IF(OR($A45="",AQ45=5),"",CEILING(ROUND(MAX('Beállítások'!$B$97,AW45*AX45,AY45),2),'Beállítások'!$B$99))</f>
        <v/>
      </c>
      <c r="BA45">
        <f>IF($A45="","",IF(AQ45=5,"Elutasítva",IF(MAX('Beállítások'!$B$97,AW45*AX45,AY45)=AW45*AX45,"Munkaigény × státuszszorzó",IF(MAX('Beállítások'!$B$97,AW45*AX45,AY45)=AY45,"Hirdetési keret arányában","Minimumdíj"))))</f>
        <v/>
      </c>
      <c r="BB45" s="10">
        <f>IF(OR($A45="",'Ügyfelek'!AM45=""),"",'Ügyfelek'!AM45)</f>
        <v/>
      </c>
      <c r="BC45" s="10">
        <f>IF(OR(BB45="",AZ45=""),"",AZ45-BB45)</f>
        <v/>
      </c>
      <c r="BD45" s="18">
        <f>IF(OR(BB45="",AZ45="",BB45=0),"",BC45/BB45)</f>
        <v/>
      </c>
      <c r="BE45">
        <f>IF(OR($A45="",AQ45=5),"",IF(AND(INDEX('Beállítások'!$E$108:$E$112,AQ45)&gt;0,Y45&gt;='Beállítások'!$B$91),"Igen","Nem"))</f>
        <v/>
      </c>
      <c r="BF45" s="10">
        <f>IF(BE45="Igen",CEILING(ROUND(AZ45*(1-'Beállítások'!$B$92),2),'Beállítások'!$B$99),"")</f>
        <v/>
      </c>
      <c r="BG45" s="20">
        <f>IF(BE45="Igen",INDEX('Beállítások'!$E$108:$E$112,AQ45),"")</f>
        <v/>
      </c>
      <c r="BH45" s="10">
        <f>IF(OR(BE45&lt;&gt;"Igen",'Ügyfelek'!AN45=""),"",'Ügyfelek'!AN45*BG45)</f>
        <v/>
      </c>
      <c r="BI45" s="24">
        <f>IF($A45="","",('Ügyfelek'!B45="")+('Ügyfelek'!C45="")+('Ügyfelek'!D45="")+('Ügyfelek'!E45="")+('Ügyfelek'!F45="")+('Ügyfelek'!G45="")+('Ügyfelek'!H45="")+('Ügyfelek'!I45="")+('Ügyfelek'!J45="")+('Ügyfelek'!K45="")+('Ügyfelek'!L45="")+('Ügyfelek'!M45="")+('Ügyfelek'!N45="")+('Ügyfelek'!O45="")+('Ügyfelek'!P45="")+('Ügyfelek'!Q45="")+('Ügyfelek'!R45="")+('Ügyfelek'!S45="")+('Ügyfelek'!T45="")+('Ügyfelek'!U45="")+('Ügyfelek'!V45="")+('Ügyfelek'!W45="")+('Ügyfelek'!X45="")+('Ügyfelek'!Y45="")+('Ügyfelek'!Z45="")+('Ügyfelek'!AA45="")+('Ügyfelek'!AB45="")+('Ügyfelek'!AC45="")+('Ügyfelek'!AD45="")+('Ügyfelek'!AE45="")+('Ügyfelek'!AF45="")+('Ügyfelek'!AG45="")+('Ügyfelek'!AH45=""))</f>
        <v/>
      </c>
      <c r="BK45">
        <f>IF($A45="","",B45+'Beállítások'!$E$6/1000)</f>
        <v/>
      </c>
      <c r="BL45">
        <f>IF($A45="","",C45+'Beállítások'!$E$7/1000)</f>
        <v/>
      </c>
      <c r="BM45">
        <f>IF($A45="","",D45+'Beállítások'!$E$8/1000)</f>
        <v/>
      </c>
      <c r="BN45">
        <f>IF($A45="","",E45+'Beállítások'!$E$9/1000)</f>
        <v/>
      </c>
      <c r="BO45">
        <f>IF($A45="","",F45+'Beállítások'!$E$10/1000)</f>
        <v/>
      </c>
      <c r="BP45">
        <f>IF($A45="","",G45+'Beállítások'!$E$11/1000)</f>
        <v/>
      </c>
      <c r="BQ45">
        <f>IF($A45="","",H45+'Beállítások'!$E$12/1000)</f>
        <v/>
      </c>
      <c r="BR45">
        <f>IF($A45="","",I45+'Beállítások'!$E$13/1000)</f>
        <v/>
      </c>
      <c r="BS45">
        <f>IF($A45="","",J45+'Beállítások'!$E$14/1000)</f>
        <v/>
      </c>
      <c r="BT45">
        <f>IF($A45="","",K45+'Beállítások'!$E$15/1000)</f>
        <v/>
      </c>
      <c r="BU45">
        <f>IF($A45="","",L45+'Beállítások'!$E$16/1000)</f>
        <v/>
      </c>
      <c r="BV45">
        <f>IF($A45="","",M45+'Beállítások'!$E$17/1000)</f>
        <v/>
      </c>
      <c r="BW45">
        <f>IF($A45="","",N45+'Beállítások'!$E$18/1000)</f>
        <v/>
      </c>
      <c r="BX45">
        <f>IF($A45="","",O45+'Beállítások'!$E$19/1000)</f>
        <v/>
      </c>
      <c r="BY45">
        <f>IF($A45="","",P45+'Beállítások'!$E$20/1000)</f>
        <v/>
      </c>
      <c r="BZ45">
        <f>IF($A45="","",Q45+'Beállítások'!$E$21/1000)</f>
        <v/>
      </c>
      <c r="CA45">
        <f>IF($A45="","",R45+'Beállítások'!$E$22/1000)</f>
        <v/>
      </c>
      <c r="CB45">
        <f>IF($A45="","",S45+'Beállítások'!$E$23/1000)</f>
        <v/>
      </c>
      <c r="CC45">
        <f>IF($A45="","",T45+'Beállítások'!$E$24/1000)</f>
        <v/>
      </c>
      <c r="CD45">
        <f>IF($A45="","",U45+'Beállítások'!$E$25/1000)</f>
        <v/>
      </c>
      <c r="CE45">
        <f>IF($A45="","",V45+'Beállítások'!$E$26/1000)</f>
        <v/>
      </c>
      <c r="CF45">
        <f>IF($A45="","",W45+'Beállítások'!$E$27/1000)</f>
        <v/>
      </c>
      <c r="CG45">
        <f>IF($A45="","",X45+'Beállítások'!$E$28/1000)</f>
        <v/>
      </c>
      <c r="CH45">
        <f>IF($A45="","",Y45+'Beállítások'!$E$29/1000)</f>
        <v/>
      </c>
      <c r="CI45">
        <f>IF($A45="","",Z45+'Beállítások'!$E$30/1000)</f>
        <v/>
      </c>
      <c r="CJ45">
        <f>IF($A45="","",AA45+'Beállítások'!$E$31/1000)</f>
        <v/>
      </c>
      <c r="CK45">
        <f>IF($A45="","",AB45+'Beállítások'!$E$32/1000)</f>
        <v/>
      </c>
      <c r="CL45">
        <f>IF($A45="","",AC45+'Beállítások'!$E$33/1000)</f>
        <v/>
      </c>
      <c r="CM45">
        <f>IF($A45="","",AD45+'Beállítások'!$E$34/1000)</f>
        <v/>
      </c>
      <c r="CN45">
        <f>IF($A45="","",AE45+'Beállítások'!$E$35/1000)</f>
        <v/>
      </c>
      <c r="CO45">
        <f>IF($A45="","",AF45+'Beállítások'!$E$36/1000)</f>
        <v/>
      </c>
      <c r="CP45">
        <f>IF($A45="","",AG45+'Beállítások'!$E$37/1000)</f>
        <v/>
      </c>
      <c r="CQ45">
        <f>IF($A45="","",AH45+'Beállítások'!$E$38/1000)</f>
        <v/>
      </c>
      <c r="CR45">
        <f>IF($A45="","",'Beállítások'!$E$6*(10-B45))</f>
        <v/>
      </c>
      <c r="CS45">
        <f>IF($A45="","",'Beállítások'!$E$7*(10-C45))</f>
        <v/>
      </c>
      <c r="CT45">
        <f>IF($A45="","",'Beállítások'!$E$8*(10-D45))</f>
        <v/>
      </c>
      <c r="CU45">
        <f>IF($A45="","",'Beállítások'!$E$9*(10-E45))</f>
        <v/>
      </c>
      <c r="CV45">
        <f>IF($A45="","",'Beállítások'!$E$10*(10-F45))</f>
        <v/>
      </c>
      <c r="CW45">
        <f>IF($A45="","",'Beállítások'!$E$11*(10-G45))</f>
        <v/>
      </c>
      <c r="CX45">
        <f>IF($A45="","",'Beállítások'!$E$12*(10-H45))</f>
        <v/>
      </c>
      <c r="CY45">
        <f>IF($A45="","",'Beállítások'!$E$13*(10-I45))</f>
        <v/>
      </c>
      <c r="CZ45">
        <f>IF($A45="","",'Beállítások'!$E$14*(10-J45))</f>
        <v/>
      </c>
      <c r="DA45">
        <f>IF($A45="","",'Beállítások'!$E$15*(10-K45))</f>
        <v/>
      </c>
      <c r="DB45">
        <f>IF($A45="","",'Beállítások'!$E$16*(10-L45))</f>
        <v/>
      </c>
      <c r="DC45">
        <f>IF($A45="","",'Beállítások'!$E$17*(10-M45))</f>
        <v/>
      </c>
      <c r="DD45">
        <f>IF($A45="","",'Beállítások'!$E$18*(10-N45))</f>
        <v/>
      </c>
      <c r="DE45">
        <f>IF($A45="","",'Beállítások'!$E$19*(10-O45))</f>
        <v/>
      </c>
      <c r="DF45">
        <f>IF($A45="","",'Beállítások'!$E$20*(10-P45))</f>
        <v/>
      </c>
      <c r="DG45">
        <f>IF($A45="","",'Beállítások'!$E$21*(10-Q45))</f>
        <v/>
      </c>
      <c r="DH45">
        <f>IF($A45="","",'Beállítások'!$E$22*(10-R45))</f>
        <v/>
      </c>
      <c r="DI45">
        <f>IF($A45="","",'Beállítások'!$E$23*(10-S45))</f>
        <v/>
      </c>
      <c r="DJ45">
        <f>IF($A45="","",'Beállítások'!$E$24*(10-T45))</f>
        <v/>
      </c>
      <c r="DK45">
        <f>IF($A45="","",'Beállítások'!$E$25*(10-U45))</f>
        <v/>
      </c>
      <c r="DL45">
        <f>IF($A45="","",'Beállítások'!$E$26*(10-V45))</f>
        <v/>
      </c>
      <c r="DM45">
        <f>IF($A45="","",'Beállítások'!$E$27*(10-W45))</f>
        <v/>
      </c>
      <c r="DN45">
        <f>IF($A45="","",'Beállítások'!$E$28*(10-X45))</f>
        <v/>
      </c>
      <c r="DO45">
        <f>IF($A45="","",'Beállítások'!$E$29*(10-Y45))</f>
        <v/>
      </c>
      <c r="DP45">
        <f>IF($A45="","",'Beállítások'!$E$30*(10-Z45))</f>
        <v/>
      </c>
      <c r="DQ45">
        <f>IF($A45="","",'Beállítások'!$E$31*(10-AA45))</f>
        <v/>
      </c>
      <c r="DR45">
        <f>IF($A45="","",'Beállítások'!$E$32*(10-AB45))</f>
        <v/>
      </c>
      <c r="DS45">
        <f>IF($A45="","",'Beállítások'!$E$33*(10-AC45))</f>
        <v/>
      </c>
      <c r="DT45">
        <f>IF($A45="","",'Beállítások'!$E$34*(10-AD45))</f>
        <v/>
      </c>
      <c r="DU45">
        <f>IF($A45="","",'Beállítások'!$E$35*(10-AE45))</f>
        <v/>
      </c>
      <c r="DV45">
        <f>IF($A45="","",'Beállítások'!$E$36*(10-AF45))</f>
        <v/>
      </c>
      <c r="DW45">
        <f>IF($A45="","",'Beállítások'!$E$37*(10-AG45))</f>
        <v/>
      </c>
      <c r="DX45">
        <f>IF($A45="","",'Beállítások'!$E$38*(10-AH45))</f>
        <v/>
      </c>
      <c r="DY45">
        <f>IF($A45="","",AM45-ROW()/100000)</f>
        <v/>
      </c>
    </row>
    <row r="46">
      <c r="A46">
        <f>IF('Ügyfelek'!A46="","",'Ügyfelek'!A46)</f>
        <v/>
      </c>
      <c r="B46">
        <f>IF($A46="","",IF('Ügyfelek'!B46="",'Beállítások'!$B$84,IFERROR(VLOOKUP(TRIM('Ügyfelek'!B46),'Beállítások'!$A$51:$B$59,2,FALSE),'Beállítások'!$B$84)))</f>
        <v/>
      </c>
      <c r="C46">
        <f>IF($A46="","",IF('Ügyfelek'!C46="",'Beállítások'!$B$84,MIN(10,MAX(1,ROUND('Ügyfelek'!C46,0)))))</f>
        <v/>
      </c>
      <c r="D46">
        <f>IF($A46="","",IF('Ügyfelek'!D46="",'Beállítások'!$B$84,MIN(10,MAX(1,ROUND('Ügyfelek'!D46,0)))))</f>
        <v/>
      </c>
      <c r="E46">
        <f>IF($A46="","",IF('Ügyfelek'!E46="",'Beállítások'!$B$84,MIN(10,MAX(1,ROUND('Ügyfelek'!E46,0)))))</f>
        <v/>
      </c>
      <c r="F46">
        <f>IF($A46="","",IF('Ügyfelek'!F46="",'Beállítások'!$B$84,MIN(10,MAX(1,ROUND('Ügyfelek'!F46,0)))))</f>
        <v/>
      </c>
      <c r="G46">
        <f>IF($A46="","",IF('Ügyfelek'!G46="",'Beállítások'!$B$84,MIN(10,MAX(1,ROUND('Ügyfelek'!G46,0)))))</f>
        <v/>
      </c>
      <c r="H46">
        <f>IF($A46="","",IF('Ügyfelek'!H46="",'Beállítások'!$B$84,MIN(10,MAX(1,ROUND('Ügyfelek'!H46,0)))))</f>
        <v/>
      </c>
      <c r="I46">
        <f>IF($A46="","",IF('Ügyfelek'!I46="",'Beállítások'!$B$84,MIN(10,MAX(1,ROUND('Ügyfelek'!I46,0)))))</f>
        <v/>
      </c>
      <c r="J46">
        <f>IF($A46="","",IF('Ügyfelek'!J46="",'Beállítások'!$B$84,MIN(10,MAX(1,ROUND('Ügyfelek'!J46,0)))))</f>
        <v/>
      </c>
      <c r="K46">
        <f>IF($A46="","",IF('Ügyfelek'!K46="",'Beállítások'!$B$84,MIN(10,MAX(1,ROUND('Ügyfelek'!K46,0)))))</f>
        <v/>
      </c>
      <c r="L46">
        <f>IF($A46="","",IF('Ügyfelek'!L46="",'Beállítások'!$B$84,MIN(10,MAX(1,ROUND('Ügyfelek'!L46,0)))))</f>
        <v/>
      </c>
      <c r="M46">
        <f>IF($A46="","",IF('Ügyfelek'!M46="",'Beállítások'!$B$84,MIN(10,MAX(1,ROUND('Ügyfelek'!M46,0)))))</f>
        <v/>
      </c>
      <c r="N46">
        <f>IF($A46="","",IF('Ügyfelek'!N46="",'Beállítások'!$B$84,MIN(10,MAX(1,ROUND('Ügyfelek'!N46,0)))))</f>
        <v/>
      </c>
      <c r="O46">
        <f>IF($A46="","",IF('Ügyfelek'!O46="",'Beállítások'!$B$84,MIN(10,MAX(1,ROUND('Ügyfelek'!O46,0)))))</f>
        <v/>
      </c>
      <c r="P46">
        <f>IF($A46="","",IF('Ügyfelek'!P46="",'Beállítások'!$B$84,MIN(10,MAX(1,ROUND('Ügyfelek'!P46,0)))))</f>
        <v/>
      </c>
      <c r="Q46">
        <f>IF($A46="","",IF('Ügyfelek'!Q46="",'Beállítások'!$B$84,MIN(10,MAX(1,ROUND('Ügyfelek'!Q46,0)))))</f>
        <v/>
      </c>
      <c r="R46">
        <f>IF($A46="","",IF('Ügyfelek'!R46="",'Beállítások'!$B$84,MIN(10,MAX(1,ROUND('Ügyfelek'!R46,0)))))</f>
        <v/>
      </c>
      <c r="S46">
        <f>IF($A46="","",IF('Ügyfelek'!S46="",'Beállítások'!$B$84,MIN(10,MAX(1,ROUND('Ügyfelek'!S46,0)))))</f>
        <v/>
      </c>
      <c r="T46">
        <f>IF($A46="","",IF('Ügyfelek'!T46="",'Beállítások'!$B$84,VLOOKUP(MAX('Ügyfelek'!T46,'Beállítások'!$H$7),'Beállítások'!$H$7:$I$12,2,TRUE)))</f>
        <v/>
      </c>
      <c r="U46">
        <f>IF($A46="","",IF('Ügyfelek'!U46="",'Beállítások'!$B$84,VLOOKUP(MAX('Ügyfelek'!U46,'Beállítások'!$K$7),'Beállítások'!$K$7:$L$12,2,TRUE)))</f>
        <v/>
      </c>
      <c r="V46">
        <f>IF($A46="","",IF('Ügyfelek'!V46="",'Beállítások'!$B$84,MIN(10,MAX(1,ROUND('Ügyfelek'!V46,0)))))</f>
        <v/>
      </c>
      <c r="W46">
        <f>IF($A46="","",IF('Ügyfelek'!W46="",'Beállítások'!$B$84,VLOOKUP(MAX('Ügyfelek'!W46,'Beállítások'!$N$7),'Beállítások'!$N$7:$O$12,2,TRUE)))</f>
        <v/>
      </c>
      <c r="X46">
        <f>IF($A46="","",IF('Ügyfelek'!X46="",'Beállítások'!$B$84,MIN(10,MAX(1,ROUND('Ügyfelek'!X46,0)))))</f>
        <v/>
      </c>
      <c r="Y46">
        <f>IF($A46="","",IF('Ügyfelek'!Y46="",'Beállítások'!$B$84,IFERROR(VLOOKUP(TRIM('Ügyfelek'!Y46),'Beállítások'!$A$63:$B$69,2,FALSE),'Beállítások'!$B$84)))</f>
        <v/>
      </c>
      <c r="Z46">
        <f>IF($A46="","",IF('Ügyfelek'!Z46="",'Beállítások'!$B$84,VLOOKUP(MAX('Ügyfelek'!Z46,'Beállítások'!$Q$7),'Beállítások'!$Q$7:$R$12,2,TRUE)))</f>
        <v/>
      </c>
      <c r="AA46">
        <f>IF($A46="","",IF('Ügyfelek'!AA46="",'Beállítások'!$B$84,VLOOKUP(MAX('Ügyfelek'!AA46,'Beállítások'!$T$7),'Beállítások'!$T$7:$U$12,2,TRUE)))</f>
        <v/>
      </c>
      <c r="AB46">
        <f>IF($A46="","",IF('Ügyfelek'!AB46="",'Beállítások'!$B$84,MIN(10,MAX(1,ROUND('Ügyfelek'!AB46,0)))))</f>
        <v/>
      </c>
      <c r="AC46">
        <f>IF($A46="","",IF('Ügyfelek'!AC46="",'Beállítások'!$B$84,MIN(10,MAX(1,ROUND('Ügyfelek'!AC46,0)))))</f>
        <v/>
      </c>
      <c r="AD46">
        <f>IF($A46="","",IF('Ügyfelek'!AD46="",'Beállítások'!$B$84,MIN(10,MAX(1,ROUND('Ügyfelek'!AD46,0)))))</f>
        <v/>
      </c>
      <c r="AE46">
        <f>IF($A46="","",IF('Ügyfelek'!AE46="",'Beállítások'!$B$84,MIN(10,MAX(1,ROUND('Ügyfelek'!AE46,0)))))</f>
        <v/>
      </c>
      <c r="AF46">
        <f>IF($A46="","",IF('Ügyfelek'!AF46="",'Beállítások'!$B$84,MIN(10,MAX(1,ROUND('Ügyfelek'!AF46,0)))))</f>
        <v/>
      </c>
      <c r="AG46">
        <f>IF($A46="","",IF('Ügyfelek'!AG46="",'Beállítások'!$B$84,MIN(10,MAX(1,ROUND('Ügyfelek'!AG46,0)))))</f>
        <v/>
      </c>
      <c r="AH46">
        <f>IF($A46="","",IF('Ügyfelek'!AH46="",'Beállítások'!$B$84,IFERROR(VLOOKUP(TRIM('Ügyfelek'!AH46),'Beállítások'!$A$73:$B$79,2,FALSE),'Beállítások'!$B$84)))</f>
        <v/>
      </c>
      <c r="AI46" s="23">
        <f>IF($A46="","",ROUND(100*('Beállítások'!$E$6*(B46-1)+'Beállítások'!$E$7*(C46-1))/(9*'Beállítások'!$B$43),1))</f>
        <v/>
      </c>
      <c r="AJ46" s="23">
        <f>IF($A46="","",ROUND(100*('Beállítások'!$E$8*(D46-1)+'Beállítások'!$E$9*(E46-1)+'Beállítások'!$E$10*(F46-1)+'Beállítások'!$E$11*(G46-1)+'Beállítások'!$E$12*(H46-1)+'Beállítások'!$E$13*(I46-1)+'Beállítások'!$E$14*(J46-1)+'Beállítások'!$E$15*(K46-1)+'Beállítások'!$E$16*(L46-1)+'Beállítások'!$E$17*(M46-1)+'Beállítások'!$E$18*(N46-1)+'Beállítások'!$E$19*(O46-1)+'Beállítások'!$E$20*(P46-1)+'Beállítások'!$E$21*(Q46-1)+'Beállítások'!$E$22*(R46-1))/(9*'Beállítások'!$B$44),1))</f>
        <v/>
      </c>
      <c r="AK46" s="23">
        <f>IF($A46="","",ROUND(100*('Beállítások'!$E$23*(S46-1)+'Beállítások'!$E$24*(T46-1)+'Beállítások'!$E$25*(U46-1)+'Beállítások'!$E$26*(V46-1)+'Beállítások'!$E$27*(W46-1)+'Beállítások'!$E$28*(X46-1)+'Beállítások'!$E$29*(Y46-1))/(9*'Beállítások'!$B$45),1))</f>
        <v/>
      </c>
      <c r="AL46" s="23">
        <f>IF($A46="","",ROUND(100*('Beállítások'!$E$30*(Z46-1)+'Beállítások'!$E$31*(AA46-1)+'Beállítások'!$E$32*(AB46-1)+'Beállítások'!$E$33*(AC46-1)+'Beállítások'!$E$34*(AD46-1)+'Beállítások'!$E$35*(AE46-1)+'Beállítások'!$E$36*(AF46-1)+'Beállítások'!$E$37*(AG46-1)+'Beállítások'!$E$38*(AH46-1))/(9*'Beállítások'!$B$46),1))</f>
        <v/>
      </c>
      <c r="AM46" s="23">
        <f>IF($A46="","",ROUND(100*('Beállítások'!$E$6*(B46-1)+'Beállítások'!$E$7*(C46-1)+'Beállítások'!$E$8*(D46-1)+'Beállítások'!$E$9*(E46-1)+'Beállítások'!$E$10*(F46-1)+'Beállítások'!$E$11*(G46-1)+'Beállítások'!$E$12*(H46-1)+'Beállítások'!$E$13*(I46-1)+'Beállítások'!$E$14*(J46-1)+'Beállítások'!$E$15*(K46-1)+'Beállítások'!$E$16*(L46-1)+'Beállítások'!$E$17*(M46-1)+'Beállítások'!$E$18*(N46-1)+'Beállítások'!$E$19*(O46-1)+'Beállítások'!$E$20*(P46-1)+'Beállítások'!$E$21*(Q46-1)+'Beállítások'!$E$22*(R46-1)+'Beállítások'!$E$23*(S46-1)+'Beállítások'!$E$24*(T46-1)+'Beállítások'!$E$25*(U46-1)+'Beállítások'!$E$26*(V46-1)+'Beállítások'!$E$27*(W46-1)+'Beállítások'!$E$28*(X46-1)+'Beállítások'!$E$29*(Y46-1)+'Beállítások'!$E$30*(Z46-1)+'Beállítások'!$E$31*(AA46-1)+'Beállítások'!$E$32*(AB46-1)+'Beállítások'!$E$33*(AC46-1)+'Beállítások'!$E$34*(AD46-1)+'Beállítások'!$E$35*(AE46-1)+'Beállítások'!$E$36*(AF46-1)+'Beállítások'!$E$37*(AG46-1)+'Beállítások'!$E$38*(AH46-1))/(9*'Beállítások'!$E$39),1))</f>
        <v/>
      </c>
      <c r="AN46" s="23">
        <f>IF($A46="","",ROUND(100*('Beállítások'!$E$8*(D46-1)+'Beállítások'!$E$9*(E46-1)+'Beállítások'!$E$10*(F46-1)+'Beállítások'!$E$11*(G46-1)+'Beállítások'!$E$12*(H46-1)+'Beállítások'!$E$13*(I46-1)+'Beállítások'!$E$14*(J46-1)+'Beállítások'!$E$15*(K46-1)+'Beállítások'!$E$16*(L46-1)+'Beállítások'!$E$17*(M46-1)+'Beállítások'!$E$18*(N46-1)+'Beállítások'!$E$19*(O46-1)+'Beállítások'!$E$20*(P46-1)+'Beállítások'!$E$21*(Q46-1)+'Beállítások'!$E$22*(R46-1)+'Beállítások'!$E$23*(S46-1)+'Beállítások'!$E$24*(T46-1)+'Beállítások'!$E$25*(U46-1)+'Beállítások'!$E$26*(V46-1)+'Beállítások'!$E$27*(W46-1)+'Beállítások'!$E$28*(X46-1)+'Beállítások'!$E$29*(Y46-1))/(9*('Beállítások'!$B$44+'Beállítások'!$B$45)),1))</f>
        <v/>
      </c>
      <c r="AO46" s="24">
        <f>IF($A46="","",RANK(AM46,$AM$2:$AM$201))</f>
        <v/>
      </c>
      <c r="AP46">
        <f>IF($A46="","",IF(OR(AND('Ügyfelek'!B46&lt;&gt;"",B46&lt;='Beállítások'!$B$85),AND('Ügyfelek'!C46&lt;&gt;"",C46&lt;='Beállítások'!$B$86)),"Igen","Nem"))</f>
        <v/>
      </c>
      <c r="AQ46" s="24">
        <f>IF($A46="","",IF(AP46="Igen",5,IF(AN46&gt;='Beállítások'!$C$108,1,IF(AN46&gt;='Beállítások'!$C$109,2,IF(AN46&gt;='Beállítások'!$C$110,3,IF(AND(AN46&gt;='Beállítások'!$B$87,AI46&gt;='Beállítások'!$B$88,AL46&gt;='Beállítások'!$B$89),4,5))))))</f>
        <v/>
      </c>
      <c r="AR46">
        <f>IF($A46="","",INDEX('Beállítások'!$B$108:$B$112,AQ46))</f>
        <v/>
      </c>
      <c r="AS46">
        <f>IF($A46="","",IF(AQ46=5,"Elutasítjuk",IF(AND(AQ46=4,COUNTIFS('Eredmény'!$AQ$2:$AQ$201,4,'Eredmény'!$DY$2:$DY$201,"&gt;"&amp;DY46)&gt;='Beállítások'!$B$90),"Várólista (a 4-es hely foglalt)","Elfogadjuk")))</f>
        <v/>
      </c>
      <c r="AT46">
        <f>IF($A46="","",INDEX('Beállítások'!$F$108:$F$112,AQ46))</f>
        <v/>
      </c>
      <c r="AU46">
        <f>IF($A46="","",INDEX('Beállítások'!$B$6:$B$38,MATCH(MAX(BK46:CQ46),BK46:CQ46,0)))</f>
        <v/>
      </c>
      <c r="AV46">
        <f>IF($A46="","",IF(MAX(CR46:DX46)=0,"—",INDEX('Beállítások'!$B$6:$B$38,MATCH(MAX(CR46:DX46),CR46:DX46,0))))</f>
        <v/>
      </c>
      <c r="AW46" s="10">
        <f>IF($A46="","",'Beállítások'!$B$94*(TRIM('Ügyfelek'!AI46)="igen")+'Beállítások'!$B$95*(TRIM('Ügyfelek'!AJ46)="igen")+'Beállítások'!$B$96*N('Ügyfelek'!AK46)+'Beállítások'!$B$93*N('Ügyfelek'!AL46))</f>
        <v/>
      </c>
      <c r="AX46" s="25">
        <f>IF(OR($A46="",AQ46=5),"",INDEX('Beállítások'!$D$108:$D$112,AQ46))</f>
        <v/>
      </c>
      <c r="AY46" s="10">
        <f>IF($A46="","",N('Ügyfelek'!U46)*'Beállítások'!$B$98)</f>
        <v/>
      </c>
      <c r="AZ46" s="10">
        <f>IF(OR($A46="",AQ46=5),"",CEILING(ROUND(MAX('Beállítások'!$B$97,AW46*AX46,AY46),2),'Beállítások'!$B$99))</f>
        <v/>
      </c>
      <c r="BA46">
        <f>IF($A46="","",IF(AQ46=5,"Elutasítva",IF(MAX('Beállítások'!$B$97,AW46*AX46,AY46)=AW46*AX46,"Munkaigény × státuszszorzó",IF(MAX('Beállítások'!$B$97,AW46*AX46,AY46)=AY46,"Hirdetési keret arányában","Minimumdíj"))))</f>
        <v/>
      </c>
      <c r="BB46" s="10">
        <f>IF(OR($A46="",'Ügyfelek'!AM46=""),"",'Ügyfelek'!AM46)</f>
        <v/>
      </c>
      <c r="BC46" s="10">
        <f>IF(OR(BB46="",AZ46=""),"",AZ46-BB46)</f>
        <v/>
      </c>
      <c r="BD46" s="18">
        <f>IF(OR(BB46="",AZ46="",BB46=0),"",BC46/BB46)</f>
        <v/>
      </c>
      <c r="BE46">
        <f>IF(OR($A46="",AQ46=5),"",IF(AND(INDEX('Beállítások'!$E$108:$E$112,AQ46)&gt;0,Y46&gt;='Beállítások'!$B$91),"Igen","Nem"))</f>
        <v/>
      </c>
      <c r="BF46" s="10">
        <f>IF(BE46="Igen",CEILING(ROUND(AZ46*(1-'Beállítások'!$B$92),2),'Beállítások'!$B$99),"")</f>
        <v/>
      </c>
      <c r="BG46" s="20">
        <f>IF(BE46="Igen",INDEX('Beállítások'!$E$108:$E$112,AQ46),"")</f>
        <v/>
      </c>
      <c r="BH46" s="10">
        <f>IF(OR(BE46&lt;&gt;"Igen",'Ügyfelek'!AN46=""),"",'Ügyfelek'!AN46*BG46)</f>
        <v/>
      </c>
      <c r="BI46" s="24">
        <f>IF($A46="","",('Ügyfelek'!B46="")+('Ügyfelek'!C46="")+('Ügyfelek'!D46="")+('Ügyfelek'!E46="")+('Ügyfelek'!F46="")+('Ügyfelek'!G46="")+('Ügyfelek'!H46="")+('Ügyfelek'!I46="")+('Ügyfelek'!J46="")+('Ügyfelek'!K46="")+('Ügyfelek'!L46="")+('Ügyfelek'!M46="")+('Ügyfelek'!N46="")+('Ügyfelek'!O46="")+('Ügyfelek'!P46="")+('Ügyfelek'!Q46="")+('Ügyfelek'!R46="")+('Ügyfelek'!S46="")+('Ügyfelek'!T46="")+('Ügyfelek'!U46="")+('Ügyfelek'!V46="")+('Ügyfelek'!W46="")+('Ügyfelek'!X46="")+('Ügyfelek'!Y46="")+('Ügyfelek'!Z46="")+('Ügyfelek'!AA46="")+('Ügyfelek'!AB46="")+('Ügyfelek'!AC46="")+('Ügyfelek'!AD46="")+('Ügyfelek'!AE46="")+('Ügyfelek'!AF46="")+('Ügyfelek'!AG46="")+('Ügyfelek'!AH46=""))</f>
        <v/>
      </c>
      <c r="BK46">
        <f>IF($A46="","",B46+'Beállítások'!$E$6/1000)</f>
        <v/>
      </c>
      <c r="BL46">
        <f>IF($A46="","",C46+'Beállítások'!$E$7/1000)</f>
        <v/>
      </c>
      <c r="BM46">
        <f>IF($A46="","",D46+'Beállítások'!$E$8/1000)</f>
        <v/>
      </c>
      <c r="BN46">
        <f>IF($A46="","",E46+'Beállítások'!$E$9/1000)</f>
        <v/>
      </c>
      <c r="BO46">
        <f>IF($A46="","",F46+'Beállítások'!$E$10/1000)</f>
        <v/>
      </c>
      <c r="BP46">
        <f>IF($A46="","",G46+'Beállítások'!$E$11/1000)</f>
        <v/>
      </c>
      <c r="BQ46">
        <f>IF($A46="","",H46+'Beállítások'!$E$12/1000)</f>
        <v/>
      </c>
      <c r="BR46">
        <f>IF($A46="","",I46+'Beállítások'!$E$13/1000)</f>
        <v/>
      </c>
      <c r="BS46">
        <f>IF($A46="","",J46+'Beállítások'!$E$14/1000)</f>
        <v/>
      </c>
      <c r="BT46">
        <f>IF($A46="","",K46+'Beállítások'!$E$15/1000)</f>
        <v/>
      </c>
      <c r="BU46">
        <f>IF($A46="","",L46+'Beállítások'!$E$16/1000)</f>
        <v/>
      </c>
      <c r="BV46">
        <f>IF($A46="","",M46+'Beállítások'!$E$17/1000)</f>
        <v/>
      </c>
      <c r="BW46">
        <f>IF($A46="","",N46+'Beállítások'!$E$18/1000)</f>
        <v/>
      </c>
      <c r="BX46">
        <f>IF($A46="","",O46+'Beállítások'!$E$19/1000)</f>
        <v/>
      </c>
      <c r="BY46">
        <f>IF($A46="","",P46+'Beállítások'!$E$20/1000)</f>
        <v/>
      </c>
      <c r="BZ46">
        <f>IF($A46="","",Q46+'Beállítások'!$E$21/1000)</f>
        <v/>
      </c>
      <c r="CA46">
        <f>IF($A46="","",R46+'Beállítások'!$E$22/1000)</f>
        <v/>
      </c>
      <c r="CB46">
        <f>IF($A46="","",S46+'Beállítások'!$E$23/1000)</f>
        <v/>
      </c>
      <c r="CC46">
        <f>IF($A46="","",T46+'Beállítások'!$E$24/1000)</f>
        <v/>
      </c>
      <c r="CD46">
        <f>IF($A46="","",U46+'Beállítások'!$E$25/1000)</f>
        <v/>
      </c>
      <c r="CE46">
        <f>IF($A46="","",V46+'Beállítások'!$E$26/1000)</f>
        <v/>
      </c>
      <c r="CF46">
        <f>IF($A46="","",W46+'Beállítások'!$E$27/1000)</f>
        <v/>
      </c>
      <c r="CG46">
        <f>IF($A46="","",X46+'Beállítások'!$E$28/1000)</f>
        <v/>
      </c>
      <c r="CH46">
        <f>IF($A46="","",Y46+'Beállítások'!$E$29/1000)</f>
        <v/>
      </c>
      <c r="CI46">
        <f>IF($A46="","",Z46+'Beállítások'!$E$30/1000)</f>
        <v/>
      </c>
      <c r="CJ46">
        <f>IF($A46="","",AA46+'Beállítások'!$E$31/1000)</f>
        <v/>
      </c>
      <c r="CK46">
        <f>IF($A46="","",AB46+'Beállítások'!$E$32/1000)</f>
        <v/>
      </c>
      <c r="CL46">
        <f>IF($A46="","",AC46+'Beállítások'!$E$33/1000)</f>
        <v/>
      </c>
      <c r="CM46">
        <f>IF($A46="","",AD46+'Beállítások'!$E$34/1000)</f>
        <v/>
      </c>
      <c r="CN46">
        <f>IF($A46="","",AE46+'Beállítások'!$E$35/1000)</f>
        <v/>
      </c>
      <c r="CO46">
        <f>IF($A46="","",AF46+'Beállítások'!$E$36/1000)</f>
        <v/>
      </c>
      <c r="CP46">
        <f>IF($A46="","",AG46+'Beállítások'!$E$37/1000)</f>
        <v/>
      </c>
      <c r="CQ46">
        <f>IF($A46="","",AH46+'Beállítások'!$E$38/1000)</f>
        <v/>
      </c>
      <c r="CR46">
        <f>IF($A46="","",'Beállítások'!$E$6*(10-B46))</f>
        <v/>
      </c>
      <c r="CS46">
        <f>IF($A46="","",'Beállítások'!$E$7*(10-C46))</f>
        <v/>
      </c>
      <c r="CT46">
        <f>IF($A46="","",'Beállítások'!$E$8*(10-D46))</f>
        <v/>
      </c>
      <c r="CU46">
        <f>IF($A46="","",'Beállítások'!$E$9*(10-E46))</f>
        <v/>
      </c>
      <c r="CV46">
        <f>IF($A46="","",'Beállítások'!$E$10*(10-F46))</f>
        <v/>
      </c>
      <c r="CW46">
        <f>IF($A46="","",'Beállítások'!$E$11*(10-G46))</f>
        <v/>
      </c>
      <c r="CX46">
        <f>IF($A46="","",'Beállítások'!$E$12*(10-H46))</f>
        <v/>
      </c>
      <c r="CY46">
        <f>IF($A46="","",'Beállítások'!$E$13*(10-I46))</f>
        <v/>
      </c>
      <c r="CZ46">
        <f>IF($A46="","",'Beállítások'!$E$14*(10-J46))</f>
        <v/>
      </c>
      <c r="DA46">
        <f>IF($A46="","",'Beállítások'!$E$15*(10-K46))</f>
        <v/>
      </c>
      <c r="DB46">
        <f>IF($A46="","",'Beállítások'!$E$16*(10-L46))</f>
        <v/>
      </c>
      <c r="DC46">
        <f>IF($A46="","",'Beállítások'!$E$17*(10-M46))</f>
        <v/>
      </c>
      <c r="DD46">
        <f>IF($A46="","",'Beállítások'!$E$18*(10-N46))</f>
        <v/>
      </c>
      <c r="DE46">
        <f>IF($A46="","",'Beállítások'!$E$19*(10-O46))</f>
        <v/>
      </c>
      <c r="DF46">
        <f>IF($A46="","",'Beállítások'!$E$20*(10-P46))</f>
        <v/>
      </c>
      <c r="DG46">
        <f>IF($A46="","",'Beállítások'!$E$21*(10-Q46))</f>
        <v/>
      </c>
      <c r="DH46">
        <f>IF($A46="","",'Beállítások'!$E$22*(10-R46))</f>
        <v/>
      </c>
      <c r="DI46">
        <f>IF($A46="","",'Beállítások'!$E$23*(10-S46))</f>
        <v/>
      </c>
      <c r="DJ46">
        <f>IF($A46="","",'Beállítások'!$E$24*(10-T46))</f>
        <v/>
      </c>
      <c r="DK46">
        <f>IF($A46="","",'Beállítások'!$E$25*(10-U46))</f>
        <v/>
      </c>
      <c r="DL46">
        <f>IF($A46="","",'Beállítások'!$E$26*(10-V46))</f>
        <v/>
      </c>
      <c r="DM46">
        <f>IF($A46="","",'Beállítások'!$E$27*(10-W46))</f>
        <v/>
      </c>
      <c r="DN46">
        <f>IF($A46="","",'Beállítások'!$E$28*(10-X46))</f>
        <v/>
      </c>
      <c r="DO46">
        <f>IF($A46="","",'Beállítások'!$E$29*(10-Y46))</f>
        <v/>
      </c>
      <c r="DP46">
        <f>IF($A46="","",'Beállítások'!$E$30*(10-Z46))</f>
        <v/>
      </c>
      <c r="DQ46">
        <f>IF($A46="","",'Beállítások'!$E$31*(10-AA46))</f>
        <v/>
      </c>
      <c r="DR46">
        <f>IF($A46="","",'Beállítások'!$E$32*(10-AB46))</f>
        <v/>
      </c>
      <c r="DS46">
        <f>IF($A46="","",'Beállítások'!$E$33*(10-AC46))</f>
        <v/>
      </c>
      <c r="DT46">
        <f>IF($A46="","",'Beállítások'!$E$34*(10-AD46))</f>
        <v/>
      </c>
      <c r="DU46">
        <f>IF($A46="","",'Beállítások'!$E$35*(10-AE46))</f>
        <v/>
      </c>
      <c r="DV46">
        <f>IF($A46="","",'Beállítások'!$E$36*(10-AF46))</f>
        <v/>
      </c>
      <c r="DW46">
        <f>IF($A46="","",'Beállítások'!$E$37*(10-AG46))</f>
        <v/>
      </c>
      <c r="DX46">
        <f>IF($A46="","",'Beállítások'!$E$38*(10-AH46))</f>
        <v/>
      </c>
      <c r="DY46">
        <f>IF($A46="","",AM46-ROW()/100000)</f>
        <v/>
      </c>
    </row>
    <row r="47">
      <c r="A47">
        <f>IF('Ügyfelek'!A47="","",'Ügyfelek'!A47)</f>
        <v/>
      </c>
      <c r="B47">
        <f>IF($A47="","",IF('Ügyfelek'!B47="",'Beállítások'!$B$84,IFERROR(VLOOKUP(TRIM('Ügyfelek'!B47),'Beállítások'!$A$51:$B$59,2,FALSE),'Beállítások'!$B$84)))</f>
        <v/>
      </c>
      <c r="C47">
        <f>IF($A47="","",IF('Ügyfelek'!C47="",'Beállítások'!$B$84,MIN(10,MAX(1,ROUND('Ügyfelek'!C47,0)))))</f>
        <v/>
      </c>
      <c r="D47">
        <f>IF($A47="","",IF('Ügyfelek'!D47="",'Beállítások'!$B$84,MIN(10,MAX(1,ROUND('Ügyfelek'!D47,0)))))</f>
        <v/>
      </c>
      <c r="E47">
        <f>IF($A47="","",IF('Ügyfelek'!E47="",'Beállítások'!$B$84,MIN(10,MAX(1,ROUND('Ügyfelek'!E47,0)))))</f>
        <v/>
      </c>
      <c r="F47">
        <f>IF($A47="","",IF('Ügyfelek'!F47="",'Beállítások'!$B$84,MIN(10,MAX(1,ROUND('Ügyfelek'!F47,0)))))</f>
        <v/>
      </c>
      <c r="G47">
        <f>IF($A47="","",IF('Ügyfelek'!G47="",'Beállítások'!$B$84,MIN(10,MAX(1,ROUND('Ügyfelek'!G47,0)))))</f>
        <v/>
      </c>
      <c r="H47">
        <f>IF($A47="","",IF('Ügyfelek'!H47="",'Beállítások'!$B$84,MIN(10,MAX(1,ROUND('Ügyfelek'!H47,0)))))</f>
        <v/>
      </c>
      <c r="I47">
        <f>IF($A47="","",IF('Ügyfelek'!I47="",'Beállítások'!$B$84,MIN(10,MAX(1,ROUND('Ügyfelek'!I47,0)))))</f>
        <v/>
      </c>
      <c r="J47">
        <f>IF($A47="","",IF('Ügyfelek'!J47="",'Beállítások'!$B$84,MIN(10,MAX(1,ROUND('Ügyfelek'!J47,0)))))</f>
        <v/>
      </c>
      <c r="K47">
        <f>IF($A47="","",IF('Ügyfelek'!K47="",'Beállítások'!$B$84,MIN(10,MAX(1,ROUND('Ügyfelek'!K47,0)))))</f>
        <v/>
      </c>
      <c r="L47">
        <f>IF($A47="","",IF('Ügyfelek'!L47="",'Beállítások'!$B$84,MIN(10,MAX(1,ROUND('Ügyfelek'!L47,0)))))</f>
        <v/>
      </c>
      <c r="M47">
        <f>IF($A47="","",IF('Ügyfelek'!M47="",'Beállítások'!$B$84,MIN(10,MAX(1,ROUND('Ügyfelek'!M47,0)))))</f>
        <v/>
      </c>
      <c r="N47">
        <f>IF($A47="","",IF('Ügyfelek'!N47="",'Beállítások'!$B$84,MIN(10,MAX(1,ROUND('Ügyfelek'!N47,0)))))</f>
        <v/>
      </c>
      <c r="O47">
        <f>IF($A47="","",IF('Ügyfelek'!O47="",'Beállítások'!$B$84,MIN(10,MAX(1,ROUND('Ügyfelek'!O47,0)))))</f>
        <v/>
      </c>
      <c r="P47">
        <f>IF($A47="","",IF('Ügyfelek'!P47="",'Beállítások'!$B$84,MIN(10,MAX(1,ROUND('Ügyfelek'!P47,0)))))</f>
        <v/>
      </c>
      <c r="Q47">
        <f>IF($A47="","",IF('Ügyfelek'!Q47="",'Beállítások'!$B$84,MIN(10,MAX(1,ROUND('Ügyfelek'!Q47,0)))))</f>
        <v/>
      </c>
      <c r="R47">
        <f>IF($A47="","",IF('Ügyfelek'!R47="",'Beállítások'!$B$84,MIN(10,MAX(1,ROUND('Ügyfelek'!R47,0)))))</f>
        <v/>
      </c>
      <c r="S47">
        <f>IF($A47="","",IF('Ügyfelek'!S47="",'Beállítások'!$B$84,MIN(10,MAX(1,ROUND('Ügyfelek'!S47,0)))))</f>
        <v/>
      </c>
      <c r="T47">
        <f>IF($A47="","",IF('Ügyfelek'!T47="",'Beállítások'!$B$84,VLOOKUP(MAX('Ügyfelek'!T47,'Beállítások'!$H$7),'Beállítások'!$H$7:$I$12,2,TRUE)))</f>
        <v/>
      </c>
      <c r="U47">
        <f>IF($A47="","",IF('Ügyfelek'!U47="",'Beállítások'!$B$84,VLOOKUP(MAX('Ügyfelek'!U47,'Beállítások'!$K$7),'Beállítások'!$K$7:$L$12,2,TRUE)))</f>
        <v/>
      </c>
      <c r="V47">
        <f>IF($A47="","",IF('Ügyfelek'!V47="",'Beállítások'!$B$84,MIN(10,MAX(1,ROUND('Ügyfelek'!V47,0)))))</f>
        <v/>
      </c>
      <c r="W47">
        <f>IF($A47="","",IF('Ügyfelek'!W47="",'Beállítások'!$B$84,VLOOKUP(MAX('Ügyfelek'!W47,'Beállítások'!$N$7),'Beállítások'!$N$7:$O$12,2,TRUE)))</f>
        <v/>
      </c>
      <c r="X47">
        <f>IF($A47="","",IF('Ügyfelek'!X47="",'Beállítások'!$B$84,MIN(10,MAX(1,ROUND('Ügyfelek'!X47,0)))))</f>
        <v/>
      </c>
      <c r="Y47">
        <f>IF($A47="","",IF('Ügyfelek'!Y47="",'Beállítások'!$B$84,IFERROR(VLOOKUP(TRIM('Ügyfelek'!Y47),'Beállítások'!$A$63:$B$69,2,FALSE),'Beállítások'!$B$84)))</f>
        <v/>
      </c>
      <c r="Z47">
        <f>IF($A47="","",IF('Ügyfelek'!Z47="",'Beállítások'!$B$84,VLOOKUP(MAX('Ügyfelek'!Z47,'Beállítások'!$Q$7),'Beállítások'!$Q$7:$R$12,2,TRUE)))</f>
        <v/>
      </c>
      <c r="AA47">
        <f>IF($A47="","",IF('Ügyfelek'!AA47="",'Beállítások'!$B$84,VLOOKUP(MAX('Ügyfelek'!AA47,'Beállítások'!$T$7),'Beállítások'!$T$7:$U$12,2,TRUE)))</f>
        <v/>
      </c>
      <c r="AB47">
        <f>IF($A47="","",IF('Ügyfelek'!AB47="",'Beállítások'!$B$84,MIN(10,MAX(1,ROUND('Ügyfelek'!AB47,0)))))</f>
        <v/>
      </c>
      <c r="AC47">
        <f>IF($A47="","",IF('Ügyfelek'!AC47="",'Beállítások'!$B$84,MIN(10,MAX(1,ROUND('Ügyfelek'!AC47,0)))))</f>
        <v/>
      </c>
      <c r="AD47">
        <f>IF($A47="","",IF('Ügyfelek'!AD47="",'Beállítások'!$B$84,MIN(10,MAX(1,ROUND('Ügyfelek'!AD47,0)))))</f>
        <v/>
      </c>
      <c r="AE47">
        <f>IF($A47="","",IF('Ügyfelek'!AE47="",'Beállítások'!$B$84,MIN(10,MAX(1,ROUND('Ügyfelek'!AE47,0)))))</f>
        <v/>
      </c>
      <c r="AF47">
        <f>IF($A47="","",IF('Ügyfelek'!AF47="",'Beállítások'!$B$84,MIN(10,MAX(1,ROUND('Ügyfelek'!AF47,0)))))</f>
        <v/>
      </c>
      <c r="AG47">
        <f>IF($A47="","",IF('Ügyfelek'!AG47="",'Beállítások'!$B$84,MIN(10,MAX(1,ROUND('Ügyfelek'!AG47,0)))))</f>
        <v/>
      </c>
      <c r="AH47">
        <f>IF($A47="","",IF('Ügyfelek'!AH47="",'Beállítások'!$B$84,IFERROR(VLOOKUP(TRIM('Ügyfelek'!AH47),'Beállítások'!$A$73:$B$79,2,FALSE),'Beállítások'!$B$84)))</f>
        <v/>
      </c>
      <c r="AI47" s="23">
        <f>IF($A47="","",ROUND(100*('Beállítások'!$E$6*(B47-1)+'Beállítások'!$E$7*(C47-1))/(9*'Beállítások'!$B$43),1))</f>
        <v/>
      </c>
      <c r="AJ47" s="23">
        <f>IF($A47="","",ROUND(100*('Beállítások'!$E$8*(D47-1)+'Beállítások'!$E$9*(E47-1)+'Beállítások'!$E$10*(F47-1)+'Beállítások'!$E$11*(G47-1)+'Beállítások'!$E$12*(H47-1)+'Beállítások'!$E$13*(I47-1)+'Beállítások'!$E$14*(J47-1)+'Beállítások'!$E$15*(K47-1)+'Beállítások'!$E$16*(L47-1)+'Beállítások'!$E$17*(M47-1)+'Beállítások'!$E$18*(N47-1)+'Beállítások'!$E$19*(O47-1)+'Beállítások'!$E$20*(P47-1)+'Beállítások'!$E$21*(Q47-1)+'Beállítások'!$E$22*(R47-1))/(9*'Beállítások'!$B$44),1))</f>
        <v/>
      </c>
      <c r="AK47" s="23">
        <f>IF($A47="","",ROUND(100*('Beállítások'!$E$23*(S47-1)+'Beállítások'!$E$24*(T47-1)+'Beállítások'!$E$25*(U47-1)+'Beállítások'!$E$26*(V47-1)+'Beállítások'!$E$27*(W47-1)+'Beállítások'!$E$28*(X47-1)+'Beállítások'!$E$29*(Y47-1))/(9*'Beállítások'!$B$45),1))</f>
        <v/>
      </c>
      <c r="AL47" s="23">
        <f>IF($A47="","",ROUND(100*('Beállítások'!$E$30*(Z47-1)+'Beállítások'!$E$31*(AA47-1)+'Beállítások'!$E$32*(AB47-1)+'Beállítások'!$E$33*(AC47-1)+'Beállítások'!$E$34*(AD47-1)+'Beállítások'!$E$35*(AE47-1)+'Beállítások'!$E$36*(AF47-1)+'Beállítások'!$E$37*(AG47-1)+'Beállítások'!$E$38*(AH47-1))/(9*'Beállítások'!$B$46),1))</f>
        <v/>
      </c>
      <c r="AM47" s="23">
        <f>IF($A47="","",ROUND(100*('Beállítások'!$E$6*(B47-1)+'Beállítások'!$E$7*(C47-1)+'Beállítások'!$E$8*(D47-1)+'Beállítások'!$E$9*(E47-1)+'Beállítások'!$E$10*(F47-1)+'Beállítások'!$E$11*(G47-1)+'Beállítások'!$E$12*(H47-1)+'Beállítások'!$E$13*(I47-1)+'Beállítások'!$E$14*(J47-1)+'Beállítások'!$E$15*(K47-1)+'Beállítások'!$E$16*(L47-1)+'Beállítások'!$E$17*(M47-1)+'Beállítások'!$E$18*(N47-1)+'Beállítások'!$E$19*(O47-1)+'Beállítások'!$E$20*(P47-1)+'Beállítások'!$E$21*(Q47-1)+'Beállítások'!$E$22*(R47-1)+'Beállítások'!$E$23*(S47-1)+'Beállítások'!$E$24*(T47-1)+'Beállítások'!$E$25*(U47-1)+'Beállítások'!$E$26*(V47-1)+'Beállítások'!$E$27*(W47-1)+'Beállítások'!$E$28*(X47-1)+'Beállítások'!$E$29*(Y47-1)+'Beállítások'!$E$30*(Z47-1)+'Beállítások'!$E$31*(AA47-1)+'Beállítások'!$E$32*(AB47-1)+'Beállítások'!$E$33*(AC47-1)+'Beállítások'!$E$34*(AD47-1)+'Beállítások'!$E$35*(AE47-1)+'Beállítások'!$E$36*(AF47-1)+'Beállítások'!$E$37*(AG47-1)+'Beállítások'!$E$38*(AH47-1))/(9*'Beállítások'!$E$39),1))</f>
        <v/>
      </c>
      <c r="AN47" s="23">
        <f>IF($A47="","",ROUND(100*('Beállítások'!$E$8*(D47-1)+'Beállítások'!$E$9*(E47-1)+'Beállítások'!$E$10*(F47-1)+'Beállítások'!$E$11*(G47-1)+'Beállítások'!$E$12*(H47-1)+'Beállítások'!$E$13*(I47-1)+'Beállítások'!$E$14*(J47-1)+'Beállítások'!$E$15*(K47-1)+'Beállítások'!$E$16*(L47-1)+'Beállítások'!$E$17*(M47-1)+'Beállítások'!$E$18*(N47-1)+'Beállítások'!$E$19*(O47-1)+'Beállítások'!$E$20*(P47-1)+'Beállítások'!$E$21*(Q47-1)+'Beállítások'!$E$22*(R47-1)+'Beállítások'!$E$23*(S47-1)+'Beállítások'!$E$24*(T47-1)+'Beállítások'!$E$25*(U47-1)+'Beállítások'!$E$26*(V47-1)+'Beállítások'!$E$27*(W47-1)+'Beállítások'!$E$28*(X47-1)+'Beállítások'!$E$29*(Y47-1))/(9*('Beállítások'!$B$44+'Beállítások'!$B$45)),1))</f>
        <v/>
      </c>
      <c r="AO47" s="24">
        <f>IF($A47="","",RANK(AM47,$AM$2:$AM$201))</f>
        <v/>
      </c>
      <c r="AP47">
        <f>IF($A47="","",IF(OR(AND('Ügyfelek'!B47&lt;&gt;"",B47&lt;='Beállítások'!$B$85),AND('Ügyfelek'!C47&lt;&gt;"",C47&lt;='Beállítások'!$B$86)),"Igen","Nem"))</f>
        <v/>
      </c>
      <c r="AQ47" s="24">
        <f>IF($A47="","",IF(AP47="Igen",5,IF(AN47&gt;='Beállítások'!$C$108,1,IF(AN47&gt;='Beállítások'!$C$109,2,IF(AN47&gt;='Beállítások'!$C$110,3,IF(AND(AN47&gt;='Beállítások'!$B$87,AI47&gt;='Beállítások'!$B$88,AL47&gt;='Beállítások'!$B$89),4,5))))))</f>
        <v/>
      </c>
      <c r="AR47">
        <f>IF($A47="","",INDEX('Beállítások'!$B$108:$B$112,AQ47))</f>
        <v/>
      </c>
      <c r="AS47">
        <f>IF($A47="","",IF(AQ47=5,"Elutasítjuk",IF(AND(AQ47=4,COUNTIFS('Eredmény'!$AQ$2:$AQ$201,4,'Eredmény'!$DY$2:$DY$201,"&gt;"&amp;DY47)&gt;='Beállítások'!$B$90),"Várólista (a 4-es hely foglalt)","Elfogadjuk")))</f>
        <v/>
      </c>
      <c r="AT47">
        <f>IF($A47="","",INDEX('Beállítások'!$F$108:$F$112,AQ47))</f>
        <v/>
      </c>
      <c r="AU47">
        <f>IF($A47="","",INDEX('Beállítások'!$B$6:$B$38,MATCH(MAX(BK47:CQ47),BK47:CQ47,0)))</f>
        <v/>
      </c>
      <c r="AV47">
        <f>IF($A47="","",IF(MAX(CR47:DX47)=0,"—",INDEX('Beállítások'!$B$6:$B$38,MATCH(MAX(CR47:DX47),CR47:DX47,0))))</f>
        <v/>
      </c>
      <c r="AW47" s="10">
        <f>IF($A47="","",'Beállítások'!$B$94*(TRIM('Ügyfelek'!AI47)="igen")+'Beállítások'!$B$95*(TRIM('Ügyfelek'!AJ47)="igen")+'Beállítások'!$B$96*N('Ügyfelek'!AK47)+'Beállítások'!$B$93*N('Ügyfelek'!AL47))</f>
        <v/>
      </c>
      <c r="AX47" s="25">
        <f>IF(OR($A47="",AQ47=5),"",INDEX('Beállítások'!$D$108:$D$112,AQ47))</f>
        <v/>
      </c>
      <c r="AY47" s="10">
        <f>IF($A47="","",N('Ügyfelek'!U47)*'Beállítások'!$B$98)</f>
        <v/>
      </c>
      <c r="AZ47" s="10">
        <f>IF(OR($A47="",AQ47=5),"",CEILING(ROUND(MAX('Beállítások'!$B$97,AW47*AX47,AY47),2),'Beállítások'!$B$99))</f>
        <v/>
      </c>
      <c r="BA47">
        <f>IF($A47="","",IF(AQ47=5,"Elutasítva",IF(MAX('Beállítások'!$B$97,AW47*AX47,AY47)=AW47*AX47,"Munkaigény × státuszszorzó",IF(MAX('Beállítások'!$B$97,AW47*AX47,AY47)=AY47,"Hirdetési keret arányában","Minimumdíj"))))</f>
        <v/>
      </c>
      <c r="BB47" s="10">
        <f>IF(OR($A47="",'Ügyfelek'!AM47=""),"",'Ügyfelek'!AM47)</f>
        <v/>
      </c>
      <c r="BC47" s="10">
        <f>IF(OR(BB47="",AZ47=""),"",AZ47-BB47)</f>
        <v/>
      </c>
      <c r="BD47" s="18">
        <f>IF(OR(BB47="",AZ47="",BB47=0),"",BC47/BB47)</f>
        <v/>
      </c>
      <c r="BE47">
        <f>IF(OR($A47="",AQ47=5),"",IF(AND(INDEX('Beállítások'!$E$108:$E$112,AQ47)&gt;0,Y47&gt;='Beállítások'!$B$91),"Igen","Nem"))</f>
        <v/>
      </c>
      <c r="BF47" s="10">
        <f>IF(BE47="Igen",CEILING(ROUND(AZ47*(1-'Beállítások'!$B$92),2),'Beállítások'!$B$99),"")</f>
        <v/>
      </c>
      <c r="BG47" s="20">
        <f>IF(BE47="Igen",INDEX('Beállítások'!$E$108:$E$112,AQ47),"")</f>
        <v/>
      </c>
      <c r="BH47" s="10">
        <f>IF(OR(BE47&lt;&gt;"Igen",'Ügyfelek'!AN47=""),"",'Ügyfelek'!AN47*BG47)</f>
        <v/>
      </c>
      <c r="BI47" s="24">
        <f>IF($A47="","",('Ügyfelek'!B47="")+('Ügyfelek'!C47="")+('Ügyfelek'!D47="")+('Ügyfelek'!E47="")+('Ügyfelek'!F47="")+('Ügyfelek'!G47="")+('Ügyfelek'!H47="")+('Ügyfelek'!I47="")+('Ügyfelek'!J47="")+('Ügyfelek'!K47="")+('Ügyfelek'!L47="")+('Ügyfelek'!M47="")+('Ügyfelek'!N47="")+('Ügyfelek'!O47="")+('Ügyfelek'!P47="")+('Ügyfelek'!Q47="")+('Ügyfelek'!R47="")+('Ügyfelek'!S47="")+('Ügyfelek'!T47="")+('Ügyfelek'!U47="")+('Ügyfelek'!V47="")+('Ügyfelek'!W47="")+('Ügyfelek'!X47="")+('Ügyfelek'!Y47="")+('Ügyfelek'!Z47="")+('Ügyfelek'!AA47="")+('Ügyfelek'!AB47="")+('Ügyfelek'!AC47="")+('Ügyfelek'!AD47="")+('Ügyfelek'!AE47="")+('Ügyfelek'!AF47="")+('Ügyfelek'!AG47="")+('Ügyfelek'!AH47=""))</f>
        <v/>
      </c>
      <c r="BK47">
        <f>IF($A47="","",B47+'Beállítások'!$E$6/1000)</f>
        <v/>
      </c>
      <c r="BL47">
        <f>IF($A47="","",C47+'Beállítások'!$E$7/1000)</f>
        <v/>
      </c>
      <c r="BM47">
        <f>IF($A47="","",D47+'Beállítások'!$E$8/1000)</f>
        <v/>
      </c>
      <c r="BN47">
        <f>IF($A47="","",E47+'Beállítások'!$E$9/1000)</f>
        <v/>
      </c>
      <c r="BO47">
        <f>IF($A47="","",F47+'Beállítások'!$E$10/1000)</f>
        <v/>
      </c>
      <c r="BP47">
        <f>IF($A47="","",G47+'Beállítások'!$E$11/1000)</f>
        <v/>
      </c>
      <c r="BQ47">
        <f>IF($A47="","",H47+'Beállítások'!$E$12/1000)</f>
        <v/>
      </c>
      <c r="BR47">
        <f>IF($A47="","",I47+'Beállítások'!$E$13/1000)</f>
        <v/>
      </c>
      <c r="BS47">
        <f>IF($A47="","",J47+'Beállítások'!$E$14/1000)</f>
        <v/>
      </c>
      <c r="BT47">
        <f>IF($A47="","",K47+'Beállítások'!$E$15/1000)</f>
        <v/>
      </c>
      <c r="BU47">
        <f>IF($A47="","",L47+'Beállítások'!$E$16/1000)</f>
        <v/>
      </c>
      <c r="BV47">
        <f>IF($A47="","",M47+'Beállítások'!$E$17/1000)</f>
        <v/>
      </c>
      <c r="BW47">
        <f>IF($A47="","",N47+'Beállítások'!$E$18/1000)</f>
        <v/>
      </c>
      <c r="BX47">
        <f>IF($A47="","",O47+'Beállítások'!$E$19/1000)</f>
        <v/>
      </c>
      <c r="BY47">
        <f>IF($A47="","",P47+'Beállítások'!$E$20/1000)</f>
        <v/>
      </c>
      <c r="BZ47">
        <f>IF($A47="","",Q47+'Beállítások'!$E$21/1000)</f>
        <v/>
      </c>
      <c r="CA47">
        <f>IF($A47="","",R47+'Beállítások'!$E$22/1000)</f>
        <v/>
      </c>
      <c r="CB47">
        <f>IF($A47="","",S47+'Beállítások'!$E$23/1000)</f>
        <v/>
      </c>
      <c r="CC47">
        <f>IF($A47="","",T47+'Beállítások'!$E$24/1000)</f>
        <v/>
      </c>
      <c r="CD47">
        <f>IF($A47="","",U47+'Beállítások'!$E$25/1000)</f>
        <v/>
      </c>
      <c r="CE47">
        <f>IF($A47="","",V47+'Beállítások'!$E$26/1000)</f>
        <v/>
      </c>
      <c r="CF47">
        <f>IF($A47="","",W47+'Beállítások'!$E$27/1000)</f>
        <v/>
      </c>
      <c r="CG47">
        <f>IF($A47="","",X47+'Beállítások'!$E$28/1000)</f>
        <v/>
      </c>
      <c r="CH47">
        <f>IF($A47="","",Y47+'Beállítások'!$E$29/1000)</f>
        <v/>
      </c>
      <c r="CI47">
        <f>IF($A47="","",Z47+'Beállítások'!$E$30/1000)</f>
        <v/>
      </c>
      <c r="CJ47">
        <f>IF($A47="","",AA47+'Beállítások'!$E$31/1000)</f>
        <v/>
      </c>
      <c r="CK47">
        <f>IF($A47="","",AB47+'Beállítások'!$E$32/1000)</f>
        <v/>
      </c>
      <c r="CL47">
        <f>IF($A47="","",AC47+'Beállítások'!$E$33/1000)</f>
        <v/>
      </c>
      <c r="CM47">
        <f>IF($A47="","",AD47+'Beállítások'!$E$34/1000)</f>
        <v/>
      </c>
      <c r="CN47">
        <f>IF($A47="","",AE47+'Beállítások'!$E$35/1000)</f>
        <v/>
      </c>
      <c r="CO47">
        <f>IF($A47="","",AF47+'Beállítások'!$E$36/1000)</f>
        <v/>
      </c>
      <c r="CP47">
        <f>IF($A47="","",AG47+'Beállítások'!$E$37/1000)</f>
        <v/>
      </c>
      <c r="CQ47">
        <f>IF($A47="","",AH47+'Beállítások'!$E$38/1000)</f>
        <v/>
      </c>
      <c r="CR47">
        <f>IF($A47="","",'Beállítások'!$E$6*(10-B47))</f>
        <v/>
      </c>
      <c r="CS47">
        <f>IF($A47="","",'Beállítások'!$E$7*(10-C47))</f>
        <v/>
      </c>
      <c r="CT47">
        <f>IF($A47="","",'Beállítások'!$E$8*(10-D47))</f>
        <v/>
      </c>
      <c r="CU47">
        <f>IF($A47="","",'Beállítások'!$E$9*(10-E47))</f>
        <v/>
      </c>
      <c r="CV47">
        <f>IF($A47="","",'Beállítások'!$E$10*(10-F47))</f>
        <v/>
      </c>
      <c r="CW47">
        <f>IF($A47="","",'Beállítások'!$E$11*(10-G47))</f>
        <v/>
      </c>
      <c r="CX47">
        <f>IF($A47="","",'Beállítások'!$E$12*(10-H47))</f>
        <v/>
      </c>
      <c r="CY47">
        <f>IF($A47="","",'Beállítások'!$E$13*(10-I47))</f>
        <v/>
      </c>
      <c r="CZ47">
        <f>IF($A47="","",'Beállítások'!$E$14*(10-J47))</f>
        <v/>
      </c>
      <c r="DA47">
        <f>IF($A47="","",'Beállítások'!$E$15*(10-K47))</f>
        <v/>
      </c>
      <c r="DB47">
        <f>IF($A47="","",'Beállítások'!$E$16*(10-L47))</f>
        <v/>
      </c>
      <c r="DC47">
        <f>IF($A47="","",'Beállítások'!$E$17*(10-M47))</f>
        <v/>
      </c>
      <c r="DD47">
        <f>IF($A47="","",'Beállítások'!$E$18*(10-N47))</f>
        <v/>
      </c>
      <c r="DE47">
        <f>IF($A47="","",'Beállítások'!$E$19*(10-O47))</f>
        <v/>
      </c>
      <c r="DF47">
        <f>IF($A47="","",'Beállítások'!$E$20*(10-P47))</f>
        <v/>
      </c>
      <c r="DG47">
        <f>IF($A47="","",'Beállítások'!$E$21*(10-Q47))</f>
        <v/>
      </c>
      <c r="DH47">
        <f>IF($A47="","",'Beállítások'!$E$22*(10-R47))</f>
        <v/>
      </c>
      <c r="DI47">
        <f>IF($A47="","",'Beállítások'!$E$23*(10-S47))</f>
        <v/>
      </c>
      <c r="DJ47">
        <f>IF($A47="","",'Beállítások'!$E$24*(10-T47))</f>
        <v/>
      </c>
      <c r="DK47">
        <f>IF($A47="","",'Beállítások'!$E$25*(10-U47))</f>
        <v/>
      </c>
      <c r="DL47">
        <f>IF($A47="","",'Beállítások'!$E$26*(10-V47))</f>
        <v/>
      </c>
      <c r="DM47">
        <f>IF($A47="","",'Beállítások'!$E$27*(10-W47))</f>
        <v/>
      </c>
      <c r="DN47">
        <f>IF($A47="","",'Beállítások'!$E$28*(10-X47))</f>
        <v/>
      </c>
      <c r="DO47">
        <f>IF($A47="","",'Beállítások'!$E$29*(10-Y47))</f>
        <v/>
      </c>
      <c r="DP47">
        <f>IF($A47="","",'Beállítások'!$E$30*(10-Z47))</f>
        <v/>
      </c>
      <c r="DQ47">
        <f>IF($A47="","",'Beállítások'!$E$31*(10-AA47))</f>
        <v/>
      </c>
      <c r="DR47">
        <f>IF($A47="","",'Beállítások'!$E$32*(10-AB47))</f>
        <v/>
      </c>
      <c r="DS47">
        <f>IF($A47="","",'Beállítások'!$E$33*(10-AC47))</f>
        <v/>
      </c>
      <c r="DT47">
        <f>IF($A47="","",'Beállítások'!$E$34*(10-AD47))</f>
        <v/>
      </c>
      <c r="DU47">
        <f>IF($A47="","",'Beállítások'!$E$35*(10-AE47))</f>
        <v/>
      </c>
      <c r="DV47">
        <f>IF($A47="","",'Beállítások'!$E$36*(10-AF47))</f>
        <v/>
      </c>
      <c r="DW47">
        <f>IF($A47="","",'Beállítások'!$E$37*(10-AG47))</f>
        <v/>
      </c>
      <c r="DX47">
        <f>IF($A47="","",'Beállítások'!$E$38*(10-AH47))</f>
        <v/>
      </c>
      <c r="DY47">
        <f>IF($A47="","",AM47-ROW()/100000)</f>
        <v/>
      </c>
    </row>
    <row r="48">
      <c r="A48">
        <f>IF('Ügyfelek'!A48="","",'Ügyfelek'!A48)</f>
        <v/>
      </c>
      <c r="B48">
        <f>IF($A48="","",IF('Ügyfelek'!B48="",'Beállítások'!$B$84,IFERROR(VLOOKUP(TRIM('Ügyfelek'!B48),'Beállítások'!$A$51:$B$59,2,FALSE),'Beállítások'!$B$84)))</f>
        <v/>
      </c>
      <c r="C48">
        <f>IF($A48="","",IF('Ügyfelek'!C48="",'Beállítások'!$B$84,MIN(10,MAX(1,ROUND('Ügyfelek'!C48,0)))))</f>
        <v/>
      </c>
      <c r="D48">
        <f>IF($A48="","",IF('Ügyfelek'!D48="",'Beállítások'!$B$84,MIN(10,MAX(1,ROUND('Ügyfelek'!D48,0)))))</f>
        <v/>
      </c>
      <c r="E48">
        <f>IF($A48="","",IF('Ügyfelek'!E48="",'Beállítások'!$B$84,MIN(10,MAX(1,ROUND('Ügyfelek'!E48,0)))))</f>
        <v/>
      </c>
      <c r="F48">
        <f>IF($A48="","",IF('Ügyfelek'!F48="",'Beállítások'!$B$84,MIN(10,MAX(1,ROUND('Ügyfelek'!F48,0)))))</f>
        <v/>
      </c>
      <c r="G48">
        <f>IF($A48="","",IF('Ügyfelek'!G48="",'Beállítások'!$B$84,MIN(10,MAX(1,ROUND('Ügyfelek'!G48,0)))))</f>
        <v/>
      </c>
      <c r="H48">
        <f>IF($A48="","",IF('Ügyfelek'!H48="",'Beállítások'!$B$84,MIN(10,MAX(1,ROUND('Ügyfelek'!H48,0)))))</f>
        <v/>
      </c>
      <c r="I48">
        <f>IF($A48="","",IF('Ügyfelek'!I48="",'Beállítások'!$B$84,MIN(10,MAX(1,ROUND('Ügyfelek'!I48,0)))))</f>
        <v/>
      </c>
      <c r="J48">
        <f>IF($A48="","",IF('Ügyfelek'!J48="",'Beállítások'!$B$84,MIN(10,MAX(1,ROUND('Ügyfelek'!J48,0)))))</f>
        <v/>
      </c>
      <c r="K48">
        <f>IF($A48="","",IF('Ügyfelek'!K48="",'Beállítások'!$B$84,MIN(10,MAX(1,ROUND('Ügyfelek'!K48,0)))))</f>
        <v/>
      </c>
      <c r="L48">
        <f>IF($A48="","",IF('Ügyfelek'!L48="",'Beállítások'!$B$84,MIN(10,MAX(1,ROUND('Ügyfelek'!L48,0)))))</f>
        <v/>
      </c>
      <c r="M48">
        <f>IF($A48="","",IF('Ügyfelek'!M48="",'Beállítások'!$B$84,MIN(10,MAX(1,ROUND('Ügyfelek'!M48,0)))))</f>
        <v/>
      </c>
      <c r="N48">
        <f>IF($A48="","",IF('Ügyfelek'!N48="",'Beállítások'!$B$84,MIN(10,MAX(1,ROUND('Ügyfelek'!N48,0)))))</f>
        <v/>
      </c>
      <c r="O48">
        <f>IF($A48="","",IF('Ügyfelek'!O48="",'Beállítások'!$B$84,MIN(10,MAX(1,ROUND('Ügyfelek'!O48,0)))))</f>
        <v/>
      </c>
      <c r="P48">
        <f>IF($A48="","",IF('Ügyfelek'!P48="",'Beállítások'!$B$84,MIN(10,MAX(1,ROUND('Ügyfelek'!P48,0)))))</f>
        <v/>
      </c>
      <c r="Q48">
        <f>IF($A48="","",IF('Ügyfelek'!Q48="",'Beállítások'!$B$84,MIN(10,MAX(1,ROUND('Ügyfelek'!Q48,0)))))</f>
        <v/>
      </c>
      <c r="R48">
        <f>IF($A48="","",IF('Ügyfelek'!R48="",'Beállítások'!$B$84,MIN(10,MAX(1,ROUND('Ügyfelek'!R48,0)))))</f>
        <v/>
      </c>
      <c r="S48">
        <f>IF($A48="","",IF('Ügyfelek'!S48="",'Beállítások'!$B$84,MIN(10,MAX(1,ROUND('Ügyfelek'!S48,0)))))</f>
        <v/>
      </c>
      <c r="T48">
        <f>IF($A48="","",IF('Ügyfelek'!T48="",'Beállítások'!$B$84,VLOOKUP(MAX('Ügyfelek'!T48,'Beállítások'!$H$7),'Beállítások'!$H$7:$I$12,2,TRUE)))</f>
        <v/>
      </c>
      <c r="U48">
        <f>IF($A48="","",IF('Ügyfelek'!U48="",'Beállítások'!$B$84,VLOOKUP(MAX('Ügyfelek'!U48,'Beállítások'!$K$7),'Beállítások'!$K$7:$L$12,2,TRUE)))</f>
        <v/>
      </c>
      <c r="V48">
        <f>IF($A48="","",IF('Ügyfelek'!V48="",'Beállítások'!$B$84,MIN(10,MAX(1,ROUND('Ügyfelek'!V48,0)))))</f>
        <v/>
      </c>
      <c r="W48">
        <f>IF($A48="","",IF('Ügyfelek'!W48="",'Beállítások'!$B$84,VLOOKUP(MAX('Ügyfelek'!W48,'Beállítások'!$N$7),'Beállítások'!$N$7:$O$12,2,TRUE)))</f>
        <v/>
      </c>
      <c r="X48">
        <f>IF($A48="","",IF('Ügyfelek'!X48="",'Beállítások'!$B$84,MIN(10,MAX(1,ROUND('Ügyfelek'!X48,0)))))</f>
        <v/>
      </c>
      <c r="Y48">
        <f>IF($A48="","",IF('Ügyfelek'!Y48="",'Beállítások'!$B$84,IFERROR(VLOOKUP(TRIM('Ügyfelek'!Y48),'Beállítások'!$A$63:$B$69,2,FALSE),'Beállítások'!$B$84)))</f>
        <v/>
      </c>
      <c r="Z48">
        <f>IF($A48="","",IF('Ügyfelek'!Z48="",'Beállítások'!$B$84,VLOOKUP(MAX('Ügyfelek'!Z48,'Beállítások'!$Q$7),'Beállítások'!$Q$7:$R$12,2,TRUE)))</f>
        <v/>
      </c>
      <c r="AA48">
        <f>IF($A48="","",IF('Ügyfelek'!AA48="",'Beállítások'!$B$84,VLOOKUP(MAX('Ügyfelek'!AA48,'Beállítások'!$T$7),'Beállítások'!$T$7:$U$12,2,TRUE)))</f>
        <v/>
      </c>
      <c r="AB48">
        <f>IF($A48="","",IF('Ügyfelek'!AB48="",'Beállítások'!$B$84,MIN(10,MAX(1,ROUND('Ügyfelek'!AB48,0)))))</f>
        <v/>
      </c>
      <c r="AC48">
        <f>IF($A48="","",IF('Ügyfelek'!AC48="",'Beállítások'!$B$84,MIN(10,MAX(1,ROUND('Ügyfelek'!AC48,0)))))</f>
        <v/>
      </c>
      <c r="AD48">
        <f>IF($A48="","",IF('Ügyfelek'!AD48="",'Beállítások'!$B$84,MIN(10,MAX(1,ROUND('Ügyfelek'!AD48,0)))))</f>
        <v/>
      </c>
      <c r="AE48">
        <f>IF($A48="","",IF('Ügyfelek'!AE48="",'Beállítások'!$B$84,MIN(10,MAX(1,ROUND('Ügyfelek'!AE48,0)))))</f>
        <v/>
      </c>
      <c r="AF48">
        <f>IF($A48="","",IF('Ügyfelek'!AF48="",'Beállítások'!$B$84,MIN(10,MAX(1,ROUND('Ügyfelek'!AF48,0)))))</f>
        <v/>
      </c>
      <c r="AG48">
        <f>IF($A48="","",IF('Ügyfelek'!AG48="",'Beállítások'!$B$84,MIN(10,MAX(1,ROUND('Ügyfelek'!AG48,0)))))</f>
        <v/>
      </c>
      <c r="AH48">
        <f>IF($A48="","",IF('Ügyfelek'!AH48="",'Beállítások'!$B$84,IFERROR(VLOOKUP(TRIM('Ügyfelek'!AH48),'Beállítások'!$A$73:$B$79,2,FALSE),'Beállítások'!$B$84)))</f>
        <v/>
      </c>
      <c r="AI48" s="23">
        <f>IF($A48="","",ROUND(100*('Beállítások'!$E$6*(B48-1)+'Beállítások'!$E$7*(C48-1))/(9*'Beállítások'!$B$43),1))</f>
        <v/>
      </c>
      <c r="AJ48" s="23">
        <f>IF($A48="","",ROUND(100*('Beállítások'!$E$8*(D48-1)+'Beállítások'!$E$9*(E48-1)+'Beállítások'!$E$10*(F48-1)+'Beállítások'!$E$11*(G48-1)+'Beállítások'!$E$12*(H48-1)+'Beállítások'!$E$13*(I48-1)+'Beállítások'!$E$14*(J48-1)+'Beállítások'!$E$15*(K48-1)+'Beállítások'!$E$16*(L48-1)+'Beállítások'!$E$17*(M48-1)+'Beállítások'!$E$18*(N48-1)+'Beállítások'!$E$19*(O48-1)+'Beállítások'!$E$20*(P48-1)+'Beállítások'!$E$21*(Q48-1)+'Beállítások'!$E$22*(R48-1))/(9*'Beállítások'!$B$44),1))</f>
        <v/>
      </c>
      <c r="AK48" s="23">
        <f>IF($A48="","",ROUND(100*('Beállítások'!$E$23*(S48-1)+'Beállítások'!$E$24*(T48-1)+'Beállítások'!$E$25*(U48-1)+'Beállítások'!$E$26*(V48-1)+'Beállítások'!$E$27*(W48-1)+'Beállítások'!$E$28*(X48-1)+'Beállítások'!$E$29*(Y48-1))/(9*'Beállítások'!$B$45),1))</f>
        <v/>
      </c>
      <c r="AL48" s="23">
        <f>IF($A48="","",ROUND(100*('Beállítások'!$E$30*(Z48-1)+'Beállítások'!$E$31*(AA48-1)+'Beállítások'!$E$32*(AB48-1)+'Beállítások'!$E$33*(AC48-1)+'Beállítások'!$E$34*(AD48-1)+'Beállítások'!$E$35*(AE48-1)+'Beállítások'!$E$36*(AF48-1)+'Beállítások'!$E$37*(AG48-1)+'Beállítások'!$E$38*(AH48-1))/(9*'Beállítások'!$B$46),1))</f>
        <v/>
      </c>
      <c r="AM48" s="23">
        <f>IF($A48="","",ROUND(100*('Beállítások'!$E$6*(B48-1)+'Beállítások'!$E$7*(C48-1)+'Beállítások'!$E$8*(D48-1)+'Beállítások'!$E$9*(E48-1)+'Beállítások'!$E$10*(F48-1)+'Beállítások'!$E$11*(G48-1)+'Beállítások'!$E$12*(H48-1)+'Beállítások'!$E$13*(I48-1)+'Beállítások'!$E$14*(J48-1)+'Beállítások'!$E$15*(K48-1)+'Beállítások'!$E$16*(L48-1)+'Beállítások'!$E$17*(M48-1)+'Beállítások'!$E$18*(N48-1)+'Beállítások'!$E$19*(O48-1)+'Beállítások'!$E$20*(P48-1)+'Beállítások'!$E$21*(Q48-1)+'Beállítások'!$E$22*(R48-1)+'Beállítások'!$E$23*(S48-1)+'Beállítások'!$E$24*(T48-1)+'Beállítások'!$E$25*(U48-1)+'Beállítások'!$E$26*(V48-1)+'Beállítások'!$E$27*(W48-1)+'Beállítások'!$E$28*(X48-1)+'Beállítások'!$E$29*(Y48-1)+'Beállítások'!$E$30*(Z48-1)+'Beállítások'!$E$31*(AA48-1)+'Beállítások'!$E$32*(AB48-1)+'Beállítások'!$E$33*(AC48-1)+'Beállítások'!$E$34*(AD48-1)+'Beállítások'!$E$35*(AE48-1)+'Beállítások'!$E$36*(AF48-1)+'Beállítások'!$E$37*(AG48-1)+'Beállítások'!$E$38*(AH48-1))/(9*'Beállítások'!$E$39),1))</f>
        <v/>
      </c>
      <c r="AN48" s="23">
        <f>IF($A48="","",ROUND(100*('Beállítások'!$E$8*(D48-1)+'Beállítások'!$E$9*(E48-1)+'Beállítások'!$E$10*(F48-1)+'Beállítások'!$E$11*(G48-1)+'Beállítások'!$E$12*(H48-1)+'Beállítások'!$E$13*(I48-1)+'Beállítások'!$E$14*(J48-1)+'Beállítások'!$E$15*(K48-1)+'Beállítások'!$E$16*(L48-1)+'Beállítások'!$E$17*(M48-1)+'Beállítások'!$E$18*(N48-1)+'Beállítások'!$E$19*(O48-1)+'Beállítások'!$E$20*(P48-1)+'Beállítások'!$E$21*(Q48-1)+'Beállítások'!$E$22*(R48-1)+'Beállítások'!$E$23*(S48-1)+'Beállítások'!$E$24*(T48-1)+'Beállítások'!$E$25*(U48-1)+'Beállítások'!$E$26*(V48-1)+'Beállítások'!$E$27*(W48-1)+'Beállítások'!$E$28*(X48-1)+'Beállítások'!$E$29*(Y48-1))/(9*('Beállítások'!$B$44+'Beállítások'!$B$45)),1))</f>
        <v/>
      </c>
      <c r="AO48" s="24">
        <f>IF($A48="","",RANK(AM48,$AM$2:$AM$201))</f>
        <v/>
      </c>
      <c r="AP48">
        <f>IF($A48="","",IF(OR(AND('Ügyfelek'!B48&lt;&gt;"",B48&lt;='Beállítások'!$B$85),AND('Ügyfelek'!C48&lt;&gt;"",C48&lt;='Beállítások'!$B$86)),"Igen","Nem"))</f>
        <v/>
      </c>
      <c r="AQ48" s="24">
        <f>IF($A48="","",IF(AP48="Igen",5,IF(AN48&gt;='Beállítások'!$C$108,1,IF(AN48&gt;='Beállítások'!$C$109,2,IF(AN48&gt;='Beállítások'!$C$110,3,IF(AND(AN48&gt;='Beállítások'!$B$87,AI48&gt;='Beállítások'!$B$88,AL48&gt;='Beállítások'!$B$89),4,5))))))</f>
        <v/>
      </c>
      <c r="AR48">
        <f>IF($A48="","",INDEX('Beállítások'!$B$108:$B$112,AQ48))</f>
        <v/>
      </c>
      <c r="AS48">
        <f>IF($A48="","",IF(AQ48=5,"Elutasítjuk",IF(AND(AQ48=4,COUNTIFS('Eredmény'!$AQ$2:$AQ$201,4,'Eredmény'!$DY$2:$DY$201,"&gt;"&amp;DY48)&gt;='Beállítások'!$B$90),"Várólista (a 4-es hely foglalt)","Elfogadjuk")))</f>
        <v/>
      </c>
      <c r="AT48">
        <f>IF($A48="","",INDEX('Beállítások'!$F$108:$F$112,AQ48))</f>
        <v/>
      </c>
      <c r="AU48">
        <f>IF($A48="","",INDEX('Beállítások'!$B$6:$B$38,MATCH(MAX(BK48:CQ48),BK48:CQ48,0)))</f>
        <v/>
      </c>
      <c r="AV48">
        <f>IF($A48="","",IF(MAX(CR48:DX48)=0,"—",INDEX('Beállítások'!$B$6:$B$38,MATCH(MAX(CR48:DX48),CR48:DX48,0))))</f>
        <v/>
      </c>
      <c r="AW48" s="10">
        <f>IF($A48="","",'Beállítások'!$B$94*(TRIM('Ügyfelek'!AI48)="igen")+'Beállítások'!$B$95*(TRIM('Ügyfelek'!AJ48)="igen")+'Beállítások'!$B$96*N('Ügyfelek'!AK48)+'Beállítások'!$B$93*N('Ügyfelek'!AL48))</f>
        <v/>
      </c>
      <c r="AX48" s="25">
        <f>IF(OR($A48="",AQ48=5),"",INDEX('Beállítások'!$D$108:$D$112,AQ48))</f>
        <v/>
      </c>
      <c r="AY48" s="10">
        <f>IF($A48="","",N('Ügyfelek'!U48)*'Beállítások'!$B$98)</f>
        <v/>
      </c>
      <c r="AZ48" s="10">
        <f>IF(OR($A48="",AQ48=5),"",CEILING(ROUND(MAX('Beállítások'!$B$97,AW48*AX48,AY48),2),'Beállítások'!$B$99))</f>
        <v/>
      </c>
      <c r="BA48">
        <f>IF($A48="","",IF(AQ48=5,"Elutasítva",IF(MAX('Beállítások'!$B$97,AW48*AX48,AY48)=AW48*AX48,"Munkaigény × státuszszorzó",IF(MAX('Beállítások'!$B$97,AW48*AX48,AY48)=AY48,"Hirdetési keret arányában","Minimumdíj"))))</f>
        <v/>
      </c>
      <c r="BB48" s="10">
        <f>IF(OR($A48="",'Ügyfelek'!AM48=""),"",'Ügyfelek'!AM48)</f>
        <v/>
      </c>
      <c r="BC48" s="10">
        <f>IF(OR(BB48="",AZ48=""),"",AZ48-BB48)</f>
        <v/>
      </c>
      <c r="BD48" s="18">
        <f>IF(OR(BB48="",AZ48="",BB48=0),"",BC48/BB48)</f>
        <v/>
      </c>
      <c r="BE48">
        <f>IF(OR($A48="",AQ48=5),"",IF(AND(INDEX('Beállítások'!$E$108:$E$112,AQ48)&gt;0,Y48&gt;='Beállítások'!$B$91),"Igen","Nem"))</f>
        <v/>
      </c>
      <c r="BF48" s="10">
        <f>IF(BE48="Igen",CEILING(ROUND(AZ48*(1-'Beállítások'!$B$92),2),'Beállítások'!$B$99),"")</f>
        <v/>
      </c>
      <c r="BG48" s="20">
        <f>IF(BE48="Igen",INDEX('Beállítások'!$E$108:$E$112,AQ48),"")</f>
        <v/>
      </c>
      <c r="BH48" s="10">
        <f>IF(OR(BE48&lt;&gt;"Igen",'Ügyfelek'!AN48=""),"",'Ügyfelek'!AN48*BG48)</f>
        <v/>
      </c>
      <c r="BI48" s="24">
        <f>IF($A48="","",('Ügyfelek'!B48="")+('Ügyfelek'!C48="")+('Ügyfelek'!D48="")+('Ügyfelek'!E48="")+('Ügyfelek'!F48="")+('Ügyfelek'!G48="")+('Ügyfelek'!H48="")+('Ügyfelek'!I48="")+('Ügyfelek'!J48="")+('Ügyfelek'!K48="")+('Ügyfelek'!L48="")+('Ügyfelek'!M48="")+('Ügyfelek'!N48="")+('Ügyfelek'!O48="")+('Ügyfelek'!P48="")+('Ügyfelek'!Q48="")+('Ügyfelek'!R48="")+('Ügyfelek'!S48="")+('Ügyfelek'!T48="")+('Ügyfelek'!U48="")+('Ügyfelek'!V48="")+('Ügyfelek'!W48="")+('Ügyfelek'!X48="")+('Ügyfelek'!Y48="")+('Ügyfelek'!Z48="")+('Ügyfelek'!AA48="")+('Ügyfelek'!AB48="")+('Ügyfelek'!AC48="")+('Ügyfelek'!AD48="")+('Ügyfelek'!AE48="")+('Ügyfelek'!AF48="")+('Ügyfelek'!AG48="")+('Ügyfelek'!AH48=""))</f>
        <v/>
      </c>
      <c r="BK48">
        <f>IF($A48="","",B48+'Beállítások'!$E$6/1000)</f>
        <v/>
      </c>
      <c r="BL48">
        <f>IF($A48="","",C48+'Beállítások'!$E$7/1000)</f>
        <v/>
      </c>
      <c r="BM48">
        <f>IF($A48="","",D48+'Beállítások'!$E$8/1000)</f>
        <v/>
      </c>
      <c r="BN48">
        <f>IF($A48="","",E48+'Beállítások'!$E$9/1000)</f>
        <v/>
      </c>
      <c r="BO48">
        <f>IF($A48="","",F48+'Beállítások'!$E$10/1000)</f>
        <v/>
      </c>
      <c r="BP48">
        <f>IF($A48="","",G48+'Beállítások'!$E$11/1000)</f>
        <v/>
      </c>
      <c r="BQ48">
        <f>IF($A48="","",H48+'Beállítások'!$E$12/1000)</f>
        <v/>
      </c>
      <c r="BR48">
        <f>IF($A48="","",I48+'Beállítások'!$E$13/1000)</f>
        <v/>
      </c>
      <c r="BS48">
        <f>IF($A48="","",J48+'Beállítások'!$E$14/1000)</f>
        <v/>
      </c>
      <c r="BT48">
        <f>IF($A48="","",K48+'Beállítások'!$E$15/1000)</f>
        <v/>
      </c>
      <c r="BU48">
        <f>IF($A48="","",L48+'Beállítások'!$E$16/1000)</f>
        <v/>
      </c>
      <c r="BV48">
        <f>IF($A48="","",M48+'Beállítások'!$E$17/1000)</f>
        <v/>
      </c>
      <c r="BW48">
        <f>IF($A48="","",N48+'Beállítások'!$E$18/1000)</f>
        <v/>
      </c>
      <c r="BX48">
        <f>IF($A48="","",O48+'Beállítások'!$E$19/1000)</f>
        <v/>
      </c>
      <c r="BY48">
        <f>IF($A48="","",P48+'Beállítások'!$E$20/1000)</f>
        <v/>
      </c>
      <c r="BZ48">
        <f>IF($A48="","",Q48+'Beállítások'!$E$21/1000)</f>
        <v/>
      </c>
      <c r="CA48">
        <f>IF($A48="","",R48+'Beállítások'!$E$22/1000)</f>
        <v/>
      </c>
      <c r="CB48">
        <f>IF($A48="","",S48+'Beállítások'!$E$23/1000)</f>
        <v/>
      </c>
      <c r="CC48">
        <f>IF($A48="","",T48+'Beállítások'!$E$24/1000)</f>
        <v/>
      </c>
      <c r="CD48">
        <f>IF($A48="","",U48+'Beállítások'!$E$25/1000)</f>
        <v/>
      </c>
      <c r="CE48">
        <f>IF($A48="","",V48+'Beállítások'!$E$26/1000)</f>
        <v/>
      </c>
      <c r="CF48">
        <f>IF($A48="","",W48+'Beállítások'!$E$27/1000)</f>
        <v/>
      </c>
      <c r="CG48">
        <f>IF($A48="","",X48+'Beállítások'!$E$28/1000)</f>
        <v/>
      </c>
      <c r="CH48">
        <f>IF($A48="","",Y48+'Beállítások'!$E$29/1000)</f>
        <v/>
      </c>
      <c r="CI48">
        <f>IF($A48="","",Z48+'Beállítások'!$E$30/1000)</f>
        <v/>
      </c>
      <c r="CJ48">
        <f>IF($A48="","",AA48+'Beállítások'!$E$31/1000)</f>
        <v/>
      </c>
      <c r="CK48">
        <f>IF($A48="","",AB48+'Beállítások'!$E$32/1000)</f>
        <v/>
      </c>
      <c r="CL48">
        <f>IF($A48="","",AC48+'Beállítások'!$E$33/1000)</f>
        <v/>
      </c>
      <c r="CM48">
        <f>IF($A48="","",AD48+'Beállítások'!$E$34/1000)</f>
        <v/>
      </c>
      <c r="CN48">
        <f>IF($A48="","",AE48+'Beállítások'!$E$35/1000)</f>
        <v/>
      </c>
      <c r="CO48">
        <f>IF($A48="","",AF48+'Beállítások'!$E$36/1000)</f>
        <v/>
      </c>
      <c r="CP48">
        <f>IF($A48="","",AG48+'Beállítások'!$E$37/1000)</f>
        <v/>
      </c>
      <c r="CQ48">
        <f>IF($A48="","",AH48+'Beállítások'!$E$38/1000)</f>
        <v/>
      </c>
      <c r="CR48">
        <f>IF($A48="","",'Beállítások'!$E$6*(10-B48))</f>
        <v/>
      </c>
      <c r="CS48">
        <f>IF($A48="","",'Beállítások'!$E$7*(10-C48))</f>
        <v/>
      </c>
      <c r="CT48">
        <f>IF($A48="","",'Beállítások'!$E$8*(10-D48))</f>
        <v/>
      </c>
      <c r="CU48">
        <f>IF($A48="","",'Beállítások'!$E$9*(10-E48))</f>
        <v/>
      </c>
      <c r="CV48">
        <f>IF($A48="","",'Beállítások'!$E$10*(10-F48))</f>
        <v/>
      </c>
      <c r="CW48">
        <f>IF($A48="","",'Beállítások'!$E$11*(10-G48))</f>
        <v/>
      </c>
      <c r="CX48">
        <f>IF($A48="","",'Beállítások'!$E$12*(10-H48))</f>
        <v/>
      </c>
      <c r="CY48">
        <f>IF($A48="","",'Beállítások'!$E$13*(10-I48))</f>
        <v/>
      </c>
      <c r="CZ48">
        <f>IF($A48="","",'Beállítások'!$E$14*(10-J48))</f>
        <v/>
      </c>
      <c r="DA48">
        <f>IF($A48="","",'Beállítások'!$E$15*(10-K48))</f>
        <v/>
      </c>
      <c r="DB48">
        <f>IF($A48="","",'Beállítások'!$E$16*(10-L48))</f>
        <v/>
      </c>
      <c r="DC48">
        <f>IF($A48="","",'Beállítások'!$E$17*(10-M48))</f>
        <v/>
      </c>
      <c r="DD48">
        <f>IF($A48="","",'Beállítások'!$E$18*(10-N48))</f>
        <v/>
      </c>
      <c r="DE48">
        <f>IF($A48="","",'Beállítások'!$E$19*(10-O48))</f>
        <v/>
      </c>
      <c r="DF48">
        <f>IF($A48="","",'Beállítások'!$E$20*(10-P48))</f>
        <v/>
      </c>
      <c r="DG48">
        <f>IF($A48="","",'Beállítások'!$E$21*(10-Q48))</f>
        <v/>
      </c>
      <c r="DH48">
        <f>IF($A48="","",'Beállítások'!$E$22*(10-R48))</f>
        <v/>
      </c>
      <c r="DI48">
        <f>IF($A48="","",'Beállítások'!$E$23*(10-S48))</f>
        <v/>
      </c>
      <c r="DJ48">
        <f>IF($A48="","",'Beállítások'!$E$24*(10-T48))</f>
        <v/>
      </c>
      <c r="DK48">
        <f>IF($A48="","",'Beállítások'!$E$25*(10-U48))</f>
        <v/>
      </c>
      <c r="DL48">
        <f>IF($A48="","",'Beállítások'!$E$26*(10-V48))</f>
        <v/>
      </c>
      <c r="DM48">
        <f>IF($A48="","",'Beállítások'!$E$27*(10-W48))</f>
        <v/>
      </c>
      <c r="DN48">
        <f>IF($A48="","",'Beállítások'!$E$28*(10-X48))</f>
        <v/>
      </c>
      <c r="DO48">
        <f>IF($A48="","",'Beállítások'!$E$29*(10-Y48))</f>
        <v/>
      </c>
      <c r="DP48">
        <f>IF($A48="","",'Beállítások'!$E$30*(10-Z48))</f>
        <v/>
      </c>
      <c r="DQ48">
        <f>IF($A48="","",'Beállítások'!$E$31*(10-AA48))</f>
        <v/>
      </c>
      <c r="DR48">
        <f>IF($A48="","",'Beállítások'!$E$32*(10-AB48))</f>
        <v/>
      </c>
      <c r="DS48">
        <f>IF($A48="","",'Beállítások'!$E$33*(10-AC48))</f>
        <v/>
      </c>
      <c r="DT48">
        <f>IF($A48="","",'Beállítások'!$E$34*(10-AD48))</f>
        <v/>
      </c>
      <c r="DU48">
        <f>IF($A48="","",'Beállítások'!$E$35*(10-AE48))</f>
        <v/>
      </c>
      <c r="DV48">
        <f>IF($A48="","",'Beállítások'!$E$36*(10-AF48))</f>
        <v/>
      </c>
      <c r="DW48">
        <f>IF($A48="","",'Beállítások'!$E$37*(10-AG48))</f>
        <v/>
      </c>
      <c r="DX48">
        <f>IF($A48="","",'Beállítások'!$E$38*(10-AH48))</f>
        <v/>
      </c>
      <c r="DY48">
        <f>IF($A48="","",AM48-ROW()/100000)</f>
        <v/>
      </c>
    </row>
    <row r="49">
      <c r="A49">
        <f>IF('Ügyfelek'!A49="","",'Ügyfelek'!A49)</f>
        <v/>
      </c>
      <c r="B49">
        <f>IF($A49="","",IF('Ügyfelek'!B49="",'Beállítások'!$B$84,IFERROR(VLOOKUP(TRIM('Ügyfelek'!B49),'Beállítások'!$A$51:$B$59,2,FALSE),'Beállítások'!$B$84)))</f>
        <v/>
      </c>
      <c r="C49">
        <f>IF($A49="","",IF('Ügyfelek'!C49="",'Beállítások'!$B$84,MIN(10,MAX(1,ROUND('Ügyfelek'!C49,0)))))</f>
        <v/>
      </c>
      <c r="D49">
        <f>IF($A49="","",IF('Ügyfelek'!D49="",'Beállítások'!$B$84,MIN(10,MAX(1,ROUND('Ügyfelek'!D49,0)))))</f>
        <v/>
      </c>
      <c r="E49">
        <f>IF($A49="","",IF('Ügyfelek'!E49="",'Beállítások'!$B$84,MIN(10,MAX(1,ROUND('Ügyfelek'!E49,0)))))</f>
        <v/>
      </c>
      <c r="F49">
        <f>IF($A49="","",IF('Ügyfelek'!F49="",'Beállítások'!$B$84,MIN(10,MAX(1,ROUND('Ügyfelek'!F49,0)))))</f>
        <v/>
      </c>
      <c r="G49">
        <f>IF($A49="","",IF('Ügyfelek'!G49="",'Beállítások'!$B$84,MIN(10,MAX(1,ROUND('Ügyfelek'!G49,0)))))</f>
        <v/>
      </c>
      <c r="H49">
        <f>IF($A49="","",IF('Ügyfelek'!H49="",'Beállítások'!$B$84,MIN(10,MAX(1,ROUND('Ügyfelek'!H49,0)))))</f>
        <v/>
      </c>
      <c r="I49">
        <f>IF($A49="","",IF('Ügyfelek'!I49="",'Beállítások'!$B$84,MIN(10,MAX(1,ROUND('Ügyfelek'!I49,0)))))</f>
        <v/>
      </c>
      <c r="J49">
        <f>IF($A49="","",IF('Ügyfelek'!J49="",'Beállítások'!$B$84,MIN(10,MAX(1,ROUND('Ügyfelek'!J49,0)))))</f>
        <v/>
      </c>
      <c r="K49">
        <f>IF($A49="","",IF('Ügyfelek'!K49="",'Beállítások'!$B$84,MIN(10,MAX(1,ROUND('Ügyfelek'!K49,0)))))</f>
        <v/>
      </c>
      <c r="L49">
        <f>IF($A49="","",IF('Ügyfelek'!L49="",'Beállítások'!$B$84,MIN(10,MAX(1,ROUND('Ügyfelek'!L49,0)))))</f>
        <v/>
      </c>
      <c r="M49">
        <f>IF($A49="","",IF('Ügyfelek'!M49="",'Beállítások'!$B$84,MIN(10,MAX(1,ROUND('Ügyfelek'!M49,0)))))</f>
        <v/>
      </c>
      <c r="N49">
        <f>IF($A49="","",IF('Ügyfelek'!N49="",'Beállítások'!$B$84,MIN(10,MAX(1,ROUND('Ügyfelek'!N49,0)))))</f>
        <v/>
      </c>
      <c r="O49">
        <f>IF($A49="","",IF('Ügyfelek'!O49="",'Beállítások'!$B$84,MIN(10,MAX(1,ROUND('Ügyfelek'!O49,0)))))</f>
        <v/>
      </c>
      <c r="P49">
        <f>IF($A49="","",IF('Ügyfelek'!P49="",'Beállítások'!$B$84,MIN(10,MAX(1,ROUND('Ügyfelek'!P49,0)))))</f>
        <v/>
      </c>
      <c r="Q49">
        <f>IF($A49="","",IF('Ügyfelek'!Q49="",'Beállítások'!$B$84,MIN(10,MAX(1,ROUND('Ügyfelek'!Q49,0)))))</f>
        <v/>
      </c>
      <c r="R49">
        <f>IF($A49="","",IF('Ügyfelek'!R49="",'Beállítások'!$B$84,MIN(10,MAX(1,ROUND('Ügyfelek'!R49,0)))))</f>
        <v/>
      </c>
      <c r="S49">
        <f>IF($A49="","",IF('Ügyfelek'!S49="",'Beállítások'!$B$84,MIN(10,MAX(1,ROUND('Ügyfelek'!S49,0)))))</f>
        <v/>
      </c>
      <c r="T49">
        <f>IF($A49="","",IF('Ügyfelek'!T49="",'Beállítások'!$B$84,VLOOKUP(MAX('Ügyfelek'!T49,'Beállítások'!$H$7),'Beállítások'!$H$7:$I$12,2,TRUE)))</f>
        <v/>
      </c>
      <c r="U49">
        <f>IF($A49="","",IF('Ügyfelek'!U49="",'Beállítások'!$B$84,VLOOKUP(MAX('Ügyfelek'!U49,'Beállítások'!$K$7),'Beállítások'!$K$7:$L$12,2,TRUE)))</f>
        <v/>
      </c>
      <c r="V49">
        <f>IF($A49="","",IF('Ügyfelek'!V49="",'Beállítások'!$B$84,MIN(10,MAX(1,ROUND('Ügyfelek'!V49,0)))))</f>
        <v/>
      </c>
      <c r="W49">
        <f>IF($A49="","",IF('Ügyfelek'!W49="",'Beállítások'!$B$84,VLOOKUP(MAX('Ügyfelek'!W49,'Beállítások'!$N$7),'Beállítások'!$N$7:$O$12,2,TRUE)))</f>
        <v/>
      </c>
      <c r="X49">
        <f>IF($A49="","",IF('Ügyfelek'!X49="",'Beállítások'!$B$84,MIN(10,MAX(1,ROUND('Ügyfelek'!X49,0)))))</f>
        <v/>
      </c>
      <c r="Y49">
        <f>IF($A49="","",IF('Ügyfelek'!Y49="",'Beállítások'!$B$84,IFERROR(VLOOKUP(TRIM('Ügyfelek'!Y49),'Beállítások'!$A$63:$B$69,2,FALSE),'Beállítások'!$B$84)))</f>
        <v/>
      </c>
      <c r="Z49">
        <f>IF($A49="","",IF('Ügyfelek'!Z49="",'Beállítások'!$B$84,VLOOKUP(MAX('Ügyfelek'!Z49,'Beállítások'!$Q$7),'Beállítások'!$Q$7:$R$12,2,TRUE)))</f>
        <v/>
      </c>
      <c r="AA49">
        <f>IF($A49="","",IF('Ügyfelek'!AA49="",'Beállítások'!$B$84,VLOOKUP(MAX('Ügyfelek'!AA49,'Beállítások'!$T$7),'Beállítások'!$T$7:$U$12,2,TRUE)))</f>
        <v/>
      </c>
      <c r="AB49">
        <f>IF($A49="","",IF('Ügyfelek'!AB49="",'Beállítások'!$B$84,MIN(10,MAX(1,ROUND('Ügyfelek'!AB49,0)))))</f>
        <v/>
      </c>
      <c r="AC49">
        <f>IF($A49="","",IF('Ügyfelek'!AC49="",'Beállítások'!$B$84,MIN(10,MAX(1,ROUND('Ügyfelek'!AC49,0)))))</f>
        <v/>
      </c>
      <c r="AD49">
        <f>IF($A49="","",IF('Ügyfelek'!AD49="",'Beállítások'!$B$84,MIN(10,MAX(1,ROUND('Ügyfelek'!AD49,0)))))</f>
        <v/>
      </c>
      <c r="AE49">
        <f>IF($A49="","",IF('Ügyfelek'!AE49="",'Beállítások'!$B$84,MIN(10,MAX(1,ROUND('Ügyfelek'!AE49,0)))))</f>
        <v/>
      </c>
      <c r="AF49">
        <f>IF($A49="","",IF('Ügyfelek'!AF49="",'Beállítások'!$B$84,MIN(10,MAX(1,ROUND('Ügyfelek'!AF49,0)))))</f>
        <v/>
      </c>
      <c r="AG49">
        <f>IF($A49="","",IF('Ügyfelek'!AG49="",'Beállítások'!$B$84,MIN(10,MAX(1,ROUND('Ügyfelek'!AG49,0)))))</f>
        <v/>
      </c>
      <c r="AH49">
        <f>IF($A49="","",IF('Ügyfelek'!AH49="",'Beállítások'!$B$84,IFERROR(VLOOKUP(TRIM('Ügyfelek'!AH49),'Beállítások'!$A$73:$B$79,2,FALSE),'Beállítások'!$B$84)))</f>
        <v/>
      </c>
      <c r="AI49" s="23">
        <f>IF($A49="","",ROUND(100*('Beállítások'!$E$6*(B49-1)+'Beállítások'!$E$7*(C49-1))/(9*'Beállítások'!$B$43),1))</f>
        <v/>
      </c>
      <c r="AJ49" s="23">
        <f>IF($A49="","",ROUND(100*('Beállítások'!$E$8*(D49-1)+'Beállítások'!$E$9*(E49-1)+'Beállítások'!$E$10*(F49-1)+'Beállítások'!$E$11*(G49-1)+'Beállítások'!$E$12*(H49-1)+'Beállítások'!$E$13*(I49-1)+'Beállítások'!$E$14*(J49-1)+'Beállítások'!$E$15*(K49-1)+'Beállítások'!$E$16*(L49-1)+'Beállítások'!$E$17*(M49-1)+'Beállítások'!$E$18*(N49-1)+'Beállítások'!$E$19*(O49-1)+'Beállítások'!$E$20*(P49-1)+'Beállítások'!$E$21*(Q49-1)+'Beállítások'!$E$22*(R49-1))/(9*'Beállítások'!$B$44),1))</f>
        <v/>
      </c>
      <c r="AK49" s="23">
        <f>IF($A49="","",ROUND(100*('Beállítások'!$E$23*(S49-1)+'Beállítások'!$E$24*(T49-1)+'Beállítások'!$E$25*(U49-1)+'Beállítások'!$E$26*(V49-1)+'Beállítások'!$E$27*(W49-1)+'Beállítások'!$E$28*(X49-1)+'Beállítások'!$E$29*(Y49-1))/(9*'Beállítások'!$B$45),1))</f>
        <v/>
      </c>
      <c r="AL49" s="23">
        <f>IF($A49="","",ROUND(100*('Beállítások'!$E$30*(Z49-1)+'Beállítások'!$E$31*(AA49-1)+'Beállítások'!$E$32*(AB49-1)+'Beállítások'!$E$33*(AC49-1)+'Beállítások'!$E$34*(AD49-1)+'Beállítások'!$E$35*(AE49-1)+'Beállítások'!$E$36*(AF49-1)+'Beállítások'!$E$37*(AG49-1)+'Beállítások'!$E$38*(AH49-1))/(9*'Beállítások'!$B$46),1))</f>
        <v/>
      </c>
      <c r="AM49" s="23">
        <f>IF($A49="","",ROUND(100*('Beállítások'!$E$6*(B49-1)+'Beállítások'!$E$7*(C49-1)+'Beállítások'!$E$8*(D49-1)+'Beállítások'!$E$9*(E49-1)+'Beállítások'!$E$10*(F49-1)+'Beállítások'!$E$11*(G49-1)+'Beállítások'!$E$12*(H49-1)+'Beállítások'!$E$13*(I49-1)+'Beállítások'!$E$14*(J49-1)+'Beállítások'!$E$15*(K49-1)+'Beállítások'!$E$16*(L49-1)+'Beállítások'!$E$17*(M49-1)+'Beállítások'!$E$18*(N49-1)+'Beállítások'!$E$19*(O49-1)+'Beállítások'!$E$20*(P49-1)+'Beállítások'!$E$21*(Q49-1)+'Beállítások'!$E$22*(R49-1)+'Beállítások'!$E$23*(S49-1)+'Beállítások'!$E$24*(T49-1)+'Beállítások'!$E$25*(U49-1)+'Beállítások'!$E$26*(V49-1)+'Beállítások'!$E$27*(W49-1)+'Beállítások'!$E$28*(X49-1)+'Beállítások'!$E$29*(Y49-1)+'Beállítások'!$E$30*(Z49-1)+'Beállítások'!$E$31*(AA49-1)+'Beállítások'!$E$32*(AB49-1)+'Beállítások'!$E$33*(AC49-1)+'Beállítások'!$E$34*(AD49-1)+'Beállítások'!$E$35*(AE49-1)+'Beállítások'!$E$36*(AF49-1)+'Beállítások'!$E$37*(AG49-1)+'Beállítások'!$E$38*(AH49-1))/(9*'Beállítások'!$E$39),1))</f>
        <v/>
      </c>
      <c r="AN49" s="23">
        <f>IF($A49="","",ROUND(100*('Beállítások'!$E$8*(D49-1)+'Beállítások'!$E$9*(E49-1)+'Beállítások'!$E$10*(F49-1)+'Beállítások'!$E$11*(G49-1)+'Beállítások'!$E$12*(H49-1)+'Beállítások'!$E$13*(I49-1)+'Beállítások'!$E$14*(J49-1)+'Beállítások'!$E$15*(K49-1)+'Beállítások'!$E$16*(L49-1)+'Beállítások'!$E$17*(M49-1)+'Beállítások'!$E$18*(N49-1)+'Beállítások'!$E$19*(O49-1)+'Beállítások'!$E$20*(P49-1)+'Beállítások'!$E$21*(Q49-1)+'Beállítások'!$E$22*(R49-1)+'Beállítások'!$E$23*(S49-1)+'Beállítások'!$E$24*(T49-1)+'Beállítások'!$E$25*(U49-1)+'Beállítások'!$E$26*(V49-1)+'Beállítások'!$E$27*(W49-1)+'Beállítások'!$E$28*(X49-1)+'Beállítások'!$E$29*(Y49-1))/(9*('Beállítások'!$B$44+'Beállítások'!$B$45)),1))</f>
        <v/>
      </c>
      <c r="AO49" s="24">
        <f>IF($A49="","",RANK(AM49,$AM$2:$AM$201))</f>
        <v/>
      </c>
      <c r="AP49">
        <f>IF($A49="","",IF(OR(AND('Ügyfelek'!B49&lt;&gt;"",B49&lt;='Beállítások'!$B$85),AND('Ügyfelek'!C49&lt;&gt;"",C49&lt;='Beállítások'!$B$86)),"Igen","Nem"))</f>
        <v/>
      </c>
      <c r="AQ49" s="24">
        <f>IF($A49="","",IF(AP49="Igen",5,IF(AN49&gt;='Beállítások'!$C$108,1,IF(AN49&gt;='Beállítások'!$C$109,2,IF(AN49&gt;='Beállítások'!$C$110,3,IF(AND(AN49&gt;='Beállítások'!$B$87,AI49&gt;='Beállítások'!$B$88,AL49&gt;='Beállítások'!$B$89),4,5))))))</f>
        <v/>
      </c>
      <c r="AR49">
        <f>IF($A49="","",INDEX('Beállítások'!$B$108:$B$112,AQ49))</f>
        <v/>
      </c>
      <c r="AS49">
        <f>IF($A49="","",IF(AQ49=5,"Elutasítjuk",IF(AND(AQ49=4,COUNTIFS('Eredmény'!$AQ$2:$AQ$201,4,'Eredmény'!$DY$2:$DY$201,"&gt;"&amp;DY49)&gt;='Beállítások'!$B$90),"Várólista (a 4-es hely foglalt)","Elfogadjuk")))</f>
        <v/>
      </c>
      <c r="AT49">
        <f>IF($A49="","",INDEX('Beállítások'!$F$108:$F$112,AQ49))</f>
        <v/>
      </c>
      <c r="AU49">
        <f>IF($A49="","",INDEX('Beállítások'!$B$6:$B$38,MATCH(MAX(BK49:CQ49),BK49:CQ49,0)))</f>
        <v/>
      </c>
      <c r="AV49">
        <f>IF($A49="","",IF(MAX(CR49:DX49)=0,"—",INDEX('Beállítások'!$B$6:$B$38,MATCH(MAX(CR49:DX49),CR49:DX49,0))))</f>
        <v/>
      </c>
      <c r="AW49" s="10">
        <f>IF($A49="","",'Beállítások'!$B$94*(TRIM('Ügyfelek'!AI49)="igen")+'Beállítások'!$B$95*(TRIM('Ügyfelek'!AJ49)="igen")+'Beállítások'!$B$96*N('Ügyfelek'!AK49)+'Beállítások'!$B$93*N('Ügyfelek'!AL49))</f>
        <v/>
      </c>
      <c r="AX49" s="25">
        <f>IF(OR($A49="",AQ49=5),"",INDEX('Beállítások'!$D$108:$D$112,AQ49))</f>
        <v/>
      </c>
      <c r="AY49" s="10">
        <f>IF($A49="","",N('Ügyfelek'!U49)*'Beállítások'!$B$98)</f>
        <v/>
      </c>
      <c r="AZ49" s="10">
        <f>IF(OR($A49="",AQ49=5),"",CEILING(ROUND(MAX('Beállítások'!$B$97,AW49*AX49,AY49),2),'Beállítások'!$B$99))</f>
        <v/>
      </c>
      <c r="BA49">
        <f>IF($A49="","",IF(AQ49=5,"Elutasítva",IF(MAX('Beállítások'!$B$97,AW49*AX49,AY49)=AW49*AX49,"Munkaigény × státuszszorzó",IF(MAX('Beállítások'!$B$97,AW49*AX49,AY49)=AY49,"Hirdetési keret arányában","Minimumdíj"))))</f>
        <v/>
      </c>
      <c r="BB49" s="10">
        <f>IF(OR($A49="",'Ügyfelek'!AM49=""),"",'Ügyfelek'!AM49)</f>
        <v/>
      </c>
      <c r="BC49" s="10">
        <f>IF(OR(BB49="",AZ49=""),"",AZ49-BB49)</f>
        <v/>
      </c>
      <c r="BD49" s="18">
        <f>IF(OR(BB49="",AZ49="",BB49=0),"",BC49/BB49)</f>
        <v/>
      </c>
      <c r="BE49">
        <f>IF(OR($A49="",AQ49=5),"",IF(AND(INDEX('Beállítások'!$E$108:$E$112,AQ49)&gt;0,Y49&gt;='Beállítások'!$B$91),"Igen","Nem"))</f>
        <v/>
      </c>
      <c r="BF49" s="10">
        <f>IF(BE49="Igen",CEILING(ROUND(AZ49*(1-'Beállítások'!$B$92),2),'Beállítások'!$B$99),"")</f>
        <v/>
      </c>
      <c r="BG49" s="20">
        <f>IF(BE49="Igen",INDEX('Beállítások'!$E$108:$E$112,AQ49),"")</f>
        <v/>
      </c>
      <c r="BH49" s="10">
        <f>IF(OR(BE49&lt;&gt;"Igen",'Ügyfelek'!AN49=""),"",'Ügyfelek'!AN49*BG49)</f>
        <v/>
      </c>
      <c r="BI49" s="24">
        <f>IF($A49="","",('Ügyfelek'!B49="")+('Ügyfelek'!C49="")+('Ügyfelek'!D49="")+('Ügyfelek'!E49="")+('Ügyfelek'!F49="")+('Ügyfelek'!G49="")+('Ügyfelek'!H49="")+('Ügyfelek'!I49="")+('Ügyfelek'!J49="")+('Ügyfelek'!K49="")+('Ügyfelek'!L49="")+('Ügyfelek'!M49="")+('Ügyfelek'!N49="")+('Ügyfelek'!O49="")+('Ügyfelek'!P49="")+('Ügyfelek'!Q49="")+('Ügyfelek'!R49="")+('Ügyfelek'!S49="")+('Ügyfelek'!T49="")+('Ügyfelek'!U49="")+('Ügyfelek'!V49="")+('Ügyfelek'!W49="")+('Ügyfelek'!X49="")+('Ügyfelek'!Y49="")+('Ügyfelek'!Z49="")+('Ügyfelek'!AA49="")+('Ügyfelek'!AB49="")+('Ügyfelek'!AC49="")+('Ügyfelek'!AD49="")+('Ügyfelek'!AE49="")+('Ügyfelek'!AF49="")+('Ügyfelek'!AG49="")+('Ügyfelek'!AH49=""))</f>
        <v/>
      </c>
      <c r="BK49">
        <f>IF($A49="","",B49+'Beállítások'!$E$6/1000)</f>
        <v/>
      </c>
      <c r="BL49">
        <f>IF($A49="","",C49+'Beállítások'!$E$7/1000)</f>
        <v/>
      </c>
      <c r="BM49">
        <f>IF($A49="","",D49+'Beállítások'!$E$8/1000)</f>
        <v/>
      </c>
      <c r="BN49">
        <f>IF($A49="","",E49+'Beállítások'!$E$9/1000)</f>
        <v/>
      </c>
      <c r="BO49">
        <f>IF($A49="","",F49+'Beállítások'!$E$10/1000)</f>
        <v/>
      </c>
      <c r="BP49">
        <f>IF($A49="","",G49+'Beállítások'!$E$11/1000)</f>
        <v/>
      </c>
      <c r="BQ49">
        <f>IF($A49="","",H49+'Beállítások'!$E$12/1000)</f>
        <v/>
      </c>
      <c r="BR49">
        <f>IF($A49="","",I49+'Beállítások'!$E$13/1000)</f>
        <v/>
      </c>
      <c r="BS49">
        <f>IF($A49="","",J49+'Beállítások'!$E$14/1000)</f>
        <v/>
      </c>
      <c r="BT49">
        <f>IF($A49="","",K49+'Beállítások'!$E$15/1000)</f>
        <v/>
      </c>
      <c r="BU49">
        <f>IF($A49="","",L49+'Beállítások'!$E$16/1000)</f>
        <v/>
      </c>
      <c r="BV49">
        <f>IF($A49="","",M49+'Beállítások'!$E$17/1000)</f>
        <v/>
      </c>
      <c r="BW49">
        <f>IF($A49="","",N49+'Beállítások'!$E$18/1000)</f>
        <v/>
      </c>
      <c r="BX49">
        <f>IF($A49="","",O49+'Beállítások'!$E$19/1000)</f>
        <v/>
      </c>
      <c r="BY49">
        <f>IF($A49="","",P49+'Beállítások'!$E$20/1000)</f>
        <v/>
      </c>
      <c r="BZ49">
        <f>IF($A49="","",Q49+'Beállítások'!$E$21/1000)</f>
        <v/>
      </c>
      <c r="CA49">
        <f>IF($A49="","",R49+'Beállítások'!$E$22/1000)</f>
        <v/>
      </c>
      <c r="CB49">
        <f>IF($A49="","",S49+'Beállítások'!$E$23/1000)</f>
        <v/>
      </c>
      <c r="CC49">
        <f>IF($A49="","",T49+'Beállítások'!$E$24/1000)</f>
        <v/>
      </c>
      <c r="CD49">
        <f>IF($A49="","",U49+'Beállítások'!$E$25/1000)</f>
        <v/>
      </c>
      <c r="CE49">
        <f>IF($A49="","",V49+'Beállítások'!$E$26/1000)</f>
        <v/>
      </c>
      <c r="CF49">
        <f>IF($A49="","",W49+'Beállítások'!$E$27/1000)</f>
        <v/>
      </c>
      <c r="CG49">
        <f>IF($A49="","",X49+'Beállítások'!$E$28/1000)</f>
        <v/>
      </c>
      <c r="CH49">
        <f>IF($A49="","",Y49+'Beállítások'!$E$29/1000)</f>
        <v/>
      </c>
      <c r="CI49">
        <f>IF($A49="","",Z49+'Beállítások'!$E$30/1000)</f>
        <v/>
      </c>
      <c r="CJ49">
        <f>IF($A49="","",AA49+'Beállítások'!$E$31/1000)</f>
        <v/>
      </c>
      <c r="CK49">
        <f>IF($A49="","",AB49+'Beállítások'!$E$32/1000)</f>
        <v/>
      </c>
      <c r="CL49">
        <f>IF($A49="","",AC49+'Beállítások'!$E$33/1000)</f>
        <v/>
      </c>
      <c r="CM49">
        <f>IF($A49="","",AD49+'Beállítások'!$E$34/1000)</f>
        <v/>
      </c>
      <c r="CN49">
        <f>IF($A49="","",AE49+'Beállítások'!$E$35/1000)</f>
        <v/>
      </c>
      <c r="CO49">
        <f>IF($A49="","",AF49+'Beállítások'!$E$36/1000)</f>
        <v/>
      </c>
      <c r="CP49">
        <f>IF($A49="","",AG49+'Beállítások'!$E$37/1000)</f>
        <v/>
      </c>
      <c r="CQ49">
        <f>IF($A49="","",AH49+'Beállítások'!$E$38/1000)</f>
        <v/>
      </c>
      <c r="CR49">
        <f>IF($A49="","",'Beállítások'!$E$6*(10-B49))</f>
        <v/>
      </c>
      <c r="CS49">
        <f>IF($A49="","",'Beállítások'!$E$7*(10-C49))</f>
        <v/>
      </c>
      <c r="CT49">
        <f>IF($A49="","",'Beállítások'!$E$8*(10-D49))</f>
        <v/>
      </c>
      <c r="CU49">
        <f>IF($A49="","",'Beállítások'!$E$9*(10-E49))</f>
        <v/>
      </c>
      <c r="CV49">
        <f>IF($A49="","",'Beállítások'!$E$10*(10-F49))</f>
        <v/>
      </c>
      <c r="CW49">
        <f>IF($A49="","",'Beállítások'!$E$11*(10-G49))</f>
        <v/>
      </c>
      <c r="CX49">
        <f>IF($A49="","",'Beállítások'!$E$12*(10-H49))</f>
        <v/>
      </c>
      <c r="CY49">
        <f>IF($A49="","",'Beállítások'!$E$13*(10-I49))</f>
        <v/>
      </c>
      <c r="CZ49">
        <f>IF($A49="","",'Beállítások'!$E$14*(10-J49))</f>
        <v/>
      </c>
      <c r="DA49">
        <f>IF($A49="","",'Beállítások'!$E$15*(10-K49))</f>
        <v/>
      </c>
      <c r="DB49">
        <f>IF($A49="","",'Beállítások'!$E$16*(10-L49))</f>
        <v/>
      </c>
      <c r="DC49">
        <f>IF($A49="","",'Beállítások'!$E$17*(10-M49))</f>
        <v/>
      </c>
      <c r="DD49">
        <f>IF($A49="","",'Beállítások'!$E$18*(10-N49))</f>
        <v/>
      </c>
      <c r="DE49">
        <f>IF($A49="","",'Beállítások'!$E$19*(10-O49))</f>
        <v/>
      </c>
      <c r="DF49">
        <f>IF($A49="","",'Beállítások'!$E$20*(10-P49))</f>
        <v/>
      </c>
      <c r="DG49">
        <f>IF($A49="","",'Beállítások'!$E$21*(10-Q49))</f>
        <v/>
      </c>
      <c r="DH49">
        <f>IF($A49="","",'Beállítások'!$E$22*(10-R49))</f>
        <v/>
      </c>
      <c r="DI49">
        <f>IF($A49="","",'Beállítások'!$E$23*(10-S49))</f>
        <v/>
      </c>
      <c r="DJ49">
        <f>IF($A49="","",'Beállítások'!$E$24*(10-T49))</f>
        <v/>
      </c>
      <c r="DK49">
        <f>IF($A49="","",'Beállítások'!$E$25*(10-U49))</f>
        <v/>
      </c>
      <c r="DL49">
        <f>IF($A49="","",'Beállítások'!$E$26*(10-V49))</f>
        <v/>
      </c>
      <c r="DM49">
        <f>IF($A49="","",'Beállítások'!$E$27*(10-W49))</f>
        <v/>
      </c>
      <c r="DN49">
        <f>IF($A49="","",'Beállítások'!$E$28*(10-X49))</f>
        <v/>
      </c>
      <c r="DO49">
        <f>IF($A49="","",'Beállítások'!$E$29*(10-Y49))</f>
        <v/>
      </c>
      <c r="DP49">
        <f>IF($A49="","",'Beállítások'!$E$30*(10-Z49))</f>
        <v/>
      </c>
      <c r="DQ49">
        <f>IF($A49="","",'Beállítások'!$E$31*(10-AA49))</f>
        <v/>
      </c>
      <c r="DR49">
        <f>IF($A49="","",'Beállítások'!$E$32*(10-AB49))</f>
        <v/>
      </c>
      <c r="DS49">
        <f>IF($A49="","",'Beállítások'!$E$33*(10-AC49))</f>
        <v/>
      </c>
      <c r="DT49">
        <f>IF($A49="","",'Beállítások'!$E$34*(10-AD49))</f>
        <v/>
      </c>
      <c r="DU49">
        <f>IF($A49="","",'Beállítások'!$E$35*(10-AE49))</f>
        <v/>
      </c>
      <c r="DV49">
        <f>IF($A49="","",'Beállítások'!$E$36*(10-AF49))</f>
        <v/>
      </c>
      <c r="DW49">
        <f>IF($A49="","",'Beállítások'!$E$37*(10-AG49))</f>
        <v/>
      </c>
      <c r="DX49">
        <f>IF($A49="","",'Beállítások'!$E$38*(10-AH49))</f>
        <v/>
      </c>
      <c r="DY49">
        <f>IF($A49="","",AM49-ROW()/100000)</f>
        <v/>
      </c>
    </row>
    <row r="50">
      <c r="A50">
        <f>IF('Ügyfelek'!A50="","",'Ügyfelek'!A50)</f>
        <v/>
      </c>
      <c r="B50">
        <f>IF($A50="","",IF('Ügyfelek'!B50="",'Beállítások'!$B$84,IFERROR(VLOOKUP(TRIM('Ügyfelek'!B50),'Beállítások'!$A$51:$B$59,2,FALSE),'Beállítások'!$B$84)))</f>
        <v/>
      </c>
      <c r="C50">
        <f>IF($A50="","",IF('Ügyfelek'!C50="",'Beállítások'!$B$84,MIN(10,MAX(1,ROUND('Ügyfelek'!C50,0)))))</f>
        <v/>
      </c>
      <c r="D50">
        <f>IF($A50="","",IF('Ügyfelek'!D50="",'Beállítások'!$B$84,MIN(10,MAX(1,ROUND('Ügyfelek'!D50,0)))))</f>
        <v/>
      </c>
      <c r="E50">
        <f>IF($A50="","",IF('Ügyfelek'!E50="",'Beállítások'!$B$84,MIN(10,MAX(1,ROUND('Ügyfelek'!E50,0)))))</f>
        <v/>
      </c>
      <c r="F50">
        <f>IF($A50="","",IF('Ügyfelek'!F50="",'Beállítások'!$B$84,MIN(10,MAX(1,ROUND('Ügyfelek'!F50,0)))))</f>
        <v/>
      </c>
      <c r="G50">
        <f>IF($A50="","",IF('Ügyfelek'!G50="",'Beállítások'!$B$84,MIN(10,MAX(1,ROUND('Ügyfelek'!G50,0)))))</f>
        <v/>
      </c>
      <c r="H50">
        <f>IF($A50="","",IF('Ügyfelek'!H50="",'Beállítások'!$B$84,MIN(10,MAX(1,ROUND('Ügyfelek'!H50,0)))))</f>
        <v/>
      </c>
      <c r="I50">
        <f>IF($A50="","",IF('Ügyfelek'!I50="",'Beállítások'!$B$84,MIN(10,MAX(1,ROUND('Ügyfelek'!I50,0)))))</f>
        <v/>
      </c>
      <c r="J50">
        <f>IF($A50="","",IF('Ügyfelek'!J50="",'Beállítások'!$B$84,MIN(10,MAX(1,ROUND('Ügyfelek'!J50,0)))))</f>
        <v/>
      </c>
      <c r="K50">
        <f>IF($A50="","",IF('Ügyfelek'!K50="",'Beállítások'!$B$84,MIN(10,MAX(1,ROUND('Ügyfelek'!K50,0)))))</f>
        <v/>
      </c>
      <c r="L50">
        <f>IF($A50="","",IF('Ügyfelek'!L50="",'Beállítások'!$B$84,MIN(10,MAX(1,ROUND('Ügyfelek'!L50,0)))))</f>
        <v/>
      </c>
      <c r="M50">
        <f>IF($A50="","",IF('Ügyfelek'!M50="",'Beállítások'!$B$84,MIN(10,MAX(1,ROUND('Ügyfelek'!M50,0)))))</f>
        <v/>
      </c>
      <c r="N50">
        <f>IF($A50="","",IF('Ügyfelek'!N50="",'Beállítások'!$B$84,MIN(10,MAX(1,ROUND('Ügyfelek'!N50,0)))))</f>
        <v/>
      </c>
      <c r="O50">
        <f>IF($A50="","",IF('Ügyfelek'!O50="",'Beállítások'!$B$84,MIN(10,MAX(1,ROUND('Ügyfelek'!O50,0)))))</f>
        <v/>
      </c>
      <c r="P50">
        <f>IF($A50="","",IF('Ügyfelek'!P50="",'Beállítások'!$B$84,MIN(10,MAX(1,ROUND('Ügyfelek'!P50,0)))))</f>
        <v/>
      </c>
      <c r="Q50">
        <f>IF($A50="","",IF('Ügyfelek'!Q50="",'Beállítások'!$B$84,MIN(10,MAX(1,ROUND('Ügyfelek'!Q50,0)))))</f>
        <v/>
      </c>
      <c r="R50">
        <f>IF($A50="","",IF('Ügyfelek'!R50="",'Beállítások'!$B$84,MIN(10,MAX(1,ROUND('Ügyfelek'!R50,0)))))</f>
        <v/>
      </c>
      <c r="S50">
        <f>IF($A50="","",IF('Ügyfelek'!S50="",'Beállítások'!$B$84,MIN(10,MAX(1,ROUND('Ügyfelek'!S50,0)))))</f>
        <v/>
      </c>
      <c r="T50">
        <f>IF($A50="","",IF('Ügyfelek'!T50="",'Beállítások'!$B$84,VLOOKUP(MAX('Ügyfelek'!T50,'Beállítások'!$H$7),'Beállítások'!$H$7:$I$12,2,TRUE)))</f>
        <v/>
      </c>
      <c r="U50">
        <f>IF($A50="","",IF('Ügyfelek'!U50="",'Beállítások'!$B$84,VLOOKUP(MAX('Ügyfelek'!U50,'Beállítások'!$K$7),'Beállítások'!$K$7:$L$12,2,TRUE)))</f>
        <v/>
      </c>
      <c r="V50">
        <f>IF($A50="","",IF('Ügyfelek'!V50="",'Beállítások'!$B$84,MIN(10,MAX(1,ROUND('Ügyfelek'!V50,0)))))</f>
        <v/>
      </c>
      <c r="W50">
        <f>IF($A50="","",IF('Ügyfelek'!W50="",'Beállítások'!$B$84,VLOOKUP(MAX('Ügyfelek'!W50,'Beállítások'!$N$7),'Beállítások'!$N$7:$O$12,2,TRUE)))</f>
        <v/>
      </c>
      <c r="X50">
        <f>IF($A50="","",IF('Ügyfelek'!X50="",'Beállítások'!$B$84,MIN(10,MAX(1,ROUND('Ügyfelek'!X50,0)))))</f>
        <v/>
      </c>
      <c r="Y50">
        <f>IF($A50="","",IF('Ügyfelek'!Y50="",'Beállítások'!$B$84,IFERROR(VLOOKUP(TRIM('Ügyfelek'!Y50),'Beállítások'!$A$63:$B$69,2,FALSE),'Beállítások'!$B$84)))</f>
        <v/>
      </c>
      <c r="Z50">
        <f>IF($A50="","",IF('Ügyfelek'!Z50="",'Beállítások'!$B$84,VLOOKUP(MAX('Ügyfelek'!Z50,'Beállítások'!$Q$7),'Beállítások'!$Q$7:$R$12,2,TRUE)))</f>
        <v/>
      </c>
      <c r="AA50">
        <f>IF($A50="","",IF('Ügyfelek'!AA50="",'Beállítások'!$B$84,VLOOKUP(MAX('Ügyfelek'!AA50,'Beállítások'!$T$7),'Beállítások'!$T$7:$U$12,2,TRUE)))</f>
        <v/>
      </c>
      <c r="AB50">
        <f>IF($A50="","",IF('Ügyfelek'!AB50="",'Beállítások'!$B$84,MIN(10,MAX(1,ROUND('Ügyfelek'!AB50,0)))))</f>
        <v/>
      </c>
      <c r="AC50">
        <f>IF($A50="","",IF('Ügyfelek'!AC50="",'Beállítások'!$B$84,MIN(10,MAX(1,ROUND('Ügyfelek'!AC50,0)))))</f>
        <v/>
      </c>
      <c r="AD50">
        <f>IF($A50="","",IF('Ügyfelek'!AD50="",'Beállítások'!$B$84,MIN(10,MAX(1,ROUND('Ügyfelek'!AD50,0)))))</f>
        <v/>
      </c>
      <c r="AE50">
        <f>IF($A50="","",IF('Ügyfelek'!AE50="",'Beállítások'!$B$84,MIN(10,MAX(1,ROUND('Ügyfelek'!AE50,0)))))</f>
        <v/>
      </c>
      <c r="AF50">
        <f>IF($A50="","",IF('Ügyfelek'!AF50="",'Beállítások'!$B$84,MIN(10,MAX(1,ROUND('Ügyfelek'!AF50,0)))))</f>
        <v/>
      </c>
      <c r="AG50">
        <f>IF($A50="","",IF('Ügyfelek'!AG50="",'Beállítások'!$B$84,MIN(10,MAX(1,ROUND('Ügyfelek'!AG50,0)))))</f>
        <v/>
      </c>
      <c r="AH50">
        <f>IF($A50="","",IF('Ügyfelek'!AH50="",'Beállítások'!$B$84,IFERROR(VLOOKUP(TRIM('Ügyfelek'!AH50),'Beállítások'!$A$73:$B$79,2,FALSE),'Beállítások'!$B$84)))</f>
        <v/>
      </c>
      <c r="AI50" s="23">
        <f>IF($A50="","",ROUND(100*('Beállítások'!$E$6*(B50-1)+'Beállítások'!$E$7*(C50-1))/(9*'Beállítások'!$B$43),1))</f>
        <v/>
      </c>
      <c r="AJ50" s="23">
        <f>IF($A50="","",ROUND(100*('Beállítások'!$E$8*(D50-1)+'Beállítások'!$E$9*(E50-1)+'Beállítások'!$E$10*(F50-1)+'Beállítások'!$E$11*(G50-1)+'Beállítások'!$E$12*(H50-1)+'Beállítások'!$E$13*(I50-1)+'Beállítások'!$E$14*(J50-1)+'Beállítások'!$E$15*(K50-1)+'Beállítások'!$E$16*(L50-1)+'Beállítások'!$E$17*(M50-1)+'Beállítások'!$E$18*(N50-1)+'Beállítások'!$E$19*(O50-1)+'Beállítások'!$E$20*(P50-1)+'Beállítások'!$E$21*(Q50-1)+'Beállítások'!$E$22*(R50-1))/(9*'Beállítások'!$B$44),1))</f>
        <v/>
      </c>
      <c r="AK50" s="23">
        <f>IF($A50="","",ROUND(100*('Beállítások'!$E$23*(S50-1)+'Beállítások'!$E$24*(T50-1)+'Beállítások'!$E$25*(U50-1)+'Beállítások'!$E$26*(V50-1)+'Beállítások'!$E$27*(W50-1)+'Beállítások'!$E$28*(X50-1)+'Beállítások'!$E$29*(Y50-1))/(9*'Beállítások'!$B$45),1))</f>
        <v/>
      </c>
      <c r="AL50" s="23">
        <f>IF($A50="","",ROUND(100*('Beállítások'!$E$30*(Z50-1)+'Beállítások'!$E$31*(AA50-1)+'Beállítások'!$E$32*(AB50-1)+'Beállítások'!$E$33*(AC50-1)+'Beállítások'!$E$34*(AD50-1)+'Beállítások'!$E$35*(AE50-1)+'Beállítások'!$E$36*(AF50-1)+'Beállítások'!$E$37*(AG50-1)+'Beállítások'!$E$38*(AH50-1))/(9*'Beállítások'!$B$46),1))</f>
        <v/>
      </c>
      <c r="AM50" s="23">
        <f>IF($A50="","",ROUND(100*('Beállítások'!$E$6*(B50-1)+'Beállítások'!$E$7*(C50-1)+'Beállítások'!$E$8*(D50-1)+'Beállítások'!$E$9*(E50-1)+'Beállítások'!$E$10*(F50-1)+'Beállítások'!$E$11*(G50-1)+'Beállítások'!$E$12*(H50-1)+'Beállítások'!$E$13*(I50-1)+'Beállítások'!$E$14*(J50-1)+'Beállítások'!$E$15*(K50-1)+'Beállítások'!$E$16*(L50-1)+'Beállítások'!$E$17*(M50-1)+'Beállítások'!$E$18*(N50-1)+'Beállítások'!$E$19*(O50-1)+'Beállítások'!$E$20*(P50-1)+'Beállítások'!$E$21*(Q50-1)+'Beállítások'!$E$22*(R50-1)+'Beállítások'!$E$23*(S50-1)+'Beállítások'!$E$24*(T50-1)+'Beállítások'!$E$25*(U50-1)+'Beállítások'!$E$26*(V50-1)+'Beállítások'!$E$27*(W50-1)+'Beállítások'!$E$28*(X50-1)+'Beállítások'!$E$29*(Y50-1)+'Beállítások'!$E$30*(Z50-1)+'Beállítások'!$E$31*(AA50-1)+'Beállítások'!$E$32*(AB50-1)+'Beállítások'!$E$33*(AC50-1)+'Beállítások'!$E$34*(AD50-1)+'Beállítások'!$E$35*(AE50-1)+'Beállítások'!$E$36*(AF50-1)+'Beállítások'!$E$37*(AG50-1)+'Beállítások'!$E$38*(AH50-1))/(9*'Beállítások'!$E$39),1))</f>
        <v/>
      </c>
      <c r="AN50" s="23">
        <f>IF($A50="","",ROUND(100*('Beállítások'!$E$8*(D50-1)+'Beállítások'!$E$9*(E50-1)+'Beállítások'!$E$10*(F50-1)+'Beállítások'!$E$11*(G50-1)+'Beállítások'!$E$12*(H50-1)+'Beállítások'!$E$13*(I50-1)+'Beállítások'!$E$14*(J50-1)+'Beállítások'!$E$15*(K50-1)+'Beállítások'!$E$16*(L50-1)+'Beállítások'!$E$17*(M50-1)+'Beállítások'!$E$18*(N50-1)+'Beállítások'!$E$19*(O50-1)+'Beállítások'!$E$20*(P50-1)+'Beállítások'!$E$21*(Q50-1)+'Beállítások'!$E$22*(R50-1)+'Beállítások'!$E$23*(S50-1)+'Beállítások'!$E$24*(T50-1)+'Beállítások'!$E$25*(U50-1)+'Beállítások'!$E$26*(V50-1)+'Beállítások'!$E$27*(W50-1)+'Beállítások'!$E$28*(X50-1)+'Beállítások'!$E$29*(Y50-1))/(9*('Beállítások'!$B$44+'Beállítások'!$B$45)),1))</f>
        <v/>
      </c>
      <c r="AO50" s="24">
        <f>IF($A50="","",RANK(AM50,$AM$2:$AM$201))</f>
        <v/>
      </c>
      <c r="AP50">
        <f>IF($A50="","",IF(OR(AND('Ügyfelek'!B50&lt;&gt;"",B50&lt;='Beállítások'!$B$85),AND('Ügyfelek'!C50&lt;&gt;"",C50&lt;='Beállítások'!$B$86)),"Igen","Nem"))</f>
        <v/>
      </c>
      <c r="AQ50" s="24">
        <f>IF($A50="","",IF(AP50="Igen",5,IF(AN50&gt;='Beállítások'!$C$108,1,IF(AN50&gt;='Beállítások'!$C$109,2,IF(AN50&gt;='Beállítások'!$C$110,3,IF(AND(AN50&gt;='Beállítások'!$B$87,AI50&gt;='Beállítások'!$B$88,AL50&gt;='Beállítások'!$B$89),4,5))))))</f>
        <v/>
      </c>
      <c r="AR50">
        <f>IF($A50="","",INDEX('Beállítások'!$B$108:$B$112,AQ50))</f>
        <v/>
      </c>
      <c r="AS50">
        <f>IF($A50="","",IF(AQ50=5,"Elutasítjuk",IF(AND(AQ50=4,COUNTIFS('Eredmény'!$AQ$2:$AQ$201,4,'Eredmény'!$DY$2:$DY$201,"&gt;"&amp;DY50)&gt;='Beállítások'!$B$90),"Várólista (a 4-es hely foglalt)","Elfogadjuk")))</f>
        <v/>
      </c>
      <c r="AT50">
        <f>IF($A50="","",INDEX('Beállítások'!$F$108:$F$112,AQ50))</f>
        <v/>
      </c>
      <c r="AU50">
        <f>IF($A50="","",INDEX('Beállítások'!$B$6:$B$38,MATCH(MAX(BK50:CQ50),BK50:CQ50,0)))</f>
        <v/>
      </c>
      <c r="AV50">
        <f>IF($A50="","",IF(MAX(CR50:DX50)=0,"—",INDEX('Beállítások'!$B$6:$B$38,MATCH(MAX(CR50:DX50),CR50:DX50,0))))</f>
        <v/>
      </c>
      <c r="AW50" s="10">
        <f>IF($A50="","",'Beállítások'!$B$94*(TRIM('Ügyfelek'!AI50)="igen")+'Beállítások'!$B$95*(TRIM('Ügyfelek'!AJ50)="igen")+'Beállítások'!$B$96*N('Ügyfelek'!AK50)+'Beállítások'!$B$93*N('Ügyfelek'!AL50))</f>
        <v/>
      </c>
      <c r="AX50" s="25">
        <f>IF(OR($A50="",AQ50=5),"",INDEX('Beállítások'!$D$108:$D$112,AQ50))</f>
        <v/>
      </c>
      <c r="AY50" s="10">
        <f>IF($A50="","",N('Ügyfelek'!U50)*'Beállítások'!$B$98)</f>
        <v/>
      </c>
      <c r="AZ50" s="10">
        <f>IF(OR($A50="",AQ50=5),"",CEILING(ROUND(MAX('Beállítások'!$B$97,AW50*AX50,AY50),2),'Beállítások'!$B$99))</f>
        <v/>
      </c>
      <c r="BA50">
        <f>IF($A50="","",IF(AQ50=5,"Elutasítva",IF(MAX('Beállítások'!$B$97,AW50*AX50,AY50)=AW50*AX50,"Munkaigény × státuszszorzó",IF(MAX('Beállítások'!$B$97,AW50*AX50,AY50)=AY50,"Hirdetési keret arányában","Minimumdíj"))))</f>
        <v/>
      </c>
      <c r="BB50" s="10">
        <f>IF(OR($A50="",'Ügyfelek'!AM50=""),"",'Ügyfelek'!AM50)</f>
        <v/>
      </c>
      <c r="BC50" s="10">
        <f>IF(OR(BB50="",AZ50=""),"",AZ50-BB50)</f>
        <v/>
      </c>
      <c r="BD50" s="18">
        <f>IF(OR(BB50="",AZ50="",BB50=0),"",BC50/BB50)</f>
        <v/>
      </c>
      <c r="BE50">
        <f>IF(OR($A50="",AQ50=5),"",IF(AND(INDEX('Beállítások'!$E$108:$E$112,AQ50)&gt;0,Y50&gt;='Beállítások'!$B$91),"Igen","Nem"))</f>
        <v/>
      </c>
      <c r="BF50" s="10">
        <f>IF(BE50="Igen",CEILING(ROUND(AZ50*(1-'Beállítások'!$B$92),2),'Beállítások'!$B$99),"")</f>
        <v/>
      </c>
      <c r="BG50" s="20">
        <f>IF(BE50="Igen",INDEX('Beállítások'!$E$108:$E$112,AQ50),"")</f>
        <v/>
      </c>
      <c r="BH50" s="10">
        <f>IF(OR(BE50&lt;&gt;"Igen",'Ügyfelek'!AN50=""),"",'Ügyfelek'!AN50*BG50)</f>
        <v/>
      </c>
      <c r="BI50" s="24">
        <f>IF($A50="","",('Ügyfelek'!B50="")+('Ügyfelek'!C50="")+('Ügyfelek'!D50="")+('Ügyfelek'!E50="")+('Ügyfelek'!F50="")+('Ügyfelek'!G50="")+('Ügyfelek'!H50="")+('Ügyfelek'!I50="")+('Ügyfelek'!J50="")+('Ügyfelek'!K50="")+('Ügyfelek'!L50="")+('Ügyfelek'!M50="")+('Ügyfelek'!N50="")+('Ügyfelek'!O50="")+('Ügyfelek'!P50="")+('Ügyfelek'!Q50="")+('Ügyfelek'!R50="")+('Ügyfelek'!S50="")+('Ügyfelek'!T50="")+('Ügyfelek'!U50="")+('Ügyfelek'!V50="")+('Ügyfelek'!W50="")+('Ügyfelek'!X50="")+('Ügyfelek'!Y50="")+('Ügyfelek'!Z50="")+('Ügyfelek'!AA50="")+('Ügyfelek'!AB50="")+('Ügyfelek'!AC50="")+('Ügyfelek'!AD50="")+('Ügyfelek'!AE50="")+('Ügyfelek'!AF50="")+('Ügyfelek'!AG50="")+('Ügyfelek'!AH50=""))</f>
        <v/>
      </c>
      <c r="BK50">
        <f>IF($A50="","",B50+'Beállítások'!$E$6/1000)</f>
        <v/>
      </c>
      <c r="BL50">
        <f>IF($A50="","",C50+'Beállítások'!$E$7/1000)</f>
        <v/>
      </c>
      <c r="BM50">
        <f>IF($A50="","",D50+'Beállítások'!$E$8/1000)</f>
        <v/>
      </c>
      <c r="BN50">
        <f>IF($A50="","",E50+'Beállítások'!$E$9/1000)</f>
        <v/>
      </c>
      <c r="BO50">
        <f>IF($A50="","",F50+'Beállítások'!$E$10/1000)</f>
        <v/>
      </c>
      <c r="BP50">
        <f>IF($A50="","",G50+'Beállítások'!$E$11/1000)</f>
        <v/>
      </c>
      <c r="BQ50">
        <f>IF($A50="","",H50+'Beállítások'!$E$12/1000)</f>
        <v/>
      </c>
      <c r="BR50">
        <f>IF($A50="","",I50+'Beállítások'!$E$13/1000)</f>
        <v/>
      </c>
      <c r="BS50">
        <f>IF($A50="","",J50+'Beállítások'!$E$14/1000)</f>
        <v/>
      </c>
      <c r="BT50">
        <f>IF($A50="","",K50+'Beállítások'!$E$15/1000)</f>
        <v/>
      </c>
      <c r="BU50">
        <f>IF($A50="","",L50+'Beállítások'!$E$16/1000)</f>
        <v/>
      </c>
      <c r="BV50">
        <f>IF($A50="","",M50+'Beállítások'!$E$17/1000)</f>
        <v/>
      </c>
      <c r="BW50">
        <f>IF($A50="","",N50+'Beállítások'!$E$18/1000)</f>
        <v/>
      </c>
      <c r="BX50">
        <f>IF($A50="","",O50+'Beállítások'!$E$19/1000)</f>
        <v/>
      </c>
      <c r="BY50">
        <f>IF($A50="","",P50+'Beállítások'!$E$20/1000)</f>
        <v/>
      </c>
      <c r="BZ50">
        <f>IF($A50="","",Q50+'Beállítások'!$E$21/1000)</f>
        <v/>
      </c>
      <c r="CA50">
        <f>IF($A50="","",R50+'Beállítások'!$E$22/1000)</f>
        <v/>
      </c>
      <c r="CB50">
        <f>IF($A50="","",S50+'Beállítások'!$E$23/1000)</f>
        <v/>
      </c>
      <c r="CC50">
        <f>IF($A50="","",T50+'Beállítások'!$E$24/1000)</f>
        <v/>
      </c>
      <c r="CD50">
        <f>IF($A50="","",U50+'Beállítások'!$E$25/1000)</f>
        <v/>
      </c>
      <c r="CE50">
        <f>IF($A50="","",V50+'Beállítások'!$E$26/1000)</f>
        <v/>
      </c>
      <c r="CF50">
        <f>IF($A50="","",W50+'Beállítások'!$E$27/1000)</f>
        <v/>
      </c>
      <c r="CG50">
        <f>IF($A50="","",X50+'Beállítások'!$E$28/1000)</f>
        <v/>
      </c>
      <c r="CH50">
        <f>IF($A50="","",Y50+'Beállítások'!$E$29/1000)</f>
        <v/>
      </c>
      <c r="CI50">
        <f>IF($A50="","",Z50+'Beállítások'!$E$30/1000)</f>
        <v/>
      </c>
      <c r="CJ50">
        <f>IF($A50="","",AA50+'Beállítások'!$E$31/1000)</f>
        <v/>
      </c>
      <c r="CK50">
        <f>IF($A50="","",AB50+'Beállítások'!$E$32/1000)</f>
        <v/>
      </c>
      <c r="CL50">
        <f>IF($A50="","",AC50+'Beállítások'!$E$33/1000)</f>
        <v/>
      </c>
      <c r="CM50">
        <f>IF($A50="","",AD50+'Beállítások'!$E$34/1000)</f>
        <v/>
      </c>
      <c r="CN50">
        <f>IF($A50="","",AE50+'Beállítások'!$E$35/1000)</f>
        <v/>
      </c>
      <c r="CO50">
        <f>IF($A50="","",AF50+'Beállítások'!$E$36/1000)</f>
        <v/>
      </c>
      <c r="CP50">
        <f>IF($A50="","",AG50+'Beállítások'!$E$37/1000)</f>
        <v/>
      </c>
      <c r="CQ50">
        <f>IF($A50="","",AH50+'Beállítások'!$E$38/1000)</f>
        <v/>
      </c>
      <c r="CR50">
        <f>IF($A50="","",'Beállítások'!$E$6*(10-B50))</f>
        <v/>
      </c>
      <c r="CS50">
        <f>IF($A50="","",'Beállítások'!$E$7*(10-C50))</f>
        <v/>
      </c>
      <c r="CT50">
        <f>IF($A50="","",'Beállítások'!$E$8*(10-D50))</f>
        <v/>
      </c>
      <c r="CU50">
        <f>IF($A50="","",'Beállítások'!$E$9*(10-E50))</f>
        <v/>
      </c>
      <c r="CV50">
        <f>IF($A50="","",'Beállítások'!$E$10*(10-F50))</f>
        <v/>
      </c>
      <c r="CW50">
        <f>IF($A50="","",'Beállítások'!$E$11*(10-G50))</f>
        <v/>
      </c>
      <c r="CX50">
        <f>IF($A50="","",'Beállítások'!$E$12*(10-H50))</f>
        <v/>
      </c>
      <c r="CY50">
        <f>IF($A50="","",'Beállítások'!$E$13*(10-I50))</f>
        <v/>
      </c>
      <c r="CZ50">
        <f>IF($A50="","",'Beállítások'!$E$14*(10-J50))</f>
        <v/>
      </c>
      <c r="DA50">
        <f>IF($A50="","",'Beállítások'!$E$15*(10-K50))</f>
        <v/>
      </c>
      <c r="DB50">
        <f>IF($A50="","",'Beállítások'!$E$16*(10-L50))</f>
        <v/>
      </c>
      <c r="DC50">
        <f>IF($A50="","",'Beállítások'!$E$17*(10-M50))</f>
        <v/>
      </c>
      <c r="DD50">
        <f>IF($A50="","",'Beállítások'!$E$18*(10-N50))</f>
        <v/>
      </c>
      <c r="DE50">
        <f>IF($A50="","",'Beállítások'!$E$19*(10-O50))</f>
        <v/>
      </c>
      <c r="DF50">
        <f>IF($A50="","",'Beállítások'!$E$20*(10-P50))</f>
        <v/>
      </c>
      <c r="DG50">
        <f>IF($A50="","",'Beállítások'!$E$21*(10-Q50))</f>
        <v/>
      </c>
      <c r="DH50">
        <f>IF($A50="","",'Beállítások'!$E$22*(10-R50))</f>
        <v/>
      </c>
      <c r="DI50">
        <f>IF($A50="","",'Beállítások'!$E$23*(10-S50))</f>
        <v/>
      </c>
      <c r="DJ50">
        <f>IF($A50="","",'Beállítások'!$E$24*(10-T50))</f>
        <v/>
      </c>
      <c r="DK50">
        <f>IF($A50="","",'Beállítások'!$E$25*(10-U50))</f>
        <v/>
      </c>
      <c r="DL50">
        <f>IF($A50="","",'Beállítások'!$E$26*(10-V50))</f>
        <v/>
      </c>
      <c r="DM50">
        <f>IF($A50="","",'Beállítások'!$E$27*(10-W50))</f>
        <v/>
      </c>
      <c r="DN50">
        <f>IF($A50="","",'Beállítások'!$E$28*(10-X50))</f>
        <v/>
      </c>
      <c r="DO50">
        <f>IF($A50="","",'Beállítások'!$E$29*(10-Y50))</f>
        <v/>
      </c>
      <c r="DP50">
        <f>IF($A50="","",'Beállítások'!$E$30*(10-Z50))</f>
        <v/>
      </c>
      <c r="DQ50">
        <f>IF($A50="","",'Beállítások'!$E$31*(10-AA50))</f>
        <v/>
      </c>
      <c r="DR50">
        <f>IF($A50="","",'Beállítások'!$E$32*(10-AB50))</f>
        <v/>
      </c>
      <c r="DS50">
        <f>IF($A50="","",'Beállítások'!$E$33*(10-AC50))</f>
        <v/>
      </c>
      <c r="DT50">
        <f>IF($A50="","",'Beállítások'!$E$34*(10-AD50))</f>
        <v/>
      </c>
      <c r="DU50">
        <f>IF($A50="","",'Beállítások'!$E$35*(10-AE50))</f>
        <v/>
      </c>
      <c r="DV50">
        <f>IF($A50="","",'Beállítások'!$E$36*(10-AF50))</f>
        <v/>
      </c>
      <c r="DW50">
        <f>IF($A50="","",'Beállítások'!$E$37*(10-AG50))</f>
        <v/>
      </c>
      <c r="DX50">
        <f>IF($A50="","",'Beállítások'!$E$38*(10-AH50))</f>
        <v/>
      </c>
      <c r="DY50">
        <f>IF($A50="","",AM50-ROW()/100000)</f>
        <v/>
      </c>
    </row>
    <row r="51">
      <c r="A51">
        <f>IF('Ügyfelek'!A51="","",'Ügyfelek'!A51)</f>
        <v/>
      </c>
      <c r="B51">
        <f>IF($A51="","",IF('Ügyfelek'!B51="",'Beállítások'!$B$84,IFERROR(VLOOKUP(TRIM('Ügyfelek'!B51),'Beállítások'!$A$51:$B$59,2,FALSE),'Beállítások'!$B$84)))</f>
        <v/>
      </c>
      <c r="C51">
        <f>IF($A51="","",IF('Ügyfelek'!C51="",'Beállítások'!$B$84,MIN(10,MAX(1,ROUND('Ügyfelek'!C51,0)))))</f>
        <v/>
      </c>
      <c r="D51">
        <f>IF($A51="","",IF('Ügyfelek'!D51="",'Beállítások'!$B$84,MIN(10,MAX(1,ROUND('Ügyfelek'!D51,0)))))</f>
        <v/>
      </c>
      <c r="E51">
        <f>IF($A51="","",IF('Ügyfelek'!E51="",'Beállítások'!$B$84,MIN(10,MAX(1,ROUND('Ügyfelek'!E51,0)))))</f>
        <v/>
      </c>
      <c r="F51">
        <f>IF($A51="","",IF('Ügyfelek'!F51="",'Beállítások'!$B$84,MIN(10,MAX(1,ROUND('Ügyfelek'!F51,0)))))</f>
        <v/>
      </c>
      <c r="G51">
        <f>IF($A51="","",IF('Ügyfelek'!G51="",'Beállítások'!$B$84,MIN(10,MAX(1,ROUND('Ügyfelek'!G51,0)))))</f>
        <v/>
      </c>
      <c r="H51">
        <f>IF($A51="","",IF('Ügyfelek'!H51="",'Beállítások'!$B$84,MIN(10,MAX(1,ROUND('Ügyfelek'!H51,0)))))</f>
        <v/>
      </c>
      <c r="I51">
        <f>IF($A51="","",IF('Ügyfelek'!I51="",'Beállítások'!$B$84,MIN(10,MAX(1,ROUND('Ügyfelek'!I51,0)))))</f>
        <v/>
      </c>
      <c r="J51">
        <f>IF($A51="","",IF('Ügyfelek'!J51="",'Beállítások'!$B$84,MIN(10,MAX(1,ROUND('Ügyfelek'!J51,0)))))</f>
        <v/>
      </c>
      <c r="K51">
        <f>IF($A51="","",IF('Ügyfelek'!K51="",'Beállítások'!$B$84,MIN(10,MAX(1,ROUND('Ügyfelek'!K51,0)))))</f>
        <v/>
      </c>
      <c r="L51">
        <f>IF($A51="","",IF('Ügyfelek'!L51="",'Beállítások'!$B$84,MIN(10,MAX(1,ROUND('Ügyfelek'!L51,0)))))</f>
        <v/>
      </c>
      <c r="M51">
        <f>IF($A51="","",IF('Ügyfelek'!M51="",'Beállítások'!$B$84,MIN(10,MAX(1,ROUND('Ügyfelek'!M51,0)))))</f>
        <v/>
      </c>
      <c r="N51">
        <f>IF($A51="","",IF('Ügyfelek'!N51="",'Beállítások'!$B$84,MIN(10,MAX(1,ROUND('Ügyfelek'!N51,0)))))</f>
        <v/>
      </c>
      <c r="O51">
        <f>IF($A51="","",IF('Ügyfelek'!O51="",'Beállítások'!$B$84,MIN(10,MAX(1,ROUND('Ügyfelek'!O51,0)))))</f>
        <v/>
      </c>
      <c r="P51">
        <f>IF($A51="","",IF('Ügyfelek'!P51="",'Beállítások'!$B$84,MIN(10,MAX(1,ROUND('Ügyfelek'!P51,0)))))</f>
        <v/>
      </c>
      <c r="Q51">
        <f>IF($A51="","",IF('Ügyfelek'!Q51="",'Beállítások'!$B$84,MIN(10,MAX(1,ROUND('Ügyfelek'!Q51,0)))))</f>
        <v/>
      </c>
      <c r="R51">
        <f>IF($A51="","",IF('Ügyfelek'!R51="",'Beállítások'!$B$84,MIN(10,MAX(1,ROUND('Ügyfelek'!R51,0)))))</f>
        <v/>
      </c>
      <c r="S51">
        <f>IF($A51="","",IF('Ügyfelek'!S51="",'Beállítások'!$B$84,MIN(10,MAX(1,ROUND('Ügyfelek'!S51,0)))))</f>
        <v/>
      </c>
      <c r="T51">
        <f>IF($A51="","",IF('Ügyfelek'!T51="",'Beállítások'!$B$84,VLOOKUP(MAX('Ügyfelek'!T51,'Beállítások'!$H$7),'Beállítások'!$H$7:$I$12,2,TRUE)))</f>
        <v/>
      </c>
      <c r="U51">
        <f>IF($A51="","",IF('Ügyfelek'!U51="",'Beállítások'!$B$84,VLOOKUP(MAX('Ügyfelek'!U51,'Beállítások'!$K$7),'Beállítások'!$K$7:$L$12,2,TRUE)))</f>
        <v/>
      </c>
      <c r="V51">
        <f>IF($A51="","",IF('Ügyfelek'!V51="",'Beállítások'!$B$84,MIN(10,MAX(1,ROUND('Ügyfelek'!V51,0)))))</f>
        <v/>
      </c>
      <c r="W51">
        <f>IF($A51="","",IF('Ügyfelek'!W51="",'Beállítások'!$B$84,VLOOKUP(MAX('Ügyfelek'!W51,'Beállítások'!$N$7),'Beállítások'!$N$7:$O$12,2,TRUE)))</f>
        <v/>
      </c>
      <c r="X51">
        <f>IF($A51="","",IF('Ügyfelek'!X51="",'Beállítások'!$B$84,MIN(10,MAX(1,ROUND('Ügyfelek'!X51,0)))))</f>
        <v/>
      </c>
      <c r="Y51">
        <f>IF($A51="","",IF('Ügyfelek'!Y51="",'Beállítások'!$B$84,IFERROR(VLOOKUP(TRIM('Ügyfelek'!Y51),'Beállítások'!$A$63:$B$69,2,FALSE),'Beállítások'!$B$84)))</f>
        <v/>
      </c>
      <c r="Z51">
        <f>IF($A51="","",IF('Ügyfelek'!Z51="",'Beállítások'!$B$84,VLOOKUP(MAX('Ügyfelek'!Z51,'Beállítások'!$Q$7),'Beállítások'!$Q$7:$R$12,2,TRUE)))</f>
        <v/>
      </c>
      <c r="AA51">
        <f>IF($A51="","",IF('Ügyfelek'!AA51="",'Beállítások'!$B$84,VLOOKUP(MAX('Ügyfelek'!AA51,'Beállítások'!$T$7),'Beállítások'!$T$7:$U$12,2,TRUE)))</f>
        <v/>
      </c>
      <c r="AB51">
        <f>IF($A51="","",IF('Ügyfelek'!AB51="",'Beállítások'!$B$84,MIN(10,MAX(1,ROUND('Ügyfelek'!AB51,0)))))</f>
        <v/>
      </c>
      <c r="AC51">
        <f>IF($A51="","",IF('Ügyfelek'!AC51="",'Beállítások'!$B$84,MIN(10,MAX(1,ROUND('Ügyfelek'!AC51,0)))))</f>
        <v/>
      </c>
      <c r="AD51">
        <f>IF($A51="","",IF('Ügyfelek'!AD51="",'Beállítások'!$B$84,MIN(10,MAX(1,ROUND('Ügyfelek'!AD51,0)))))</f>
        <v/>
      </c>
      <c r="AE51">
        <f>IF($A51="","",IF('Ügyfelek'!AE51="",'Beállítások'!$B$84,MIN(10,MAX(1,ROUND('Ügyfelek'!AE51,0)))))</f>
        <v/>
      </c>
      <c r="AF51">
        <f>IF($A51="","",IF('Ügyfelek'!AF51="",'Beállítások'!$B$84,MIN(10,MAX(1,ROUND('Ügyfelek'!AF51,0)))))</f>
        <v/>
      </c>
      <c r="AG51">
        <f>IF($A51="","",IF('Ügyfelek'!AG51="",'Beállítások'!$B$84,MIN(10,MAX(1,ROUND('Ügyfelek'!AG51,0)))))</f>
        <v/>
      </c>
      <c r="AH51">
        <f>IF($A51="","",IF('Ügyfelek'!AH51="",'Beállítások'!$B$84,IFERROR(VLOOKUP(TRIM('Ügyfelek'!AH51),'Beállítások'!$A$73:$B$79,2,FALSE),'Beállítások'!$B$84)))</f>
        <v/>
      </c>
      <c r="AI51" s="23">
        <f>IF($A51="","",ROUND(100*('Beállítások'!$E$6*(B51-1)+'Beállítások'!$E$7*(C51-1))/(9*'Beállítások'!$B$43),1))</f>
        <v/>
      </c>
      <c r="AJ51" s="23">
        <f>IF($A51="","",ROUND(100*('Beállítások'!$E$8*(D51-1)+'Beállítások'!$E$9*(E51-1)+'Beállítások'!$E$10*(F51-1)+'Beállítások'!$E$11*(G51-1)+'Beállítások'!$E$12*(H51-1)+'Beállítások'!$E$13*(I51-1)+'Beállítások'!$E$14*(J51-1)+'Beállítások'!$E$15*(K51-1)+'Beállítások'!$E$16*(L51-1)+'Beállítások'!$E$17*(M51-1)+'Beállítások'!$E$18*(N51-1)+'Beállítások'!$E$19*(O51-1)+'Beállítások'!$E$20*(P51-1)+'Beállítások'!$E$21*(Q51-1)+'Beállítások'!$E$22*(R51-1))/(9*'Beállítások'!$B$44),1))</f>
        <v/>
      </c>
      <c r="AK51" s="23">
        <f>IF($A51="","",ROUND(100*('Beállítások'!$E$23*(S51-1)+'Beállítások'!$E$24*(T51-1)+'Beállítások'!$E$25*(U51-1)+'Beállítások'!$E$26*(V51-1)+'Beállítások'!$E$27*(W51-1)+'Beállítások'!$E$28*(X51-1)+'Beállítások'!$E$29*(Y51-1))/(9*'Beállítások'!$B$45),1))</f>
        <v/>
      </c>
      <c r="AL51" s="23">
        <f>IF($A51="","",ROUND(100*('Beállítások'!$E$30*(Z51-1)+'Beállítások'!$E$31*(AA51-1)+'Beállítások'!$E$32*(AB51-1)+'Beállítások'!$E$33*(AC51-1)+'Beállítások'!$E$34*(AD51-1)+'Beállítások'!$E$35*(AE51-1)+'Beállítások'!$E$36*(AF51-1)+'Beállítások'!$E$37*(AG51-1)+'Beállítások'!$E$38*(AH51-1))/(9*'Beállítások'!$B$46),1))</f>
        <v/>
      </c>
      <c r="AM51" s="23">
        <f>IF($A51="","",ROUND(100*('Beállítások'!$E$6*(B51-1)+'Beállítások'!$E$7*(C51-1)+'Beállítások'!$E$8*(D51-1)+'Beállítások'!$E$9*(E51-1)+'Beállítások'!$E$10*(F51-1)+'Beállítások'!$E$11*(G51-1)+'Beállítások'!$E$12*(H51-1)+'Beállítások'!$E$13*(I51-1)+'Beállítások'!$E$14*(J51-1)+'Beállítások'!$E$15*(K51-1)+'Beállítások'!$E$16*(L51-1)+'Beállítások'!$E$17*(M51-1)+'Beállítások'!$E$18*(N51-1)+'Beállítások'!$E$19*(O51-1)+'Beállítások'!$E$20*(P51-1)+'Beállítások'!$E$21*(Q51-1)+'Beállítások'!$E$22*(R51-1)+'Beállítások'!$E$23*(S51-1)+'Beállítások'!$E$24*(T51-1)+'Beállítások'!$E$25*(U51-1)+'Beállítások'!$E$26*(V51-1)+'Beállítások'!$E$27*(W51-1)+'Beállítások'!$E$28*(X51-1)+'Beállítások'!$E$29*(Y51-1)+'Beállítások'!$E$30*(Z51-1)+'Beállítások'!$E$31*(AA51-1)+'Beállítások'!$E$32*(AB51-1)+'Beállítások'!$E$33*(AC51-1)+'Beállítások'!$E$34*(AD51-1)+'Beállítások'!$E$35*(AE51-1)+'Beállítások'!$E$36*(AF51-1)+'Beállítások'!$E$37*(AG51-1)+'Beállítások'!$E$38*(AH51-1))/(9*'Beállítások'!$E$39),1))</f>
        <v/>
      </c>
      <c r="AN51" s="23">
        <f>IF($A51="","",ROUND(100*('Beállítások'!$E$8*(D51-1)+'Beállítások'!$E$9*(E51-1)+'Beállítások'!$E$10*(F51-1)+'Beállítások'!$E$11*(G51-1)+'Beállítások'!$E$12*(H51-1)+'Beállítások'!$E$13*(I51-1)+'Beállítások'!$E$14*(J51-1)+'Beállítások'!$E$15*(K51-1)+'Beállítások'!$E$16*(L51-1)+'Beállítások'!$E$17*(M51-1)+'Beállítások'!$E$18*(N51-1)+'Beállítások'!$E$19*(O51-1)+'Beállítások'!$E$20*(P51-1)+'Beállítások'!$E$21*(Q51-1)+'Beállítások'!$E$22*(R51-1)+'Beállítások'!$E$23*(S51-1)+'Beállítások'!$E$24*(T51-1)+'Beállítások'!$E$25*(U51-1)+'Beállítások'!$E$26*(V51-1)+'Beállítások'!$E$27*(W51-1)+'Beállítások'!$E$28*(X51-1)+'Beállítások'!$E$29*(Y51-1))/(9*('Beállítások'!$B$44+'Beállítások'!$B$45)),1))</f>
        <v/>
      </c>
      <c r="AO51" s="24">
        <f>IF($A51="","",RANK(AM51,$AM$2:$AM$201))</f>
        <v/>
      </c>
      <c r="AP51">
        <f>IF($A51="","",IF(OR(AND('Ügyfelek'!B51&lt;&gt;"",B51&lt;='Beállítások'!$B$85),AND('Ügyfelek'!C51&lt;&gt;"",C51&lt;='Beállítások'!$B$86)),"Igen","Nem"))</f>
        <v/>
      </c>
      <c r="AQ51" s="24">
        <f>IF($A51="","",IF(AP51="Igen",5,IF(AN51&gt;='Beállítások'!$C$108,1,IF(AN51&gt;='Beállítások'!$C$109,2,IF(AN51&gt;='Beállítások'!$C$110,3,IF(AND(AN51&gt;='Beállítások'!$B$87,AI51&gt;='Beállítások'!$B$88,AL51&gt;='Beállítások'!$B$89),4,5))))))</f>
        <v/>
      </c>
      <c r="AR51">
        <f>IF($A51="","",INDEX('Beállítások'!$B$108:$B$112,AQ51))</f>
        <v/>
      </c>
      <c r="AS51">
        <f>IF($A51="","",IF(AQ51=5,"Elutasítjuk",IF(AND(AQ51=4,COUNTIFS('Eredmény'!$AQ$2:$AQ$201,4,'Eredmény'!$DY$2:$DY$201,"&gt;"&amp;DY51)&gt;='Beállítások'!$B$90),"Várólista (a 4-es hely foglalt)","Elfogadjuk")))</f>
        <v/>
      </c>
      <c r="AT51">
        <f>IF($A51="","",INDEX('Beállítások'!$F$108:$F$112,AQ51))</f>
        <v/>
      </c>
      <c r="AU51">
        <f>IF($A51="","",INDEX('Beállítások'!$B$6:$B$38,MATCH(MAX(BK51:CQ51),BK51:CQ51,0)))</f>
        <v/>
      </c>
      <c r="AV51">
        <f>IF($A51="","",IF(MAX(CR51:DX51)=0,"—",INDEX('Beállítások'!$B$6:$B$38,MATCH(MAX(CR51:DX51),CR51:DX51,0))))</f>
        <v/>
      </c>
      <c r="AW51" s="10">
        <f>IF($A51="","",'Beállítások'!$B$94*(TRIM('Ügyfelek'!AI51)="igen")+'Beállítások'!$B$95*(TRIM('Ügyfelek'!AJ51)="igen")+'Beállítások'!$B$96*N('Ügyfelek'!AK51)+'Beállítások'!$B$93*N('Ügyfelek'!AL51))</f>
        <v/>
      </c>
      <c r="AX51" s="25">
        <f>IF(OR($A51="",AQ51=5),"",INDEX('Beállítások'!$D$108:$D$112,AQ51))</f>
        <v/>
      </c>
      <c r="AY51" s="10">
        <f>IF($A51="","",N('Ügyfelek'!U51)*'Beállítások'!$B$98)</f>
        <v/>
      </c>
      <c r="AZ51" s="10">
        <f>IF(OR($A51="",AQ51=5),"",CEILING(ROUND(MAX('Beállítások'!$B$97,AW51*AX51,AY51),2),'Beállítások'!$B$99))</f>
        <v/>
      </c>
      <c r="BA51">
        <f>IF($A51="","",IF(AQ51=5,"Elutasítva",IF(MAX('Beállítások'!$B$97,AW51*AX51,AY51)=AW51*AX51,"Munkaigény × státuszszorzó",IF(MAX('Beállítások'!$B$97,AW51*AX51,AY51)=AY51,"Hirdetési keret arányában","Minimumdíj"))))</f>
        <v/>
      </c>
      <c r="BB51" s="10">
        <f>IF(OR($A51="",'Ügyfelek'!AM51=""),"",'Ügyfelek'!AM51)</f>
        <v/>
      </c>
      <c r="BC51" s="10">
        <f>IF(OR(BB51="",AZ51=""),"",AZ51-BB51)</f>
        <v/>
      </c>
      <c r="BD51" s="18">
        <f>IF(OR(BB51="",AZ51="",BB51=0),"",BC51/BB51)</f>
        <v/>
      </c>
      <c r="BE51">
        <f>IF(OR($A51="",AQ51=5),"",IF(AND(INDEX('Beállítások'!$E$108:$E$112,AQ51)&gt;0,Y51&gt;='Beállítások'!$B$91),"Igen","Nem"))</f>
        <v/>
      </c>
      <c r="BF51" s="10">
        <f>IF(BE51="Igen",CEILING(ROUND(AZ51*(1-'Beállítások'!$B$92),2),'Beállítások'!$B$99),"")</f>
        <v/>
      </c>
      <c r="BG51" s="20">
        <f>IF(BE51="Igen",INDEX('Beállítások'!$E$108:$E$112,AQ51),"")</f>
        <v/>
      </c>
      <c r="BH51" s="10">
        <f>IF(OR(BE51&lt;&gt;"Igen",'Ügyfelek'!AN51=""),"",'Ügyfelek'!AN51*BG51)</f>
        <v/>
      </c>
      <c r="BI51" s="24">
        <f>IF($A51="","",('Ügyfelek'!B51="")+('Ügyfelek'!C51="")+('Ügyfelek'!D51="")+('Ügyfelek'!E51="")+('Ügyfelek'!F51="")+('Ügyfelek'!G51="")+('Ügyfelek'!H51="")+('Ügyfelek'!I51="")+('Ügyfelek'!J51="")+('Ügyfelek'!K51="")+('Ügyfelek'!L51="")+('Ügyfelek'!M51="")+('Ügyfelek'!N51="")+('Ügyfelek'!O51="")+('Ügyfelek'!P51="")+('Ügyfelek'!Q51="")+('Ügyfelek'!R51="")+('Ügyfelek'!S51="")+('Ügyfelek'!T51="")+('Ügyfelek'!U51="")+('Ügyfelek'!V51="")+('Ügyfelek'!W51="")+('Ügyfelek'!X51="")+('Ügyfelek'!Y51="")+('Ügyfelek'!Z51="")+('Ügyfelek'!AA51="")+('Ügyfelek'!AB51="")+('Ügyfelek'!AC51="")+('Ügyfelek'!AD51="")+('Ügyfelek'!AE51="")+('Ügyfelek'!AF51="")+('Ügyfelek'!AG51="")+('Ügyfelek'!AH51=""))</f>
        <v/>
      </c>
      <c r="BK51">
        <f>IF($A51="","",B51+'Beállítások'!$E$6/1000)</f>
        <v/>
      </c>
      <c r="BL51">
        <f>IF($A51="","",C51+'Beállítások'!$E$7/1000)</f>
        <v/>
      </c>
      <c r="BM51">
        <f>IF($A51="","",D51+'Beállítások'!$E$8/1000)</f>
        <v/>
      </c>
      <c r="BN51">
        <f>IF($A51="","",E51+'Beállítások'!$E$9/1000)</f>
        <v/>
      </c>
      <c r="BO51">
        <f>IF($A51="","",F51+'Beállítások'!$E$10/1000)</f>
        <v/>
      </c>
      <c r="BP51">
        <f>IF($A51="","",G51+'Beállítások'!$E$11/1000)</f>
        <v/>
      </c>
      <c r="BQ51">
        <f>IF($A51="","",H51+'Beállítások'!$E$12/1000)</f>
        <v/>
      </c>
      <c r="BR51">
        <f>IF($A51="","",I51+'Beállítások'!$E$13/1000)</f>
        <v/>
      </c>
      <c r="BS51">
        <f>IF($A51="","",J51+'Beállítások'!$E$14/1000)</f>
        <v/>
      </c>
      <c r="BT51">
        <f>IF($A51="","",K51+'Beállítások'!$E$15/1000)</f>
        <v/>
      </c>
      <c r="BU51">
        <f>IF($A51="","",L51+'Beállítások'!$E$16/1000)</f>
        <v/>
      </c>
      <c r="BV51">
        <f>IF($A51="","",M51+'Beállítások'!$E$17/1000)</f>
        <v/>
      </c>
      <c r="BW51">
        <f>IF($A51="","",N51+'Beállítások'!$E$18/1000)</f>
        <v/>
      </c>
      <c r="BX51">
        <f>IF($A51="","",O51+'Beállítások'!$E$19/1000)</f>
        <v/>
      </c>
      <c r="BY51">
        <f>IF($A51="","",P51+'Beállítások'!$E$20/1000)</f>
        <v/>
      </c>
      <c r="BZ51">
        <f>IF($A51="","",Q51+'Beállítások'!$E$21/1000)</f>
        <v/>
      </c>
      <c r="CA51">
        <f>IF($A51="","",R51+'Beállítások'!$E$22/1000)</f>
        <v/>
      </c>
      <c r="CB51">
        <f>IF($A51="","",S51+'Beállítások'!$E$23/1000)</f>
        <v/>
      </c>
      <c r="CC51">
        <f>IF($A51="","",T51+'Beállítások'!$E$24/1000)</f>
        <v/>
      </c>
      <c r="CD51">
        <f>IF($A51="","",U51+'Beállítások'!$E$25/1000)</f>
        <v/>
      </c>
      <c r="CE51">
        <f>IF($A51="","",V51+'Beállítások'!$E$26/1000)</f>
        <v/>
      </c>
      <c r="CF51">
        <f>IF($A51="","",W51+'Beállítások'!$E$27/1000)</f>
        <v/>
      </c>
      <c r="CG51">
        <f>IF($A51="","",X51+'Beállítások'!$E$28/1000)</f>
        <v/>
      </c>
      <c r="CH51">
        <f>IF($A51="","",Y51+'Beállítások'!$E$29/1000)</f>
        <v/>
      </c>
      <c r="CI51">
        <f>IF($A51="","",Z51+'Beállítások'!$E$30/1000)</f>
        <v/>
      </c>
      <c r="CJ51">
        <f>IF($A51="","",AA51+'Beállítások'!$E$31/1000)</f>
        <v/>
      </c>
      <c r="CK51">
        <f>IF($A51="","",AB51+'Beállítások'!$E$32/1000)</f>
        <v/>
      </c>
      <c r="CL51">
        <f>IF($A51="","",AC51+'Beállítások'!$E$33/1000)</f>
        <v/>
      </c>
      <c r="CM51">
        <f>IF($A51="","",AD51+'Beállítások'!$E$34/1000)</f>
        <v/>
      </c>
      <c r="CN51">
        <f>IF($A51="","",AE51+'Beállítások'!$E$35/1000)</f>
        <v/>
      </c>
      <c r="CO51">
        <f>IF($A51="","",AF51+'Beállítások'!$E$36/1000)</f>
        <v/>
      </c>
      <c r="CP51">
        <f>IF($A51="","",AG51+'Beállítások'!$E$37/1000)</f>
        <v/>
      </c>
      <c r="CQ51">
        <f>IF($A51="","",AH51+'Beállítások'!$E$38/1000)</f>
        <v/>
      </c>
      <c r="CR51">
        <f>IF($A51="","",'Beállítások'!$E$6*(10-B51))</f>
        <v/>
      </c>
      <c r="CS51">
        <f>IF($A51="","",'Beállítások'!$E$7*(10-C51))</f>
        <v/>
      </c>
      <c r="CT51">
        <f>IF($A51="","",'Beállítások'!$E$8*(10-D51))</f>
        <v/>
      </c>
      <c r="CU51">
        <f>IF($A51="","",'Beállítások'!$E$9*(10-E51))</f>
        <v/>
      </c>
      <c r="CV51">
        <f>IF($A51="","",'Beállítások'!$E$10*(10-F51))</f>
        <v/>
      </c>
      <c r="CW51">
        <f>IF($A51="","",'Beállítások'!$E$11*(10-G51))</f>
        <v/>
      </c>
      <c r="CX51">
        <f>IF($A51="","",'Beállítások'!$E$12*(10-H51))</f>
        <v/>
      </c>
      <c r="CY51">
        <f>IF($A51="","",'Beállítások'!$E$13*(10-I51))</f>
        <v/>
      </c>
      <c r="CZ51">
        <f>IF($A51="","",'Beállítások'!$E$14*(10-J51))</f>
        <v/>
      </c>
      <c r="DA51">
        <f>IF($A51="","",'Beállítások'!$E$15*(10-K51))</f>
        <v/>
      </c>
      <c r="DB51">
        <f>IF($A51="","",'Beállítások'!$E$16*(10-L51))</f>
        <v/>
      </c>
      <c r="DC51">
        <f>IF($A51="","",'Beállítások'!$E$17*(10-M51))</f>
        <v/>
      </c>
      <c r="DD51">
        <f>IF($A51="","",'Beállítások'!$E$18*(10-N51))</f>
        <v/>
      </c>
      <c r="DE51">
        <f>IF($A51="","",'Beállítások'!$E$19*(10-O51))</f>
        <v/>
      </c>
      <c r="DF51">
        <f>IF($A51="","",'Beállítások'!$E$20*(10-P51))</f>
        <v/>
      </c>
      <c r="DG51">
        <f>IF($A51="","",'Beállítások'!$E$21*(10-Q51))</f>
        <v/>
      </c>
      <c r="DH51">
        <f>IF($A51="","",'Beállítások'!$E$22*(10-R51))</f>
        <v/>
      </c>
      <c r="DI51">
        <f>IF($A51="","",'Beállítások'!$E$23*(10-S51))</f>
        <v/>
      </c>
      <c r="DJ51">
        <f>IF($A51="","",'Beállítások'!$E$24*(10-T51))</f>
        <v/>
      </c>
      <c r="DK51">
        <f>IF($A51="","",'Beállítások'!$E$25*(10-U51))</f>
        <v/>
      </c>
      <c r="DL51">
        <f>IF($A51="","",'Beállítások'!$E$26*(10-V51))</f>
        <v/>
      </c>
      <c r="DM51">
        <f>IF($A51="","",'Beállítások'!$E$27*(10-W51))</f>
        <v/>
      </c>
      <c r="DN51">
        <f>IF($A51="","",'Beállítások'!$E$28*(10-X51))</f>
        <v/>
      </c>
      <c r="DO51">
        <f>IF($A51="","",'Beállítások'!$E$29*(10-Y51))</f>
        <v/>
      </c>
      <c r="DP51">
        <f>IF($A51="","",'Beállítások'!$E$30*(10-Z51))</f>
        <v/>
      </c>
      <c r="DQ51">
        <f>IF($A51="","",'Beállítások'!$E$31*(10-AA51))</f>
        <v/>
      </c>
      <c r="DR51">
        <f>IF($A51="","",'Beállítások'!$E$32*(10-AB51))</f>
        <v/>
      </c>
      <c r="DS51">
        <f>IF($A51="","",'Beállítások'!$E$33*(10-AC51))</f>
        <v/>
      </c>
      <c r="DT51">
        <f>IF($A51="","",'Beállítások'!$E$34*(10-AD51))</f>
        <v/>
      </c>
      <c r="DU51">
        <f>IF($A51="","",'Beállítások'!$E$35*(10-AE51))</f>
        <v/>
      </c>
      <c r="DV51">
        <f>IF($A51="","",'Beállítások'!$E$36*(10-AF51))</f>
        <v/>
      </c>
      <c r="DW51">
        <f>IF($A51="","",'Beállítások'!$E$37*(10-AG51))</f>
        <v/>
      </c>
      <c r="DX51">
        <f>IF($A51="","",'Beállítások'!$E$38*(10-AH51))</f>
        <v/>
      </c>
      <c r="DY51">
        <f>IF($A51="","",AM51-ROW()/100000)</f>
        <v/>
      </c>
    </row>
    <row r="52">
      <c r="A52">
        <f>IF('Ügyfelek'!A52="","",'Ügyfelek'!A52)</f>
        <v/>
      </c>
      <c r="B52">
        <f>IF($A52="","",IF('Ügyfelek'!B52="",'Beállítások'!$B$84,IFERROR(VLOOKUP(TRIM('Ügyfelek'!B52),'Beállítások'!$A$51:$B$59,2,FALSE),'Beállítások'!$B$84)))</f>
        <v/>
      </c>
      <c r="C52">
        <f>IF($A52="","",IF('Ügyfelek'!C52="",'Beállítások'!$B$84,MIN(10,MAX(1,ROUND('Ügyfelek'!C52,0)))))</f>
        <v/>
      </c>
      <c r="D52">
        <f>IF($A52="","",IF('Ügyfelek'!D52="",'Beállítások'!$B$84,MIN(10,MAX(1,ROUND('Ügyfelek'!D52,0)))))</f>
        <v/>
      </c>
      <c r="E52">
        <f>IF($A52="","",IF('Ügyfelek'!E52="",'Beállítások'!$B$84,MIN(10,MAX(1,ROUND('Ügyfelek'!E52,0)))))</f>
        <v/>
      </c>
      <c r="F52">
        <f>IF($A52="","",IF('Ügyfelek'!F52="",'Beállítások'!$B$84,MIN(10,MAX(1,ROUND('Ügyfelek'!F52,0)))))</f>
        <v/>
      </c>
      <c r="G52">
        <f>IF($A52="","",IF('Ügyfelek'!G52="",'Beállítások'!$B$84,MIN(10,MAX(1,ROUND('Ügyfelek'!G52,0)))))</f>
        <v/>
      </c>
      <c r="H52">
        <f>IF($A52="","",IF('Ügyfelek'!H52="",'Beállítások'!$B$84,MIN(10,MAX(1,ROUND('Ügyfelek'!H52,0)))))</f>
        <v/>
      </c>
      <c r="I52">
        <f>IF($A52="","",IF('Ügyfelek'!I52="",'Beállítások'!$B$84,MIN(10,MAX(1,ROUND('Ügyfelek'!I52,0)))))</f>
        <v/>
      </c>
      <c r="J52">
        <f>IF($A52="","",IF('Ügyfelek'!J52="",'Beállítások'!$B$84,MIN(10,MAX(1,ROUND('Ügyfelek'!J52,0)))))</f>
        <v/>
      </c>
      <c r="K52">
        <f>IF($A52="","",IF('Ügyfelek'!K52="",'Beállítások'!$B$84,MIN(10,MAX(1,ROUND('Ügyfelek'!K52,0)))))</f>
        <v/>
      </c>
      <c r="L52">
        <f>IF($A52="","",IF('Ügyfelek'!L52="",'Beállítások'!$B$84,MIN(10,MAX(1,ROUND('Ügyfelek'!L52,0)))))</f>
        <v/>
      </c>
      <c r="M52">
        <f>IF($A52="","",IF('Ügyfelek'!M52="",'Beállítások'!$B$84,MIN(10,MAX(1,ROUND('Ügyfelek'!M52,0)))))</f>
        <v/>
      </c>
      <c r="N52">
        <f>IF($A52="","",IF('Ügyfelek'!N52="",'Beállítások'!$B$84,MIN(10,MAX(1,ROUND('Ügyfelek'!N52,0)))))</f>
        <v/>
      </c>
      <c r="O52">
        <f>IF($A52="","",IF('Ügyfelek'!O52="",'Beállítások'!$B$84,MIN(10,MAX(1,ROUND('Ügyfelek'!O52,0)))))</f>
        <v/>
      </c>
      <c r="P52">
        <f>IF($A52="","",IF('Ügyfelek'!P52="",'Beállítások'!$B$84,MIN(10,MAX(1,ROUND('Ügyfelek'!P52,0)))))</f>
        <v/>
      </c>
      <c r="Q52">
        <f>IF($A52="","",IF('Ügyfelek'!Q52="",'Beállítások'!$B$84,MIN(10,MAX(1,ROUND('Ügyfelek'!Q52,0)))))</f>
        <v/>
      </c>
      <c r="R52">
        <f>IF($A52="","",IF('Ügyfelek'!R52="",'Beállítások'!$B$84,MIN(10,MAX(1,ROUND('Ügyfelek'!R52,0)))))</f>
        <v/>
      </c>
      <c r="S52">
        <f>IF($A52="","",IF('Ügyfelek'!S52="",'Beállítások'!$B$84,MIN(10,MAX(1,ROUND('Ügyfelek'!S52,0)))))</f>
        <v/>
      </c>
      <c r="T52">
        <f>IF($A52="","",IF('Ügyfelek'!T52="",'Beállítások'!$B$84,VLOOKUP(MAX('Ügyfelek'!T52,'Beállítások'!$H$7),'Beállítások'!$H$7:$I$12,2,TRUE)))</f>
        <v/>
      </c>
      <c r="U52">
        <f>IF($A52="","",IF('Ügyfelek'!U52="",'Beállítások'!$B$84,VLOOKUP(MAX('Ügyfelek'!U52,'Beállítások'!$K$7),'Beállítások'!$K$7:$L$12,2,TRUE)))</f>
        <v/>
      </c>
      <c r="V52">
        <f>IF($A52="","",IF('Ügyfelek'!V52="",'Beállítások'!$B$84,MIN(10,MAX(1,ROUND('Ügyfelek'!V52,0)))))</f>
        <v/>
      </c>
      <c r="W52">
        <f>IF($A52="","",IF('Ügyfelek'!W52="",'Beállítások'!$B$84,VLOOKUP(MAX('Ügyfelek'!W52,'Beállítások'!$N$7),'Beállítások'!$N$7:$O$12,2,TRUE)))</f>
        <v/>
      </c>
      <c r="X52">
        <f>IF($A52="","",IF('Ügyfelek'!X52="",'Beállítások'!$B$84,MIN(10,MAX(1,ROUND('Ügyfelek'!X52,0)))))</f>
        <v/>
      </c>
      <c r="Y52">
        <f>IF($A52="","",IF('Ügyfelek'!Y52="",'Beállítások'!$B$84,IFERROR(VLOOKUP(TRIM('Ügyfelek'!Y52),'Beállítások'!$A$63:$B$69,2,FALSE),'Beállítások'!$B$84)))</f>
        <v/>
      </c>
      <c r="Z52">
        <f>IF($A52="","",IF('Ügyfelek'!Z52="",'Beállítások'!$B$84,VLOOKUP(MAX('Ügyfelek'!Z52,'Beállítások'!$Q$7),'Beállítások'!$Q$7:$R$12,2,TRUE)))</f>
        <v/>
      </c>
      <c r="AA52">
        <f>IF($A52="","",IF('Ügyfelek'!AA52="",'Beállítások'!$B$84,VLOOKUP(MAX('Ügyfelek'!AA52,'Beállítások'!$T$7),'Beállítások'!$T$7:$U$12,2,TRUE)))</f>
        <v/>
      </c>
      <c r="AB52">
        <f>IF($A52="","",IF('Ügyfelek'!AB52="",'Beállítások'!$B$84,MIN(10,MAX(1,ROUND('Ügyfelek'!AB52,0)))))</f>
        <v/>
      </c>
      <c r="AC52">
        <f>IF($A52="","",IF('Ügyfelek'!AC52="",'Beállítások'!$B$84,MIN(10,MAX(1,ROUND('Ügyfelek'!AC52,0)))))</f>
        <v/>
      </c>
      <c r="AD52">
        <f>IF($A52="","",IF('Ügyfelek'!AD52="",'Beállítások'!$B$84,MIN(10,MAX(1,ROUND('Ügyfelek'!AD52,0)))))</f>
        <v/>
      </c>
      <c r="AE52">
        <f>IF($A52="","",IF('Ügyfelek'!AE52="",'Beállítások'!$B$84,MIN(10,MAX(1,ROUND('Ügyfelek'!AE52,0)))))</f>
        <v/>
      </c>
      <c r="AF52">
        <f>IF($A52="","",IF('Ügyfelek'!AF52="",'Beállítások'!$B$84,MIN(10,MAX(1,ROUND('Ügyfelek'!AF52,0)))))</f>
        <v/>
      </c>
      <c r="AG52">
        <f>IF($A52="","",IF('Ügyfelek'!AG52="",'Beállítások'!$B$84,MIN(10,MAX(1,ROUND('Ügyfelek'!AG52,0)))))</f>
        <v/>
      </c>
      <c r="AH52">
        <f>IF($A52="","",IF('Ügyfelek'!AH52="",'Beállítások'!$B$84,IFERROR(VLOOKUP(TRIM('Ügyfelek'!AH52),'Beállítások'!$A$73:$B$79,2,FALSE),'Beállítások'!$B$84)))</f>
        <v/>
      </c>
      <c r="AI52" s="23">
        <f>IF($A52="","",ROUND(100*('Beállítások'!$E$6*(B52-1)+'Beállítások'!$E$7*(C52-1))/(9*'Beállítások'!$B$43),1))</f>
        <v/>
      </c>
      <c r="AJ52" s="23">
        <f>IF($A52="","",ROUND(100*('Beállítások'!$E$8*(D52-1)+'Beállítások'!$E$9*(E52-1)+'Beállítások'!$E$10*(F52-1)+'Beállítások'!$E$11*(G52-1)+'Beállítások'!$E$12*(H52-1)+'Beállítások'!$E$13*(I52-1)+'Beállítások'!$E$14*(J52-1)+'Beállítások'!$E$15*(K52-1)+'Beállítások'!$E$16*(L52-1)+'Beállítások'!$E$17*(M52-1)+'Beállítások'!$E$18*(N52-1)+'Beállítások'!$E$19*(O52-1)+'Beállítások'!$E$20*(P52-1)+'Beállítások'!$E$21*(Q52-1)+'Beállítások'!$E$22*(R52-1))/(9*'Beállítások'!$B$44),1))</f>
        <v/>
      </c>
      <c r="AK52" s="23">
        <f>IF($A52="","",ROUND(100*('Beállítások'!$E$23*(S52-1)+'Beállítások'!$E$24*(T52-1)+'Beállítások'!$E$25*(U52-1)+'Beállítások'!$E$26*(V52-1)+'Beállítások'!$E$27*(W52-1)+'Beállítások'!$E$28*(X52-1)+'Beállítások'!$E$29*(Y52-1))/(9*'Beállítások'!$B$45),1))</f>
        <v/>
      </c>
      <c r="AL52" s="23">
        <f>IF($A52="","",ROUND(100*('Beállítások'!$E$30*(Z52-1)+'Beállítások'!$E$31*(AA52-1)+'Beállítások'!$E$32*(AB52-1)+'Beállítások'!$E$33*(AC52-1)+'Beállítások'!$E$34*(AD52-1)+'Beállítások'!$E$35*(AE52-1)+'Beállítások'!$E$36*(AF52-1)+'Beállítások'!$E$37*(AG52-1)+'Beállítások'!$E$38*(AH52-1))/(9*'Beállítások'!$B$46),1))</f>
        <v/>
      </c>
      <c r="AM52" s="23">
        <f>IF($A52="","",ROUND(100*('Beállítások'!$E$6*(B52-1)+'Beállítások'!$E$7*(C52-1)+'Beállítások'!$E$8*(D52-1)+'Beállítások'!$E$9*(E52-1)+'Beállítások'!$E$10*(F52-1)+'Beállítások'!$E$11*(G52-1)+'Beállítások'!$E$12*(H52-1)+'Beállítások'!$E$13*(I52-1)+'Beállítások'!$E$14*(J52-1)+'Beállítások'!$E$15*(K52-1)+'Beállítások'!$E$16*(L52-1)+'Beállítások'!$E$17*(M52-1)+'Beállítások'!$E$18*(N52-1)+'Beállítások'!$E$19*(O52-1)+'Beállítások'!$E$20*(P52-1)+'Beállítások'!$E$21*(Q52-1)+'Beállítások'!$E$22*(R52-1)+'Beállítások'!$E$23*(S52-1)+'Beállítások'!$E$24*(T52-1)+'Beállítások'!$E$25*(U52-1)+'Beállítások'!$E$26*(V52-1)+'Beállítások'!$E$27*(W52-1)+'Beállítások'!$E$28*(X52-1)+'Beállítások'!$E$29*(Y52-1)+'Beállítások'!$E$30*(Z52-1)+'Beállítások'!$E$31*(AA52-1)+'Beállítások'!$E$32*(AB52-1)+'Beállítások'!$E$33*(AC52-1)+'Beállítások'!$E$34*(AD52-1)+'Beállítások'!$E$35*(AE52-1)+'Beállítások'!$E$36*(AF52-1)+'Beállítások'!$E$37*(AG52-1)+'Beállítások'!$E$38*(AH52-1))/(9*'Beállítások'!$E$39),1))</f>
        <v/>
      </c>
      <c r="AN52" s="23">
        <f>IF($A52="","",ROUND(100*('Beállítások'!$E$8*(D52-1)+'Beállítások'!$E$9*(E52-1)+'Beállítások'!$E$10*(F52-1)+'Beállítások'!$E$11*(G52-1)+'Beállítások'!$E$12*(H52-1)+'Beállítások'!$E$13*(I52-1)+'Beállítások'!$E$14*(J52-1)+'Beállítások'!$E$15*(K52-1)+'Beállítások'!$E$16*(L52-1)+'Beállítások'!$E$17*(M52-1)+'Beállítások'!$E$18*(N52-1)+'Beállítások'!$E$19*(O52-1)+'Beállítások'!$E$20*(P52-1)+'Beállítások'!$E$21*(Q52-1)+'Beállítások'!$E$22*(R52-1)+'Beállítások'!$E$23*(S52-1)+'Beállítások'!$E$24*(T52-1)+'Beállítások'!$E$25*(U52-1)+'Beállítások'!$E$26*(V52-1)+'Beállítások'!$E$27*(W52-1)+'Beállítások'!$E$28*(X52-1)+'Beállítások'!$E$29*(Y52-1))/(9*('Beállítások'!$B$44+'Beállítások'!$B$45)),1))</f>
        <v/>
      </c>
      <c r="AO52" s="24">
        <f>IF($A52="","",RANK(AM52,$AM$2:$AM$201))</f>
        <v/>
      </c>
      <c r="AP52">
        <f>IF($A52="","",IF(OR(AND('Ügyfelek'!B52&lt;&gt;"",B52&lt;='Beállítások'!$B$85),AND('Ügyfelek'!C52&lt;&gt;"",C52&lt;='Beállítások'!$B$86)),"Igen","Nem"))</f>
        <v/>
      </c>
      <c r="AQ52" s="24">
        <f>IF($A52="","",IF(AP52="Igen",5,IF(AN52&gt;='Beállítások'!$C$108,1,IF(AN52&gt;='Beállítások'!$C$109,2,IF(AN52&gt;='Beállítások'!$C$110,3,IF(AND(AN52&gt;='Beállítások'!$B$87,AI52&gt;='Beállítások'!$B$88,AL52&gt;='Beállítások'!$B$89),4,5))))))</f>
        <v/>
      </c>
      <c r="AR52">
        <f>IF($A52="","",INDEX('Beállítások'!$B$108:$B$112,AQ52))</f>
        <v/>
      </c>
      <c r="AS52">
        <f>IF($A52="","",IF(AQ52=5,"Elutasítjuk",IF(AND(AQ52=4,COUNTIFS('Eredmény'!$AQ$2:$AQ$201,4,'Eredmény'!$DY$2:$DY$201,"&gt;"&amp;DY52)&gt;='Beállítások'!$B$90),"Várólista (a 4-es hely foglalt)","Elfogadjuk")))</f>
        <v/>
      </c>
      <c r="AT52">
        <f>IF($A52="","",INDEX('Beállítások'!$F$108:$F$112,AQ52))</f>
        <v/>
      </c>
      <c r="AU52">
        <f>IF($A52="","",INDEX('Beállítások'!$B$6:$B$38,MATCH(MAX(BK52:CQ52),BK52:CQ52,0)))</f>
        <v/>
      </c>
      <c r="AV52">
        <f>IF($A52="","",IF(MAX(CR52:DX52)=0,"—",INDEX('Beállítások'!$B$6:$B$38,MATCH(MAX(CR52:DX52),CR52:DX52,0))))</f>
        <v/>
      </c>
      <c r="AW52" s="10">
        <f>IF($A52="","",'Beállítások'!$B$94*(TRIM('Ügyfelek'!AI52)="igen")+'Beállítások'!$B$95*(TRIM('Ügyfelek'!AJ52)="igen")+'Beállítások'!$B$96*N('Ügyfelek'!AK52)+'Beállítások'!$B$93*N('Ügyfelek'!AL52))</f>
        <v/>
      </c>
      <c r="AX52" s="25">
        <f>IF(OR($A52="",AQ52=5),"",INDEX('Beállítások'!$D$108:$D$112,AQ52))</f>
        <v/>
      </c>
      <c r="AY52" s="10">
        <f>IF($A52="","",N('Ügyfelek'!U52)*'Beállítások'!$B$98)</f>
        <v/>
      </c>
      <c r="AZ52" s="10">
        <f>IF(OR($A52="",AQ52=5),"",CEILING(ROUND(MAX('Beállítások'!$B$97,AW52*AX52,AY52),2),'Beállítások'!$B$99))</f>
        <v/>
      </c>
      <c r="BA52">
        <f>IF($A52="","",IF(AQ52=5,"Elutasítva",IF(MAX('Beállítások'!$B$97,AW52*AX52,AY52)=AW52*AX52,"Munkaigény × státuszszorzó",IF(MAX('Beállítások'!$B$97,AW52*AX52,AY52)=AY52,"Hirdetési keret arányában","Minimumdíj"))))</f>
        <v/>
      </c>
      <c r="BB52" s="10">
        <f>IF(OR($A52="",'Ügyfelek'!AM52=""),"",'Ügyfelek'!AM52)</f>
        <v/>
      </c>
      <c r="BC52" s="10">
        <f>IF(OR(BB52="",AZ52=""),"",AZ52-BB52)</f>
        <v/>
      </c>
      <c r="BD52" s="18">
        <f>IF(OR(BB52="",AZ52="",BB52=0),"",BC52/BB52)</f>
        <v/>
      </c>
      <c r="BE52">
        <f>IF(OR($A52="",AQ52=5),"",IF(AND(INDEX('Beállítások'!$E$108:$E$112,AQ52)&gt;0,Y52&gt;='Beállítások'!$B$91),"Igen","Nem"))</f>
        <v/>
      </c>
      <c r="BF52" s="10">
        <f>IF(BE52="Igen",CEILING(ROUND(AZ52*(1-'Beállítások'!$B$92),2),'Beállítások'!$B$99),"")</f>
        <v/>
      </c>
      <c r="BG52" s="20">
        <f>IF(BE52="Igen",INDEX('Beállítások'!$E$108:$E$112,AQ52),"")</f>
        <v/>
      </c>
      <c r="BH52" s="10">
        <f>IF(OR(BE52&lt;&gt;"Igen",'Ügyfelek'!AN52=""),"",'Ügyfelek'!AN52*BG52)</f>
        <v/>
      </c>
      <c r="BI52" s="24">
        <f>IF($A52="","",('Ügyfelek'!B52="")+('Ügyfelek'!C52="")+('Ügyfelek'!D52="")+('Ügyfelek'!E52="")+('Ügyfelek'!F52="")+('Ügyfelek'!G52="")+('Ügyfelek'!H52="")+('Ügyfelek'!I52="")+('Ügyfelek'!J52="")+('Ügyfelek'!K52="")+('Ügyfelek'!L52="")+('Ügyfelek'!M52="")+('Ügyfelek'!N52="")+('Ügyfelek'!O52="")+('Ügyfelek'!P52="")+('Ügyfelek'!Q52="")+('Ügyfelek'!R52="")+('Ügyfelek'!S52="")+('Ügyfelek'!T52="")+('Ügyfelek'!U52="")+('Ügyfelek'!V52="")+('Ügyfelek'!W52="")+('Ügyfelek'!X52="")+('Ügyfelek'!Y52="")+('Ügyfelek'!Z52="")+('Ügyfelek'!AA52="")+('Ügyfelek'!AB52="")+('Ügyfelek'!AC52="")+('Ügyfelek'!AD52="")+('Ügyfelek'!AE52="")+('Ügyfelek'!AF52="")+('Ügyfelek'!AG52="")+('Ügyfelek'!AH52=""))</f>
        <v/>
      </c>
      <c r="BK52">
        <f>IF($A52="","",B52+'Beállítások'!$E$6/1000)</f>
        <v/>
      </c>
      <c r="BL52">
        <f>IF($A52="","",C52+'Beállítások'!$E$7/1000)</f>
        <v/>
      </c>
      <c r="BM52">
        <f>IF($A52="","",D52+'Beállítások'!$E$8/1000)</f>
        <v/>
      </c>
      <c r="BN52">
        <f>IF($A52="","",E52+'Beállítások'!$E$9/1000)</f>
        <v/>
      </c>
      <c r="BO52">
        <f>IF($A52="","",F52+'Beállítások'!$E$10/1000)</f>
        <v/>
      </c>
      <c r="BP52">
        <f>IF($A52="","",G52+'Beállítások'!$E$11/1000)</f>
        <v/>
      </c>
      <c r="BQ52">
        <f>IF($A52="","",H52+'Beállítások'!$E$12/1000)</f>
        <v/>
      </c>
      <c r="BR52">
        <f>IF($A52="","",I52+'Beállítások'!$E$13/1000)</f>
        <v/>
      </c>
      <c r="BS52">
        <f>IF($A52="","",J52+'Beállítások'!$E$14/1000)</f>
        <v/>
      </c>
      <c r="BT52">
        <f>IF($A52="","",K52+'Beállítások'!$E$15/1000)</f>
        <v/>
      </c>
      <c r="BU52">
        <f>IF($A52="","",L52+'Beállítások'!$E$16/1000)</f>
        <v/>
      </c>
      <c r="BV52">
        <f>IF($A52="","",M52+'Beállítások'!$E$17/1000)</f>
        <v/>
      </c>
      <c r="BW52">
        <f>IF($A52="","",N52+'Beállítások'!$E$18/1000)</f>
        <v/>
      </c>
      <c r="BX52">
        <f>IF($A52="","",O52+'Beállítások'!$E$19/1000)</f>
        <v/>
      </c>
      <c r="BY52">
        <f>IF($A52="","",P52+'Beállítások'!$E$20/1000)</f>
        <v/>
      </c>
      <c r="BZ52">
        <f>IF($A52="","",Q52+'Beállítások'!$E$21/1000)</f>
        <v/>
      </c>
      <c r="CA52">
        <f>IF($A52="","",R52+'Beállítások'!$E$22/1000)</f>
        <v/>
      </c>
      <c r="CB52">
        <f>IF($A52="","",S52+'Beállítások'!$E$23/1000)</f>
        <v/>
      </c>
      <c r="CC52">
        <f>IF($A52="","",T52+'Beállítások'!$E$24/1000)</f>
        <v/>
      </c>
      <c r="CD52">
        <f>IF($A52="","",U52+'Beállítások'!$E$25/1000)</f>
        <v/>
      </c>
      <c r="CE52">
        <f>IF($A52="","",V52+'Beállítások'!$E$26/1000)</f>
        <v/>
      </c>
      <c r="CF52">
        <f>IF($A52="","",W52+'Beállítások'!$E$27/1000)</f>
        <v/>
      </c>
      <c r="CG52">
        <f>IF($A52="","",X52+'Beállítások'!$E$28/1000)</f>
        <v/>
      </c>
      <c r="CH52">
        <f>IF($A52="","",Y52+'Beállítások'!$E$29/1000)</f>
        <v/>
      </c>
      <c r="CI52">
        <f>IF($A52="","",Z52+'Beállítások'!$E$30/1000)</f>
        <v/>
      </c>
      <c r="CJ52">
        <f>IF($A52="","",AA52+'Beállítások'!$E$31/1000)</f>
        <v/>
      </c>
      <c r="CK52">
        <f>IF($A52="","",AB52+'Beállítások'!$E$32/1000)</f>
        <v/>
      </c>
      <c r="CL52">
        <f>IF($A52="","",AC52+'Beállítások'!$E$33/1000)</f>
        <v/>
      </c>
      <c r="CM52">
        <f>IF($A52="","",AD52+'Beállítások'!$E$34/1000)</f>
        <v/>
      </c>
      <c r="CN52">
        <f>IF($A52="","",AE52+'Beállítások'!$E$35/1000)</f>
        <v/>
      </c>
      <c r="CO52">
        <f>IF($A52="","",AF52+'Beállítások'!$E$36/1000)</f>
        <v/>
      </c>
      <c r="CP52">
        <f>IF($A52="","",AG52+'Beállítások'!$E$37/1000)</f>
        <v/>
      </c>
      <c r="CQ52">
        <f>IF($A52="","",AH52+'Beállítások'!$E$38/1000)</f>
        <v/>
      </c>
      <c r="CR52">
        <f>IF($A52="","",'Beállítások'!$E$6*(10-B52))</f>
        <v/>
      </c>
      <c r="CS52">
        <f>IF($A52="","",'Beállítások'!$E$7*(10-C52))</f>
        <v/>
      </c>
      <c r="CT52">
        <f>IF($A52="","",'Beállítások'!$E$8*(10-D52))</f>
        <v/>
      </c>
      <c r="CU52">
        <f>IF($A52="","",'Beállítások'!$E$9*(10-E52))</f>
        <v/>
      </c>
      <c r="CV52">
        <f>IF($A52="","",'Beállítások'!$E$10*(10-F52))</f>
        <v/>
      </c>
      <c r="CW52">
        <f>IF($A52="","",'Beállítások'!$E$11*(10-G52))</f>
        <v/>
      </c>
      <c r="CX52">
        <f>IF($A52="","",'Beállítások'!$E$12*(10-H52))</f>
        <v/>
      </c>
      <c r="CY52">
        <f>IF($A52="","",'Beállítások'!$E$13*(10-I52))</f>
        <v/>
      </c>
      <c r="CZ52">
        <f>IF($A52="","",'Beállítások'!$E$14*(10-J52))</f>
        <v/>
      </c>
      <c r="DA52">
        <f>IF($A52="","",'Beállítások'!$E$15*(10-K52))</f>
        <v/>
      </c>
      <c r="DB52">
        <f>IF($A52="","",'Beállítások'!$E$16*(10-L52))</f>
        <v/>
      </c>
      <c r="DC52">
        <f>IF($A52="","",'Beállítások'!$E$17*(10-M52))</f>
        <v/>
      </c>
      <c r="DD52">
        <f>IF($A52="","",'Beállítások'!$E$18*(10-N52))</f>
        <v/>
      </c>
      <c r="DE52">
        <f>IF($A52="","",'Beállítások'!$E$19*(10-O52))</f>
        <v/>
      </c>
      <c r="DF52">
        <f>IF($A52="","",'Beállítások'!$E$20*(10-P52))</f>
        <v/>
      </c>
      <c r="DG52">
        <f>IF($A52="","",'Beállítások'!$E$21*(10-Q52))</f>
        <v/>
      </c>
      <c r="DH52">
        <f>IF($A52="","",'Beállítások'!$E$22*(10-R52))</f>
        <v/>
      </c>
      <c r="DI52">
        <f>IF($A52="","",'Beállítások'!$E$23*(10-S52))</f>
        <v/>
      </c>
      <c r="DJ52">
        <f>IF($A52="","",'Beállítások'!$E$24*(10-T52))</f>
        <v/>
      </c>
      <c r="DK52">
        <f>IF($A52="","",'Beállítások'!$E$25*(10-U52))</f>
        <v/>
      </c>
      <c r="DL52">
        <f>IF($A52="","",'Beállítások'!$E$26*(10-V52))</f>
        <v/>
      </c>
      <c r="DM52">
        <f>IF($A52="","",'Beállítások'!$E$27*(10-W52))</f>
        <v/>
      </c>
      <c r="DN52">
        <f>IF($A52="","",'Beállítások'!$E$28*(10-X52))</f>
        <v/>
      </c>
      <c r="DO52">
        <f>IF($A52="","",'Beállítások'!$E$29*(10-Y52))</f>
        <v/>
      </c>
      <c r="DP52">
        <f>IF($A52="","",'Beállítások'!$E$30*(10-Z52))</f>
        <v/>
      </c>
      <c r="DQ52">
        <f>IF($A52="","",'Beállítások'!$E$31*(10-AA52))</f>
        <v/>
      </c>
      <c r="DR52">
        <f>IF($A52="","",'Beállítások'!$E$32*(10-AB52))</f>
        <v/>
      </c>
      <c r="DS52">
        <f>IF($A52="","",'Beállítások'!$E$33*(10-AC52))</f>
        <v/>
      </c>
      <c r="DT52">
        <f>IF($A52="","",'Beállítások'!$E$34*(10-AD52))</f>
        <v/>
      </c>
      <c r="DU52">
        <f>IF($A52="","",'Beállítások'!$E$35*(10-AE52))</f>
        <v/>
      </c>
      <c r="DV52">
        <f>IF($A52="","",'Beállítások'!$E$36*(10-AF52))</f>
        <v/>
      </c>
      <c r="DW52">
        <f>IF($A52="","",'Beállítások'!$E$37*(10-AG52))</f>
        <v/>
      </c>
      <c r="DX52">
        <f>IF($A52="","",'Beállítások'!$E$38*(10-AH52))</f>
        <v/>
      </c>
      <c r="DY52">
        <f>IF($A52="","",AM52-ROW()/100000)</f>
        <v/>
      </c>
    </row>
    <row r="53">
      <c r="A53">
        <f>IF('Ügyfelek'!A53="","",'Ügyfelek'!A53)</f>
        <v/>
      </c>
      <c r="B53">
        <f>IF($A53="","",IF('Ügyfelek'!B53="",'Beállítások'!$B$84,IFERROR(VLOOKUP(TRIM('Ügyfelek'!B53),'Beállítások'!$A$51:$B$59,2,FALSE),'Beállítások'!$B$84)))</f>
        <v/>
      </c>
      <c r="C53">
        <f>IF($A53="","",IF('Ügyfelek'!C53="",'Beállítások'!$B$84,MIN(10,MAX(1,ROUND('Ügyfelek'!C53,0)))))</f>
        <v/>
      </c>
      <c r="D53">
        <f>IF($A53="","",IF('Ügyfelek'!D53="",'Beállítások'!$B$84,MIN(10,MAX(1,ROUND('Ügyfelek'!D53,0)))))</f>
        <v/>
      </c>
      <c r="E53">
        <f>IF($A53="","",IF('Ügyfelek'!E53="",'Beállítások'!$B$84,MIN(10,MAX(1,ROUND('Ügyfelek'!E53,0)))))</f>
        <v/>
      </c>
      <c r="F53">
        <f>IF($A53="","",IF('Ügyfelek'!F53="",'Beállítások'!$B$84,MIN(10,MAX(1,ROUND('Ügyfelek'!F53,0)))))</f>
        <v/>
      </c>
      <c r="G53">
        <f>IF($A53="","",IF('Ügyfelek'!G53="",'Beállítások'!$B$84,MIN(10,MAX(1,ROUND('Ügyfelek'!G53,0)))))</f>
        <v/>
      </c>
      <c r="H53">
        <f>IF($A53="","",IF('Ügyfelek'!H53="",'Beállítások'!$B$84,MIN(10,MAX(1,ROUND('Ügyfelek'!H53,0)))))</f>
        <v/>
      </c>
      <c r="I53">
        <f>IF($A53="","",IF('Ügyfelek'!I53="",'Beállítások'!$B$84,MIN(10,MAX(1,ROUND('Ügyfelek'!I53,0)))))</f>
        <v/>
      </c>
      <c r="J53">
        <f>IF($A53="","",IF('Ügyfelek'!J53="",'Beállítások'!$B$84,MIN(10,MAX(1,ROUND('Ügyfelek'!J53,0)))))</f>
        <v/>
      </c>
      <c r="K53">
        <f>IF($A53="","",IF('Ügyfelek'!K53="",'Beállítások'!$B$84,MIN(10,MAX(1,ROUND('Ügyfelek'!K53,0)))))</f>
        <v/>
      </c>
      <c r="L53">
        <f>IF($A53="","",IF('Ügyfelek'!L53="",'Beállítások'!$B$84,MIN(10,MAX(1,ROUND('Ügyfelek'!L53,0)))))</f>
        <v/>
      </c>
      <c r="M53">
        <f>IF($A53="","",IF('Ügyfelek'!M53="",'Beállítások'!$B$84,MIN(10,MAX(1,ROUND('Ügyfelek'!M53,0)))))</f>
        <v/>
      </c>
      <c r="N53">
        <f>IF($A53="","",IF('Ügyfelek'!N53="",'Beállítások'!$B$84,MIN(10,MAX(1,ROUND('Ügyfelek'!N53,0)))))</f>
        <v/>
      </c>
      <c r="O53">
        <f>IF($A53="","",IF('Ügyfelek'!O53="",'Beállítások'!$B$84,MIN(10,MAX(1,ROUND('Ügyfelek'!O53,0)))))</f>
        <v/>
      </c>
      <c r="P53">
        <f>IF($A53="","",IF('Ügyfelek'!P53="",'Beállítások'!$B$84,MIN(10,MAX(1,ROUND('Ügyfelek'!P53,0)))))</f>
        <v/>
      </c>
      <c r="Q53">
        <f>IF($A53="","",IF('Ügyfelek'!Q53="",'Beállítások'!$B$84,MIN(10,MAX(1,ROUND('Ügyfelek'!Q53,0)))))</f>
        <v/>
      </c>
      <c r="R53">
        <f>IF($A53="","",IF('Ügyfelek'!R53="",'Beállítások'!$B$84,MIN(10,MAX(1,ROUND('Ügyfelek'!R53,0)))))</f>
        <v/>
      </c>
      <c r="S53">
        <f>IF($A53="","",IF('Ügyfelek'!S53="",'Beállítások'!$B$84,MIN(10,MAX(1,ROUND('Ügyfelek'!S53,0)))))</f>
        <v/>
      </c>
      <c r="T53">
        <f>IF($A53="","",IF('Ügyfelek'!T53="",'Beállítások'!$B$84,VLOOKUP(MAX('Ügyfelek'!T53,'Beállítások'!$H$7),'Beállítások'!$H$7:$I$12,2,TRUE)))</f>
        <v/>
      </c>
      <c r="U53">
        <f>IF($A53="","",IF('Ügyfelek'!U53="",'Beállítások'!$B$84,VLOOKUP(MAX('Ügyfelek'!U53,'Beállítások'!$K$7),'Beállítások'!$K$7:$L$12,2,TRUE)))</f>
        <v/>
      </c>
      <c r="V53">
        <f>IF($A53="","",IF('Ügyfelek'!V53="",'Beállítások'!$B$84,MIN(10,MAX(1,ROUND('Ügyfelek'!V53,0)))))</f>
        <v/>
      </c>
      <c r="W53">
        <f>IF($A53="","",IF('Ügyfelek'!W53="",'Beállítások'!$B$84,VLOOKUP(MAX('Ügyfelek'!W53,'Beállítások'!$N$7),'Beállítások'!$N$7:$O$12,2,TRUE)))</f>
        <v/>
      </c>
      <c r="X53">
        <f>IF($A53="","",IF('Ügyfelek'!X53="",'Beállítások'!$B$84,MIN(10,MAX(1,ROUND('Ügyfelek'!X53,0)))))</f>
        <v/>
      </c>
      <c r="Y53">
        <f>IF($A53="","",IF('Ügyfelek'!Y53="",'Beállítások'!$B$84,IFERROR(VLOOKUP(TRIM('Ügyfelek'!Y53),'Beállítások'!$A$63:$B$69,2,FALSE),'Beállítások'!$B$84)))</f>
        <v/>
      </c>
      <c r="Z53">
        <f>IF($A53="","",IF('Ügyfelek'!Z53="",'Beállítások'!$B$84,VLOOKUP(MAX('Ügyfelek'!Z53,'Beállítások'!$Q$7),'Beállítások'!$Q$7:$R$12,2,TRUE)))</f>
        <v/>
      </c>
      <c r="AA53">
        <f>IF($A53="","",IF('Ügyfelek'!AA53="",'Beállítások'!$B$84,VLOOKUP(MAX('Ügyfelek'!AA53,'Beállítások'!$T$7),'Beállítások'!$T$7:$U$12,2,TRUE)))</f>
        <v/>
      </c>
      <c r="AB53">
        <f>IF($A53="","",IF('Ügyfelek'!AB53="",'Beállítások'!$B$84,MIN(10,MAX(1,ROUND('Ügyfelek'!AB53,0)))))</f>
        <v/>
      </c>
      <c r="AC53">
        <f>IF($A53="","",IF('Ügyfelek'!AC53="",'Beállítások'!$B$84,MIN(10,MAX(1,ROUND('Ügyfelek'!AC53,0)))))</f>
        <v/>
      </c>
      <c r="AD53">
        <f>IF($A53="","",IF('Ügyfelek'!AD53="",'Beállítások'!$B$84,MIN(10,MAX(1,ROUND('Ügyfelek'!AD53,0)))))</f>
        <v/>
      </c>
      <c r="AE53">
        <f>IF($A53="","",IF('Ügyfelek'!AE53="",'Beállítások'!$B$84,MIN(10,MAX(1,ROUND('Ügyfelek'!AE53,0)))))</f>
        <v/>
      </c>
      <c r="AF53">
        <f>IF($A53="","",IF('Ügyfelek'!AF53="",'Beállítások'!$B$84,MIN(10,MAX(1,ROUND('Ügyfelek'!AF53,0)))))</f>
        <v/>
      </c>
      <c r="AG53">
        <f>IF($A53="","",IF('Ügyfelek'!AG53="",'Beállítások'!$B$84,MIN(10,MAX(1,ROUND('Ügyfelek'!AG53,0)))))</f>
        <v/>
      </c>
      <c r="AH53">
        <f>IF($A53="","",IF('Ügyfelek'!AH53="",'Beállítások'!$B$84,IFERROR(VLOOKUP(TRIM('Ügyfelek'!AH53),'Beállítások'!$A$73:$B$79,2,FALSE),'Beállítások'!$B$84)))</f>
        <v/>
      </c>
      <c r="AI53" s="23">
        <f>IF($A53="","",ROUND(100*('Beállítások'!$E$6*(B53-1)+'Beállítások'!$E$7*(C53-1))/(9*'Beállítások'!$B$43),1))</f>
        <v/>
      </c>
      <c r="AJ53" s="23">
        <f>IF($A53="","",ROUND(100*('Beállítások'!$E$8*(D53-1)+'Beállítások'!$E$9*(E53-1)+'Beállítások'!$E$10*(F53-1)+'Beállítások'!$E$11*(G53-1)+'Beállítások'!$E$12*(H53-1)+'Beállítások'!$E$13*(I53-1)+'Beállítások'!$E$14*(J53-1)+'Beállítások'!$E$15*(K53-1)+'Beállítások'!$E$16*(L53-1)+'Beállítások'!$E$17*(M53-1)+'Beállítások'!$E$18*(N53-1)+'Beállítások'!$E$19*(O53-1)+'Beállítások'!$E$20*(P53-1)+'Beállítások'!$E$21*(Q53-1)+'Beállítások'!$E$22*(R53-1))/(9*'Beállítások'!$B$44),1))</f>
        <v/>
      </c>
      <c r="AK53" s="23">
        <f>IF($A53="","",ROUND(100*('Beállítások'!$E$23*(S53-1)+'Beállítások'!$E$24*(T53-1)+'Beállítások'!$E$25*(U53-1)+'Beállítások'!$E$26*(V53-1)+'Beállítások'!$E$27*(W53-1)+'Beállítások'!$E$28*(X53-1)+'Beállítások'!$E$29*(Y53-1))/(9*'Beállítások'!$B$45),1))</f>
        <v/>
      </c>
      <c r="AL53" s="23">
        <f>IF($A53="","",ROUND(100*('Beállítások'!$E$30*(Z53-1)+'Beállítások'!$E$31*(AA53-1)+'Beállítások'!$E$32*(AB53-1)+'Beállítások'!$E$33*(AC53-1)+'Beállítások'!$E$34*(AD53-1)+'Beállítások'!$E$35*(AE53-1)+'Beállítások'!$E$36*(AF53-1)+'Beállítások'!$E$37*(AG53-1)+'Beállítások'!$E$38*(AH53-1))/(9*'Beállítások'!$B$46),1))</f>
        <v/>
      </c>
      <c r="AM53" s="23">
        <f>IF($A53="","",ROUND(100*('Beállítások'!$E$6*(B53-1)+'Beállítások'!$E$7*(C53-1)+'Beállítások'!$E$8*(D53-1)+'Beállítások'!$E$9*(E53-1)+'Beállítások'!$E$10*(F53-1)+'Beállítások'!$E$11*(G53-1)+'Beállítások'!$E$12*(H53-1)+'Beállítások'!$E$13*(I53-1)+'Beállítások'!$E$14*(J53-1)+'Beállítások'!$E$15*(K53-1)+'Beállítások'!$E$16*(L53-1)+'Beállítások'!$E$17*(M53-1)+'Beállítások'!$E$18*(N53-1)+'Beállítások'!$E$19*(O53-1)+'Beállítások'!$E$20*(P53-1)+'Beállítások'!$E$21*(Q53-1)+'Beállítások'!$E$22*(R53-1)+'Beállítások'!$E$23*(S53-1)+'Beállítások'!$E$24*(T53-1)+'Beállítások'!$E$25*(U53-1)+'Beállítások'!$E$26*(V53-1)+'Beállítások'!$E$27*(W53-1)+'Beállítások'!$E$28*(X53-1)+'Beállítások'!$E$29*(Y53-1)+'Beállítások'!$E$30*(Z53-1)+'Beállítások'!$E$31*(AA53-1)+'Beállítások'!$E$32*(AB53-1)+'Beállítások'!$E$33*(AC53-1)+'Beállítások'!$E$34*(AD53-1)+'Beállítások'!$E$35*(AE53-1)+'Beállítások'!$E$36*(AF53-1)+'Beállítások'!$E$37*(AG53-1)+'Beállítások'!$E$38*(AH53-1))/(9*'Beállítások'!$E$39),1))</f>
        <v/>
      </c>
      <c r="AN53" s="23">
        <f>IF($A53="","",ROUND(100*('Beállítások'!$E$8*(D53-1)+'Beállítások'!$E$9*(E53-1)+'Beállítások'!$E$10*(F53-1)+'Beállítások'!$E$11*(G53-1)+'Beállítások'!$E$12*(H53-1)+'Beállítások'!$E$13*(I53-1)+'Beállítások'!$E$14*(J53-1)+'Beállítások'!$E$15*(K53-1)+'Beállítások'!$E$16*(L53-1)+'Beállítások'!$E$17*(M53-1)+'Beállítások'!$E$18*(N53-1)+'Beállítások'!$E$19*(O53-1)+'Beállítások'!$E$20*(P53-1)+'Beállítások'!$E$21*(Q53-1)+'Beállítások'!$E$22*(R53-1)+'Beállítások'!$E$23*(S53-1)+'Beállítások'!$E$24*(T53-1)+'Beállítások'!$E$25*(U53-1)+'Beállítások'!$E$26*(V53-1)+'Beállítások'!$E$27*(W53-1)+'Beállítások'!$E$28*(X53-1)+'Beállítások'!$E$29*(Y53-1))/(9*('Beállítások'!$B$44+'Beállítások'!$B$45)),1))</f>
        <v/>
      </c>
      <c r="AO53" s="24">
        <f>IF($A53="","",RANK(AM53,$AM$2:$AM$201))</f>
        <v/>
      </c>
      <c r="AP53">
        <f>IF($A53="","",IF(OR(AND('Ügyfelek'!B53&lt;&gt;"",B53&lt;='Beállítások'!$B$85),AND('Ügyfelek'!C53&lt;&gt;"",C53&lt;='Beállítások'!$B$86)),"Igen","Nem"))</f>
        <v/>
      </c>
      <c r="AQ53" s="24">
        <f>IF($A53="","",IF(AP53="Igen",5,IF(AN53&gt;='Beállítások'!$C$108,1,IF(AN53&gt;='Beállítások'!$C$109,2,IF(AN53&gt;='Beállítások'!$C$110,3,IF(AND(AN53&gt;='Beállítások'!$B$87,AI53&gt;='Beállítások'!$B$88,AL53&gt;='Beállítások'!$B$89),4,5))))))</f>
        <v/>
      </c>
      <c r="AR53">
        <f>IF($A53="","",INDEX('Beállítások'!$B$108:$B$112,AQ53))</f>
        <v/>
      </c>
      <c r="AS53">
        <f>IF($A53="","",IF(AQ53=5,"Elutasítjuk",IF(AND(AQ53=4,COUNTIFS('Eredmény'!$AQ$2:$AQ$201,4,'Eredmény'!$DY$2:$DY$201,"&gt;"&amp;DY53)&gt;='Beállítások'!$B$90),"Várólista (a 4-es hely foglalt)","Elfogadjuk")))</f>
        <v/>
      </c>
      <c r="AT53">
        <f>IF($A53="","",INDEX('Beállítások'!$F$108:$F$112,AQ53))</f>
        <v/>
      </c>
      <c r="AU53">
        <f>IF($A53="","",INDEX('Beállítások'!$B$6:$B$38,MATCH(MAX(BK53:CQ53),BK53:CQ53,0)))</f>
        <v/>
      </c>
      <c r="AV53">
        <f>IF($A53="","",IF(MAX(CR53:DX53)=0,"—",INDEX('Beállítások'!$B$6:$B$38,MATCH(MAX(CR53:DX53),CR53:DX53,0))))</f>
        <v/>
      </c>
      <c r="AW53" s="10">
        <f>IF($A53="","",'Beállítások'!$B$94*(TRIM('Ügyfelek'!AI53)="igen")+'Beállítások'!$B$95*(TRIM('Ügyfelek'!AJ53)="igen")+'Beállítások'!$B$96*N('Ügyfelek'!AK53)+'Beállítások'!$B$93*N('Ügyfelek'!AL53))</f>
        <v/>
      </c>
      <c r="AX53" s="25">
        <f>IF(OR($A53="",AQ53=5),"",INDEX('Beállítások'!$D$108:$D$112,AQ53))</f>
        <v/>
      </c>
      <c r="AY53" s="10">
        <f>IF($A53="","",N('Ügyfelek'!U53)*'Beállítások'!$B$98)</f>
        <v/>
      </c>
      <c r="AZ53" s="10">
        <f>IF(OR($A53="",AQ53=5),"",CEILING(ROUND(MAX('Beállítások'!$B$97,AW53*AX53,AY53),2),'Beállítások'!$B$99))</f>
        <v/>
      </c>
      <c r="BA53">
        <f>IF($A53="","",IF(AQ53=5,"Elutasítva",IF(MAX('Beállítások'!$B$97,AW53*AX53,AY53)=AW53*AX53,"Munkaigény × státuszszorzó",IF(MAX('Beállítások'!$B$97,AW53*AX53,AY53)=AY53,"Hirdetési keret arányában","Minimumdíj"))))</f>
        <v/>
      </c>
      <c r="BB53" s="10">
        <f>IF(OR($A53="",'Ügyfelek'!AM53=""),"",'Ügyfelek'!AM53)</f>
        <v/>
      </c>
      <c r="BC53" s="10">
        <f>IF(OR(BB53="",AZ53=""),"",AZ53-BB53)</f>
        <v/>
      </c>
      <c r="BD53" s="18">
        <f>IF(OR(BB53="",AZ53="",BB53=0),"",BC53/BB53)</f>
        <v/>
      </c>
      <c r="BE53">
        <f>IF(OR($A53="",AQ53=5),"",IF(AND(INDEX('Beállítások'!$E$108:$E$112,AQ53)&gt;0,Y53&gt;='Beállítások'!$B$91),"Igen","Nem"))</f>
        <v/>
      </c>
      <c r="BF53" s="10">
        <f>IF(BE53="Igen",CEILING(ROUND(AZ53*(1-'Beállítások'!$B$92),2),'Beállítások'!$B$99),"")</f>
        <v/>
      </c>
      <c r="BG53" s="20">
        <f>IF(BE53="Igen",INDEX('Beállítások'!$E$108:$E$112,AQ53),"")</f>
        <v/>
      </c>
      <c r="BH53" s="10">
        <f>IF(OR(BE53&lt;&gt;"Igen",'Ügyfelek'!AN53=""),"",'Ügyfelek'!AN53*BG53)</f>
        <v/>
      </c>
      <c r="BI53" s="24">
        <f>IF($A53="","",('Ügyfelek'!B53="")+('Ügyfelek'!C53="")+('Ügyfelek'!D53="")+('Ügyfelek'!E53="")+('Ügyfelek'!F53="")+('Ügyfelek'!G53="")+('Ügyfelek'!H53="")+('Ügyfelek'!I53="")+('Ügyfelek'!J53="")+('Ügyfelek'!K53="")+('Ügyfelek'!L53="")+('Ügyfelek'!M53="")+('Ügyfelek'!N53="")+('Ügyfelek'!O53="")+('Ügyfelek'!P53="")+('Ügyfelek'!Q53="")+('Ügyfelek'!R53="")+('Ügyfelek'!S53="")+('Ügyfelek'!T53="")+('Ügyfelek'!U53="")+('Ügyfelek'!V53="")+('Ügyfelek'!W53="")+('Ügyfelek'!X53="")+('Ügyfelek'!Y53="")+('Ügyfelek'!Z53="")+('Ügyfelek'!AA53="")+('Ügyfelek'!AB53="")+('Ügyfelek'!AC53="")+('Ügyfelek'!AD53="")+('Ügyfelek'!AE53="")+('Ügyfelek'!AF53="")+('Ügyfelek'!AG53="")+('Ügyfelek'!AH53=""))</f>
        <v/>
      </c>
      <c r="BK53">
        <f>IF($A53="","",B53+'Beállítások'!$E$6/1000)</f>
        <v/>
      </c>
      <c r="BL53">
        <f>IF($A53="","",C53+'Beállítások'!$E$7/1000)</f>
        <v/>
      </c>
      <c r="BM53">
        <f>IF($A53="","",D53+'Beállítások'!$E$8/1000)</f>
        <v/>
      </c>
      <c r="BN53">
        <f>IF($A53="","",E53+'Beállítások'!$E$9/1000)</f>
        <v/>
      </c>
      <c r="BO53">
        <f>IF($A53="","",F53+'Beállítások'!$E$10/1000)</f>
        <v/>
      </c>
      <c r="BP53">
        <f>IF($A53="","",G53+'Beállítások'!$E$11/1000)</f>
        <v/>
      </c>
      <c r="BQ53">
        <f>IF($A53="","",H53+'Beállítások'!$E$12/1000)</f>
        <v/>
      </c>
      <c r="BR53">
        <f>IF($A53="","",I53+'Beállítások'!$E$13/1000)</f>
        <v/>
      </c>
      <c r="BS53">
        <f>IF($A53="","",J53+'Beállítások'!$E$14/1000)</f>
        <v/>
      </c>
      <c r="BT53">
        <f>IF($A53="","",K53+'Beállítások'!$E$15/1000)</f>
        <v/>
      </c>
      <c r="BU53">
        <f>IF($A53="","",L53+'Beállítások'!$E$16/1000)</f>
        <v/>
      </c>
      <c r="BV53">
        <f>IF($A53="","",M53+'Beállítások'!$E$17/1000)</f>
        <v/>
      </c>
      <c r="BW53">
        <f>IF($A53="","",N53+'Beállítások'!$E$18/1000)</f>
        <v/>
      </c>
      <c r="BX53">
        <f>IF($A53="","",O53+'Beállítások'!$E$19/1000)</f>
        <v/>
      </c>
      <c r="BY53">
        <f>IF($A53="","",P53+'Beállítások'!$E$20/1000)</f>
        <v/>
      </c>
      <c r="BZ53">
        <f>IF($A53="","",Q53+'Beállítások'!$E$21/1000)</f>
        <v/>
      </c>
      <c r="CA53">
        <f>IF($A53="","",R53+'Beállítások'!$E$22/1000)</f>
        <v/>
      </c>
      <c r="CB53">
        <f>IF($A53="","",S53+'Beállítások'!$E$23/1000)</f>
        <v/>
      </c>
      <c r="CC53">
        <f>IF($A53="","",T53+'Beállítások'!$E$24/1000)</f>
        <v/>
      </c>
      <c r="CD53">
        <f>IF($A53="","",U53+'Beállítások'!$E$25/1000)</f>
        <v/>
      </c>
      <c r="CE53">
        <f>IF($A53="","",V53+'Beállítások'!$E$26/1000)</f>
        <v/>
      </c>
      <c r="CF53">
        <f>IF($A53="","",W53+'Beállítások'!$E$27/1000)</f>
        <v/>
      </c>
      <c r="CG53">
        <f>IF($A53="","",X53+'Beállítások'!$E$28/1000)</f>
        <v/>
      </c>
      <c r="CH53">
        <f>IF($A53="","",Y53+'Beállítások'!$E$29/1000)</f>
        <v/>
      </c>
      <c r="CI53">
        <f>IF($A53="","",Z53+'Beállítások'!$E$30/1000)</f>
        <v/>
      </c>
      <c r="CJ53">
        <f>IF($A53="","",AA53+'Beállítások'!$E$31/1000)</f>
        <v/>
      </c>
      <c r="CK53">
        <f>IF($A53="","",AB53+'Beállítások'!$E$32/1000)</f>
        <v/>
      </c>
      <c r="CL53">
        <f>IF($A53="","",AC53+'Beállítások'!$E$33/1000)</f>
        <v/>
      </c>
      <c r="CM53">
        <f>IF($A53="","",AD53+'Beállítások'!$E$34/1000)</f>
        <v/>
      </c>
      <c r="CN53">
        <f>IF($A53="","",AE53+'Beállítások'!$E$35/1000)</f>
        <v/>
      </c>
      <c r="CO53">
        <f>IF($A53="","",AF53+'Beállítások'!$E$36/1000)</f>
        <v/>
      </c>
      <c r="CP53">
        <f>IF($A53="","",AG53+'Beállítások'!$E$37/1000)</f>
        <v/>
      </c>
      <c r="CQ53">
        <f>IF($A53="","",AH53+'Beállítások'!$E$38/1000)</f>
        <v/>
      </c>
      <c r="CR53">
        <f>IF($A53="","",'Beállítások'!$E$6*(10-B53))</f>
        <v/>
      </c>
      <c r="CS53">
        <f>IF($A53="","",'Beállítások'!$E$7*(10-C53))</f>
        <v/>
      </c>
      <c r="CT53">
        <f>IF($A53="","",'Beállítások'!$E$8*(10-D53))</f>
        <v/>
      </c>
      <c r="CU53">
        <f>IF($A53="","",'Beállítások'!$E$9*(10-E53))</f>
        <v/>
      </c>
      <c r="CV53">
        <f>IF($A53="","",'Beállítások'!$E$10*(10-F53))</f>
        <v/>
      </c>
      <c r="CW53">
        <f>IF($A53="","",'Beállítások'!$E$11*(10-G53))</f>
        <v/>
      </c>
      <c r="CX53">
        <f>IF($A53="","",'Beállítások'!$E$12*(10-H53))</f>
        <v/>
      </c>
      <c r="CY53">
        <f>IF($A53="","",'Beállítások'!$E$13*(10-I53))</f>
        <v/>
      </c>
      <c r="CZ53">
        <f>IF($A53="","",'Beállítások'!$E$14*(10-J53))</f>
        <v/>
      </c>
      <c r="DA53">
        <f>IF($A53="","",'Beállítások'!$E$15*(10-K53))</f>
        <v/>
      </c>
      <c r="DB53">
        <f>IF($A53="","",'Beállítások'!$E$16*(10-L53))</f>
        <v/>
      </c>
      <c r="DC53">
        <f>IF($A53="","",'Beállítások'!$E$17*(10-M53))</f>
        <v/>
      </c>
      <c r="DD53">
        <f>IF($A53="","",'Beállítások'!$E$18*(10-N53))</f>
        <v/>
      </c>
      <c r="DE53">
        <f>IF($A53="","",'Beállítások'!$E$19*(10-O53))</f>
        <v/>
      </c>
      <c r="DF53">
        <f>IF($A53="","",'Beállítások'!$E$20*(10-P53))</f>
        <v/>
      </c>
      <c r="DG53">
        <f>IF($A53="","",'Beállítások'!$E$21*(10-Q53))</f>
        <v/>
      </c>
      <c r="DH53">
        <f>IF($A53="","",'Beállítások'!$E$22*(10-R53))</f>
        <v/>
      </c>
      <c r="DI53">
        <f>IF($A53="","",'Beállítások'!$E$23*(10-S53))</f>
        <v/>
      </c>
      <c r="DJ53">
        <f>IF($A53="","",'Beállítások'!$E$24*(10-T53))</f>
        <v/>
      </c>
      <c r="DK53">
        <f>IF($A53="","",'Beállítások'!$E$25*(10-U53))</f>
        <v/>
      </c>
      <c r="DL53">
        <f>IF($A53="","",'Beállítások'!$E$26*(10-V53))</f>
        <v/>
      </c>
      <c r="DM53">
        <f>IF($A53="","",'Beállítások'!$E$27*(10-W53))</f>
        <v/>
      </c>
      <c r="DN53">
        <f>IF($A53="","",'Beállítások'!$E$28*(10-X53))</f>
        <v/>
      </c>
      <c r="DO53">
        <f>IF($A53="","",'Beállítások'!$E$29*(10-Y53))</f>
        <v/>
      </c>
      <c r="DP53">
        <f>IF($A53="","",'Beállítások'!$E$30*(10-Z53))</f>
        <v/>
      </c>
      <c r="DQ53">
        <f>IF($A53="","",'Beállítások'!$E$31*(10-AA53))</f>
        <v/>
      </c>
      <c r="DR53">
        <f>IF($A53="","",'Beállítások'!$E$32*(10-AB53))</f>
        <v/>
      </c>
      <c r="DS53">
        <f>IF($A53="","",'Beállítások'!$E$33*(10-AC53))</f>
        <v/>
      </c>
      <c r="DT53">
        <f>IF($A53="","",'Beállítások'!$E$34*(10-AD53))</f>
        <v/>
      </c>
      <c r="DU53">
        <f>IF($A53="","",'Beállítások'!$E$35*(10-AE53))</f>
        <v/>
      </c>
      <c r="DV53">
        <f>IF($A53="","",'Beállítások'!$E$36*(10-AF53))</f>
        <v/>
      </c>
      <c r="DW53">
        <f>IF($A53="","",'Beállítások'!$E$37*(10-AG53))</f>
        <v/>
      </c>
      <c r="DX53">
        <f>IF($A53="","",'Beállítások'!$E$38*(10-AH53))</f>
        <v/>
      </c>
      <c r="DY53">
        <f>IF($A53="","",AM53-ROW()/100000)</f>
        <v/>
      </c>
    </row>
    <row r="54">
      <c r="A54">
        <f>IF('Ügyfelek'!A54="","",'Ügyfelek'!A54)</f>
        <v/>
      </c>
      <c r="B54">
        <f>IF($A54="","",IF('Ügyfelek'!B54="",'Beállítások'!$B$84,IFERROR(VLOOKUP(TRIM('Ügyfelek'!B54),'Beállítások'!$A$51:$B$59,2,FALSE),'Beállítások'!$B$84)))</f>
        <v/>
      </c>
      <c r="C54">
        <f>IF($A54="","",IF('Ügyfelek'!C54="",'Beállítások'!$B$84,MIN(10,MAX(1,ROUND('Ügyfelek'!C54,0)))))</f>
        <v/>
      </c>
      <c r="D54">
        <f>IF($A54="","",IF('Ügyfelek'!D54="",'Beállítások'!$B$84,MIN(10,MAX(1,ROUND('Ügyfelek'!D54,0)))))</f>
        <v/>
      </c>
      <c r="E54">
        <f>IF($A54="","",IF('Ügyfelek'!E54="",'Beállítások'!$B$84,MIN(10,MAX(1,ROUND('Ügyfelek'!E54,0)))))</f>
        <v/>
      </c>
      <c r="F54">
        <f>IF($A54="","",IF('Ügyfelek'!F54="",'Beállítások'!$B$84,MIN(10,MAX(1,ROUND('Ügyfelek'!F54,0)))))</f>
        <v/>
      </c>
      <c r="G54">
        <f>IF($A54="","",IF('Ügyfelek'!G54="",'Beállítások'!$B$84,MIN(10,MAX(1,ROUND('Ügyfelek'!G54,0)))))</f>
        <v/>
      </c>
      <c r="H54">
        <f>IF($A54="","",IF('Ügyfelek'!H54="",'Beállítások'!$B$84,MIN(10,MAX(1,ROUND('Ügyfelek'!H54,0)))))</f>
        <v/>
      </c>
      <c r="I54">
        <f>IF($A54="","",IF('Ügyfelek'!I54="",'Beállítások'!$B$84,MIN(10,MAX(1,ROUND('Ügyfelek'!I54,0)))))</f>
        <v/>
      </c>
      <c r="J54">
        <f>IF($A54="","",IF('Ügyfelek'!J54="",'Beállítások'!$B$84,MIN(10,MAX(1,ROUND('Ügyfelek'!J54,0)))))</f>
        <v/>
      </c>
      <c r="K54">
        <f>IF($A54="","",IF('Ügyfelek'!K54="",'Beállítások'!$B$84,MIN(10,MAX(1,ROUND('Ügyfelek'!K54,0)))))</f>
        <v/>
      </c>
      <c r="L54">
        <f>IF($A54="","",IF('Ügyfelek'!L54="",'Beállítások'!$B$84,MIN(10,MAX(1,ROUND('Ügyfelek'!L54,0)))))</f>
        <v/>
      </c>
      <c r="M54">
        <f>IF($A54="","",IF('Ügyfelek'!M54="",'Beállítások'!$B$84,MIN(10,MAX(1,ROUND('Ügyfelek'!M54,0)))))</f>
        <v/>
      </c>
      <c r="N54">
        <f>IF($A54="","",IF('Ügyfelek'!N54="",'Beállítások'!$B$84,MIN(10,MAX(1,ROUND('Ügyfelek'!N54,0)))))</f>
        <v/>
      </c>
      <c r="O54">
        <f>IF($A54="","",IF('Ügyfelek'!O54="",'Beállítások'!$B$84,MIN(10,MAX(1,ROUND('Ügyfelek'!O54,0)))))</f>
        <v/>
      </c>
      <c r="P54">
        <f>IF($A54="","",IF('Ügyfelek'!P54="",'Beállítások'!$B$84,MIN(10,MAX(1,ROUND('Ügyfelek'!P54,0)))))</f>
        <v/>
      </c>
      <c r="Q54">
        <f>IF($A54="","",IF('Ügyfelek'!Q54="",'Beállítások'!$B$84,MIN(10,MAX(1,ROUND('Ügyfelek'!Q54,0)))))</f>
        <v/>
      </c>
      <c r="R54">
        <f>IF($A54="","",IF('Ügyfelek'!R54="",'Beállítások'!$B$84,MIN(10,MAX(1,ROUND('Ügyfelek'!R54,0)))))</f>
        <v/>
      </c>
      <c r="S54">
        <f>IF($A54="","",IF('Ügyfelek'!S54="",'Beállítások'!$B$84,MIN(10,MAX(1,ROUND('Ügyfelek'!S54,0)))))</f>
        <v/>
      </c>
      <c r="T54">
        <f>IF($A54="","",IF('Ügyfelek'!T54="",'Beállítások'!$B$84,VLOOKUP(MAX('Ügyfelek'!T54,'Beállítások'!$H$7),'Beállítások'!$H$7:$I$12,2,TRUE)))</f>
        <v/>
      </c>
      <c r="U54">
        <f>IF($A54="","",IF('Ügyfelek'!U54="",'Beállítások'!$B$84,VLOOKUP(MAX('Ügyfelek'!U54,'Beállítások'!$K$7),'Beállítások'!$K$7:$L$12,2,TRUE)))</f>
        <v/>
      </c>
      <c r="V54">
        <f>IF($A54="","",IF('Ügyfelek'!V54="",'Beállítások'!$B$84,MIN(10,MAX(1,ROUND('Ügyfelek'!V54,0)))))</f>
        <v/>
      </c>
      <c r="W54">
        <f>IF($A54="","",IF('Ügyfelek'!W54="",'Beállítások'!$B$84,VLOOKUP(MAX('Ügyfelek'!W54,'Beállítások'!$N$7),'Beállítások'!$N$7:$O$12,2,TRUE)))</f>
        <v/>
      </c>
      <c r="X54">
        <f>IF($A54="","",IF('Ügyfelek'!X54="",'Beállítások'!$B$84,MIN(10,MAX(1,ROUND('Ügyfelek'!X54,0)))))</f>
        <v/>
      </c>
      <c r="Y54">
        <f>IF($A54="","",IF('Ügyfelek'!Y54="",'Beállítások'!$B$84,IFERROR(VLOOKUP(TRIM('Ügyfelek'!Y54),'Beállítások'!$A$63:$B$69,2,FALSE),'Beállítások'!$B$84)))</f>
        <v/>
      </c>
      <c r="Z54">
        <f>IF($A54="","",IF('Ügyfelek'!Z54="",'Beállítások'!$B$84,VLOOKUP(MAX('Ügyfelek'!Z54,'Beállítások'!$Q$7),'Beállítások'!$Q$7:$R$12,2,TRUE)))</f>
        <v/>
      </c>
      <c r="AA54">
        <f>IF($A54="","",IF('Ügyfelek'!AA54="",'Beállítások'!$B$84,VLOOKUP(MAX('Ügyfelek'!AA54,'Beállítások'!$T$7),'Beállítások'!$T$7:$U$12,2,TRUE)))</f>
        <v/>
      </c>
      <c r="AB54">
        <f>IF($A54="","",IF('Ügyfelek'!AB54="",'Beállítások'!$B$84,MIN(10,MAX(1,ROUND('Ügyfelek'!AB54,0)))))</f>
        <v/>
      </c>
      <c r="AC54">
        <f>IF($A54="","",IF('Ügyfelek'!AC54="",'Beállítások'!$B$84,MIN(10,MAX(1,ROUND('Ügyfelek'!AC54,0)))))</f>
        <v/>
      </c>
      <c r="AD54">
        <f>IF($A54="","",IF('Ügyfelek'!AD54="",'Beállítások'!$B$84,MIN(10,MAX(1,ROUND('Ügyfelek'!AD54,0)))))</f>
        <v/>
      </c>
      <c r="AE54">
        <f>IF($A54="","",IF('Ügyfelek'!AE54="",'Beállítások'!$B$84,MIN(10,MAX(1,ROUND('Ügyfelek'!AE54,0)))))</f>
        <v/>
      </c>
      <c r="AF54">
        <f>IF($A54="","",IF('Ügyfelek'!AF54="",'Beállítások'!$B$84,MIN(10,MAX(1,ROUND('Ügyfelek'!AF54,0)))))</f>
        <v/>
      </c>
      <c r="AG54">
        <f>IF($A54="","",IF('Ügyfelek'!AG54="",'Beállítások'!$B$84,MIN(10,MAX(1,ROUND('Ügyfelek'!AG54,0)))))</f>
        <v/>
      </c>
      <c r="AH54">
        <f>IF($A54="","",IF('Ügyfelek'!AH54="",'Beállítások'!$B$84,IFERROR(VLOOKUP(TRIM('Ügyfelek'!AH54),'Beállítások'!$A$73:$B$79,2,FALSE),'Beállítások'!$B$84)))</f>
        <v/>
      </c>
      <c r="AI54" s="23">
        <f>IF($A54="","",ROUND(100*('Beállítások'!$E$6*(B54-1)+'Beállítások'!$E$7*(C54-1))/(9*'Beállítások'!$B$43),1))</f>
        <v/>
      </c>
      <c r="AJ54" s="23">
        <f>IF($A54="","",ROUND(100*('Beállítások'!$E$8*(D54-1)+'Beállítások'!$E$9*(E54-1)+'Beállítások'!$E$10*(F54-1)+'Beállítások'!$E$11*(G54-1)+'Beállítások'!$E$12*(H54-1)+'Beállítások'!$E$13*(I54-1)+'Beállítások'!$E$14*(J54-1)+'Beállítások'!$E$15*(K54-1)+'Beállítások'!$E$16*(L54-1)+'Beállítások'!$E$17*(M54-1)+'Beállítások'!$E$18*(N54-1)+'Beállítások'!$E$19*(O54-1)+'Beállítások'!$E$20*(P54-1)+'Beállítások'!$E$21*(Q54-1)+'Beállítások'!$E$22*(R54-1))/(9*'Beállítások'!$B$44),1))</f>
        <v/>
      </c>
      <c r="AK54" s="23">
        <f>IF($A54="","",ROUND(100*('Beállítások'!$E$23*(S54-1)+'Beállítások'!$E$24*(T54-1)+'Beállítások'!$E$25*(U54-1)+'Beállítások'!$E$26*(V54-1)+'Beállítások'!$E$27*(W54-1)+'Beállítások'!$E$28*(X54-1)+'Beállítások'!$E$29*(Y54-1))/(9*'Beállítások'!$B$45),1))</f>
        <v/>
      </c>
      <c r="AL54" s="23">
        <f>IF($A54="","",ROUND(100*('Beállítások'!$E$30*(Z54-1)+'Beállítások'!$E$31*(AA54-1)+'Beállítások'!$E$32*(AB54-1)+'Beállítások'!$E$33*(AC54-1)+'Beállítások'!$E$34*(AD54-1)+'Beállítások'!$E$35*(AE54-1)+'Beállítások'!$E$36*(AF54-1)+'Beállítások'!$E$37*(AG54-1)+'Beállítások'!$E$38*(AH54-1))/(9*'Beállítások'!$B$46),1))</f>
        <v/>
      </c>
      <c r="AM54" s="23">
        <f>IF($A54="","",ROUND(100*('Beállítások'!$E$6*(B54-1)+'Beállítások'!$E$7*(C54-1)+'Beállítások'!$E$8*(D54-1)+'Beállítások'!$E$9*(E54-1)+'Beállítások'!$E$10*(F54-1)+'Beállítások'!$E$11*(G54-1)+'Beállítások'!$E$12*(H54-1)+'Beállítások'!$E$13*(I54-1)+'Beállítások'!$E$14*(J54-1)+'Beállítások'!$E$15*(K54-1)+'Beállítások'!$E$16*(L54-1)+'Beállítások'!$E$17*(M54-1)+'Beállítások'!$E$18*(N54-1)+'Beállítások'!$E$19*(O54-1)+'Beállítások'!$E$20*(P54-1)+'Beállítások'!$E$21*(Q54-1)+'Beállítások'!$E$22*(R54-1)+'Beállítások'!$E$23*(S54-1)+'Beállítások'!$E$24*(T54-1)+'Beállítások'!$E$25*(U54-1)+'Beállítások'!$E$26*(V54-1)+'Beállítások'!$E$27*(W54-1)+'Beállítások'!$E$28*(X54-1)+'Beállítások'!$E$29*(Y54-1)+'Beállítások'!$E$30*(Z54-1)+'Beállítások'!$E$31*(AA54-1)+'Beállítások'!$E$32*(AB54-1)+'Beállítások'!$E$33*(AC54-1)+'Beállítások'!$E$34*(AD54-1)+'Beállítások'!$E$35*(AE54-1)+'Beállítások'!$E$36*(AF54-1)+'Beállítások'!$E$37*(AG54-1)+'Beállítások'!$E$38*(AH54-1))/(9*'Beállítások'!$E$39),1))</f>
        <v/>
      </c>
      <c r="AN54" s="23">
        <f>IF($A54="","",ROUND(100*('Beállítások'!$E$8*(D54-1)+'Beállítások'!$E$9*(E54-1)+'Beállítások'!$E$10*(F54-1)+'Beállítások'!$E$11*(G54-1)+'Beállítások'!$E$12*(H54-1)+'Beállítások'!$E$13*(I54-1)+'Beállítások'!$E$14*(J54-1)+'Beállítások'!$E$15*(K54-1)+'Beállítások'!$E$16*(L54-1)+'Beállítások'!$E$17*(M54-1)+'Beállítások'!$E$18*(N54-1)+'Beállítások'!$E$19*(O54-1)+'Beállítások'!$E$20*(P54-1)+'Beállítások'!$E$21*(Q54-1)+'Beállítások'!$E$22*(R54-1)+'Beállítások'!$E$23*(S54-1)+'Beállítások'!$E$24*(T54-1)+'Beállítások'!$E$25*(U54-1)+'Beállítások'!$E$26*(V54-1)+'Beállítások'!$E$27*(W54-1)+'Beállítások'!$E$28*(X54-1)+'Beállítások'!$E$29*(Y54-1))/(9*('Beállítások'!$B$44+'Beállítások'!$B$45)),1))</f>
        <v/>
      </c>
      <c r="AO54" s="24">
        <f>IF($A54="","",RANK(AM54,$AM$2:$AM$201))</f>
        <v/>
      </c>
      <c r="AP54">
        <f>IF($A54="","",IF(OR(AND('Ügyfelek'!B54&lt;&gt;"",B54&lt;='Beállítások'!$B$85),AND('Ügyfelek'!C54&lt;&gt;"",C54&lt;='Beállítások'!$B$86)),"Igen","Nem"))</f>
        <v/>
      </c>
      <c r="AQ54" s="24">
        <f>IF($A54="","",IF(AP54="Igen",5,IF(AN54&gt;='Beállítások'!$C$108,1,IF(AN54&gt;='Beállítások'!$C$109,2,IF(AN54&gt;='Beállítások'!$C$110,3,IF(AND(AN54&gt;='Beállítások'!$B$87,AI54&gt;='Beállítások'!$B$88,AL54&gt;='Beállítások'!$B$89),4,5))))))</f>
        <v/>
      </c>
      <c r="AR54">
        <f>IF($A54="","",INDEX('Beállítások'!$B$108:$B$112,AQ54))</f>
        <v/>
      </c>
      <c r="AS54">
        <f>IF($A54="","",IF(AQ54=5,"Elutasítjuk",IF(AND(AQ54=4,COUNTIFS('Eredmény'!$AQ$2:$AQ$201,4,'Eredmény'!$DY$2:$DY$201,"&gt;"&amp;DY54)&gt;='Beállítások'!$B$90),"Várólista (a 4-es hely foglalt)","Elfogadjuk")))</f>
        <v/>
      </c>
      <c r="AT54">
        <f>IF($A54="","",INDEX('Beállítások'!$F$108:$F$112,AQ54))</f>
        <v/>
      </c>
      <c r="AU54">
        <f>IF($A54="","",INDEX('Beállítások'!$B$6:$B$38,MATCH(MAX(BK54:CQ54),BK54:CQ54,0)))</f>
        <v/>
      </c>
      <c r="AV54">
        <f>IF($A54="","",IF(MAX(CR54:DX54)=0,"—",INDEX('Beállítások'!$B$6:$B$38,MATCH(MAX(CR54:DX54),CR54:DX54,0))))</f>
        <v/>
      </c>
      <c r="AW54" s="10">
        <f>IF($A54="","",'Beállítások'!$B$94*(TRIM('Ügyfelek'!AI54)="igen")+'Beállítások'!$B$95*(TRIM('Ügyfelek'!AJ54)="igen")+'Beállítások'!$B$96*N('Ügyfelek'!AK54)+'Beállítások'!$B$93*N('Ügyfelek'!AL54))</f>
        <v/>
      </c>
      <c r="AX54" s="25">
        <f>IF(OR($A54="",AQ54=5),"",INDEX('Beállítások'!$D$108:$D$112,AQ54))</f>
        <v/>
      </c>
      <c r="AY54" s="10">
        <f>IF($A54="","",N('Ügyfelek'!U54)*'Beállítások'!$B$98)</f>
        <v/>
      </c>
      <c r="AZ54" s="10">
        <f>IF(OR($A54="",AQ54=5),"",CEILING(ROUND(MAX('Beállítások'!$B$97,AW54*AX54,AY54),2),'Beállítások'!$B$99))</f>
        <v/>
      </c>
      <c r="BA54">
        <f>IF($A54="","",IF(AQ54=5,"Elutasítva",IF(MAX('Beállítások'!$B$97,AW54*AX54,AY54)=AW54*AX54,"Munkaigény × státuszszorzó",IF(MAX('Beállítások'!$B$97,AW54*AX54,AY54)=AY54,"Hirdetési keret arányában","Minimumdíj"))))</f>
        <v/>
      </c>
      <c r="BB54" s="10">
        <f>IF(OR($A54="",'Ügyfelek'!AM54=""),"",'Ügyfelek'!AM54)</f>
        <v/>
      </c>
      <c r="BC54" s="10">
        <f>IF(OR(BB54="",AZ54=""),"",AZ54-BB54)</f>
        <v/>
      </c>
      <c r="BD54" s="18">
        <f>IF(OR(BB54="",AZ54="",BB54=0),"",BC54/BB54)</f>
        <v/>
      </c>
      <c r="BE54">
        <f>IF(OR($A54="",AQ54=5),"",IF(AND(INDEX('Beállítások'!$E$108:$E$112,AQ54)&gt;0,Y54&gt;='Beállítások'!$B$91),"Igen","Nem"))</f>
        <v/>
      </c>
      <c r="BF54" s="10">
        <f>IF(BE54="Igen",CEILING(ROUND(AZ54*(1-'Beállítások'!$B$92),2),'Beállítások'!$B$99),"")</f>
        <v/>
      </c>
      <c r="BG54" s="20">
        <f>IF(BE54="Igen",INDEX('Beállítások'!$E$108:$E$112,AQ54),"")</f>
        <v/>
      </c>
      <c r="BH54" s="10">
        <f>IF(OR(BE54&lt;&gt;"Igen",'Ügyfelek'!AN54=""),"",'Ügyfelek'!AN54*BG54)</f>
        <v/>
      </c>
      <c r="BI54" s="24">
        <f>IF($A54="","",('Ügyfelek'!B54="")+('Ügyfelek'!C54="")+('Ügyfelek'!D54="")+('Ügyfelek'!E54="")+('Ügyfelek'!F54="")+('Ügyfelek'!G54="")+('Ügyfelek'!H54="")+('Ügyfelek'!I54="")+('Ügyfelek'!J54="")+('Ügyfelek'!K54="")+('Ügyfelek'!L54="")+('Ügyfelek'!M54="")+('Ügyfelek'!N54="")+('Ügyfelek'!O54="")+('Ügyfelek'!P54="")+('Ügyfelek'!Q54="")+('Ügyfelek'!R54="")+('Ügyfelek'!S54="")+('Ügyfelek'!T54="")+('Ügyfelek'!U54="")+('Ügyfelek'!V54="")+('Ügyfelek'!W54="")+('Ügyfelek'!X54="")+('Ügyfelek'!Y54="")+('Ügyfelek'!Z54="")+('Ügyfelek'!AA54="")+('Ügyfelek'!AB54="")+('Ügyfelek'!AC54="")+('Ügyfelek'!AD54="")+('Ügyfelek'!AE54="")+('Ügyfelek'!AF54="")+('Ügyfelek'!AG54="")+('Ügyfelek'!AH54=""))</f>
        <v/>
      </c>
      <c r="BK54">
        <f>IF($A54="","",B54+'Beállítások'!$E$6/1000)</f>
        <v/>
      </c>
      <c r="BL54">
        <f>IF($A54="","",C54+'Beállítások'!$E$7/1000)</f>
        <v/>
      </c>
      <c r="BM54">
        <f>IF($A54="","",D54+'Beállítások'!$E$8/1000)</f>
        <v/>
      </c>
      <c r="BN54">
        <f>IF($A54="","",E54+'Beállítások'!$E$9/1000)</f>
        <v/>
      </c>
      <c r="BO54">
        <f>IF($A54="","",F54+'Beállítások'!$E$10/1000)</f>
        <v/>
      </c>
      <c r="BP54">
        <f>IF($A54="","",G54+'Beállítások'!$E$11/1000)</f>
        <v/>
      </c>
      <c r="BQ54">
        <f>IF($A54="","",H54+'Beállítások'!$E$12/1000)</f>
        <v/>
      </c>
      <c r="BR54">
        <f>IF($A54="","",I54+'Beállítások'!$E$13/1000)</f>
        <v/>
      </c>
      <c r="BS54">
        <f>IF($A54="","",J54+'Beállítások'!$E$14/1000)</f>
        <v/>
      </c>
      <c r="BT54">
        <f>IF($A54="","",K54+'Beállítások'!$E$15/1000)</f>
        <v/>
      </c>
      <c r="BU54">
        <f>IF($A54="","",L54+'Beállítások'!$E$16/1000)</f>
        <v/>
      </c>
      <c r="BV54">
        <f>IF($A54="","",M54+'Beállítások'!$E$17/1000)</f>
        <v/>
      </c>
      <c r="BW54">
        <f>IF($A54="","",N54+'Beállítások'!$E$18/1000)</f>
        <v/>
      </c>
      <c r="BX54">
        <f>IF($A54="","",O54+'Beállítások'!$E$19/1000)</f>
        <v/>
      </c>
      <c r="BY54">
        <f>IF($A54="","",P54+'Beállítások'!$E$20/1000)</f>
        <v/>
      </c>
      <c r="BZ54">
        <f>IF($A54="","",Q54+'Beállítások'!$E$21/1000)</f>
        <v/>
      </c>
      <c r="CA54">
        <f>IF($A54="","",R54+'Beállítások'!$E$22/1000)</f>
        <v/>
      </c>
      <c r="CB54">
        <f>IF($A54="","",S54+'Beállítások'!$E$23/1000)</f>
        <v/>
      </c>
      <c r="CC54">
        <f>IF($A54="","",T54+'Beállítások'!$E$24/1000)</f>
        <v/>
      </c>
      <c r="CD54">
        <f>IF($A54="","",U54+'Beállítások'!$E$25/1000)</f>
        <v/>
      </c>
      <c r="CE54">
        <f>IF($A54="","",V54+'Beállítások'!$E$26/1000)</f>
        <v/>
      </c>
      <c r="CF54">
        <f>IF($A54="","",W54+'Beállítások'!$E$27/1000)</f>
        <v/>
      </c>
      <c r="CG54">
        <f>IF($A54="","",X54+'Beállítások'!$E$28/1000)</f>
        <v/>
      </c>
      <c r="CH54">
        <f>IF($A54="","",Y54+'Beállítások'!$E$29/1000)</f>
        <v/>
      </c>
      <c r="CI54">
        <f>IF($A54="","",Z54+'Beállítások'!$E$30/1000)</f>
        <v/>
      </c>
      <c r="CJ54">
        <f>IF($A54="","",AA54+'Beállítások'!$E$31/1000)</f>
        <v/>
      </c>
      <c r="CK54">
        <f>IF($A54="","",AB54+'Beállítások'!$E$32/1000)</f>
        <v/>
      </c>
      <c r="CL54">
        <f>IF($A54="","",AC54+'Beállítások'!$E$33/1000)</f>
        <v/>
      </c>
      <c r="CM54">
        <f>IF($A54="","",AD54+'Beállítások'!$E$34/1000)</f>
        <v/>
      </c>
      <c r="CN54">
        <f>IF($A54="","",AE54+'Beállítások'!$E$35/1000)</f>
        <v/>
      </c>
      <c r="CO54">
        <f>IF($A54="","",AF54+'Beállítások'!$E$36/1000)</f>
        <v/>
      </c>
      <c r="CP54">
        <f>IF($A54="","",AG54+'Beállítások'!$E$37/1000)</f>
        <v/>
      </c>
      <c r="CQ54">
        <f>IF($A54="","",AH54+'Beállítások'!$E$38/1000)</f>
        <v/>
      </c>
      <c r="CR54">
        <f>IF($A54="","",'Beállítások'!$E$6*(10-B54))</f>
        <v/>
      </c>
      <c r="CS54">
        <f>IF($A54="","",'Beállítások'!$E$7*(10-C54))</f>
        <v/>
      </c>
      <c r="CT54">
        <f>IF($A54="","",'Beállítások'!$E$8*(10-D54))</f>
        <v/>
      </c>
      <c r="CU54">
        <f>IF($A54="","",'Beállítások'!$E$9*(10-E54))</f>
        <v/>
      </c>
      <c r="CV54">
        <f>IF($A54="","",'Beállítások'!$E$10*(10-F54))</f>
        <v/>
      </c>
      <c r="CW54">
        <f>IF($A54="","",'Beállítások'!$E$11*(10-G54))</f>
        <v/>
      </c>
      <c r="CX54">
        <f>IF($A54="","",'Beállítások'!$E$12*(10-H54))</f>
        <v/>
      </c>
      <c r="CY54">
        <f>IF($A54="","",'Beállítások'!$E$13*(10-I54))</f>
        <v/>
      </c>
      <c r="CZ54">
        <f>IF($A54="","",'Beállítások'!$E$14*(10-J54))</f>
        <v/>
      </c>
      <c r="DA54">
        <f>IF($A54="","",'Beállítások'!$E$15*(10-K54))</f>
        <v/>
      </c>
      <c r="DB54">
        <f>IF($A54="","",'Beállítások'!$E$16*(10-L54))</f>
        <v/>
      </c>
      <c r="DC54">
        <f>IF($A54="","",'Beállítások'!$E$17*(10-M54))</f>
        <v/>
      </c>
      <c r="DD54">
        <f>IF($A54="","",'Beállítások'!$E$18*(10-N54))</f>
        <v/>
      </c>
      <c r="DE54">
        <f>IF($A54="","",'Beállítások'!$E$19*(10-O54))</f>
        <v/>
      </c>
      <c r="DF54">
        <f>IF($A54="","",'Beállítások'!$E$20*(10-P54))</f>
        <v/>
      </c>
      <c r="DG54">
        <f>IF($A54="","",'Beállítások'!$E$21*(10-Q54))</f>
        <v/>
      </c>
      <c r="DH54">
        <f>IF($A54="","",'Beállítások'!$E$22*(10-R54))</f>
        <v/>
      </c>
      <c r="DI54">
        <f>IF($A54="","",'Beállítások'!$E$23*(10-S54))</f>
        <v/>
      </c>
      <c r="DJ54">
        <f>IF($A54="","",'Beállítások'!$E$24*(10-T54))</f>
        <v/>
      </c>
      <c r="DK54">
        <f>IF($A54="","",'Beállítások'!$E$25*(10-U54))</f>
        <v/>
      </c>
      <c r="DL54">
        <f>IF($A54="","",'Beállítások'!$E$26*(10-V54))</f>
        <v/>
      </c>
      <c r="DM54">
        <f>IF($A54="","",'Beállítások'!$E$27*(10-W54))</f>
        <v/>
      </c>
      <c r="DN54">
        <f>IF($A54="","",'Beállítások'!$E$28*(10-X54))</f>
        <v/>
      </c>
      <c r="DO54">
        <f>IF($A54="","",'Beállítások'!$E$29*(10-Y54))</f>
        <v/>
      </c>
      <c r="DP54">
        <f>IF($A54="","",'Beállítások'!$E$30*(10-Z54))</f>
        <v/>
      </c>
      <c r="DQ54">
        <f>IF($A54="","",'Beállítások'!$E$31*(10-AA54))</f>
        <v/>
      </c>
      <c r="DR54">
        <f>IF($A54="","",'Beállítások'!$E$32*(10-AB54))</f>
        <v/>
      </c>
      <c r="DS54">
        <f>IF($A54="","",'Beállítások'!$E$33*(10-AC54))</f>
        <v/>
      </c>
      <c r="DT54">
        <f>IF($A54="","",'Beállítások'!$E$34*(10-AD54))</f>
        <v/>
      </c>
      <c r="DU54">
        <f>IF($A54="","",'Beállítások'!$E$35*(10-AE54))</f>
        <v/>
      </c>
      <c r="DV54">
        <f>IF($A54="","",'Beállítások'!$E$36*(10-AF54))</f>
        <v/>
      </c>
      <c r="DW54">
        <f>IF($A54="","",'Beállítások'!$E$37*(10-AG54))</f>
        <v/>
      </c>
      <c r="DX54">
        <f>IF($A54="","",'Beállítások'!$E$38*(10-AH54))</f>
        <v/>
      </c>
      <c r="DY54">
        <f>IF($A54="","",AM54-ROW()/100000)</f>
        <v/>
      </c>
    </row>
    <row r="55">
      <c r="A55">
        <f>IF('Ügyfelek'!A55="","",'Ügyfelek'!A55)</f>
        <v/>
      </c>
      <c r="B55">
        <f>IF($A55="","",IF('Ügyfelek'!B55="",'Beállítások'!$B$84,IFERROR(VLOOKUP(TRIM('Ügyfelek'!B55),'Beállítások'!$A$51:$B$59,2,FALSE),'Beállítások'!$B$84)))</f>
        <v/>
      </c>
      <c r="C55">
        <f>IF($A55="","",IF('Ügyfelek'!C55="",'Beállítások'!$B$84,MIN(10,MAX(1,ROUND('Ügyfelek'!C55,0)))))</f>
        <v/>
      </c>
      <c r="D55">
        <f>IF($A55="","",IF('Ügyfelek'!D55="",'Beállítások'!$B$84,MIN(10,MAX(1,ROUND('Ügyfelek'!D55,0)))))</f>
        <v/>
      </c>
      <c r="E55">
        <f>IF($A55="","",IF('Ügyfelek'!E55="",'Beállítások'!$B$84,MIN(10,MAX(1,ROUND('Ügyfelek'!E55,0)))))</f>
        <v/>
      </c>
      <c r="F55">
        <f>IF($A55="","",IF('Ügyfelek'!F55="",'Beállítások'!$B$84,MIN(10,MAX(1,ROUND('Ügyfelek'!F55,0)))))</f>
        <v/>
      </c>
      <c r="G55">
        <f>IF($A55="","",IF('Ügyfelek'!G55="",'Beállítások'!$B$84,MIN(10,MAX(1,ROUND('Ügyfelek'!G55,0)))))</f>
        <v/>
      </c>
      <c r="H55">
        <f>IF($A55="","",IF('Ügyfelek'!H55="",'Beállítások'!$B$84,MIN(10,MAX(1,ROUND('Ügyfelek'!H55,0)))))</f>
        <v/>
      </c>
      <c r="I55">
        <f>IF($A55="","",IF('Ügyfelek'!I55="",'Beállítások'!$B$84,MIN(10,MAX(1,ROUND('Ügyfelek'!I55,0)))))</f>
        <v/>
      </c>
      <c r="J55">
        <f>IF($A55="","",IF('Ügyfelek'!J55="",'Beállítások'!$B$84,MIN(10,MAX(1,ROUND('Ügyfelek'!J55,0)))))</f>
        <v/>
      </c>
      <c r="K55">
        <f>IF($A55="","",IF('Ügyfelek'!K55="",'Beállítások'!$B$84,MIN(10,MAX(1,ROUND('Ügyfelek'!K55,0)))))</f>
        <v/>
      </c>
      <c r="L55">
        <f>IF($A55="","",IF('Ügyfelek'!L55="",'Beállítások'!$B$84,MIN(10,MAX(1,ROUND('Ügyfelek'!L55,0)))))</f>
        <v/>
      </c>
      <c r="M55">
        <f>IF($A55="","",IF('Ügyfelek'!M55="",'Beállítások'!$B$84,MIN(10,MAX(1,ROUND('Ügyfelek'!M55,0)))))</f>
        <v/>
      </c>
      <c r="N55">
        <f>IF($A55="","",IF('Ügyfelek'!N55="",'Beállítások'!$B$84,MIN(10,MAX(1,ROUND('Ügyfelek'!N55,0)))))</f>
        <v/>
      </c>
      <c r="O55">
        <f>IF($A55="","",IF('Ügyfelek'!O55="",'Beállítások'!$B$84,MIN(10,MAX(1,ROUND('Ügyfelek'!O55,0)))))</f>
        <v/>
      </c>
      <c r="P55">
        <f>IF($A55="","",IF('Ügyfelek'!P55="",'Beállítások'!$B$84,MIN(10,MAX(1,ROUND('Ügyfelek'!P55,0)))))</f>
        <v/>
      </c>
      <c r="Q55">
        <f>IF($A55="","",IF('Ügyfelek'!Q55="",'Beállítások'!$B$84,MIN(10,MAX(1,ROUND('Ügyfelek'!Q55,0)))))</f>
        <v/>
      </c>
      <c r="R55">
        <f>IF($A55="","",IF('Ügyfelek'!R55="",'Beállítások'!$B$84,MIN(10,MAX(1,ROUND('Ügyfelek'!R55,0)))))</f>
        <v/>
      </c>
      <c r="S55">
        <f>IF($A55="","",IF('Ügyfelek'!S55="",'Beállítások'!$B$84,MIN(10,MAX(1,ROUND('Ügyfelek'!S55,0)))))</f>
        <v/>
      </c>
      <c r="T55">
        <f>IF($A55="","",IF('Ügyfelek'!T55="",'Beállítások'!$B$84,VLOOKUP(MAX('Ügyfelek'!T55,'Beállítások'!$H$7),'Beállítások'!$H$7:$I$12,2,TRUE)))</f>
        <v/>
      </c>
      <c r="U55">
        <f>IF($A55="","",IF('Ügyfelek'!U55="",'Beállítások'!$B$84,VLOOKUP(MAX('Ügyfelek'!U55,'Beállítások'!$K$7),'Beállítások'!$K$7:$L$12,2,TRUE)))</f>
        <v/>
      </c>
      <c r="V55">
        <f>IF($A55="","",IF('Ügyfelek'!V55="",'Beállítások'!$B$84,MIN(10,MAX(1,ROUND('Ügyfelek'!V55,0)))))</f>
        <v/>
      </c>
      <c r="W55">
        <f>IF($A55="","",IF('Ügyfelek'!W55="",'Beállítások'!$B$84,VLOOKUP(MAX('Ügyfelek'!W55,'Beállítások'!$N$7),'Beállítások'!$N$7:$O$12,2,TRUE)))</f>
        <v/>
      </c>
      <c r="X55">
        <f>IF($A55="","",IF('Ügyfelek'!X55="",'Beállítások'!$B$84,MIN(10,MAX(1,ROUND('Ügyfelek'!X55,0)))))</f>
        <v/>
      </c>
      <c r="Y55">
        <f>IF($A55="","",IF('Ügyfelek'!Y55="",'Beállítások'!$B$84,IFERROR(VLOOKUP(TRIM('Ügyfelek'!Y55),'Beállítások'!$A$63:$B$69,2,FALSE),'Beállítások'!$B$84)))</f>
        <v/>
      </c>
      <c r="Z55">
        <f>IF($A55="","",IF('Ügyfelek'!Z55="",'Beállítások'!$B$84,VLOOKUP(MAX('Ügyfelek'!Z55,'Beállítások'!$Q$7),'Beállítások'!$Q$7:$R$12,2,TRUE)))</f>
        <v/>
      </c>
      <c r="AA55">
        <f>IF($A55="","",IF('Ügyfelek'!AA55="",'Beállítások'!$B$84,VLOOKUP(MAX('Ügyfelek'!AA55,'Beállítások'!$T$7),'Beállítások'!$T$7:$U$12,2,TRUE)))</f>
        <v/>
      </c>
      <c r="AB55">
        <f>IF($A55="","",IF('Ügyfelek'!AB55="",'Beállítások'!$B$84,MIN(10,MAX(1,ROUND('Ügyfelek'!AB55,0)))))</f>
        <v/>
      </c>
      <c r="AC55">
        <f>IF($A55="","",IF('Ügyfelek'!AC55="",'Beállítások'!$B$84,MIN(10,MAX(1,ROUND('Ügyfelek'!AC55,0)))))</f>
        <v/>
      </c>
      <c r="AD55">
        <f>IF($A55="","",IF('Ügyfelek'!AD55="",'Beállítások'!$B$84,MIN(10,MAX(1,ROUND('Ügyfelek'!AD55,0)))))</f>
        <v/>
      </c>
      <c r="AE55">
        <f>IF($A55="","",IF('Ügyfelek'!AE55="",'Beállítások'!$B$84,MIN(10,MAX(1,ROUND('Ügyfelek'!AE55,0)))))</f>
        <v/>
      </c>
      <c r="AF55">
        <f>IF($A55="","",IF('Ügyfelek'!AF55="",'Beállítások'!$B$84,MIN(10,MAX(1,ROUND('Ügyfelek'!AF55,0)))))</f>
        <v/>
      </c>
      <c r="AG55">
        <f>IF($A55="","",IF('Ügyfelek'!AG55="",'Beállítások'!$B$84,MIN(10,MAX(1,ROUND('Ügyfelek'!AG55,0)))))</f>
        <v/>
      </c>
      <c r="AH55">
        <f>IF($A55="","",IF('Ügyfelek'!AH55="",'Beállítások'!$B$84,IFERROR(VLOOKUP(TRIM('Ügyfelek'!AH55),'Beállítások'!$A$73:$B$79,2,FALSE),'Beállítások'!$B$84)))</f>
        <v/>
      </c>
      <c r="AI55" s="23">
        <f>IF($A55="","",ROUND(100*('Beállítások'!$E$6*(B55-1)+'Beállítások'!$E$7*(C55-1))/(9*'Beállítások'!$B$43),1))</f>
        <v/>
      </c>
      <c r="AJ55" s="23">
        <f>IF($A55="","",ROUND(100*('Beállítások'!$E$8*(D55-1)+'Beállítások'!$E$9*(E55-1)+'Beállítások'!$E$10*(F55-1)+'Beállítások'!$E$11*(G55-1)+'Beállítások'!$E$12*(H55-1)+'Beállítások'!$E$13*(I55-1)+'Beállítások'!$E$14*(J55-1)+'Beállítások'!$E$15*(K55-1)+'Beállítások'!$E$16*(L55-1)+'Beállítások'!$E$17*(M55-1)+'Beállítások'!$E$18*(N55-1)+'Beállítások'!$E$19*(O55-1)+'Beállítások'!$E$20*(P55-1)+'Beállítások'!$E$21*(Q55-1)+'Beállítások'!$E$22*(R55-1))/(9*'Beállítások'!$B$44),1))</f>
        <v/>
      </c>
      <c r="AK55" s="23">
        <f>IF($A55="","",ROUND(100*('Beállítások'!$E$23*(S55-1)+'Beállítások'!$E$24*(T55-1)+'Beállítások'!$E$25*(U55-1)+'Beállítások'!$E$26*(V55-1)+'Beállítások'!$E$27*(W55-1)+'Beállítások'!$E$28*(X55-1)+'Beállítások'!$E$29*(Y55-1))/(9*'Beállítások'!$B$45),1))</f>
        <v/>
      </c>
      <c r="AL55" s="23">
        <f>IF($A55="","",ROUND(100*('Beállítások'!$E$30*(Z55-1)+'Beállítások'!$E$31*(AA55-1)+'Beállítások'!$E$32*(AB55-1)+'Beállítások'!$E$33*(AC55-1)+'Beállítások'!$E$34*(AD55-1)+'Beállítások'!$E$35*(AE55-1)+'Beállítások'!$E$36*(AF55-1)+'Beállítások'!$E$37*(AG55-1)+'Beállítások'!$E$38*(AH55-1))/(9*'Beállítások'!$B$46),1))</f>
        <v/>
      </c>
      <c r="AM55" s="23">
        <f>IF($A55="","",ROUND(100*('Beállítások'!$E$6*(B55-1)+'Beállítások'!$E$7*(C55-1)+'Beállítások'!$E$8*(D55-1)+'Beállítások'!$E$9*(E55-1)+'Beállítások'!$E$10*(F55-1)+'Beállítások'!$E$11*(G55-1)+'Beállítások'!$E$12*(H55-1)+'Beállítások'!$E$13*(I55-1)+'Beállítások'!$E$14*(J55-1)+'Beállítások'!$E$15*(K55-1)+'Beállítások'!$E$16*(L55-1)+'Beállítások'!$E$17*(M55-1)+'Beállítások'!$E$18*(N55-1)+'Beállítások'!$E$19*(O55-1)+'Beállítások'!$E$20*(P55-1)+'Beállítások'!$E$21*(Q55-1)+'Beállítások'!$E$22*(R55-1)+'Beállítások'!$E$23*(S55-1)+'Beállítások'!$E$24*(T55-1)+'Beállítások'!$E$25*(U55-1)+'Beállítások'!$E$26*(V55-1)+'Beállítások'!$E$27*(W55-1)+'Beállítások'!$E$28*(X55-1)+'Beállítások'!$E$29*(Y55-1)+'Beállítások'!$E$30*(Z55-1)+'Beállítások'!$E$31*(AA55-1)+'Beállítások'!$E$32*(AB55-1)+'Beállítások'!$E$33*(AC55-1)+'Beállítások'!$E$34*(AD55-1)+'Beállítások'!$E$35*(AE55-1)+'Beállítások'!$E$36*(AF55-1)+'Beállítások'!$E$37*(AG55-1)+'Beállítások'!$E$38*(AH55-1))/(9*'Beállítások'!$E$39),1))</f>
        <v/>
      </c>
      <c r="AN55" s="23">
        <f>IF($A55="","",ROUND(100*('Beállítások'!$E$8*(D55-1)+'Beállítások'!$E$9*(E55-1)+'Beállítások'!$E$10*(F55-1)+'Beállítások'!$E$11*(G55-1)+'Beállítások'!$E$12*(H55-1)+'Beállítások'!$E$13*(I55-1)+'Beállítások'!$E$14*(J55-1)+'Beállítások'!$E$15*(K55-1)+'Beállítások'!$E$16*(L55-1)+'Beállítások'!$E$17*(M55-1)+'Beállítások'!$E$18*(N55-1)+'Beállítások'!$E$19*(O55-1)+'Beállítások'!$E$20*(P55-1)+'Beállítások'!$E$21*(Q55-1)+'Beállítások'!$E$22*(R55-1)+'Beállítások'!$E$23*(S55-1)+'Beállítások'!$E$24*(T55-1)+'Beállítások'!$E$25*(U55-1)+'Beállítások'!$E$26*(V55-1)+'Beállítások'!$E$27*(W55-1)+'Beállítások'!$E$28*(X55-1)+'Beállítások'!$E$29*(Y55-1))/(9*('Beállítások'!$B$44+'Beállítások'!$B$45)),1))</f>
        <v/>
      </c>
      <c r="AO55" s="24">
        <f>IF($A55="","",RANK(AM55,$AM$2:$AM$201))</f>
        <v/>
      </c>
      <c r="AP55">
        <f>IF($A55="","",IF(OR(AND('Ügyfelek'!B55&lt;&gt;"",B55&lt;='Beállítások'!$B$85),AND('Ügyfelek'!C55&lt;&gt;"",C55&lt;='Beállítások'!$B$86)),"Igen","Nem"))</f>
        <v/>
      </c>
      <c r="AQ55" s="24">
        <f>IF($A55="","",IF(AP55="Igen",5,IF(AN55&gt;='Beállítások'!$C$108,1,IF(AN55&gt;='Beállítások'!$C$109,2,IF(AN55&gt;='Beállítások'!$C$110,3,IF(AND(AN55&gt;='Beállítások'!$B$87,AI55&gt;='Beállítások'!$B$88,AL55&gt;='Beállítások'!$B$89),4,5))))))</f>
        <v/>
      </c>
      <c r="AR55">
        <f>IF($A55="","",INDEX('Beállítások'!$B$108:$B$112,AQ55))</f>
        <v/>
      </c>
      <c r="AS55">
        <f>IF($A55="","",IF(AQ55=5,"Elutasítjuk",IF(AND(AQ55=4,COUNTIFS('Eredmény'!$AQ$2:$AQ$201,4,'Eredmény'!$DY$2:$DY$201,"&gt;"&amp;DY55)&gt;='Beállítások'!$B$90),"Várólista (a 4-es hely foglalt)","Elfogadjuk")))</f>
        <v/>
      </c>
      <c r="AT55">
        <f>IF($A55="","",INDEX('Beállítások'!$F$108:$F$112,AQ55))</f>
        <v/>
      </c>
      <c r="AU55">
        <f>IF($A55="","",INDEX('Beállítások'!$B$6:$B$38,MATCH(MAX(BK55:CQ55),BK55:CQ55,0)))</f>
        <v/>
      </c>
      <c r="AV55">
        <f>IF($A55="","",IF(MAX(CR55:DX55)=0,"—",INDEX('Beállítások'!$B$6:$B$38,MATCH(MAX(CR55:DX55),CR55:DX55,0))))</f>
        <v/>
      </c>
      <c r="AW55" s="10">
        <f>IF($A55="","",'Beállítások'!$B$94*(TRIM('Ügyfelek'!AI55)="igen")+'Beállítások'!$B$95*(TRIM('Ügyfelek'!AJ55)="igen")+'Beállítások'!$B$96*N('Ügyfelek'!AK55)+'Beállítások'!$B$93*N('Ügyfelek'!AL55))</f>
        <v/>
      </c>
      <c r="AX55" s="25">
        <f>IF(OR($A55="",AQ55=5),"",INDEX('Beállítások'!$D$108:$D$112,AQ55))</f>
        <v/>
      </c>
      <c r="AY55" s="10">
        <f>IF($A55="","",N('Ügyfelek'!U55)*'Beállítások'!$B$98)</f>
        <v/>
      </c>
      <c r="AZ55" s="10">
        <f>IF(OR($A55="",AQ55=5),"",CEILING(ROUND(MAX('Beállítások'!$B$97,AW55*AX55,AY55),2),'Beállítások'!$B$99))</f>
        <v/>
      </c>
      <c r="BA55">
        <f>IF($A55="","",IF(AQ55=5,"Elutasítva",IF(MAX('Beállítások'!$B$97,AW55*AX55,AY55)=AW55*AX55,"Munkaigény × státuszszorzó",IF(MAX('Beállítások'!$B$97,AW55*AX55,AY55)=AY55,"Hirdetési keret arányában","Minimumdíj"))))</f>
        <v/>
      </c>
      <c r="BB55" s="10">
        <f>IF(OR($A55="",'Ügyfelek'!AM55=""),"",'Ügyfelek'!AM55)</f>
        <v/>
      </c>
      <c r="BC55" s="10">
        <f>IF(OR(BB55="",AZ55=""),"",AZ55-BB55)</f>
        <v/>
      </c>
      <c r="BD55" s="18">
        <f>IF(OR(BB55="",AZ55="",BB55=0),"",BC55/BB55)</f>
        <v/>
      </c>
      <c r="BE55">
        <f>IF(OR($A55="",AQ55=5),"",IF(AND(INDEX('Beállítások'!$E$108:$E$112,AQ55)&gt;0,Y55&gt;='Beállítások'!$B$91),"Igen","Nem"))</f>
        <v/>
      </c>
      <c r="BF55" s="10">
        <f>IF(BE55="Igen",CEILING(ROUND(AZ55*(1-'Beállítások'!$B$92),2),'Beállítások'!$B$99),"")</f>
        <v/>
      </c>
      <c r="BG55" s="20">
        <f>IF(BE55="Igen",INDEX('Beállítások'!$E$108:$E$112,AQ55),"")</f>
        <v/>
      </c>
      <c r="BH55" s="10">
        <f>IF(OR(BE55&lt;&gt;"Igen",'Ügyfelek'!AN55=""),"",'Ügyfelek'!AN55*BG55)</f>
        <v/>
      </c>
      <c r="BI55" s="24">
        <f>IF($A55="","",('Ügyfelek'!B55="")+('Ügyfelek'!C55="")+('Ügyfelek'!D55="")+('Ügyfelek'!E55="")+('Ügyfelek'!F55="")+('Ügyfelek'!G55="")+('Ügyfelek'!H55="")+('Ügyfelek'!I55="")+('Ügyfelek'!J55="")+('Ügyfelek'!K55="")+('Ügyfelek'!L55="")+('Ügyfelek'!M55="")+('Ügyfelek'!N55="")+('Ügyfelek'!O55="")+('Ügyfelek'!P55="")+('Ügyfelek'!Q55="")+('Ügyfelek'!R55="")+('Ügyfelek'!S55="")+('Ügyfelek'!T55="")+('Ügyfelek'!U55="")+('Ügyfelek'!V55="")+('Ügyfelek'!W55="")+('Ügyfelek'!X55="")+('Ügyfelek'!Y55="")+('Ügyfelek'!Z55="")+('Ügyfelek'!AA55="")+('Ügyfelek'!AB55="")+('Ügyfelek'!AC55="")+('Ügyfelek'!AD55="")+('Ügyfelek'!AE55="")+('Ügyfelek'!AF55="")+('Ügyfelek'!AG55="")+('Ügyfelek'!AH55=""))</f>
        <v/>
      </c>
      <c r="BK55">
        <f>IF($A55="","",B55+'Beállítások'!$E$6/1000)</f>
        <v/>
      </c>
      <c r="BL55">
        <f>IF($A55="","",C55+'Beállítások'!$E$7/1000)</f>
        <v/>
      </c>
      <c r="BM55">
        <f>IF($A55="","",D55+'Beállítások'!$E$8/1000)</f>
        <v/>
      </c>
      <c r="BN55">
        <f>IF($A55="","",E55+'Beállítások'!$E$9/1000)</f>
        <v/>
      </c>
      <c r="BO55">
        <f>IF($A55="","",F55+'Beállítások'!$E$10/1000)</f>
        <v/>
      </c>
      <c r="BP55">
        <f>IF($A55="","",G55+'Beállítások'!$E$11/1000)</f>
        <v/>
      </c>
      <c r="BQ55">
        <f>IF($A55="","",H55+'Beállítások'!$E$12/1000)</f>
        <v/>
      </c>
      <c r="BR55">
        <f>IF($A55="","",I55+'Beállítások'!$E$13/1000)</f>
        <v/>
      </c>
      <c r="BS55">
        <f>IF($A55="","",J55+'Beállítások'!$E$14/1000)</f>
        <v/>
      </c>
      <c r="BT55">
        <f>IF($A55="","",K55+'Beállítások'!$E$15/1000)</f>
        <v/>
      </c>
      <c r="BU55">
        <f>IF($A55="","",L55+'Beállítások'!$E$16/1000)</f>
        <v/>
      </c>
      <c r="BV55">
        <f>IF($A55="","",M55+'Beállítások'!$E$17/1000)</f>
        <v/>
      </c>
      <c r="BW55">
        <f>IF($A55="","",N55+'Beállítások'!$E$18/1000)</f>
        <v/>
      </c>
      <c r="BX55">
        <f>IF($A55="","",O55+'Beállítások'!$E$19/1000)</f>
        <v/>
      </c>
      <c r="BY55">
        <f>IF($A55="","",P55+'Beállítások'!$E$20/1000)</f>
        <v/>
      </c>
      <c r="BZ55">
        <f>IF($A55="","",Q55+'Beállítások'!$E$21/1000)</f>
        <v/>
      </c>
      <c r="CA55">
        <f>IF($A55="","",R55+'Beállítások'!$E$22/1000)</f>
        <v/>
      </c>
      <c r="CB55">
        <f>IF($A55="","",S55+'Beállítások'!$E$23/1000)</f>
        <v/>
      </c>
      <c r="CC55">
        <f>IF($A55="","",T55+'Beállítások'!$E$24/1000)</f>
        <v/>
      </c>
      <c r="CD55">
        <f>IF($A55="","",U55+'Beállítások'!$E$25/1000)</f>
        <v/>
      </c>
      <c r="CE55">
        <f>IF($A55="","",V55+'Beállítások'!$E$26/1000)</f>
        <v/>
      </c>
      <c r="CF55">
        <f>IF($A55="","",W55+'Beállítások'!$E$27/1000)</f>
        <v/>
      </c>
      <c r="CG55">
        <f>IF($A55="","",X55+'Beállítások'!$E$28/1000)</f>
        <v/>
      </c>
      <c r="CH55">
        <f>IF($A55="","",Y55+'Beállítások'!$E$29/1000)</f>
        <v/>
      </c>
      <c r="CI55">
        <f>IF($A55="","",Z55+'Beállítások'!$E$30/1000)</f>
        <v/>
      </c>
      <c r="CJ55">
        <f>IF($A55="","",AA55+'Beállítások'!$E$31/1000)</f>
        <v/>
      </c>
      <c r="CK55">
        <f>IF($A55="","",AB55+'Beállítások'!$E$32/1000)</f>
        <v/>
      </c>
      <c r="CL55">
        <f>IF($A55="","",AC55+'Beállítások'!$E$33/1000)</f>
        <v/>
      </c>
      <c r="CM55">
        <f>IF($A55="","",AD55+'Beállítások'!$E$34/1000)</f>
        <v/>
      </c>
      <c r="CN55">
        <f>IF($A55="","",AE55+'Beállítások'!$E$35/1000)</f>
        <v/>
      </c>
      <c r="CO55">
        <f>IF($A55="","",AF55+'Beállítások'!$E$36/1000)</f>
        <v/>
      </c>
      <c r="CP55">
        <f>IF($A55="","",AG55+'Beállítások'!$E$37/1000)</f>
        <v/>
      </c>
      <c r="CQ55">
        <f>IF($A55="","",AH55+'Beállítások'!$E$38/1000)</f>
        <v/>
      </c>
      <c r="CR55">
        <f>IF($A55="","",'Beállítások'!$E$6*(10-B55))</f>
        <v/>
      </c>
      <c r="CS55">
        <f>IF($A55="","",'Beállítások'!$E$7*(10-C55))</f>
        <v/>
      </c>
      <c r="CT55">
        <f>IF($A55="","",'Beállítások'!$E$8*(10-D55))</f>
        <v/>
      </c>
      <c r="CU55">
        <f>IF($A55="","",'Beállítások'!$E$9*(10-E55))</f>
        <v/>
      </c>
      <c r="CV55">
        <f>IF($A55="","",'Beállítások'!$E$10*(10-F55))</f>
        <v/>
      </c>
      <c r="CW55">
        <f>IF($A55="","",'Beállítások'!$E$11*(10-G55))</f>
        <v/>
      </c>
      <c r="CX55">
        <f>IF($A55="","",'Beállítások'!$E$12*(10-H55))</f>
        <v/>
      </c>
      <c r="CY55">
        <f>IF($A55="","",'Beállítások'!$E$13*(10-I55))</f>
        <v/>
      </c>
      <c r="CZ55">
        <f>IF($A55="","",'Beállítások'!$E$14*(10-J55))</f>
        <v/>
      </c>
      <c r="DA55">
        <f>IF($A55="","",'Beállítások'!$E$15*(10-K55))</f>
        <v/>
      </c>
      <c r="DB55">
        <f>IF($A55="","",'Beállítások'!$E$16*(10-L55))</f>
        <v/>
      </c>
      <c r="DC55">
        <f>IF($A55="","",'Beállítások'!$E$17*(10-M55))</f>
        <v/>
      </c>
      <c r="DD55">
        <f>IF($A55="","",'Beállítások'!$E$18*(10-N55))</f>
        <v/>
      </c>
      <c r="DE55">
        <f>IF($A55="","",'Beállítások'!$E$19*(10-O55))</f>
        <v/>
      </c>
      <c r="DF55">
        <f>IF($A55="","",'Beállítások'!$E$20*(10-P55))</f>
        <v/>
      </c>
      <c r="DG55">
        <f>IF($A55="","",'Beállítások'!$E$21*(10-Q55))</f>
        <v/>
      </c>
      <c r="DH55">
        <f>IF($A55="","",'Beállítások'!$E$22*(10-R55))</f>
        <v/>
      </c>
      <c r="DI55">
        <f>IF($A55="","",'Beállítások'!$E$23*(10-S55))</f>
        <v/>
      </c>
      <c r="DJ55">
        <f>IF($A55="","",'Beállítások'!$E$24*(10-T55))</f>
        <v/>
      </c>
      <c r="DK55">
        <f>IF($A55="","",'Beállítások'!$E$25*(10-U55))</f>
        <v/>
      </c>
      <c r="DL55">
        <f>IF($A55="","",'Beállítások'!$E$26*(10-V55))</f>
        <v/>
      </c>
      <c r="DM55">
        <f>IF($A55="","",'Beállítások'!$E$27*(10-W55))</f>
        <v/>
      </c>
      <c r="DN55">
        <f>IF($A55="","",'Beállítások'!$E$28*(10-X55))</f>
        <v/>
      </c>
      <c r="DO55">
        <f>IF($A55="","",'Beállítások'!$E$29*(10-Y55))</f>
        <v/>
      </c>
      <c r="DP55">
        <f>IF($A55="","",'Beállítások'!$E$30*(10-Z55))</f>
        <v/>
      </c>
      <c r="DQ55">
        <f>IF($A55="","",'Beállítások'!$E$31*(10-AA55))</f>
        <v/>
      </c>
      <c r="DR55">
        <f>IF($A55="","",'Beállítások'!$E$32*(10-AB55))</f>
        <v/>
      </c>
      <c r="DS55">
        <f>IF($A55="","",'Beállítások'!$E$33*(10-AC55))</f>
        <v/>
      </c>
      <c r="DT55">
        <f>IF($A55="","",'Beállítások'!$E$34*(10-AD55))</f>
        <v/>
      </c>
      <c r="DU55">
        <f>IF($A55="","",'Beállítások'!$E$35*(10-AE55))</f>
        <v/>
      </c>
      <c r="DV55">
        <f>IF($A55="","",'Beállítások'!$E$36*(10-AF55))</f>
        <v/>
      </c>
      <c r="DW55">
        <f>IF($A55="","",'Beállítások'!$E$37*(10-AG55))</f>
        <v/>
      </c>
      <c r="DX55">
        <f>IF($A55="","",'Beállítások'!$E$38*(10-AH55))</f>
        <v/>
      </c>
      <c r="DY55">
        <f>IF($A55="","",AM55-ROW()/100000)</f>
        <v/>
      </c>
    </row>
    <row r="56">
      <c r="A56">
        <f>IF('Ügyfelek'!A56="","",'Ügyfelek'!A56)</f>
        <v/>
      </c>
      <c r="B56">
        <f>IF($A56="","",IF('Ügyfelek'!B56="",'Beállítások'!$B$84,IFERROR(VLOOKUP(TRIM('Ügyfelek'!B56),'Beállítások'!$A$51:$B$59,2,FALSE),'Beállítások'!$B$84)))</f>
        <v/>
      </c>
      <c r="C56">
        <f>IF($A56="","",IF('Ügyfelek'!C56="",'Beállítások'!$B$84,MIN(10,MAX(1,ROUND('Ügyfelek'!C56,0)))))</f>
        <v/>
      </c>
      <c r="D56">
        <f>IF($A56="","",IF('Ügyfelek'!D56="",'Beállítások'!$B$84,MIN(10,MAX(1,ROUND('Ügyfelek'!D56,0)))))</f>
        <v/>
      </c>
      <c r="E56">
        <f>IF($A56="","",IF('Ügyfelek'!E56="",'Beállítások'!$B$84,MIN(10,MAX(1,ROUND('Ügyfelek'!E56,0)))))</f>
        <v/>
      </c>
      <c r="F56">
        <f>IF($A56="","",IF('Ügyfelek'!F56="",'Beállítások'!$B$84,MIN(10,MAX(1,ROUND('Ügyfelek'!F56,0)))))</f>
        <v/>
      </c>
      <c r="G56">
        <f>IF($A56="","",IF('Ügyfelek'!G56="",'Beállítások'!$B$84,MIN(10,MAX(1,ROUND('Ügyfelek'!G56,0)))))</f>
        <v/>
      </c>
      <c r="H56">
        <f>IF($A56="","",IF('Ügyfelek'!H56="",'Beállítások'!$B$84,MIN(10,MAX(1,ROUND('Ügyfelek'!H56,0)))))</f>
        <v/>
      </c>
      <c r="I56">
        <f>IF($A56="","",IF('Ügyfelek'!I56="",'Beállítások'!$B$84,MIN(10,MAX(1,ROUND('Ügyfelek'!I56,0)))))</f>
        <v/>
      </c>
      <c r="J56">
        <f>IF($A56="","",IF('Ügyfelek'!J56="",'Beállítások'!$B$84,MIN(10,MAX(1,ROUND('Ügyfelek'!J56,0)))))</f>
        <v/>
      </c>
      <c r="K56">
        <f>IF($A56="","",IF('Ügyfelek'!K56="",'Beállítások'!$B$84,MIN(10,MAX(1,ROUND('Ügyfelek'!K56,0)))))</f>
        <v/>
      </c>
      <c r="L56">
        <f>IF($A56="","",IF('Ügyfelek'!L56="",'Beállítások'!$B$84,MIN(10,MAX(1,ROUND('Ügyfelek'!L56,0)))))</f>
        <v/>
      </c>
      <c r="M56">
        <f>IF($A56="","",IF('Ügyfelek'!M56="",'Beállítások'!$B$84,MIN(10,MAX(1,ROUND('Ügyfelek'!M56,0)))))</f>
        <v/>
      </c>
      <c r="N56">
        <f>IF($A56="","",IF('Ügyfelek'!N56="",'Beállítások'!$B$84,MIN(10,MAX(1,ROUND('Ügyfelek'!N56,0)))))</f>
        <v/>
      </c>
      <c r="O56">
        <f>IF($A56="","",IF('Ügyfelek'!O56="",'Beállítások'!$B$84,MIN(10,MAX(1,ROUND('Ügyfelek'!O56,0)))))</f>
        <v/>
      </c>
      <c r="P56">
        <f>IF($A56="","",IF('Ügyfelek'!P56="",'Beállítások'!$B$84,MIN(10,MAX(1,ROUND('Ügyfelek'!P56,0)))))</f>
        <v/>
      </c>
      <c r="Q56">
        <f>IF($A56="","",IF('Ügyfelek'!Q56="",'Beállítások'!$B$84,MIN(10,MAX(1,ROUND('Ügyfelek'!Q56,0)))))</f>
        <v/>
      </c>
      <c r="R56">
        <f>IF($A56="","",IF('Ügyfelek'!R56="",'Beállítások'!$B$84,MIN(10,MAX(1,ROUND('Ügyfelek'!R56,0)))))</f>
        <v/>
      </c>
      <c r="S56">
        <f>IF($A56="","",IF('Ügyfelek'!S56="",'Beállítások'!$B$84,MIN(10,MAX(1,ROUND('Ügyfelek'!S56,0)))))</f>
        <v/>
      </c>
      <c r="T56">
        <f>IF($A56="","",IF('Ügyfelek'!T56="",'Beállítások'!$B$84,VLOOKUP(MAX('Ügyfelek'!T56,'Beállítások'!$H$7),'Beállítások'!$H$7:$I$12,2,TRUE)))</f>
        <v/>
      </c>
      <c r="U56">
        <f>IF($A56="","",IF('Ügyfelek'!U56="",'Beállítások'!$B$84,VLOOKUP(MAX('Ügyfelek'!U56,'Beállítások'!$K$7),'Beállítások'!$K$7:$L$12,2,TRUE)))</f>
        <v/>
      </c>
      <c r="V56">
        <f>IF($A56="","",IF('Ügyfelek'!V56="",'Beállítások'!$B$84,MIN(10,MAX(1,ROUND('Ügyfelek'!V56,0)))))</f>
        <v/>
      </c>
      <c r="W56">
        <f>IF($A56="","",IF('Ügyfelek'!W56="",'Beállítások'!$B$84,VLOOKUP(MAX('Ügyfelek'!W56,'Beállítások'!$N$7),'Beállítások'!$N$7:$O$12,2,TRUE)))</f>
        <v/>
      </c>
      <c r="X56">
        <f>IF($A56="","",IF('Ügyfelek'!X56="",'Beállítások'!$B$84,MIN(10,MAX(1,ROUND('Ügyfelek'!X56,0)))))</f>
        <v/>
      </c>
      <c r="Y56">
        <f>IF($A56="","",IF('Ügyfelek'!Y56="",'Beállítások'!$B$84,IFERROR(VLOOKUP(TRIM('Ügyfelek'!Y56),'Beállítások'!$A$63:$B$69,2,FALSE),'Beállítások'!$B$84)))</f>
        <v/>
      </c>
      <c r="Z56">
        <f>IF($A56="","",IF('Ügyfelek'!Z56="",'Beállítások'!$B$84,VLOOKUP(MAX('Ügyfelek'!Z56,'Beállítások'!$Q$7),'Beállítások'!$Q$7:$R$12,2,TRUE)))</f>
        <v/>
      </c>
      <c r="AA56">
        <f>IF($A56="","",IF('Ügyfelek'!AA56="",'Beállítások'!$B$84,VLOOKUP(MAX('Ügyfelek'!AA56,'Beállítások'!$T$7),'Beállítások'!$T$7:$U$12,2,TRUE)))</f>
        <v/>
      </c>
      <c r="AB56">
        <f>IF($A56="","",IF('Ügyfelek'!AB56="",'Beállítások'!$B$84,MIN(10,MAX(1,ROUND('Ügyfelek'!AB56,0)))))</f>
        <v/>
      </c>
      <c r="AC56">
        <f>IF($A56="","",IF('Ügyfelek'!AC56="",'Beállítások'!$B$84,MIN(10,MAX(1,ROUND('Ügyfelek'!AC56,0)))))</f>
        <v/>
      </c>
      <c r="AD56">
        <f>IF($A56="","",IF('Ügyfelek'!AD56="",'Beállítások'!$B$84,MIN(10,MAX(1,ROUND('Ügyfelek'!AD56,0)))))</f>
        <v/>
      </c>
      <c r="AE56">
        <f>IF($A56="","",IF('Ügyfelek'!AE56="",'Beállítások'!$B$84,MIN(10,MAX(1,ROUND('Ügyfelek'!AE56,0)))))</f>
        <v/>
      </c>
      <c r="AF56">
        <f>IF($A56="","",IF('Ügyfelek'!AF56="",'Beállítások'!$B$84,MIN(10,MAX(1,ROUND('Ügyfelek'!AF56,0)))))</f>
        <v/>
      </c>
      <c r="AG56">
        <f>IF($A56="","",IF('Ügyfelek'!AG56="",'Beállítások'!$B$84,MIN(10,MAX(1,ROUND('Ügyfelek'!AG56,0)))))</f>
        <v/>
      </c>
      <c r="AH56">
        <f>IF($A56="","",IF('Ügyfelek'!AH56="",'Beállítások'!$B$84,IFERROR(VLOOKUP(TRIM('Ügyfelek'!AH56),'Beállítások'!$A$73:$B$79,2,FALSE),'Beállítások'!$B$84)))</f>
        <v/>
      </c>
      <c r="AI56" s="23">
        <f>IF($A56="","",ROUND(100*('Beállítások'!$E$6*(B56-1)+'Beállítások'!$E$7*(C56-1))/(9*'Beállítások'!$B$43),1))</f>
        <v/>
      </c>
      <c r="AJ56" s="23">
        <f>IF($A56="","",ROUND(100*('Beállítások'!$E$8*(D56-1)+'Beállítások'!$E$9*(E56-1)+'Beállítások'!$E$10*(F56-1)+'Beállítások'!$E$11*(G56-1)+'Beállítások'!$E$12*(H56-1)+'Beállítások'!$E$13*(I56-1)+'Beállítások'!$E$14*(J56-1)+'Beállítások'!$E$15*(K56-1)+'Beállítások'!$E$16*(L56-1)+'Beállítások'!$E$17*(M56-1)+'Beállítások'!$E$18*(N56-1)+'Beállítások'!$E$19*(O56-1)+'Beállítások'!$E$20*(P56-1)+'Beállítások'!$E$21*(Q56-1)+'Beállítások'!$E$22*(R56-1))/(9*'Beállítások'!$B$44),1))</f>
        <v/>
      </c>
      <c r="AK56" s="23">
        <f>IF($A56="","",ROUND(100*('Beállítások'!$E$23*(S56-1)+'Beállítások'!$E$24*(T56-1)+'Beállítások'!$E$25*(U56-1)+'Beállítások'!$E$26*(V56-1)+'Beállítások'!$E$27*(W56-1)+'Beállítások'!$E$28*(X56-1)+'Beállítások'!$E$29*(Y56-1))/(9*'Beállítások'!$B$45),1))</f>
        <v/>
      </c>
      <c r="AL56" s="23">
        <f>IF($A56="","",ROUND(100*('Beállítások'!$E$30*(Z56-1)+'Beállítások'!$E$31*(AA56-1)+'Beállítások'!$E$32*(AB56-1)+'Beállítások'!$E$33*(AC56-1)+'Beállítások'!$E$34*(AD56-1)+'Beállítások'!$E$35*(AE56-1)+'Beállítások'!$E$36*(AF56-1)+'Beállítások'!$E$37*(AG56-1)+'Beállítások'!$E$38*(AH56-1))/(9*'Beállítások'!$B$46),1))</f>
        <v/>
      </c>
      <c r="AM56" s="23">
        <f>IF($A56="","",ROUND(100*('Beállítások'!$E$6*(B56-1)+'Beállítások'!$E$7*(C56-1)+'Beállítások'!$E$8*(D56-1)+'Beállítások'!$E$9*(E56-1)+'Beállítások'!$E$10*(F56-1)+'Beállítások'!$E$11*(G56-1)+'Beállítások'!$E$12*(H56-1)+'Beállítások'!$E$13*(I56-1)+'Beállítások'!$E$14*(J56-1)+'Beállítások'!$E$15*(K56-1)+'Beállítások'!$E$16*(L56-1)+'Beállítások'!$E$17*(M56-1)+'Beállítások'!$E$18*(N56-1)+'Beállítások'!$E$19*(O56-1)+'Beállítások'!$E$20*(P56-1)+'Beállítások'!$E$21*(Q56-1)+'Beállítások'!$E$22*(R56-1)+'Beállítások'!$E$23*(S56-1)+'Beállítások'!$E$24*(T56-1)+'Beállítások'!$E$25*(U56-1)+'Beállítások'!$E$26*(V56-1)+'Beállítások'!$E$27*(W56-1)+'Beállítások'!$E$28*(X56-1)+'Beállítások'!$E$29*(Y56-1)+'Beállítások'!$E$30*(Z56-1)+'Beállítások'!$E$31*(AA56-1)+'Beállítások'!$E$32*(AB56-1)+'Beállítások'!$E$33*(AC56-1)+'Beállítások'!$E$34*(AD56-1)+'Beállítások'!$E$35*(AE56-1)+'Beállítások'!$E$36*(AF56-1)+'Beállítások'!$E$37*(AG56-1)+'Beállítások'!$E$38*(AH56-1))/(9*'Beállítások'!$E$39),1))</f>
        <v/>
      </c>
      <c r="AN56" s="23">
        <f>IF($A56="","",ROUND(100*('Beállítások'!$E$8*(D56-1)+'Beállítások'!$E$9*(E56-1)+'Beállítások'!$E$10*(F56-1)+'Beállítások'!$E$11*(G56-1)+'Beállítások'!$E$12*(H56-1)+'Beállítások'!$E$13*(I56-1)+'Beállítások'!$E$14*(J56-1)+'Beállítások'!$E$15*(K56-1)+'Beállítások'!$E$16*(L56-1)+'Beállítások'!$E$17*(M56-1)+'Beállítások'!$E$18*(N56-1)+'Beállítások'!$E$19*(O56-1)+'Beállítások'!$E$20*(P56-1)+'Beállítások'!$E$21*(Q56-1)+'Beállítások'!$E$22*(R56-1)+'Beállítások'!$E$23*(S56-1)+'Beállítások'!$E$24*(T56-1)+'Beállítások'!$E$25*(U56-1)+'Beállítások'!$E$26*(V56-1)+'Beállítások'!$E$27*(W56-1)+'Beállítások'!$E$28*(X56-1)+'Beállítások'!$E$29*(Y56-1))/(9*('Beállítások'!$B$44+'Beállítások'!$B$45)),1))</f>
        <v/>
      </c>
      <c r="AO56" s="24">
        <f>IF($A56="","",RANK(AM56,$AM$2:$AM$201))</f>
        <v/>
      </c>
      <c r="AP56">
        <f>IF($A56="","",IF(OR(AND('Ügyfelek'!B56&lt;&gt;"",B56&lt;='Beállítások'!$B$85),AND('Ügyfelek'!C56&lt;&gt;"",C56&lt;='Beállítások'!$B$86)),"Igen","Nem"))</f>
        <v/>
      </c>
      <c r="AQ56" s="24">
        <f>IF($A56="","",IF(AP56="Igen",5,IF(AN56&gt;='Beállítások'!$C$108,1,IF(AN56&gt;='Beállítások'!$C$109,2,IF(AN56&gt;='Beállítások'!$C$110,3,IF(AND(AN56&gt;='Beállítások'!$B$87,AI56&gt;='Beállítások'!$B$88,AL56&gt;='Beállítások'!$B$89),4,5))))))</f>
        <v/>
      </c>
      <c r="AR56">
        <f>IF($A56="","",INDEX('Beállítások'!$B$108:$B$112,AQ56))</f>
        <v/>
      </c>
      <c r="AS56">
        <f>IF($A56="","",IF(AQ56=5,"Elutasítjuk",IF(AND(AQ56=4,COUNTIFS('Eredmény'!$AQ$2:$AQ$201,4,'Eredmény'!$DY$2:$DY$201,"&gt;"&amp;DY56)&gt;='Beállítások'!$B$90),"Várólista (a 4-es hely foglalt)","Elfogadjuk")))</f>
        <v/>
      </c>
      <c r="AT56">
        <f>IF($A56="","",INDEX('Beállítások'!$F$108:$F$112,AQ56))</f>
        <v/>
      </c>
      <c r="AU56">
        <f>IF($A56="","",INDEX('Beállítások'!$B$6:$B$38,MATCH(MAX(BK56:CQ56),BK56:CQ56,0)))</f>
        <v/>
      </c>
      <c r="AV56">
        <f>IF($A56="","",IF(MAX(CR56:DX56)=0,"—",INDEX('Beállítások'!$B$6:$B$38,MATCH(MAX(CR56:DX56),CR56:DX56,0))))</f>
        <v/>
      </c>
      <c r="AW56" s="10">
        <f>IF($A56="","",'Beállítások'!$B$94*(TRIM('Ügyfelek'!AI56)="igen")+'Beállítások'!$B$95*(TRIM('Ügyfelek'!AJ56)="igen")+'Beállítások'!$B$96*N('Ügyfelek'!AK56)+'Beállítások'!$B$93*N('Ügyfelek'!AL56))</f>
        <v/>
      </c>
      <c r="AX56" s="25">
        <f>IF(OR($A56="",AQ56=5),"",INDEX('Beállítások'!$D$108:$D$112,AQ56))</f>
        <v/>
      </c>
      <c r="AY56" s="10">
        <f>IF($A56="","",N('Ügyfelek'!U56)*'Beállítások'!$B$98)</f>
        <v/>
      </c>
      <c r="AZ56" s="10">
        <f>IF(OR($A56="",AQ56=5),"",CEILING(ROUND(MAX('Beállítások'!$B$97,AW56*AX56,AY56),2),'Beállítások'!$B$99))</f>
        <v/>
      </c>
      <c r="BA56">
        <f>IF($A56="","",IF(AQ56=5,"Elutasítva",IF(MAX('Beállítások'!$B$97,AW56*AX56,AY56)=AW56*AX56,"Munkaigény × státuszszorzó",IF(MAX('Beállítások'!$B$97,AW56*AX56,AY56)=AY56,"Hirdetési keret arányában","Minimumdíj"))))</f>
        <v/>
      </c>
      <c r="BB56" s="10">
        <f>IF(OR($A56="",'Ügyfelek'!AM56=""),"",'Ügyfelek'!AM56)</f>
        <v/>
      </c>
      <c r="BC56" s="10">
        <f>IF(OR(BB56="",AZ56=""),"",AZ56-BB56)</f>
        <v/>
      </c>
      <c r="BD56" s="18">
        <f>IF(OR(BB56="",AZ56="",BB56=0),"",BC56/BB56)</f>
        <v/>
      </c>
      <c r="BE56">
        <f>IF(OR($A56="",AQ56=5),"",IF(AND(INDEX('Beállítások'!$E$108:$E$112,AQ56)&gt;0,Y56&gt;='Beállítások'!$B$91),"Igen","Nem"))</f>
        <v/>
      </c>
      <c r="BF56" s="10">
        <f>IF(BE56="Igen",CEILING(ROUND(AZ56*(1-'Beállítások'!$B$92),2),'Beállítások'!$B$99),"")</f>
        <v/>
      </c>
      <c r="BG56" s="20">
        <f>IF(BE56="Igen",INDEX('Beállítások'!$E$108:$E$112,AQ56),"")</f>
        <v/>
      </c>
      <c r="BH56" s="10">
        <f>IF(OR(BE56&lt;&gt;"Igen",'Ügyfelek'!AN56=""),"",'Ügyfelek'!AN56*BG56)</f>
        <v/>
      </c>
      <c r="BI56" s="24">
        <f>IF($A56="","",('Ügyfelek'!B56="")+('Ügyfelek'!C56="")+('Ügyfelek'!D56="")+('Ügyfelek'!E56="")+('Ügyfelek'!F56="")+('Ügyfelek'!G56="")+('Ügyfelek'!H56="")+('Ügyfelek'!I56="")+('Ügyfelek'!J56="")+('Ügyfelek'!K56="")+('Ügyfelek'!L56="")+('Ügyfelek'!M56="")+('Ügyfelek'!N56="")+('Ügyfelek'!O56="")+('Ügyfelek'!P56="")+('Ügyfelek'!Q56="")+('Ügyfelek'!R56="")+('Ügyfelek'!S56="")+('Ügyfelek'!T56="")+('Ügyfelek'!U56="")+('Ügyfelek'!V56="")+('Ügyfelek'!W56="")+('Ügyfelek'!X56="")+('Ügyfelek'!Y56="")+('Ügyfelek'!Z56="")+('Ügyfelek'!AA56="")+('Ügyfelek'!AB56="")+('Ügyfelek'!AC56="")+('Ügyfelek'!AD56="")+('Ügyfelek'!AE56="")+('Ügyfelek'!AF56="")+('Ügyfelek'!AG56="")+('Ügyfelek'!AH56=""))</f>
        <v/>
      </c>
      <c r="BK56">
        <f>IF($A56="","",B56+'Beállítások'!$E$6/1000)</f>
        <v/>
      </c>
      <c r="BL56">
        <f>IF($A56="","",C56+'Beállítások'!$E$7/1000)</f>
        <v/>
      </c>
      <c r="BM56">
        <f>IF($A56="","",D56+'Beállítások'!$E$8/1000)</f>
        <v/>
      </c>
      <c r="BN56">
        <f>IF($A56="","",E56+'Beállítások'!$E$9/1000)</f>
        <v/>
      </c>
      <c r="BO56">
        <f>IF($A56="","",F56+'Beállítások'!$E$10/1000)</f>
        <v/>
      </c>
      <c r="BP56">
        <f>IF($A56="","",G56+'Beállítások'!$E$11/1000)</f>
        <v/>
      </c>
      <c r="BQ56">
        <f>IF($A56="","",H56+'Beállítások'!$E$12/1000)</f>
        <v/>
      </c>
      <c r="BR56">
        <f>IF($A56="","",I56+'Beállítások'!$E$13/1000)</f>
        <v/>
      </c>
      <c r="BS56">
        <f>IF($A56="","",J56+'Beállítások'!$E$14/1000)</f>
        <v/>
      </c>
      <c r="BT56">
        <f>IF($A56="","",K56+'Beállítások'!$E$15/1000)</f>
        <v/>
      </c>
      <c r="BU56">
        <f>IF($A56="","",L56+'Beállítások'!$E$16/1000)</f>
        <v/>
      </c>
      <c r="BV56">
        <f>IF($A56="","",M56+'Beállítások'!$E$17/1000)</f>
        <v/>
      </c>
      <c r="BW56">
        <f>IF($A56="","",N56+'Beállítások'!$E$18/1000)</f>
        <v/>
      </c>
      <c r="BX56">
        <f>IF($A56="","",O56+'Beállítások'!$E$19/1000)</f>
        <v/>
      </c>
      <c r="BY56">
        <f>IF($A56="","",P56+'Beállítások'!$E$20/1000)</f>
        <v/>
      </c>
      <c r="BZ56">
        <f>IF($A56="","",Q56+'Beállítások'!$E$21/1000)</f>
        <v/>
      </c>
      <c r="CA56">
        <f>IF($A56="","",R56+'Beállítások'!$E$22/1000)</f>
        <v/>
      </c>
      <c r="CB56">
        <f>IF($A56="","",S56+'Beállítások'!$E$23/1000)</f>
        <v/>
      </c>
      <c r="CC56">
        <f>IF($A56="","",T56+'Beállítások'!$E$24/1000)</f>
        <v/>
      </c>
      <c r="CD56">
        <f>IF($A56="","",U56+'Beállítások'!$E$25/1000)</f>
        <v/>
      </c>
      <c r="CE56">
        <f>IF($A56="","",V56+'Beállítások'!$E$26/1000)</f>
        <v/>
      </c>
      <c r="CF56">
        <f>IF($A56="","",W56+'Beállítások'!$E$27/1000)</f>
        <v/>
      </c>
      <c r="CG56">
        <f>IF($A56="","",X56+'Beállítások'!$E$28/1000)</f>
        <v/>
      </c>
      <c r="CH56">
        <f>IF($A56="","",Y56+'Beállítások'!$E$29/1000)</f>
        <v/>
      </c>
      <c r="CI56">
        <f>IF($A56="","",Z56+'Beállítások'!$E$30/1000)</f>
        <v/>
      </c>
      <c r="CJ56">
        <f>IF($A56="","",AA56+'Beállítások'!$E$31/1000)</f>
        <v/>
      </c>
      <c r="CK56">
        <f>IF($A56="","",AB56+'Beállítások'!$E$32/1000)</f>
        <v/>
      </c>
      <c r="CL56">
        <f>IF($A56="","",AC56+'Beállítások'!$E$33/1000)</f>
        <v/>
      </c>
      <c r="CM56">
        <f>IF($A56="","",AD56+'Beállítások'!$E$34/1000)</f>
        <v/>
      </c>
      <c r="CN56">
        <f>IF($A56="","",AE56+'Beállítások'!$E$35/1000)</f>
        <v/>
      </c>
      <c r="CO56">
        <f>IF($A56="","",AF56+'Beállítások'!$E$36/1000)</f>
        <v/>
      </c>
      <c r="CP56">
        <f>IF($A56="","",AG56+'Beállítások'!$E$37/1000)</f>
        <v/>
      </c>
      <c r="CQ56">
        <f>IF($A56="","",AH56+'Beállítások'!$E$38/1000)</f>
        <v/>
      </c>
      <c r="CR56">
        <f>IF($A56="","",'Beállítások'!$E$6*(10-B56))</f>
        <v/>
      </c>
      <c r="CS56">
        <f>IF($A56="","",'Beállítások'!$E$7*(10-C56))</f>
        <v/>
      </c>
      <c r="CT56">
        <f>IF($A56="","",'Beállítások'!$E$8*(10-D56))</f>
        <v/>
      </c>
      <c r="CU56">
        <f>IF($A56="","",'Beállítások'!$E$9*(10-E56))</f>
        <v/>
      </c>
      <c r="CV56">
        <f>IF($A56="","",'Beállítások'!$E$10*(10-F56))</f>
        <v/>
      </c>
      <c r="CW56">
        <f>IF($A56="","",'Beállítások'!$E$11*(10-G56))</f>
        <v/>
      </c>
      <c r="CX56">
        <f>IF($A56="","",'Beállítások'!$E$12*(10-H56))</f>
        <v/>
      </c>
      <c r="CY56">
        <f>IF($A56="","",'Beállítások'!$E$13*(10-I56))</f>
        <v/>
      </c>
      <c r="CZ56">
        <f>IF($A56="","",'Beállítások'!$E$14*(10-J56))</f>
        <v/>
      </c>
      <c r="DA56">
        <f>IF($A56="","",'Beállítások'!$E$15*(10-K56))</f>
        <v/>
      </c>
      <c r="DB56">
        <f>IF($A56="","",'Beállítások'!$E$16*(10-L56))</f>
        <v/>
      </c>
      <c r="DC56">
        <f>IF($A56="","",'Beállítások'!$E$17*(10-M56))</f>
        <v/>
      </c>
      <c r="DD56">
        <f>IF($A56="","",'Beállítások'!$E$18*(10-N56))</f>
        <v/>
      </c>
      <c r="DE56">
        <f>IF($A56="","",'Beállítások'!$E$19*(10-O56))</f>
        <v/>
      </c>
      <c r="DF56">
        <f>IF($A56="","",'Beállítások'!$E$20*(10-P56))</f>
        <v/>
      </c>
      <c r="DG56">
        <f>IF($A56="","",'Beállítások'!$E$21*(10-Q56))</f>
        <v/>
      </c>
      <c r="DH56">
        <f>IF($A56="","",'Beállítások'!$E$22*(10-R56))</f>
        <v/>
      </c>
      <c r="DI56">
        <f>IF($A56="","",'Beállítások'!$E$23*(10-S56))</f>
        <v/>
      </c>
      <c r="DJ56">
        <f>IF($A56="","",'Beállítások'!$E$24*(10-T56))</f>
        <v/>
      </c>
      <c r="DK56">
        <f>IF($A56="","",'Beállítások'!$E$25*(10-U56))</f>
        <v/>
      </c>
      <c r="DL56">
        <f>IF($A56="","",'Beállítások'!$E$26*(10-V56))</f>
        <v/>
      </c>
      <c r="DM56">
        <f>IF($A56="","",'Beállítások'!$E$27*(10-W56))</f>
        <v/>
      </c>
      <c r="DN56">
        <f>IF($A56="","",'Beállítások'!$E$28*(10-X56))</f>
        <v/>
      </c>
      <c r="DO56">
        <f>IF($A56="","",'Beállítások'!$E$29*(10-Y56))</f>
        <v/>
      </c>
      <c r="DP56">
        <f>IF($A56="","",'Beállítások'!$E$30*(10-Z56))</f>
        <v/>
      </c>
      <c r="DQ56">
        <f>IF($A56="","",'Beállítások'!$E$31*(10-AA56))</f>
        <v/>
      </c>
      <c r="DR56">
        <f>IF($A56="","",'Beállítások'!$E$32*(10-AB56))</f>
        <v/>
      </c>
      <c r="DS56">
        <f>IF($A56="","",'Beállítások'!$E$33*(10-AC56))</f>
        <v/>
      </c>
      <c r="DT56">
        <f>IF($A56="","",'Beállítások'!$E$34*(10-AD56))</f>
        <v/>
      </c>
      <c r="DU56">
        <f>IF($A56="","",'Beállítások'!$E$35*(10-AE56))</f>
        <v/>
      </c>
      <c r="DV56">
        <f>IF($A56="","",'Beállítások'!$E$36*(10-AF56))</f>
        <v/>
      </c>
      <c r="DW56">
        <f>IF($A56="","",'Beállítások'!$E$37*(10-AG56))</f>
        <v/>
      </c>
      <c r="DX56">
        <f>IF($A56="","",'Beállítások'!$E$38*(10-AH56))</f>
        <v/>
      </c>
      <c r="DY56">
        <f>IF($A56="","",AM56-ROW()/100000)</f>
        <v/>
      </c>
    </row>
    <row r="57">
      <c r="A57">
        <f>IF('Ügyfelek'!A57="","",'Ügyfelek'!A57)</f>
        <v/>
      </c>
      <c r="B57">
        <f>IF($A57="","",IF('Ügyfelek'!B57="",'Beállítások'!$B$84,IFERROR(VLOOKUP(TRIM('Ügyfelek'!B57),'Beállítások'!$A$51:$B$59,2,FALSE),'Beállítások'!$B$84)))</f>
        <v/>
      </c>
      <c r="C57">
        <f>IF($A57="","",IF('Ügyfelek'!C57="",'Beállítások'!$B$84,MIN(10,MAX(1,ROUND('Ügyfelek'!C57,0)))))</f>
        <v/>
      </c>
      <c r="D57">
        <f>IF($A57="","",IF('Ügyfelek'!D57="",'Beállítások'!$B$84,MIN(10,MAX(1,ROUND('Ügyfelek'!D57,0)))))</f>
        <v/>
      </c>
      <c r="E57">
        <f>IF($A57="","",IF('Ügyfelek'!E57="",'Beállítások'!$B$84,MIN(10,MAX(1,ROUND('Ügyfelek'!E57,0)))))</f>
        <v/>
      </c>
      <c r="F57">
        <f>IF($A57="","",IF('Ügyfelek'!F57="",'Beállítások'!$B$84,MIN(10,MAX(1,ROUND('Ügyfelek'!F57,0)))))</f>
        <v/>
      </c>
      <c r="G57">
        <f>IF($A57="","",IF('Ügyfelek'!G57="",'Beállítások'!$B$84,MIN(10,MAX(1,ROUND('Ügyfelek'!G57,0)))))</f>
        <v/>
      </c>
      <c r="H57">
        <f>IF($A57="","",IF('Ügyfelek'!H57="",'Beállítások'!$B$84,MIN(10,MAX(1,ROUND('Ügyfelek'!H57,0)))))</f>
        <v/>
      </c>
      <c r="I57">
        <f>IF($A57="","",IF('Ügyfelek'!I57="",'Beállítások'!$B$84,MIN(10,MAX(1,ROUND('Ügyfelek'!I57,0)))))</f>
        <v/>
      </c>
      <c r="J57">
        <f>IF($A57="","",IF('Ügyfelek'!J57="",'Beállítások'!$B$84,MIN(10,MAX(1,ROUND('Ügyfelek'!J57,0)))))</f>
        <v/>
      </c>
      <c r="K57">
        <f>IF($A57="","",IF('Ügyfelek'!K57="",'Beállítások'!$B$84,MIN(10,MAX(1,ROUND('Ügyfelek'!K57,0)))))</f>
        <v/>
      </c>
      <c r="L57">
        <f>IF($A57="","",IF('Ügyfelek'!L57="",'Beállítások'!$B$84,MIN(10,MAX(1,ROUND('Ügyfelek'!L57,0)))))</f>
        <v/>
      </c>
      <c r="M57">
        <f>IF($A57="","",IF('Ügyfelek'!M57="",'Beállítások'!$B$84,MIN(10,MAX(1,ROUND('Ügyfelek'!M57,0)))))</f>
        <v/>
      </c>
      <c r="N57">
        <f>IF($A57="","",IF('Ügyfelek'!N57="",'Beállítások'!$B$84,MIN(10,MAX(1,ROUND('Ügyfelek'!N57,0)))))</f>
        <v/>
      </c>
      <c r="O57">
        <f>IF($A57="","",IF('Ügyfelek'!O57="",'Beállítások'!$B$84,MIN(10,MAX(1,ROUND('Ügyfelek'!O57,0)))))</f>
        <v/>
      </c>
      <c r="P57">
        <f>IF($A57="","",IF('Ügyfelek'!P57="",'Beállítások'!$B$84,MIN(10,MAX(1,ROUND('Ügyfelek'!P57,0)))))</f>
        <v/>
      </c>
      <c r="Q57">
        <f>IF($A57="","",IF('Ügyfelek'!Q57="",'Beállítások'!$B$84,MIN(10,MAX(1,ROUND('Ügyfelek'!Q57,0)))))</f>
        <v/>
      </c>
      <c r="R57">
        <f>IF($A57="","",IF('Ügyfelek'!R57="",'Beállítások'!$B$84,MIN(10,MAX(1,ROUND('Ügyfelek'!R57,0)))))</f>
        <v/>
      </c>
      <c r="S57">
        <f>IF($A57="","",IF('Ügyfelek'!S57="",'Beállítások'!$B$84,MIN(10,MAX(1,ROUND('Ügyfelek'!S57,0)))))</f>
        <v/>
      </c>
      <c r="T57">
        <f>IF($A57="","",IF('Ügyfelek'!T57="",'Beállítások'!$B$84,VLOOKUP(MAX('Ügyfelek'!T57,'Beállítások'!$H$7),'Beállítások'!$H$7:$I$12,2,TRUE)))</f>
        <v/>
      </c>
      <c r="U57">
        <f>IF($A57="","",IF('Ügyfelek'!U57="",'Beállítások'!$B$84,VLOOKUP(MAX('Ügyfelek'!U57,'Beállítások'!$K$7),'Beállítások'!$K$7:$L$12,2,TRUE)))</f>
        <v/>
      </c>
      <c r="V57">
        <f>IF($A57="","",IF('Ügyfelek'!V57="",'Beállítások'!$B$84,MIN(10,MAX(1,ROUND('Ügyfelek'!V57,0)))))</f>
        <v/>
      </c>
      <c r="W57">
        <f>IF($A57="","",IF('Ügyfelek'!W57="",'Beállítások'!$B$84,VLOOKUP(MAX('Ügyfelek'!W57,'Beállítások'!$N$7),'Beállítások'!$N$7:$O$12,2,TRUE)))</f>
        <v/>
      </c>
      <c r="X57">
        <f>IF($A57="","",IF('Ügyfelek'!X57="",'Beállítások'!$B$84,MIN(10,MAX(1,ROUND('Ügyfelek'!X57,0)))))</f>
        <v/>
      </c>
      <c r="Y57">
        <f>IF($A57="","",IF('Ügyfelek'!Y57="",'Beállítások'!$B$84,IFERROR(VLOOKUP(TRIM('Ügyfelek'!Y57),'Beállítások'!$A$63:$B$69,2,FALSE),'Beállítások'!$B$84)))</f>
        <v/>
      </c>
      <c r="Z57">
        <f>IF($A57="","",IF('Ügyfelek'!Z57="",'Beállítások'!$B$84,VLOOKUP(MAX('Ügyfelek'!Z57,'Beállítások'!$Q$7),'Beállítások'!$Q$7:$R$12,2,TRUE)))</f>
        <v/>
      </c>
      <c r="AA57">
        <f>IF($A57="","",IF('Ügyfelek'!AA57="",'Beállítások'!$B$84,VLOOKUP(MAX('Ügyfelek'!AA57,'Beállítások'!$T$7),'Beállítások'!$T$7:$U$12,2,TRUE)))</f>
        <v/>
      </c>
      <c r="AB57">
        <f>IF($A57="","",IF('Ügyfelek'!AB57="",'Beállítások'!$B$84,MIN(10,MAX(1,ROUND('Ügyfelek'!AB57,0)))))</f>
        <v/>
      </c>
      <c r="AC57">
        <f>IF($A57="","",IF('Ügyfelek'!AC57="",'Beállítások'!$B$84,MIN(10,MAX(1,ROUND('Ügyfelek'!AC57,0)))))</f>
        <v/>
      </c>
      <c r="AD57">
        <f>IF($A57="","",IF('Ügyfelek'!AD57="",'Beállítások'!$B$84,MIN(10,MAX(1,ROUND('Ügyfelek'!AD57,0)))))</f>
        <v/>
      </c>
      <c r="AE57">
        <f>IF($A57="","",IF('Ügyfelek'!AE57="",'Beállítások'!$B$84,MIN(10,MAX(1,ROUND('Ügyfelek'!AE57,0)))))</f>
        <v/>
      </c>
      <c r="AF57">
        <f>IF($A57="","",IF('Ügyfelek'!AF57="",'Beállítások'!$B$84,MIN(10,MAX(1,ROUND('Ügyfelek'!AF57,0)))))</f>
        <v/>
      </c>
      <c r="AG57">
        <f>IF($A57="","",IF('Ügyfelek'!AG57="",'Beállítások'!$B$84,MIN(10,MAX(1,ROUND('Ügyfelek'!AG57,0)))))</f>
        <v/>
      </c>
      <c r="AH57">
        <f>IF($A57="","",IF('Ügyfelek'!AH57="",'Beállítások'!$B$84,IFERROR(VLOOKUP(TRIM('Ügyfelek'!AH57),'Beállítások'!$A$73:$B$79,2,FALSE),'Beállítások'!$B$84)))</f>
        <v/>
      </c>
      <c r="AI57" s="23">
        <f>IF($A57="","",ROUND(100*('Beállítások'!$E$6*(B57-1)+'Beállítások'!$E$7*(C57-1))/(9*'Beállítások'!$B$43),1))</f>
        <v/>
      </c>
      <c r="AJ57" s="23">
        <f>IF($A57="","",ROUND(100*('Beállítások'!$E$8*(D57-1)+'Beállítások'!$E$9*(E57-1)+'Beállítások'!$E$10*(F57-1)+'Beállítások'!$E$11*(G57-1)+'Beállítások'!$E$12*(H57-1)+'Beállítások'!$E$13*(I57-1)+'Beállítások'!$E$14*(J57-1)+'Beállítások'!$E$15*(K57-1)+'Beállítások'!$E$16*(L57-1)+'Beállítások'!$E$17*(M57-1)+'Beállítások'!$E$18*(N57-1)+'Beállítások'!$E$19*(O57-1)+'Beállítások'!$E$20*(P57-1)+'Beállítások'!$E$21*(Q57-1)+'Beállítások'!$E$22*(R57-1))/(9*'Beállítások'!$B$44),1))</f>
        <v/>
      </c>
      <c r="AK57" s="23">
        <f>IF($A57="","",ROUND(100*('Beállítások'!$E$23*(S57-1)+'Beállítások'!$E$24*(T57-1)+'Beállítások'!$E$25*(U57-1)+'Beállítások'!$E$26*(V57-1)+'Beállítások'!$E$27*(W57-1)+'Beállítások'!$E$28*(X57-1)+'Beállítások'!$E$29*(Y57-1))/(9*'Beállítások'!$B$45),1))</f>
        <v/>
      </c>
      <c r="AL57" s="23">
        <f>IF($A57="","",ROUND(100*('Beállítások'!$E$30*(Z57-1)+'Beállítások'!$E$31*(AA57-1)+'Beállítások'!$E$32*(AB57-1)+'Beállítások'!$E$33*(AC57-1)+'Beállítások'!$E$34*(AD57-1)+'Beállítások'!$E$35*(AE57-1)+'Beállítások'!$E$36*(AF57-1)+'Beállítások'!$E$37*(AG57-1)+'Beállítások'!$E$38*(AH57-1))/(9*'Beállítások'!$B$46),1))</f>
        <v/>
      </c>
      <c r="AM57" s="23">
        <f>IF($A57="","",ROUND(100*('Beállítások'!$E$6*(B57-1)+'Beállítások'!$E$7*(C57-1)+'Beállítások'!$E$8*(D57-1)+'Beállítások'!$E$9*(E57-1)+'Beállítások'!$E$10*(F57-1)+'Beállítások'!$E$11*(G57-1)+'Beállítások'!$E$12*(H57-1)+'Beállítások'!$E$13*(I57-1)+'Beállítások'!$E$14*(J57-1)+'Beállítások'!$E$15*(K57-1)+'Beállítások'!$E$16*(L57-1)+'Beállítások'!$E$17*(M57-1)+'Beállítások'!$E$18*(N57-1)+'Beállítások'!$E$19*(O57-1)+'Beállítások'!$E$20*(P57-1)+'Beállítások'!$E$21*(Q57-1)+'Beállítások'!$E$22*(R57-1)+'Beállítások'!$E$23*(S57-1)+'Beállítások'!$E$24*(T57-1)+'Beállítások'!$E$25*(U57-1)+'Beállítások'!$E$26*(V57-1)+'Beállítások'!$E$27*(W57-1)+'Beállítások'!$E$28*(X57-1)+'Beállítások'!$E$29*(Y57-1)+'Beállítások'!$E$30*(Z57-1)+'Beállítások'!$E$31*(AA57-1)+'Beállítások'!$E$32*(AB57-1)+'Beállítások'!$E$33*(AC57-1)+'Beállítások'!$E$34*(AD57-1)+'Beállítások'!$E$35*(AE57-1)+'Beállítások'!$E$36*(AF57-1)+'Beállítások'!$E$37*(AG57-1)+'Beállítások'!$E$38*(AH57-1))/(9*'Beállítások'!$E$39),1))</f>
        <v/>
      </c>
      <c r="AN57" s="23">
        <f>IF($A57="","",ROUND(100*('Beállítások'!$E$8*(D57-1)+'Beállítások'!$E$9*(E57-1)+'Beállítások'!$E$10*(F57-1)+'Beállítások'!$E$11*(G57-1)+'Beállítások'!$E$12*(H57-1)+'Beállítások'!$E$13*(I57-1)+'Beállítások'!$E$14*(J57-1)+'Beállítások'!$E$15*(K57-1)+'Beállítások'!$E$16*(L57-1)+'Beállítások'!$E$17*(M57-1)+'Beállítások'!$E$18*(N57-1)+'Beállítások'!$E$19*(O57-1)+'Beállítások'!$E$20*(P57-1)+'Beállítások'!$E$21*(Q57-1)+'Beállítások'!$E$22*(R57-1)+'Beállítások'!$E$23*(S57-1)+'Beállítások'!$E$24*(T57-1)+'Beállítások'!$E$25*(U57-1)+'Beállítások'!$E$26*(V57-1)+'Beállítások'!$E$27*(W57-1)+'Beállítások'!$E$28*(X57-1)+'Beállítások'!$E$29*(Y57-1))/(9*('Beállítások'!$B$44+'Beállítások'!$B$45)),1))</f>
        <v/>
      </c>
      <c r="AO57" s="24">
        <f>IF($A57="","",RANK(AM57,$AM$2:$AM$201))</f>
        <v/>
      </c>
      <c r="AP57">
        <f>IF($A57="","",IF(OR(AND('Ügyfelek'!B57&lt;&gt;"",B57&lt;='Beállítások'!$B$85),AND('Ügyfelek'!C57&lt;&gt;"",C57&lt;='Beállítások'!$B$86)),"Igen","Nem"))</f>
        <v/>
      </c>
      <c r="AQ57" s="24">
        <f>IF($A57="","",IF(AP57="Igen",5,IF(AN57&gt;='Beállítások'!$C$108,1,IF(AN57&gt;='Beállítások'!$C$109,2,IF(AN57&gt;='Beállítások'!$C$110,3,IF(AND(AN57&gt;='Beállítások'!$B$87,AI57&gt;='Beállítások'!$B$88,AL57&gt;='Beállítások'!$B$89),4,5))))))</f>
        <v/>
      </c>
      <c r="AR57">
        <f>IF($A57="","",INDEX('Beállítások'!$B$108:$B$112,AQ57))</f>
        <v/>
      </c>
      <c r="AS57">
        <f>IF($A57="","",IF(AQ57=5,"Elutasítjuk",IF(AND(AQ57=4,COUNTIFS('Eredmény'!$AQ$2:$AQ$201,4,'Eredmény'!$DY$2:$DY$201,"&gt;"&amp;DY57)&gt;='Beállítások'!$B$90),"Várólista (a 4-es hely foglalt)","Elfogadjuk")))</f>
        <v/>
      </c>
      <c r="AT57">
        <f>IF($A57="","",INDEX('Beállítások'!$F$108:$F$112,AQ57))</f>
        <v/>
      </c>
      <c r="AU57">
        <f>IF($A57="","",INDEX('Beállítások'!$B$6:$B$38,MATCH(MAX(BK57:CQ57),BK57:CQ57,0)))</f>
        <v/>
      </c>
      <c r="AV57">
        <f>IF($A57="","",IF(MAX(CR57:DX57)=0,"—",INDEX('Beállítások'!$B$6:$B$38,MATCH(MAX(CR57:DX57),CR57:DX57,0))))</f>
        <v/>
      </c>
      <c r="AW57" s="10">
        <f>IF($A57="","",'Beállítások'!$B$94*(TRIM('Ügyfelek'!AI57)="igen")+'Beállítások'!$B$95*(TRIM('Ügyfelek'!AJ57)="igen")+'Beállítások'!$B$96*N('Ügyfelek'!AK57)+'Beállítások'!$B$93*N('Ügyfelek'!AL57))</f>
        <v/>
      </c>
      <c r="AX57" s="25">
        <f>IF(OR($A57="",AQ57=5),"",INDEX('Beállítások'!$D$108:$D$112,AQ57))</f>
        <v/>
      </c>
      <c r="AY57" s="10">
        <f>IF($A57="","",N('Ügyfelek'!U57)*'Beállítások'!$B$98)</f>
        <v/>
      </c>
      <c r="AZ57" s="10">
        <f>IF(OR($A57="",AQ57=5),"",CEILING(ROUND(MAX('Beállítások'!$B$97,AW57*AX57,AY57),2),'Beállítások'!$B$99))</f>
        <v/>
      </c>
      <c r="BA57">
        <f>IF($A57="","",IF(AQ57=5,"Elutasítva",IF(MAX('Beállítások'!$B$97,AW57*AX57,AY57)=AW57*AX57,"Munkaigény × státuszszorzó",IF(MAX('Beállítások'!$B$97,AW57*AX57,AY57)=AY57,"Hirdetési keret arányában","Minimumdíj"))))</f>
        <v/>
      </c>
      <c r="BB57" s="10">
        <f>IF(OR($A57="",'Ügyfelek'!AM57=""),"",'Ügyfelek'!AM57)</f>
        <v/>
      </c>
      <c r="BC57" s="10">
        <f>IF(OR(BB57="",AZ57=""),"",AZ57-BB57)</f>
        <v/>
      </c>
      <c r="BD57" s="18">
        <f>IF(OR(BB57="",AZ57="",BB57=0),"",BC57/BB57)</f>
        <v/>
      </c>
      <c r="BE57">
        <f>IF(OR($A57="",AQ57=5),"",IF(AND(INDEX('Beállítások'!$E$108:$E$112,AQ57)&gt;0,Y57&gt;='Beállítások'!$B$91),"Igen","Nem"))</f>
        <v/>
      </c>
      <c r="BF57" s="10">
        <f>IF(BE57="Igen",CEILING(ROUND(AZ57*(1-'Beállítások'!$B$92),2),'Beállítások'!$B$99),"")</f>
        <v/>
      </c>
      <c r="BG57" s="20">
        <f>IF(BE57="Igen",INDEX('Beállítások'!$E$108:$E$112,AQ57),"")</f>
        <v/>
      </c>
      <c r="BH57" s="10">
        <f>IF(OR(BE57&lt;&gt;"Igen",'Ügyfelek'!AN57=""),"",'Ügyfelek'!AN57*BG57)</f>
        <v/>
      </c>
      <c r="BI57" s="24">
        <f>IF($A57="","",('Ügyfelek'!B57="")+('Ügyfelek'!C57="")+('Ügyfelek'!D57="")+('Ügyfelek'!E57="")+('Ügyfelek'!F57="")+('Ügyfelek'!G57="")+('Ügyfelek'!H57="")+('Ügyfelek'!I57="")+('Ügyfelek'!J57="")+('Ügyfelek'!K57="")+('Ügyfelek'!L57="")+('Ügyfelek'!M57="")+('Ügyfelek'!N57="")+('Ügyfelek'!O57="")+('Ügyfelek'!P57="")+('Ügyfelek'!Q57="")+('Ügyfelek'!R57="")+('Ügyfelek'!S57="")+('Ügyfelek'!T57="")+('Ügyfelek'!U57="")+('Ügyfelek'!V57="")+('Ügyfelek'!W57="")+('Ügyfelek'!X57="")+('Ügyfelek'!Y57="")+('Ügyfelek'!Z57="")+('Ügyfelek'!AA57="")+('Ügyfelek'!AB57="")+('Ügyfelek'!AC57="")+('Ügyfelek'!AD57="")+('Ügyfelek'!AE57="")+('Ügyfelek'!AF57="")+('Ügyfelek'!AG57="")+('Ügyfelek'!AH57=""))</f>
        <v/>
      </c>
      <c r="BK57">
        <f>IF($A57="","",B57+'Beállítások'!$E$6/1000)</f>
        <v/>
      </c>
      <c r="BL57">
        <f>IF($A57="","",C57+'Beállítások'!$E$7/1000)</f>
        <v/>
      </c>
      <c r="BM57">
        <f>IF($A57="","",D57+'Beállítások'!$E$8/1000)</f>
        <v/>
      </c>
      <c r="BN57">
        <f>IF($A57="","",E57+'Beállítások'!$E$9/1000)</f>
        <v/>
      </c>
      <c r="BO57">
        <f>IF($A57="","",F57+'Beállítások'!$E$10/1000)</f>
        <v/>
      </c>
      <c r="BP57">
        <f>IF($A57="","",G57+'Beállítások'!$E$11/1000)</f>
        <v/>
      </c>
      <c r="BQ57">
        <f>IF($A57="","",H57+'Beállítások'!$E$12/1000)</f>
        <v/>
      </c>
      <c r="BR57">
        <f>IF($A57="","",I57+'Beállítások'!$E$13/1000)</f>
        <v/>
      </c>
      <c r="BS57">
        <f>IF($A57="","",J57+'Beállítások'!$E$14/1000)</f>
        <v/>
      </c>
      <c r="BT57">
        <f>IF($A57="","",K57+'Beállítások'!$E$15/1000)</f>
        <v/>
      </c>
      <c r="BU57">
        <f>IF($A57="","",L57+'Beállítások'!$E$16/1000)</f>
        <v/>
      </c>
      <c r="BV57">
        <f>IF($A57="","",M57+'Beállítások'!$E$17/1000)</f>
        <v/>
      </c>
      <c r="BW57">
        <f>IF($A57="","",N57+'Beállítások'!$E$18/1000)</f>
        <v/>
      </c>
      <c r="BX57">
        <f>IF($A57="","",O57+'Beállítások'!$E$19/1000)</f>
        <v/>
      </c>
      <c r="BY57">
        <f>IF($A57="","",P57+'Beállítások'!$E$20/1000)</f>
        <v/>
      </c>
      <c r="BZ57">
        <f>IF($A57="","",Q57+'Beállítások'!$E$21/1000)</f>
        <v/>
      </c>
      <c r="CA57">
        <f>IF($A57="","",R57+'Beállítások'!$E$22/1000)</f>
        <v/>
      </c>
      <c r="CB57">
        <f>IF($A57="","",S57+'Beállítások'!$E$23/1000)</f>
        <v/>
      </c>
      <c r="CC57">
        <f>IF($A57="","",T57+'Beállítások'!$E$24/1000)</f>
        <v/>
      </c>
      <c r="CD57">
        <f>IF($A57="","",U57+'Beállítások'!$E$25/1000)</f>
        <v/>
      </c>
      <c r="CE57">
        <f>IF($A57="","",V57+'Beállítások'!$E$26/1000)</f>
        <v/>
      </c>
      <c r="CF57">
        <f>IF($A57="","",W57+'Beállítások'!$E$27/1000)</f>
        <v/>
      </c>
      <c r="CG57">
        <f>IF($A57="","",X57+'Beállítások'!$E$28/1000)</f>
        <v/>
      </c>
      <c r="CH57">
        <f>IF($A57="","",Y57+'Beállítások'!$E$29/1000)</f>
        <v/>
      </c>
      <c r="CI57">
        <f>IF($A57="","",Z57+'Beállítások'!$E$30/1000)</f>
        <v/>
      </c>
      <c r="CJ57">
        <f>IF($A57="","",AA57+'Beállítások'!$E$31/1000)</f>
        <v/>
      </c>
      <c r="CK57">
        <f>IF($A57="","",AB57+'Beállítások'!$E$32/1000)</f>
        <v/>
      </c>
      <c r="CL57">
        <f>IF($A57="","",AC57+'Beállítások'!$E$33/1000)</f>
        <v/>
      </c>
      <c r="CM57">
        <f>IF($A57="","",AD57+'Beállítások'!$E$34/1000)</f>
        <v/>
      </c>
      <c r="CN57">
        <f>IF($A57="","",AE57+'Beállítások'!$E$35/1000)</f>
        <v/>
      </c>
      <c r="CO57">
        <f>IF($A57="","",AF57+'Beállítások'!$E$36/1000)</f>
        <v/>
      </c>
      <c r="CP57">
        <f>IF($A57="","",AG57+'Beállítások'!$E$37/1000)</f>
        <v/>
      </c>
      <c r="CQ57">
        <f>IF($A57="","",AH57+'Beállítások'!$E$38/1000)</f>
        <v/>
      </c>
      <c r="CR57">
        <f>IF($A57="","",'Beállítások'!$E$6*(10-B57))</f>
        <v/>
      </c>
      <c r="CS57">
        <f>IF($A57="","",'Beállítások'!$E$7*(10-C57))</f>
        <v/>
      </c>
      <c r="CT57">
        <f>IF($A57="","",'Beállítások'!$E$8*(10-D57))</f>
        <v/>
      </c>
      <c r="CU57">
        <f>IF($A57="","",'Beállítások'!$E$9*(10-E57))</f>
        <v/>
      </c>
      <c r="CV57">
        <f>IF($A57="","",'Beállítások'!$E$10*(10-F57))</f>
        <v/>
      </c>
      <c r="CW57">
        <f>IF($A57="","",'Beállítások'!$E$11*(10-G57))</f>
        <v/>
      </c>
      <c r="CX57">
        <f>IF($A57="","",'Beállítások'!$E$12*(10-H57))</f>
        <v/>
      </c>
      <c r="CY57">
        <f>IF($A57="","",'Beállítások'!$E$13*(10-I57))</f>
        <v/>
      </c>
      <c r="CZ57">
        <f>IF($A57="","",'Beállítások'!$E$14*(10-J57))</f>
        <v/>
      </c>
      <c r="DA57">
        <f>IF($A57="","",'Beállítások'!$E$15*(10-K57))</f>
        <v/>
      </c>
      <c r="DB57">
        <f>IF($A57="","",'Beállítások'!$E$16*(10-L57))</f>
        <v/>
      </c>
      <c r="DC57">
        <f>IF($A57="","",'Beállítások'!$E$17*(10-M57))</f>
        <v/>
      </c>
      <c r="DD57">
        <f>IF($A57="","",'Beállítások'!$E$18*(10-N57))</f>
        <v/>
      </c>
      <c r="DE57">
        <f>IF($A57="","",'Beállítások'!$E$19*(10-O57))</f>
        <v/>
      </c>
      <c r="DF57">
        <f>IF($A57="","",'Beállítások'!$E$20*(10-P57))</f>
        <v/>
      </c>
      <c r="DG57">
        <f>IF($A57="","",'Beállítások'!$E$21*(10-Q57))</f>
        <v/>
      </c>
      <c r="DH57">
        <f>IF($A57="","",'Beállítások'!$E$22*(10-R57))</f>
        <v/>
      </c>
      <c r="DI57">
        <f>IF($A57="","",'Beállítások'!$E$23*(10-S57))</f>
        <v/>
      </c>
      <c r="DJ57">
        <f>IF($A57="","",'Beállítások'!$E$24*(10-T57))</f>
        <v/>
      </c>
      <c r="DK57">
        <f>IF($A57="","",'Beállítások'!$E$25*(10-U57))</f>
        <v/>
      </c>
      <c r="DL57">
        <f>IF($A57="","",'Beállítások'!$E$26*(10-V57))</f>
        <v/>
      </c>
      <c r="DM57">
        <f>IF($A57="","",'Beállítások'!$E$27*(10-W57))</f>
        <v/>
      </c>
      <c r="DN57">
        <f>IF($A57="","",'Beállítások'!$E$28*(10-X57))</f>
        <v/>
      </c>
      <c r="DO57">
        <f>IF($A57="","",'Beállítások'!$E$29*(10-Y57))</f>
        <v/>
      </c>
      <c r="DP57">
        <f>IF($A57="","",'Beállítások'!$E$30*(10-Z57))</f>
        <v/>
      </c>
      <c r="DQ57">
        <f>IF($A57="","",'Beállítások'!$E$31*(10-AA57))</f>
        <v/>
      </c>
      <c r="DR57">
        <f>IF($A57="","",'Beállítások'!$E$32*(10-AB57))</f>
        <v/>
      </c>
      <c r="DS57">
        <f>IF($A57="","",'Beállítások'!$E$33*(10-AC57))</f>
        <v/>
      </c>
      <c r="DT57">
        <f>IF($A57="","",'Beállítások'!$E$34*(10-AD57))</f>
        <v/>
      </c>
      <c r="DU57">
        <f>IF($A57="","",'Beállítások'!$E$35*(10-AE57))</f>
        <v/>
      </c>
      <c r="DV57">
        <f>IF($A57="","",'Beállítások'!$E$36*(10-AF57))</f>
        <v/>
      </c>
      <c r="DW57">
        <f>IF($A57="","",'Beállítások'!$E$37*(10-AG57))</f>
        <v/>
      </c>
      <c r="DX57">
        <f>IF($A57="","",'Beállítások'!$E$38*(10-AH57))</f>
        <v/>
      </c>
      <c r="DY57">
        <f>IF($A57="","",AM57-ROW()/100000)</f>
        <v/>
      </c>
    </row>
    <row r="58">
      <c r="A58">
        <f>IF('Ügyfelek'!A58="","",'Ügyfelek'!A58)</f>
        <v/>
      </c>
      <c r="B58">
        <f>IF($A58="","",IF('Ügyfelek'!B58="",'Beállítások'!$B$84,IFERROR(VLOOKUP(TRIM('Ügyfelek'!B58),'Beállítások'!$A$51:$B$59,2,FALSE),'Beállítások'!$B$84)))</f>
        <v/>
      </c>
      <c r="C58">
        <f>IF($A58="","",IF('Ügyfelek'!C58="",'Beállítások'!$B$84,MIN(10,MAX(1,ROUND('Ügyfelek'!C58,0)))))</f>
        <v/>
      </c>
      <c r="D58">
        <f>IF($A58="","",IF('Ügyfelek'!D58="",'Beállítások'!$B$84,MIN(10,MAX(1,ROUND('Ügyfelek'!D58,0)))))</f>
        <v/>
      </c>
      <c r="E58">
        <f>IF($A58="","",IF('Ügyfelek'!E58="",'Beállítások'!$B$84,MIN(10,MAX(1,ROUND('Ügyfelek'!E58,0)))))</f>
        <v/>
      </c>
      <c r="F58">
        <f>IF($A58="","",IF('Ügyfelek'!F58="",'Beállítások'!$B$84,MIN(10,MAX(1,ROUND('Ügyfelek'!F58,0)))))</f>
        <v/>
      </c>
      <c r="G58">
        <f>IF($A58="","",IF('Ügyfelek'!G58="",'Beállítások'!$B$84,MIN(10,MAX(1,ROUND('Ügyfelek'!G58,0)))))</f>
        <v/>
      </c>
      <c r="H58">
        <f>IF($A58="","",IF('Ügyfelek'!H58="",'Beállítások'!$B$84,MIN(10,MAX(1,ROUND('Ügyfelek'!H58,0)))))</f>
        <v/>
      </c>
      <c r="I58">
        <f>IF($A58="","",IF('Ügyfelek'!I58="",'Beállítások'!$B$84,MIN(10,MAX(1,ROUND('Ügyfelek'!I58,0)))))</f>
        <v/>
      </c>
      <c r="J58">
        <f>IF($A58="","",IF('Ügyfelek'!J58="",'Beállítások'!$B$84,MIN(10,MAX(1,ROUND('Ügyfelek'!J58,0)))))</f>
        <v/>
      </c>
      <c r="K58">
        <f>IF($A58="","",IF('Ügyfelek'!K58="",'Beállítások'!$B$84,MIN(10,MAX(1,ROUND('Ügyfelek'!K58,0)))))</f>
        <v/>
      </c>
      <c r="L58">
        <f>IF($A58="","",IF('Ügyfelek'!L58="",'Beállítások'!$B$84,MIN(10,MAX(1,ROUND('Ügyfelek'!L58,0)))))</f>
        <v/>
      </c>
      <c r="M58">
        <f>IF($A58="","",IF('Ügyfelek'!M58="",'Beállítások'!$B$84,MIN(10,MAX(1,ROUND('Ügyfelek'!M58,0)))))</f>
        <v/>
      </c>
      <c r="N58">
        <f>IF($A58="","",IF('Ügyfelek'!N58="",'Beállítások'!$B$84,MIN(10,MAX(1,ROUND('Ügyfelek'!N58,0)))))</f>
        <v/>
      </c>
      <c r="O58">
        <f>IF($A58="","",IF('Ügyfelek'!O58="",'Beállítások'!$B$84,MIN(10,MAX(1,ROUND('Ügyfelek'!O58,0)))))</f>
        <v/>
      </c>
      <c r="P58">
        <f>IF($A58="","",IF('Ügyfelek'!P58="",'Beállítások'!$B$84,MIN(10,MAX(1,ROUND('Ügyfelek'!P58,0)))))</f>
        <v/>
      </c>
      <c r="Q58">
        <f>IF($A58="","",IF('Ügyfelek'!Q58="",'Beállítások'!$B$84,MIN(10,MAX(1,ROUND('Ügyfelek'!Q58,0)))))</f>
        <v/>
      </c>
      <c r="R58">
        <f>IF($A58="","",IF('Ügyfelek'!R58="",'Beállítások'!$B$84,MIN(10,MAX(1,ROUND('Ügyfelek'!R58,0)))))</f>
        <v/>
      </c>
      <c r="S58">
        <f>IF($A58="","",IF('Ügyfelek'!S58="",'Beállítások'!$B$84,MIN(10,MAX(1,ROUND('Ügyfelek'!S58,0)))))</f>
        <v/>
      </c>
      <c r="T58">
        <f>IF($A58="","",IF('Ügyfelek'!T58="",'Beállítások'!$B$84,VLOOKUP(MAX('Ügyfelek'!T58,'Beállítások'!$H$7),'Beállítások'!$H$7:$I$12,2,TRUE)))</f>
        <v/>
      </c>
      <c r="U58">
        <f>IF($A58="","",IF('Ügyfelek'!U58="",'Beállítások'!$B$84,VLOOKUP(MAX('Ügyfelek'!U58,'Beállítások'!$K$7),'Beállítások'!$K$7:$L$12,2,TRUE)))</f>
        <v/>
      </c>
      <c r="V58">
        <f>IF($A58="","",IF('Ügyfelek'!V58="",'Beállítások'!$B$84,MIN(10,MAX(1,ROUND('Ügyfelek'!V58,0)))))</f>
        <v/>
      </c>
      <c r="W58">
        <f>IF($A58="","",IF('Ügyfelek'!W58="",'Beállítások'!$B$84,VLOOKUP(MAX('Ügyfelek'!W58,'Beállítások'!$N$7),'Beállítások'!$N$7:$O$12,2,TRUE)))</f>
        <v/>
      </c>
      <c r="X58">
        <f>IF($A58="","",IF('Ügyfelek'!X58="",'Beállítások'!$B$84,MIN(10,MAX(1,ROUND('Ügyfelek'!X58,0)))))</f>
        <v/>
      </c>
      <c r="Y58">
        <f>IF($A58="","",IF('Ügyfelek'!Y58="",'Beállítások'!$B$84,IFERROR(VLOOKUP(TRIM('Ügyfelek'!Y58),'Beállítások'!$A$63:$B$69,2,FALSE),'Beállítások'!$B$84)))</f>
        <v/>
      </c>
      <c r="Z58">
        <f>IF($A58="","",IF('Ügyfelek'!Z58="",'Beállítások'!$B$84,VLOOKUP(MAX('Ügyfelek'!Z58,'Beállítások'!$Q$7),'Beállítások'!$Q$7:$R$12,2,TRUE)))</f>
        <v/>
      </c>
      <c r="AA58">
        <f>IF($A58="","",IF('Ügyfelek'!AA58="",'Beállítások'!$B$84,VLOOKUP(MAX('Ügyfelek'!AA58,'Beállítások'!$T$7),'Beállítások'!$T$7:$U$12,2,TRUE)))</f>
        <v/>
      </c>
      <c r="AB58">
        <f>IF($A58="","",IF('Ügyfelek'!AB58="",'Beállítások'!$B$84,MIN(10,MAX(1,ROUND('Ügyfelek'!AB58,0)))))</f>
        <v/>
      </c>
      <c r="AC58">
        <f>IF($A58="","",IF('Ügyfelek'!AC58="",'Beállítások'!$B$84,MIN(10,MAX(1,ROUND('Ügyfelek'!AC58,0)))))</f>
        <v/>
      </c>
      <c r="AD58">
        <f>IF($A58="","",IF('Ügyfelek'!AD58="",'Beállítások'!$B$84,MIN(10,MAX(1,ROUND('Ügyfelek'!AD58,0)))))</f>
        <v/>
      </c>
      <c r="AE58">
        <f>IF($A58="","",IF('Ügyfelek'!AE58="",'Beállítások'!$B$84,MIN(10,MAX(1,ROUND('Ügyfelek'!AE58,0)))))</f>
        <v/>
      </c>
      <c r="AF58">
        <f>IF($A58="","",IF('Ügyfelek'!AF58="",'Beállítások'!$B$84,MIN(10,MAX(1,ROUND('Ügyfelek'!AF58,0)))))</f>
        <v/>
      </c>
      <c r="AG58">
        <f>IF($A58="","",IF('Ügyfelek'!AG58="",'Beállítások'!$B$84,MIN(10,MAX(1,ROUND('Ügyfelek'!AG58,0)))))</f>
        <v/>
      </c>
      <c r="AH58">
        <f>IF($A58="","",IF('Ügyfelek'!AH58="",'Beállítások'!$B$84,IFERROR(VLOOKUP(TRIM('Ügyfelek'!AH58),'Beállítások'!$A$73:$B$79,2,FALSE),'Beállítások'!$B$84)))</f>
        <v/>
      </c>
      <c r="AI58" s="23">
        <f>IF($A58="","",ROUND(100*('Beállítások'!$E$6*(B58-1)+'Beállítások'!$E$7*(C58-1))/(9*'Beállítások'!$B$43),1))</f>
        <v/>
      </c>
      <c r="AJ58" s="23">
        <f>IF($A58="","",ROUND(100*('Beállítások'!$E$8*(D58-1)+'Beállítások'!$E$9*(E58-1)+'Beállítások'!$E$10*(F58-1)+'Beállítások'!$E$11*(G58-1)+'Beállítások'!$E$12*(H58-1)+'Beállítások'!$E$13*(I58-1)+'Beállítások'!$E$14*(J58-1)+'Beállítások'!$E$15*(K58-1)+'Beállítások'!$E$16*(L58-1)+'Beállítások'!$E$17*(M58-1)+'Beállítások'!$E$18*(N58-1)+'Beállítások'!$E$19*(O58-1)+'Beállítások'!$E$20*(P58-1)+'Beállítások'!$E$21*(Q58-1)+'Beállítások'!$E$22*(R58-1))/(9*'Beállítások'!$B$44),1))</f>
        <v/>
      </c>
      <c r="AK58" s="23">
        <f>IF($A58="","",ROUND(100*('Beállítások'!$E$23*(S58-1)+'Beállítások'!$E$24*(T58-1)+'Beállítások'!$E$25*(U58-1)+'Beállítások'!$E$26*(V58-1)+'Beállítások'!$E$27*(W58-1)+'Beállítások'!$E$28*(X58-1)+'Beállítások'!$E$29*(Y58-1))/(9*'Beállítások'!$B$45),1))</f>
        <v/>
      </c>
      <c r="AL58" s="23">
        <f>IF($A58="","",ROUND(100*('Beállítások'!$E$30*(Z58-1)+'Beállítások'!$E$31*(AA58-1)+'Beállítások'!$E$32*(AB58-1)+'Beállítások'!$E$33*(AC58-1)+'Beállítások'!$E$34*(AD58-1)+'Beállítások'!$E$35*(AE58-1)+'Beállítások'!$E$36*(AF58-1)+'Beállítások'!$E$37*(AG58-1)+'Beállítások'!$E$38*(AH58-1))/(9*'Beállítások'!$B$46),1))</f>
        <v/>
      </c>
      <c r="AM58" s="23">
        <f>IF($A58="","",ROUND(100*('Beállítások'!$E$6*(B58-1)+'Beállítások'!$E$7*(C58-1)+'Beállítások'!$E$8*(D58-1)+'Beállítások'!$E$9*(E58-1)+'Beállítások'!$E$10*(F58-1)+'Beállítások'!$E$11*(G58-1)+'Beállítások'!$E$12*(H58-1)+'Beállítások'!$E$13*(I58-1)+'Beállítások'!$E$14*(J58-1)+'Beállítások'!$E$15*(K58-1)+'Beállítások'!$E$16*(L58-1)+'Beállítások'!$E$17*(M58-1)+'Beállítások'!$E$18*(N58-1)+'Beállítások'!$E$19*(O58-1)+'Beállítások'!$E$20*(P58-1)+'Beállítások'!$E$21*(Q58-1)+'Beállítások'!$E$22*(R58-1)+'Beállítások'!$E$23*(S58-1)+'Beállítások'!$E$24*(T58-1)+'Beállítások'!$E$25*(U58-1)+'Beállítások'!$E$26*(V58-1)+'Beállítások'!$E$27*(W58-1)+'Beállítások'!$E$28*(X58-1)+'Beállítások'!$E$29*(Y58-1)+'Beállítások'!$E$30*(Z58-1)+'Beállítások'!$E$31*(AA58-1)+'Beállítások'!$E$32*(AB58-1)+'Beállítások'!$E$33*(AC58-1)+'Beállítások'!$E$34*(AD58-1)+'Beállítások'!$E$35*(AE58-1)+'Beállítások'!$E$36*(AF58-1)+'Beállítások'!$E$37*(AG58-1)+'Beállítások'!$E$38*(AH58-1))/(9*'Beállítások'!$E$39),1))</f>
        <v/>
      </c>
      <c r="AN58" s="23">
        <f>IF($A58="","",ROUND(100*('Beállítások'!$E$8*(D58-1)+'Beállítások'!$E$9*(E58-1)+'Beállítások'!$E$10*(F58-1)+'Beállítások'!$E$11*(G58-1)+'Beállítások'!$E$12*(H58-1)+'Beállítások'!$E$13*(I58-1)+'Beállítások'!$E$14*(J58-1)+'Beállítások'!$E$15*(K58-1)+'Beállítások'!$E$16*(L58-1)+'Beállítások'!$E$17*(M58-1)+'Beállítások'!$E$18*(N58-1)+'Beállítások'!$E$19*(O58-1)+'Beállítások'!$E$20*(P58-1)+'Beállítások'!$E$21*(Q58-1)+'Beállítások'!$E$22*(R58-1)+'Beállítások'!$E$23*(S58-1)+'Beállítások'!$E$24*(T58-1)+'Beállítások'!$E$25*(U58-1)+'Beállítások'!$E$26*(V58-1)+'Beállítások'!$E$27*(W58-1)+'Beállítások'!$E$28*(X58-1)+'Beállítások'!$E$29*(Y58-1))/(9*('Beállítások'!$B$44+'Beállítások'!$B$45)),1))</f>
        <v/>
      </c>
      <c r="AO58" s="24">
        <f>IF($A58="","",RANK(AM58,$AM$2:$AM$201))</f>
        <v/>
      </c>
      <c r="AP58">
        <f>IF($A58="","",IF(OR(AND('Ügyfelek'!B58&lt;&gt;"",B58&lt;='Beállítások'!$B$85),AND('Ügyfelek'!C58&lt;&gt;"",C58&lt;='Beállítások'!$B$86)),"Igen","Nem"))</f>
        <v/>
      </c>
      <c r="AQ58" s="24">
        <f>IF($A58="","",IF(AP58="Igen",5,IF(AN58&gt;='Beállítások'!$C$108,1,IF(AN58&gt;='Beállítások'!$C$109,2,IF(AN58&gt;='Beállítások'!$C$110,3,IF(AND(AN58&gt;='Beállítások'!$B$87,AI58&gt;='Beállítások'!$B$88,AL58&gt;='Beállítások'!$B$89),4,5))))))</f>
        <v/>
      </c>
      <c r="AR58">
        <f>IF($A58="","",INDEX('Beállítások'!$B$108:$B$112,AQ58))</f>
        <v/>
      </c>
      <c r="AS58">
        <f>IF($A58="","",IF(AQ58=5,"Elutasítjuk",IF(AND(AQ58=4,COUNTIFS('Eredmény'!$AQ$2:$AQ$201,4,'Eredmény'!$DY$2:$DY$201,"&gt;"&amp;DY58)&gt;='Beállítások'!$B$90),"Várólista (a 4-es hely foglalt)","Elfogadjuk")))</f>
        <v/>
      </c>
      <c r="AT58">
        <f>IF($A58="","",INDEX('Beállítások'!$F$108:$F$112,AQ58))</f>
        <v/>
      </c>
      <c r="AU58">
        <f>IF($A58="","",INDEX('Beállítások'!$B$6:$B$38,MATCH(MAX(BK58:CQ58),BK58:CQ58,0)))</f>
        <v/>
      </c>
      <c r="AV58">
        <f>IF($A58="","",IF(MAX(CR58:DX58)=0,"—",INDEX('Beállítások'!$B$6:$B$38,MATCH(MAX(CR58:DX58),CR58:DX58,0))))</f>
        <v/>
      </c>
      <c r="AW58" s="10">
        <f>IF($A58="","",'Beállítások'!$B$94*(TRIM('Ügyfelek'!AI58)="igen")+'Beállítások'!$B$95*(TRIM('Ügyfelek'!AJ58)="igen")+'Beállítások'!$B$96*N('Ügyfelek'!AK58)+'Beállítások'!$B$93*N('Ügyfelek'!AL58))</f>
        <v/>
      </c>
      <c r="AX58" s="25">
        <f>IF(OR($A58="",AQ58=5),"",INDEX('Beállítások'!$D$108:$D$112,AQ58))</f>
        <v/>
      </c>
      <c r="AY58" s="10">
        <f>IF($A58="","",N('Ügyfelek'!U58)*'Beállítások'!$B$98)</f>
        <v/>
      </c>
      <c r="AZ58" s="10">
        <f>IF(OR($A58="",AQ58=5),"",CEILING(ROUND(MAX('Beállítások'!$B$97,AW58*AX58,AY58),2),'Beállítások'!$B$99))</f>
        <v/>
      </c>
      <c r="BA58">
        <f>IF($A58="","",IF(AQ58=5,"Elutasítva",IF(MAX('Beállítások'!$B$97,AW58*AX58,AY58)=AW58*AX58,"Munkaigény × státuszszorzó",IF(MAX('Beállítások'!$B$97,AW58*AX58,AY58)=AY58,"Hirdetési keret arányában","Minimumdíj"))))</f>
        <v/>
      </c>
      <c r="BB58" s="10">
        <f>IF(OR($A58="",'Ügyfelek'!AM58=""),"",'Ügyfelek'!AM58)</f>
        <v/>
      </c>
      <c r="BC58" s="10">
        <f>IF(OR(BB58="",AZ58=""),"",AZ58-BB58)</f>
        <v/>
      </c>
      <c r="BD58" s="18">
        <f>IF(OR(BB58="",AZ58="",BB58=0),"",BC58/BB58)</f>
        <v/>
      </c>
      <c r="BE58">
        <f>IF(OR($A58="",AQ58=5),"",IF(AND(INDEX('Beállítások'!$E$108:$E$112,AQ58)&gt;0,Y58&gt;='Beállítások'!$B$91),"Igen","Nem"))</f>
        <v/>
      </c>
      <c r="BF58" s="10">
        <f>IF(BE58="Igen",CEILING(ROUND(AZ58*(1-'Beállítások'!$B$92),2),'Beállítások'!$B$99),"")</f>
        <v/>
      </c>
      <c r="BG58" s="20">
        <f>IF(BE58="Igen",INDEX('Beállítások'!$E$108:$E$112,AQ58),"")</f>
        <v/>
      </c>
      <c r="BH58" s="10">
        <f>IF(OR(BE58&lt;&gt;"Igen",'Ügyfelek'!AN58=""),"",'Ügyfelek'!AN58*BG58)</f>
        <v/>
      </c>
      <c r="BI58" s="24">
        <f>IF($A58="","",('Ügyfelek'!B58="")+('Ügyfelek'!C58="")+('Ügyfelek'!D58="")+('Ügyfelek'!E58="")+('Ügyfelek'!F58="")+('Ügyfelek'!G58="")+('Ügyfelek'!H58="")+('Ügyfelek'!I58="")+('Ügyfelek'!J58="")+('Ügyfelek'!K58="")+('Ügyfelek'!L58="")+('Ügyfelek'!M58="")+('Ügyfelek'!N58="")+('Ügyfelek'!O58="")+('Ügyfelek'!P58="")+('Ügyfelek'!Q58="")+('Ügyfelek'!R58="")+('Ügyfelek'!S58="")+('Ügyfelek'!T58="")+('Ügyfelek'!U58="")+('Ügyfelek'!V58="")+('Ügyfelek'!W58="")+('Ügyfelek'!X58="")+('Ügyfelek'!Y58="")+('Ügyfelek'!Z58="")+('Ügyfelek'!AA58="")+('Ügyfelek'!AB58="")+('Ügyfelek'!AC58="")+('Ügyfelek'!AD58="")+('Ügyfelek'!AE58="")+('Ügyfelek'!AF58="")+('Ügyfelek'!AG58="")+('Ügyfelek'!AH58=""))</f>
        <v/>
      </c>
      <c r="BK58">
        <f>IF($A58="","",B58+'Beállítások'!$E$6/1000)</f>
        <v/>
      </c>
      <c r="BL58">
        <f>IF($A58="","",C58+'Beállítások'!$E$7/1000)</f>
        <v/>
      </c>
      <c r="BM58">
        <f>IF($A58="","",D58+'Beállítások'!$E$8/1000)</f>
        <v/>
      </c>
      <c r="BN58">
        <f>IF($A58="","",E58+'Beállítások'!$E$9/1000)</f>
        <v/>
      </c>
      <c r="BO58">
        <f>IF($A58="","",F58+'Beállítások'!$E$10/1000)</f>
        <v/>
      </c>
      <c r="BP58">
        <f>IF($A58="","",G58+'Beállítások'!$E$11/1000)</f>
        <v/>
      </c>
      <c r="BQ58">
        <f>IF($A58="","",H58+'Beállítások'!$E$12/1000)</f>
        <v/>
      </c>
      <c r="BR58">
        <f>IF($A58="","",I58+'Beállítások'!$E$13/1000)</f>
        <v/>
      </c>
      <c r="BS58">
        <f>IF($A58="","",J58+'Beállítások'!$E$14/1000)</f>
        <v/>
      </c>
      <c r="BT58">
        <f>IF($A58="","",K58+'Beállítások'!$E$15/1000)</f>
        <v/>
      </c>
      <c r="BU58">
        <f>IF($A58="","",L58+'Beállítások'!$E$16/1000)</f>
        <v/>
      </c>
      <c r="BV58">
        <f>IF($A58="","",M58+'Beállítások'!$E$17/1000)</f>
        <v/>
      </c>
      <c r="BW58">
        <f>IF($A58="","",N58+'Beállítások'!$E$18/1000)</f>
        <v/>
      </c>
      <c r="BX58">
        <f>IF($A58="","",O58+'Beállítások'!$E$19/1000)</f>
        <v/>
      </c>
      <c r="BY58">
        <f>IF($A58="","",P58+'Beállítások'!$E$20/1000)</f>
        <v/>
      </c>
      <c r="BZ58">
        <f>IF($A58="","",Q58+'Beállítások'!$E$21/1000)</f>
        <v/>
      </c>
      <c r="CA58">
        <f>IF($A58="","",R58+'Beállítások'!$E$22/1000)</f>
        <v/>
      </c>
      <c r="CB58">
        <f>IF($A58="","",S58+'Beállítások'!$E$23/1000)</f>
        <v/>
      </c>
      <c r="CC58">
        <f>IF($A58="","",T58+'Beállítások'!$E$24/1000)</f>
        <v/>
      </c>
      <c r="CD58">
        <f>IF($A58="","",U58+'Beállítások'!$E$25/1000)</f>
        <v/>
      </c>
      <c r="CE58">
        <f>IF($A58="","",V58+'Beállítások'!$E$26/1000)</f>
        <v/>
      </c>
      <c r="CF58">
        <f>IF($A58="","",W58+'Beállítások'!$E$27/1000)</f>
        <v/>
      </c>
      <c r="CG58">
        <f>IF($A58="","",X58+'Beállítások'!$E$28/1000)</f>
        <v/>
      </c>
      <c r="CH58">
        <f>IF($A58="","",Y58+'Beállítások'!$E$29/1000)</f>
        <v/>
      </c>
      <c r="CI58">
        <f>IF($A58="","",Z58+'Beállítások'!$E$30/1000)</f>
        <v/>
      </c>
      <c r="CJ58">
        <f>IF($A58="","",AA58+'Beállítások'!$E$31/1000)</f>
        <v/>
      </c>
      <c r="CK58">
        <f>IF($A58="","",AB58+'Beállítások'!$E$32/1000)</f>
        <v/>
      </c>
      <c r="CL58">
        <f>IF($A58="","",AC58+'Beállítások'!$E$33/1000)</f>
        <v/>
      </c>
      <c r="CM58">
        <f>IF($A58="","",AD58+'Beállítások'!$E$34/1000)</f>
        <v/>
      </c>
      <c r="CN58">
        <f>IF($A58="","",AE58+'Beállítások'!$E$35/1000)</f>
        <v/>
      </c>
      <c r="CO58">
        <f>IF($A58="","",AF58+'Beállítások'!$E$36/1000)</f>
        <v/>
      </c>
      <c r="CP58">
        <f>IF($A58="","",AG58+'Beállítások'!$E$37/1000)</f>
        <v/>
      </c>
      <c r="CQ58">
        <f>IF($A58="","",AH58+'Beállítások'!$E$38/1000)</f>
        <v/>
      </c>
      <c r="CR58">
        <f>IF($A58="","",'Beállítások'!$E$6*(10-B58))</f>
        <v/>
      </c>
      <c r="CS58">
        <f>IF($A58="","",'Beállítások'!$E$7*(10-C58))</f>
        <v/>
      </c>
      <c r="CT58">
        <f>IF($A58="","",'Beállítások'!$E$8*(10-D58))</f>
        <v/>
      </c>
      <c r="CU58">
        <f>IF($A58="","",'Beállítások'!$E$9*(10-E58))</f>
        <v/>
      </c>
      <c r="CV58">
        <f>IF($A58="","",'Beállítások'!$E$10*(10-F58))</f>
        <v/>
      </c>
      <c r="CW58">
        <f>IF($A58="","",'Beállítások'!$E$11*(10-G58))</f>
        <v/>
      </c>
      <c r="CX58">
        <f>IF($A58="","",'Beállítások'!$E$12*(10-H58))</f>
        <v/>
      </c>
      <c r="CY58">
        <f>IF($A58="","",'Beállítások'!$E$13*(10-I58))</f>
        <v/>
      </c>
      <c r="CZ58">
        <f>IF($A58="","",'Beállítások'!$E$14*(10-J58))</f>
        <v/>
      </c>
      <c r="DA58">
        <f>IF($A58="","",'Beállítások'!$E$15*(10-K58))</f>
        <v/>
      </c>
      <c r="DB58">
        <f>IF($A58="","",'Beállítások'!$E$16*(10-L58))</f>
        <v/>
      </c>
      <c r="DC58">
        <f>IF($A58="","",'Beállítások'!$E$17*(10-M58))</f>
        <v/>
      </c>
      <c r="DD58">
        <f>IF($A58="","",'Beállítások'!$E$18*(10-N58))</f>
        <v/>
      </c>
      <c r="DE58">
        <f>IF($A58="","",'Beállítások'!$E$19*(10-O58))</f>
        <v/>
      </c>
      <c r="DF58">
        <f>IF($A58="","",'Beállítások'!$E$20*(10-P58))</f>
        <v/>
      </c>
      <c r="DG58">
        <f>IF($A58="","",'Beállítások'!$E$21*(10-Q58))</f>
        <v/>
      </c>
      <c r="DH58">
        <f>IF($A58="","",'Beállítások'!$E$22*(10-R58))</f>
        <v/>
      </c>
      <c r="DI58">
        <f>IF($A58="","",'Beállítások'!$E$23*(10-S58))</f>
        <v/>
      </c>
      <c r="DJ58">
        <f>IF($A58="","",'Beállítások'!$E$24*(10-T58))</f>
        <v/>
      </c>
      <c r="DK58">
        <f>IF($A58="","",'Beállítások'!$E$25*(10-U58))</f>
        <v/>
      </c>
      <c r="DL58">
        <f>IF($A58="","",'Beállítások'!$E$26*(10-V58))</f>
        <v/>
      </c>
      <c r="DM58">
        <f>IF($A58="","",'Beállítások'!$E$27*(10-W58))</f>
        <v/>
      </c>
      <c r="DN58">
        <f>IF($A58="","",'Beállítások'!$E$28*(10-X58))</f>
        <v/>
      </c>
      <c r="DO58">
        <f>IF($A58="","",'Beállítások'!$E$29*(10-Y58))</f>
        <v/>
      </c>
      <c r="DP58">
        <f>IF($A58="","",'Beállítások'!$E$30*(10-Z58))</f>
        <v/>
      </c>
      <c r="DQ58">
        <f>IF($A58="","",'Beállítások'!$E$31*(10-AA58))</f>
        <v/>
      </c>
      <c r="DR58">
        <f>IF($A58="","",'Beállítások'!$E$32*(10-AB58))</f>
        <v/>
      </c>
      <c r="DS58">
        <f>IF($A58="","",'Beállítások'!$E$33*(10-AC58))</f>
        <v/>
      </c>
      <c r="DT58">
        <f>IF($A58="","",'Beállítások'!$E$34*(10-AD58))</f>
        <v/>
      </c>
      <c r="DU58">
        <f>IF($A58="","",'Beállítások'!$E$35*(10-AE58))</f>
        <v/>
      </c>
      <c r="DV58">
        <f>IF($A58="","",'Beállítások'!$E$36*(10-AF58))</f>
        <v/>
      </c>
      <c r="DW58">
        <f>IF($A58="","",'Beállítások'!$E$37*(10-AG58))</f>
        <v/>
      </c>
      <c r="DX58">
        <f>IF($A58="","",'Beállítások'!$E$38*(10-AH58))</f>
        <v/>
      </c>
      <c r="DY58">
        <f>IF($A58="","",AM58-ROW()/100000)</f>
        <v/>
      </c>
    </row>
    <row r="59">
      <c r="A59">
        <f>IF('Ügyfelek'!A59="","",'Ügyfelek'!A59)</f>
        <v/>
      </c>
      <c r="B59">
        <f>IF($A59="","",IF('Ügyfelek'!B59="",'Beállítások'!$B$84,IFERROR(VLOOKUP(TRIM('Ügyfelek'!B59),'Beállítások'!$A$51:$B$59,2,FALSE),'Beállítások'!$B$84)))</f>
        <v/>
      </c>
      <c r="C59">
        <f>IF($A59="","",IF('Ügyfelek'!C59="",'Beállítások'!$B$84,MIN(10,MAX(1,ROUND('Ügyfelek'!C59,0)))))</f>
        <v/>
      </c>
      <c r="D59">
        <f>IF($A59="","",IF('Ügyfelek'!D59="",'Beállítások'!$B$84,MIN(10,MAX(1,ROUND('Ügyfelek'!D59,0)))))</f>
        <v/>
      </c>
      <c r="E59">
        <f>IF($A59="","",IF('Ügyfelek'!E59="",'Beállítások'!$B$84,MIN(10,MAX(1,ROUND('Ügyfelek'!E59,0)))))</f>
        <v/>
      </c>
      <c r="F59">
        <f>IF($A59="","",IF('Ügyfelek'!F59="",'Beállítások'!$B$84,MIN(10,MAX(1,ROUND('Ügyfelek'!F59,0)))))</f>
        <v/>
      </c>
      <c r="G59">
        <f>IF($A59="","",IF('Ügyfelek'!G59="",'Beállítások'!$B$84,MIN(10,MAX(1,ROUND('Ügyfelek'!G59,0)))))</f>
        <v/>
      </c>
      <c r="H59">
        <f>IF($A59="","",IF('Ügyfelek'!H59="",'Beállítások'!$B$84,MIN(10,MAX(1,ROUND('Ügyfelek'!H59,0)))))</f>
        <v/>
      </c>
      <c r="I59">
        <f>IF($A59="","",IF('Ügyfelek'!I59="",'Beállítások'!$B$84,MIN(10,MAX(1,ROUND('Ügyfelek'!I59,0)))))</f>
        <v/>
      </c>
      <c r="J59">
        <f>IF($A59="","",IF('Ügyfelek'!J59="",'Beállítások'!$B$84,MIN(10,MAX(1,ROUND('Ügyfelek'!J59,0)))))</f>
        <v/>
      </c>
      <c r="K59">
        <f>IF($A59="","",IF('Ügyfelek'!K59="",'Beállítások'!$B$84,MIN(10,MAX(1,ROUND('Ügyfelek'!K59,0)))))</f>
        <v/>
      </c>
      <c r="L59">
        <f>IF($A59="","",IF('Ügyfelek'!L59="",'Beállítások'!$B$84,MIN(10,MAX(1,ROUND('Ügyfelek'!L59,0)))))</f>
        <v/>
      </c>
      <c r="M59">
        <f>IF($A59="","",IF('Ügyfelek'!M59="",'Beállítások'!$B$84,MIN(10,MAX(1,ROUND('Ügyfelek'!M59,0)))))</f>
        <v/>
      </c>
      <c r="N59">
        <f>IF($A59="","",IF('Ügyfelek'!N59="",'Beállítások'!$B$84,MIN(10,MAX(1,ROUND('Ügyfelek'!N59,0)))))</f>
        <v/>
      </c>
      <c r="O59">
        <f>IF($A59="","",IF('Ügyfelek'!O59="",'Beállítások'!$B$84,MIN(10,MAX(1,ROUND('Ügyfelek'!O59,0)))))</f>
        <v/>
      </c>
      <c r="P59">
        <f>IF($A59="","",IF('Ügyfelek'!P59="",'Beállítások'!$B$84,MIN(10,MAX(1,ROUND('Ügyfelek'!P59,0)))))</f>
        <v/>
      </c>
      <c r="Q59">
        <f>IF($A59="","",IF('Ügyfelek'!Q59="",'Beállítások'!$B$84,MIN(10,MAX(1,ROUND('Ügyfelek'!Q59,0)))))</f>
        <v/>
      </c>
      <c r="R59">
        <f>IF($A59="","",IF('Ügyfelek'!R59="",'Beállítások'!$B$84,MIN(10,MAX(1,ROUND('Ügyfelek'!R59,0)))))</f>
        <v/>
      </c>
      <c r="S59">
        <f>IF($A59="","",IF('Ügyfelek'!S59="",'Beállítások'!$B$84,MIN(10,MAX(1,ROUND('Ügyfelek'!S59,0)))))</f>
        <v/>
      </c>
      <c r="T59">
        <f>IF($A59="","",IF('Ügyfelek'!T59="",'Beállítások'!$B$84,VLOOKUP(MAX('Ügyfelek'!T59,'Beállítások'!$H$7),'Beállítások'!$H$7:$I$12,2,TRUE)))</f>
        <v/>
      </c>
      <c r="U59">
        <f>IF($A59="","",IF('Ügyfelek'!U59="",'Beállítások'!$B$84,VLOOKUP(MAX('Ügyfelek'!U59,'Beállítások'!$K$7),'Beállítások'!$K$7:$L$12,2,TRUE)))</f>
        <v/>
      </c>
      <c r="V59">
        <f>IF($A59="","",IF('Ügyfelek'!V59="",'Beállítások'!$B$84,MIN(10,MAX(1,ROUND('Ügyfelek'!V59,0)))))</f>
        <v/>
      </c>
      <c r="W59">
        <f>IF($A59="","",IF('Ügyfelek'!W59="",'Beállítások'!$B$84,VLOOKUP(MAX('Ügyfelek'!W59,'Beállítások'!$N$7),'Beállítások'!$N$7:$O$12,2,TRUE)))</f>
        <v/>
      </c>
      <c r="X59">
        <f>IF($A59="","",IF('Ügyfelek'!X59="",'Beállítások'!$B$84,MIN(10,MAX(1,ROUND('Ügyfelek'!X59,0)))))</f>
        <v/>
      </c>
      <c r="Y59">
        <f>IF($A59="","",IF('Ügyfelek'!Y59="",'Beállítások'!$B$84,IFERROR(VLOOKUP(TRIM('Ügyfelek'!Y59),'Beállítások'!$A$63:$B$69,2,FALSE),'Beállítások'!$B$84)))</f>
        <v/>
      </c>
      <c r="Z59">
        <f>IF($A59="","",IF('Ügyfelek'!Z59="",'Beállítások'!$B$84,VLOOKUP(MAX('Ügyfelek'!Z59,'Beállítások'!$Q$7),'Beállítások'!$Q$7:$R$12,2,TRUE)))</f>
        <v/>
      </c>
      <c r="AA59">
        <f>IF($A59="","",IF('Ügyfelek'!AA59="",'Beállítások'!$B$84,VLOOKUP(MAX('Ügyfelek'!AA59,'Beállítások'!$T$7),'Beállítások'!$T$7:$U$12,2,TRUE)))</f>
        <v/>
      </c>
      <c r="AB59">
        <f>IF($A59="","",IF('Ügyfelek'!AB59="",'Beállítások'!$B$84,MIN(10,MAX(1,ROUND('Ügyfelek'!AB59,0)))))</f>
        <v/>
      </c>
      <c r="AC59">
        <f>IF($A59="","",IF('Ügyfelek'!AC59="",'Beállítások'!$B$84,MIN(10,MAX(1,ROUND('Ügyfelek'!AC59,0)))))</f>
        <v/>
      </c>
      <c r="AD59">
        <f>IF($A59="","",IF('Ügyfelek'!AD59="",'Beállítások'!$B$84,MIN(10,MAX(1,ROUND('Ügyfelek'!AD59,0)))))</f>
        <v/>
      </c>
      <c r="AE59">
        <f>IF($A59="","",IF('Ügyfelek'!AE59="",'Beállítások'!$B$84,MIN(10,MAX(1,ROUND('Ügyfelek'!AE59,0)))))</f>
        <v/>
      </c>
      <c r="AF59">
        <f>IF($A59="","",IF('Ügyfelek'!AF59="",'Beállítások'!$B$84,MIN(10,MAX(1,ROUND('Ügyfelek'!AF59,0)))))</f>
        <v/>
      </c>
      <c r="AG59">
        <f>IF($A59="","",IF('Ügyfelek'!AG59="",'Beállítások'!$B$84,MIN(10,MAX(1,ROUND('Ügyfelek'!AG59,0)))))</f>
        <v/>
      </c>
      <c r="AH59">
        <f>IF($A59="","",IF('Ügyfelek'!AH59="",'Beállítások'!$B$84,IFERROR(VLOOKUP(TRIM('Ügyfelek'!AH59),'Beállítások'!$A$73:$B$79,2,FALSE),'Beállítások'!$B$84)))</f>
        <v/>
      </c>
      <c r="AI59" s="23">
        <f>IF($A59="","",ROUND(100*('Beállítások'!$E$6*(B59-1)+'Beállítások'!$E$7*(C59-1))/(9*'Beállítások'!$B$43),1))</f>
        <v/>
      </c>
      <c r="AJ59" s="23">
        <f>IF($A59="","",ROUND(100*('Beállítások'!$E$8*(D59-1)+'Beállítások'!$E$9*(E59-1)+'Beállítások'!$E$10*(F59-1)+'Beállítások'!$E$11*(G59-1)+'Beállítások'!$E$12*(H59-1)+'Beállítások'!$E$13*(I59-1)+'Beállítások'!$E$14*(J59-1)+'Beállítások'!$E$15*(K59-1)+'Beállítások'!$E$16*(L59-1)+'Beállítások'!$E$17*(M59-1)+'Beállítások'!$E$18*(N59-1)+'Beállítások'!$E$19*(O59-1)+'Beállítások'!$E$20*(P59-1)+'Beállítások'!$E$21*(Q59-1)+'Beállítások'!$E$22*(R59-1))/(9*'Beállítások'!$B$44),1))</f>
        <v/>
      </c>
      <c r="AK59" s="23">
        <f>IF($A59="","",ROUND(100*('Beállítások'!$E$23*(S59-1)+'Beállítások'!$E$24*(T59-1)+'Beállítások'!$E$25*(U59-1)+'Beállítások'!$E$26*(V59-1)+'Beállítások'!$E$27*(W59-1)+'Beállítások'!$E$28*(X59-1)+'Beállítások'!$E$29*(Y59-1))/(9*'Beállítások'!$B$45),1))</f>
        <v/>
      </c>
      <c r="AL59" s="23">
        <f>IF($A59="","",ROUND(100*('Beállítások'!$E$30*(Z59-1)+'Beállítások'!$E$31*(AA59-1)+'Beállítások'!$E$32*(AB59-1)+'Beállítások'!$E$33*(AC59-1)+'Beállítások'!$E$34*(AD59-1)+'Beállítások'!$E$35*(AE59-1)+'Beállítások'!$E$36*(AF59-1)+'Beállítások'!$E$37*(AG59-1)+'Beállítások'!$E$38*(AH59-1))/(9*'Beállítások'!$B$46),1))</f>
        <v/>
      </c>
      <c r="AM59" s="23">
        <f>IF($A59="","",ROUND(100*('Beállítások'!$E$6*(B59-1)+'Beállítások'!$E$7*(C59-1)+'Beállítások'!$E$8*(D59-1)+'Beállítások'!$E$9*(E59-1)+'Beállítások'!$E$10*(F59-1)+'Beállítások'!$E$11*(G59-1)+'Beállítások'!$E$12*(H59-1)+'Beállítások'!$E$13*(I59-1)+'Beállítások'!$E$14*(J59-1)+'Beállítások'!$E$15*(K59-1)+'Beállítások'!$E$16*(L59-1)+'Beállítások'!$E$17*(M59-1)+'Beállítások'!$E$18*(N59-1)+'Beállítások'!$E$19*(O59-1)+'Beállítások'!$E$20*(P59-1)+'Beállítások'!$E$21*(Q59-1)+'Beállítások'!$E$22*(R59-1)+'Beállítások'!$E$23*(S59-1)+'Beállítások'!$E$24*(T59-1)+'Beállítások'!$E$25*(U59-1)+'Beállítások'!$E$26*(V59-1)+'Beállítások'!$E$27*(W59-1)+'Beállítások'!$E$28*(X59-1)+'Beállítások'!$E$29*(Y59-1)+'Beállítások'!$E$30*(Z59-1)+'Beállítások'!$E$31*(AA59-1)+'Beállítások'!$E$32*(AB59-1)+'Beállítások'!$E$33*(AC59-1)+'Beállítások'!$E$34*(AD59-1)+'Beállítások'!$E$35*(AE59-1)+'Beállítások'!$E$36*(AF59-1)+'Beállítások'!$E$37*(AG59-1)+'Beállítások'!$E$38*(AH59-1))/(9*'Beállítások'!$E$39),1))</f>
        <v/>
      </c>
      <c r="AN59" s="23">
        <f>IF($A59="","",ROUND(100*('Beállítások'!$E$8*(D59-1)+'Beállítások'!$E$9*(E59-1)+'Beállítások'!$E$10*(F59-1)+'Beállítások'!$E$11*(G59-1)+'Beállítások'!$E$12*(H59-1)+'Beállítások'!$E$13*(I59-1)+'Beállítások'!$E$14*(J59-1)+'Beállítások'!$E$15*(K59-1)+'Beállítások'!$E$16*(L59-1)+'Beállítások'!$E$17*(M59-1)+'Beállítások'!$E$18*(N59-1)+'Beállítások'!$E$19*(O59-1)+'Beállítások'!$E$20*(P59-1)+'Beállítások'!$E$21*(Q59-1)+'Beállítások'!$E$22*(R59-1)+'Beállítások'!$E$23*(S59-1)+'Beállítások'!$E$24*(T59-1)+'Beállítások'!$E$25*(U59-1)+'Beállítások'!$E$26*(V59-1)+'Beállítások'!$E$27*(W59-1)+'Beállítások'!$E$28*(X59-1)+'Beállítások'!$E$29*(Y59-1))/(9*('Beállítások'!$B$44+'Beállítások'!$B$45)),1))</f>
        <v/>
      </c>
      <c r="AO59" s="24">
        <f>IF($A59="","",RANK(AM59,$AM$2:$AM$201))</f>
        <v/>
      </c>
      <c r="AP59">
        <f>IF($A59="","",IF(OR(AND('Ügyfelek'!B59&lt;&gt;"",B59&lt;='Beállítások'!$B$85),AND('Ügyfelek'!C59&lt;&gt;"",C59&lt;='Beállítások'!$B$86)),"Igen","Nem"))</f>
        <v/>
      </c>
      <c r="AQ59" s="24">
        <f>IF($A59="","",IF(AP59="Igen",5,IF(AN59&gt;='Beállítások'!$C$108,1,IF(AN59&gt;='Beállítások'!$C$109,2,IF(AN59&gt;='Beállítások'!$C$110,3,IF(AND(AN59&gt;='Beállítások'!$B$87,AI59&gt;='Beállítások'!$B$88,AL59&gt;='Beállítások'!$B$89),4,5))))))</f>
        <v/>
      </c>
      <c r="AR59">
        <f>IF($A59="","",INDEX('Beállítások'!$B$108:$B$112,AQ59))</f>
        <v/>
      </c>
      <c r="AS59">
        <f>IF($A59="","",IF(AQ59=5,"Elutasítjuk",IF(AND(AQ59=4,COUNTIFS('Eredmény'!$AQ$2:$AQ$201,4,'Eredmény'!$DY$2:$DY$201,"&gt;"&amp;DY59)&gt;='Beállítások'!$B$90),"Várólista (a 4-es hely foglalt)","Elfogadjuk")))</f>
        <v/>
      </c>
      <c r="AT59">
        <f>IF($A59="","",INDEX('Beállítások'!$F$108:$F$112,AQ59))</f>
        <v/>
      </c>
      <c r="AU59">
        <f>IF($A59="","",INDEX('Beállítások'!$B$6:$B$38,MATCH(MAX(BK59:CQ59),BK59:CQ59,0)))</f>
        <v/>
      </c>
      <c r="AV59">
        <f>IF($A59="","",IF(MAX(CR59:DX59)=0,"—",INDEX('Beállítások'!$B$6:$B$38,MATCH(MAX(CR59:DX59),CR59:DX59,0))))</f>
        <v/>
      </c>
      <c r="AW59" s="10">
        <f>IF($A59="","",'Beállítások'!$B$94*(TRIM('Ügyfelek'!AI59)="igen")+'Beállítások'!$B$95*(TRIM('Ügyfelek'!AJ59)="igen")+'Beállítások'!$B$96*N('Ügyfelek'!AK59)+'Beállítások'!$B$93*N('Ügyfelek'!AL59))</f>
        <v/>
      </c>
      <c r="AX59" s="25">
        <f>IF(OR($A59="",AQ59=5),"",INDEX('Beállítások'!$D$108:$D$112,AQ59))</f>
        <v/>
      </c>
      <c r="AY59" s="10">
        <f>IF($A59="","",N('Ügyfelek'!U59)*'Beállítások'!$B$98)</f>
        <v/>
      </c>
      <c r="AZ59" s="10">
        <f>IF(OR($A59="",AQ59=5),"",CEILING(ROUND(MAX('Beállítások'!$B$97,AW59*AX59,AY59),2),'Beállítások'!$B$99))</f>
        <v/>
      </c>
      <c r="BA59">
        <f>IF($A59="","",IF(AQ59=5,"Elutasítva",IF(MAX('Beállítások'!$B$97,AW59*AX59,AY59)=AW59*AX59,"Munkaigény × státuszszorzó",IF(MAX('Beállítások'!$B$97,AW59*AX59,AY59)=AY59,"Hirdetési keret arányában","Minimumdíj"))))</f>
        <v/>
      </c>
      <c r="BB59" s="10">
        <f>IF(OR($A59="",'Ügyfelek'!AM59=""),"",'Ügyfelek'!AM59)</f>
        <v/>
      </c>
      <c r="BC59" s="10">
        <f>IF(OR(BB59="",AZ59=""),"",AZ59-BB59)</f>
        <v/>
      </c>
      <c r="BD59" s="18">
        <f>IF(OR(BB59="",AZ59="",BB59=0),"",BC59/BB59)</f>
        <v/>
      </c>
      <c r="BE59">
        <f>IF(OR($A59="",AQ59=5),"",IF(AND(INDEX('Beállítások'!$E$108:$E$112,AQ59)&gt;0,Y59&gt;='Beállítások'!$B$91),"Igen","Nem"))</f>
        <v/>
      </c>
      <c r="BF59" s="10">
        <f>IF(BE59="Igen",CEILING(ROUND(AZ59*(1-'Beállítások'!$B$92),2),'Beállítások'!$B$99),"")</f>
        <v/>
      </c>
      <c r="BG59" s="20">
        <f>IF(BE59="Igen",INDEX('Beállítások'!$E$108:$E$112,AQ59),"")</f>
        <v/>
      </c>
      <c r="BH59" s="10">
        <f>IF(OR(BE59&lt;&gt;"Igen",'Ügyfelek'!AN59=""),"",'Ügyfelek'!AN59*BG59)</f>
        <v/>
      </c>
      <c r="BI59" s="24">
        <f>IF($A59="","",('Ügyfelek'!B59="")+('Ügyfelek'!C59="")+('Ügyfelek'!D59="")+('Ügyfelek'!E59="")+('Ügyfelek'!F59="")+('Ügyfelek'!G59="")+('Ügyfelek'!H59="")+('Ügyfelek'!I59="")+('Ügyfelek'!J59="")+('Ügyfelek'!K59="")+('Ügyfelek'!L59="")+('Ügyfelek'!M59="")+('Ügyfelek'!N59="")+('Ügyfelek'!O59="")+('Ügyfelek'!P59="")+('Ügyfelek'!Q59="")+('Ügyfelek'!R59="")+('Ügyfelek'!S59="")+('Ügyfelek'!T59="")+('Ügyfelek'!U59="")+('Ügyfelek'!V59="")+('Ügyfelek'!W59="")+('Ügyfelek'!X59="")+('Ügyfelek'!Y59="")+('Ügyfelek'!Z59="")+('Ügyfelek'!AA59="")+('Ügyfelek'!AB59="")+('Ügyfelek'!AC59="")+('Ügyfelek'!AD59="")+('Ügyfelek'!AE59="")+('Ügyfelek'!AF59="")+('Ügyfelek'!AG59="")+('Ügyfelek'!AH59=""))</f>
        <v/>
      </c>
      <c r="BK59">
        <f>IF($A59="","",B59+'Beállítások'!$E$6/1000)</f>
        <v/>
      </c>
      <c r="BL59">
        <f>IF($A59="","",C59+'Beállítások'!$E$7/1000)</f>
        <v/>
      </c>
      <c r="BM59">
        <f>IF($A59="","",D59+'Beállítások'!$E$8/1000)</f>
        <v/>
      </c>
      <c r="BN59">
        <f>IF($A59="","",E59+'Beállítások'!$E$9/1000)</f>
        <v/>
      </c>
      <c r="BO59">
        <f>IF($A59="","",F59+'Beállítások'!$E$10/1000)</f>
        <v/>
      </c>
      <c r="BP59">
        <f>IF($A59="","",G59+'Beállítások'!$E$11/1000)</f>
        <v/>
      </c>
      <c r="BQ59">
        <f>IF($A59="","",H59+'Beállítások'!$E$12/1000)</f>
        <v/>
      </c>
      <c r="BR59">
        <f>IF($A59="","",I59+'Beállítások'!$E$13/1000)</f>
        <v/>
      </c>
      <c r="BS59">
        <f>IF($A59="","",J59+'Beállítások'!$E$14/1000)</f>
        <v/>
      </c>
      <c r="BT59">
        <f>IF($A59="","",K59+'Beállítások'!$E$15/1000)</f>
        <v/>
      </c>
      <c r="BU59">
        <f>IF($A59="","",L59+'Beállítások'!$E$16/1000)</f>
        <v/>
      </c>
      <c r="BV59">
        <f>IF($A59="","",M59+'Beállítások'!$E$17/1000)</f>
        <v/>
      </c>
      <c r="BW59">
        <f>IF($A59="","",N59+'Beállítások'!$E$18/1000)</f>
        <v/>
      </c>
      <c r="BX59">
        <f>IF($A59="","",O59+'Beállítások'!$E$19/1000)</f>
        <v/>
      </c>
      <c r="BY59">
        <f>IF($A59="","",P59+'Beállítások'!$E$20/1000)</f>
        <v/>
      </c>
      <c r="BZ59">
        <f>IF($A59="","",Q59+'Beállítások'!$E$21/1000)</f>
        <v/>
      </c>
      <c r="CA59">
        <f>IF($A59="","",R59+'Beállítások'!$E$22/1000)</f>
        <v/>
      </c>
      <c r="CB59">
        <f>IF($A59="","",S59+'Beállítások'!$E$23/1000)</f>
        <v/>
      </c>
      <c r="CC59">
        <f>IF($A59="","",T59+'Beállítások'!$E$24/1000)</f>
        <v/>
      </c>
      <c r="CD59">
        <f>IF($A59="","",U59+'Beállítások'!$E$25/1000)</f>
        <v/>
      </c>
      <c r="CE59">
        <f>IF($A59="","",V59+'Beállítások'!$E$26/1000)</f>
        <v/>
      </c>
      <c r="CF59">
        <f>IF($A59="","",W59+'Beállítások'!$E$27/1000)</f>
        <v/>
      </c>
      <c r="CG59">
        <f>IF($A59="","",X59+'Beállítások'!$E$28/1000)</f>
        <v/>
      </c>
      <c r="CH59">
        <f>IF($A59="","",Y59+'Beállítások'!$E$29/1000)</f>
        <v/>
      </c>
      <c r="CI59">
        <f>IF($A59="","",Z59+'Beállítások'!$E$30/1000)</f>
        <v/>
      </c>
      <c r="CJ59">
        <f>IF($A59="","",AA59+'Beállítások'!$E$31/1000)</f>
        <v/>
      </c>
      <c r="CK59">
        <f>IF($A59="","",AB59+'Beállítások'!$E$32/1000)</f>
        <v/>
      </c>
      <c r="CL59">
        <f>IF($A59="","",AC59+'Beállítások'!$E$33/1000)</f>
        <v/>
      </c>
      <c r="CM59">
        <f>IF($A59="","",AD59+'Beállítások'!$E$34/1000)</f>
        <v/>
      </c>
      <c r="CN59">
        <f>IF($A59="","",AE59+'Beállítások'!$E$35/1000)</f>
        <v/>
      </c>
      <c r="CO59">
        <f>IF($A59="","",AF59+'Beállítások'!$E$36/1000)</f>
        <v/>
      </c>
      <c r="CP59">
        <f>IF($A59="","",AG59+'Beállítások'!$E$37/1000)</f>
        <v/>
      </c>
      <c r="CQ59">
        <f>IF($A59="","",AH59+'Beállítások'!$E$38/1000)</f>
        <v/>
      </c>
      <c r="CR59">
        <f>IF($A59="","",'Beállítások'!$E$6*(10-B59))</f>
        <v/>
      </c>
      <c r="CS59">
        <f>IF($A59="","",'Beállítások'!$E$7*(10-C59))</f>
        <v/>
      </c>
      <c r="CT59">
        <f>IF($A59="","",'Beállítások'!$E$8*(10-D59))</f>
        <v/>
      </c>
      <c r="CU59">
        <f>IF($A59="","",'Beállítások'!$E$9*(10-E59))</f>
        <v/>
      </c>
      <c r="CV59">
        <f>IF($A59="","",'Beállítások'!$E$10*(10-F59))</f>
        <v/>
      </c>
      <c r="CW59">
        <f>IF($A59="","",'Beállítások'!$E$11*(10-G59))</f>
        <v/>
      </c>
      <c r="CX59">
        <f>IF($A59="","",'Beállítások'!$E$12*(10-H59))</f>
        <v/>
      </c>
      <c r="CY59">
        <f>IF($A59="","",'Beállítások'!$E$13*(10-I59))</f>
        <v/>
      </c>
      <c r="CZ59">
        <f>IF($A59="","",'Beállítások'!$E$14*(10-J59))</f>
        <v/>
      </c>
      <c r="DA59">
        <f>IF($A59="","",'Beállítások'!$E$15*(10-K59))</f>
        <v/>
      </c>
      <c r="DB59">
        <f>IF($A59="","",'Beállítások'!$E$16*(10-L59))</f>
        <v/>
      </c>
      <c r="DC59">
        <f>IF($A59="","",'Beállítások'!$E$17*(10-M59))</f>
        <v/>
      </c>
      <c r="DD59">
        <f>IF($A59="","",'Beállítások'!$E$18*(10-N59))</f>
        <v/>
      </c>
      <c r="DE59">
        <f>IF($A59="","",'Beállítások'!$E$19*(10-O59))</f>
        <v/>
      </c>
      <c r="DF59">
        <f>IF($A59="","",'Beállítások'!$E$20*(10-P59))</f>
        <v/>
      </c>
      <c r="DG59">
        <f>IF($A59="","",'Beállítások'!$E$21*(10-Q59))</f>
        <v/>
      </c>
      <c r="DH59">
        <f>IF($A59="","",'Beállítások'!$E$22*(10-R59))</f>
        <v/>
      </c>
      <c r="DI59">
        <f>IF($A59="","",'Beállítások'!$E$23*(10-S59))</f>
        <v/>
      </c>
      <c r="DJ59">
        <f>IF($A59="","",'Beállítások'!$E$24*(10-T59))</f>
        <v/>
      </c>
      <c r="DK59">
        <f>IF($A59="","",'Beállítások'!$E$25*(10-U59))</f>
        <v/>
      </c>
      <c r="DL59">
        <f>IF($A59="","",'Beállítások'!$E$26*(10-V59))</f>
        <v/>
      </c>
      <c r="DM59">
        <f>IF($A59="","",'Beállítások'!$E$27*(10-W59))</f>
        <v/>
      </c>
      <c r="DN59">
        <f>IF($A59="","",'Beállítások'!$E$28*(10-X59))</f>
        <v/>
      </c>
      <c r="DO59">
        <f>IF($A59="","",'Beállítások'!$E$29*(10-Y59))</f>
        <v/>
      </c>
      <c r="DP59">
        <f>IF($A59="","",'Beállítások'!$E$30*(10-Z59))</f>
        <v/>
      </c>
      <c r="DQ59">
        <f>IF($A59="","",'Beállítások'!$E$31*(10-AA59))</f>
        <v/>
      </c>
      <c r="DR59">
        <f>IF($A59="","",'Beállítások'!$E$32*(10-AB59))</f>
        <v/>
      </c>
      <c r="DS59">
        <f>IF($A59="","",'Beállítások'!$E$33*(10-AC59))</f>
        <v/>
      </c>
      <c r="DT59">
        <f>IF($A59="","",'Beállítások'!$E$34*(10-AD59))</f>
        <v/>
      </c>
      <c r="DU59">
        <f>IF($A59="","",'Beállítások'!$E$35*(10-AE59))</f>
        <v/>
      </c>
      <c r="DV59">
        <f>IF($A59="","",'Beállítások'!$E$36*(10-AF59))</f>
        <v/>
      </c>
      <c r="DW59">
        <f>IF($A59="","",'Beállítások'!$E$37*(10-AG59))</f>
        <v/>
      </c>
      <c r="DX59">
        <f>IF($A59="","",'Beállítások'!$E$38*(10-AH59))</f>
        <v/>
      </c>
      <c r="DY59">
        <f>IF($A59="","",AM59-ROW()/100000)</f>
        <v/>
      </c>
    </row>
    <row r="60">
      <c r="A60">
        <f>IF('Ügyfelek'!A60="","",'Ügyfelek'!A60)</f>
        <v/>
      </c>
      <c r="B60">
        <f>IF($A60="","",IF('Ügyfelek'!B60="",'Beállítások'!$B$84,IFERROR(VLOOKUP(TRIM('Ügyfelek'!B60),'Beállítások'!$A$51:$B$59,2,FALSE),'Beállítások'!$B$84)))</f>
        <v/>
      </c>
      <c r="C60">
        <f>IF($A60="","",IF('Ügyfelek'!C60="",'Beállítások'!$B$84,MIN(10,MAX(1,ROUND('Ügyfelek'!C60,0)))))</f>
        <v/>
      </c>
      <c r="D60">
        <f>IF($A60="","",IF('Ügyfelek'!D60="",'Beállítások'!$B$84,MIN(10,MAX(1,ROUND('Ügyfelek'!D60,0)))))</f>
        <v/>
      </c>
      <c r="E60">
        <f>IF($A60="","",IF('Ügyfelek'!E60="",'Beállítások'!$B$84,MIN(10,MAX(1,ROUND('Ügyfelek'!E60,0)))))</f>
        <v/>
      </c>
      <c r="F60">
        <f>IF($A60="","",IF('Ügyfelek'!F60="",'Beállítások'!$B$84,MIN(10,MAX(1,ROUND('Ügyfelek'!F60,0)))))</f>
        <v/>
      </c>
      <c r="G60">
        <f>IF($A60="","",IF('Ügyfelek'!G60="",'Beállítások'!$B$84,MIN(10,MAX(1,ROUND('Ügyfelek'!G60,0)))))</f>
        <v/>
      </c>
      <c r="H60">
        <f>IF($A60="","",IF('Ügyfelek'!H60="",'Beállítások'!$B$84,MIN(10,MAX(1,ROUND('Ügyfelek'!H60,0)))))</f>
        <v/>
      </c>
      <c r="I60">
        <f>IF($A60="","",IF('Ügyfelek'!I60="",'Beállítások'!$B$84,MIN(10,MAX(1,ROUND('Ügyfelek'!I60,0)))))</f>
        <v/>
      </c>
      <c r="J60">
        <f>IF($A60="","",IF('Ügyfelek'!J60="",'Beállítások'!$B$84,MIN(10,MAX(1,ROUND('Ügyfelek'!J60,0)))))</f>
        <v/>
      </c>
      <c r="K60">
        <f>IF($A60="","",IF('Ügyfelek'!K60="",'Beállítások'!$B$84,MIN(10,MAX(1,ROUND('Ügyfelek'!K60,0)))))</f>
        <v/>
      </c>
      <c r="L60">
        <f>IF($A60="","",IF('Ügyfelek'!L60="",'Beállítások'!$B$84,MIN(10,MAX(1,ROUND('Ügyfelek'!L60,0)))))</f>
        <v/>
      </c>
      <c r="M60">
        <f>IF($A60="","",IF('Ügyfelek'!M60="",'Beállítások'!$B$84,MIN(10,MAX(1,ROUND('Ügyfelek'!M60,0)))))</f>
        <v/>
      </c>
      <c r="N60">
        <f>IF($A60="","",IF('Ügyfelek'!N60="",'Beállítások'!$B$84,MIN(10,MAX(1,ROUND('Ügyfelek'!N60,0)))))</f>
        <v/>
      </c>
      <c r="O60">
        <f>IF($A60="","",IF('Ügyfelek'!O60="",'Beállítások'!$B$84,MIN(10,MAX(1,ROUND('Ügyfelek'!O60,0)))))</f>
        <v/>
      </c>
      <c r="P60">
        <f>IF($A60="","",IF('Ügyfelek'!P60="",'Beállítások'!$B$84,MIN(10,MAX(1,ROUND('Ügyfelek'!P60,0)))))</f>
        <v/>
      </c>
      <c r="Q60">
        <f>IF($A60="","",IF('Ügyfelek'!Q60="",'Beállítások'!$B$84,MIN(10,MAX(1,ROUND('Ügyfelek'!Q60,0)))))</f>
        <v/>
      </c>
      <c r="R60">
        <f>IF($A60="","",IF('Ügyfelek'!R60="",'Beállítások'!$B$84,MIN(10,MAX(1,ROUND('Ügyfelek'!R60,0)))))</f>
        <v/>
      </c>
      <c r="S60">
        <f>IF($A60="","",IF('Ügyfelek'!S60="",'Beállítások'!$B$84,MIN(10,MAX(1,ROUND('Ügyfelek'!S60,0)))))</f>
        <v/>
      </c>
      <c r="T60">
        <f>IF($A60="","",IF('Ügyfelek'!T60="",'Beállítások'!$B$84,VLOOKUP(MAX('Ügyfelek'!T60,'Beállítások'!$H$7),'Beállítások'!$H$7:$I$12,2,TRUE)))</f>
        <v/>
      </c>
      <c r="U60">
        <f>IF($A60="","",IF('Ügyfelek'!U60="",'Beállítások'!$B$84,VLOOKUP(MAX('Ügyfelek'!U60,'Beállítások'!$K$7),'Beállítások'!$K$7:$L$12,2,TRUE)))</f>
        <v/>
      </c>
      <c r="V60">
        <f>IF($A60="","",IF('Ügyfelek'!V60="",'Beállítások'!$B$84,MIN(10,MAX(1,ROUND('Ügyfelek'!V60,0)))))</f>
        <v/>
      </c>
      <c r="W60">
        <f>IF($A60="","",IF('Ügyfelek'!W60="",'Beállítások'!$B$84,VLOOKUP(MAX('Ügyfelek'!W60,'Beállítások'!$N$7),'Beállítások'!$N$7:$O$12,2,TRUE)))</f>
        <v/>
      </c>
      <c r="X60">
        <f>IF($A60="","",IF('Ügyfelek'!X60="",'Beállítások'!$B$84,MIN(10,MAX(1,ROUND('Ügyfelek'!X60,0)))))</f>
        <v/>
      </c>
      <c r="Y60">
        <f>IF($A60="","",IF('Ügyfelek'!Y60="",'Beállítások'!$B$84,IFERROR(VLOOKUP(TRIM('Ügyfelek'!Y60),'Beállítások'!$A$63:$B$69,2,FALSE),'Beállítások'!$B$84)))</f>
        <v/>
      </c>
      <c r="Z60">
        <f>IF($A60="","",IF('Ügyfelek'!Z60="",'Beállítások'!$B$84,VLOOKUP(MAX('Ügyfelek'!Z60,'Beállítások'!$Q$7),'Beállítások'!$Q$7:$R$12,2,TRUE)))</f>
        <v/>
      </c>
      <c r="AA60">
        <f>IF($A60="","",IF('Ügyfelek'!AA60="",'Beállítások'!$B$84,VLOOKUP(MAX('Ügyfelek'!AA60,'Beállítások'!$T$7),'Beállítások'!$T$7:$U$12,2,TRUE)))</f>
        <v/>
      </c>
      <c r="AB60">
        <f>IF($A60="","",IF('Ügyfelek'!AB60="",'Beállítások'!$B$84,MIN(10,MAX(1,ROUND('Ügyfelek'!AB60,0)))))</f>
        <v/>
      </c>
      <c r="AC60">
        <f>IF($A60="","",IF('Ügyfelek'!AC60="",'Beállítások'!$B$84,MIN(10,MAX(1,ROUND('Ügyfelek'!AC60,0)))))</f>
        <v/>
      </c>
      <c r="AD60">
        <f>IF($A60="","",IF('Ügyfelek'!AD60="",'Beállítások'!$B$84,MIN(10,MAX(1,ROUND('Ügyfelek'!AD60,0)))))</f>
        <v/>
      </c>
      <c r="AE60">
        <f>IF($A60="","",IF('Ügyfelek'!AE60="",'Beállítások'!$B$84,MIN(10,MAX(1,ROUND('Ügyfelek'!AE60,0)))))</f>
        <v/>
      </c>
      <c r="AF60">
        <f>IF($A60="","",IF('Ügyfelek'!AF60="",'Beállítások'!$B$84,MIN(10,MAX(1,ROUND('Ügyfelek'!AF60,0)))))</f>
        <v/>
      </c>
      <c r="AG60">
        <f>IF($A60="","",IF('Ügyfelek'!AG60="",'Beállítások'!$B$84,MIN(10,MAX(1,ROUND('Ügyfelek'!AG60,0)))))</f>
        <v/>
      </c>
      <c r="AH60">
        <f>IF($A60="","",IF('Ügyfelek'!AH60="",'Beállítások'!$B$84,IFERROR(VLOOKUP(TRIM('Ügyfelek'!AH60),'Beállítások'!$A$73:$B$79,2,FALSE),'Beállítások'!$B$84)))</f>
        <v/>
      </c>
      <c r="AI60" s="23">
        <f>IF($A60="","",ROUND(100*('Beállítások'!$E$6*(B60-1)+'Beállítások'!$E$7*(C60-1))/(9*'Beállítások'!$B$43),1))</f>
        <v/>
      </c>
      <c r="AJ60" s="23">
        <f>IF($A60="","",ROUND(100*('Beállítások'!$E$8*(D60-1)+'Beállítások'!$E$9*(E60-1)+'Beállítások'!$E$10*(F60-1)+'Beállítások'!$E$11*(G60-1)+'Beállítások'!$E$12*(H60-1)+'Beállítások'!$E$13*(I60-1)+'Beállítások'!$E$14*(J60-1)+'Beállítások'!$E$15*(K60-1)+'Beállítások'!$E$16*(L60-1)+'Beállítások'!$E$17*(M60-1)+'Beállítások'!$E$18*(N60-1)+'Beállítások'!$E$19*(O60-1)+'Beállítások'!$E$20*(P60-1)+'Beállítások'!$E$21*(Q60-1)+'Beállítások'!$E$22*(R60-1))/(9*'Beállítások'!$B$44),1))</f>
        <v/>
      </c>
      <c r="AK60" s="23">
        <f>IF($A60="","",ROUND(100*('Beállítások'!$E$23*(S60-1)+'Beállítások'!$E$24*(T60-1)+'Beállítások'!$E$25*(U60-1)+'Beállítások'!$E$26*(V60-1)+'Beállítások'!$E$27*(W60-1)+'Beállítások'!$E$28*(X60-1)+'Beállítások'!$E$29*(Y60-1))/(9*'Beállítások'!$B$45),1))</f>
        <v/>
      </c>
      <c r="AL60" s="23">
        <f>IF($A60="","",ROUND(100*('Beállítások'!$E$30*(Z60-1)+'Beállítások'!$E$31*(AA60-1)+'Beállítások'!$E$32*(AB60-1)+'Beállítások'!$E$33*(AC60-1)+'Beállítások'!$E$34*(AD60-1)+'Beállítások'!$E$35*(AE60-1)+'Beállítások'!$E$36*(AF60-1)+'Beállítások'!$E$37*(AG60-1)+'Beállítások'!$E$38*(AH60-1))/(9*'Beállítások'!$B$46),1))</f>
        <v/>
      </c>
      <c r="AM60" s="23">
        <f>IF($A60="","",ROUND(100*('Beállítások'!$E$6*(B60-1)+'Beállítások'!$E$7*(C60-1)+'Beállítások'!$E$8*(D60-1)+'Beállítások'!$E$9*(E60-1)+'Beállítások'!$E$10*(F60-1)+'Beállítások'!$E$11*(G60-1)+'Beállítások'!$E$12*(H60-1)+'Beállítások'!$E$13*(I60-1)+'Beállítások'!$E$14*(J60-1)+'Beállítások'!$E$15*(K60-1)+'Beállítások'!$E$16*(L60-1)+'Beállítások'!$E$17*(M60-1)+'Beállítások'!$E$18*(N60-1)+'Beállítások'!$E$19*(O60-1)+'Beállítások'!$E$20*(P60-1)+'Beállítások'!$E$21*(Q60-1)+'Beállítások'!$E$22*(R60-1)+'Beállítások'!$E$23*(S60-1)+'Beállítások'!$E$24*(T60-1)+'Beállítások'!$E$25*(U60-1)+'Beállítások'!$E$26*(V60-1)+'Beállítások'!$E$27*(W60-1)+'Beállítások'!$E$28*(X60-1)+'Beállítások'!$E$29*(Y60-1)+'Beállítások'!$E$30*(Z60-1)+'Beállítások'!$E$31*(AA60-1)+'Beállítások'!$E$32*(AB60-1)+'Beállítások'!$E$33*(AC60-1)+'Beállítások'!$E$34*(AD60-1)+'Beállítások'!$E$35*(AE60-1)+'Beállítások'!$E$36*(AF60-1)+'Beállítások'!$E$37*(AG60-1)+'Beállítások'!$E$38*(AH60-1))/(9*'Beállítások'!$E$39),1))</f>
        <v/>
      </c>
      <c r="AN60" s="23">
        <f>IF($A60="","",ROUND(100*('Beállítások'!$E$8*(D60-1)+'Beállítások'!$E$9*(E60-1)+'Beállítások'!$E$10*(F60-1)+'Beállítások'!$E$11*(G60-1)+'Beállítások'!$E$12*(H60-1)+'Beállítások'!$E$13*(I60-1)+'Beállítások'!$E$14*(J60-1)+'Beállítások'!$E$15*(K60-1)+'Beállítások'!$E$16*(L60-1)+'Beállítások'!$E$17*(M60-1)+'Beállítások'!$E$18*(N60-1)+'Beállítások'!$E$19*(O60-1)+'Beállítások'!$E$20*(P60-1)+'Beállítások'!$E$21*(Q60-1)+'Beállítások'!$E$22*(R60-1)+'Beállítások'!$E$23*(S60-1)+'Beállítások'!$E$24*(T60-1)+'Beállítások'!$E$25*(U60-1)+'Beállítások'!$E$26*(V60-1)+'Beállítások'!$E$27*(W60-1)+'Beállítások'!$E$28*(X60-1)+'Beállítások'!$E$29*(Y60-1))/(9*('Beállítások'!$B$44+'Beállítások'!$B$45)),1))</f>
        <v/>
      </c>
      <c r="AO60" s="24">
        <f>IF($A60="","",RANK(AM60,$AM$2:$AM$201))</f>
        <v/>
      </c>
      <c r="AP60">
        <f>IF($A60="","",IF(OR(AND('Ügyfelek'!B60&lt;&gt;"",B60&lt;='Beállítások'!$B$85),AND('Ügyfelek'!C60&lt;&gt;"",C60&lt;='Beállítások'!$B$86)),"Igen","Nem"))</f>
        <v/>
      </c>
      <c r="AQ60" s="24">
        <f>IF($A60="","",IF(AP60="Igen",5,IF(AN60&gt;='Beállítások'!$C$108,1,IF(AN60&gt;='Beállítások'!$C$109,2,IF(AN60&gt;='Beállítások'!$C$110,3,IF(AND(AN60&gt;='Beállítások'!$B$87,AI60&gt;='Beállítások'!$B$88,AL60&gt;='Beállítások'!$B$89),4,5))))))</f>
        <v/>
      </c>
      <c r="AR60">
        <f>IF($A60="","",INDEX('Beállítások'!$B$108:$B$112,AQ60))</f>
        <v/>
      </c>
      <c r="AS60">
        <f>IF($A60="","",IF(AQ60=5,"Elutasítjuk",IF(AND(AQ60=4,COUNTIFS('Eredmény'!$AQ$2:$AQ$201,4,'Eredmény'!$DY$2:$DY$201,"&gt;"&amp;DY60)&gt;='Beállítások'!$B$90),"Várólista (a 4-es hely foglalt)","Elfogadjuk")))</f>
        <v/>
      </c>
      <c r="AT60">
        <f>IF($A60="","",INDEX('Beállítások'!$F$108:$F$112,AQ60))</f>
        <v/>
      </c>
      <c r="AU60">
        <f>IF($A60="","",INDEX('Beállítások'!$B$6:$B$38,MATCH(MAX(BK60:CQ60),BK60:CQ60,0)))</f>
        <v/>
      </c>
      <c r="AV60">
        <f>IF($A60="","",IF(MAX(CR60:DX60)=0,"—",INDEX('Beállítások'!$B$6:$B$38,MATCH(MAX(CR60:DX60),CR60:DX60,0))))</f>
        <v/>
      </c>
      <c r="AW60" s="10">
        <f>IF($A60="","",'Beállítások'!$B$94*(TRIM('Ügyfelek'!AI60)="igen")+'Beállítások'!$B$95*(TRIM('Ügyfelek'!AJ60)="igen")+'Beállítások'!$B$96*N('Ügyfelek'!AK60)+'Beállítások'!$B$93*N('Ügyfelek'!AL60))</f>
        <v/>
      </c>
      <c r="AX60" s="25">
        <f>IF(OR($A60="",AQ60=5),"",INDEX('Beállítások'!$D$108:$D$112,AQ60))</f>
        <v/>
      </c>
      <c r="AY60" s="10">
        <f>IF($A60="","",N('Ügyfelek'!U60)*'Beállítások'!$B$98)</f>
        <v/>
      </c>
      <c r="AZ60" s="10">
        <f>IF(OR($A60="",AQ60=5),"",CEILING(ROUND(MAX('Beállítások'!$B$97,AW60*AX60,AY60),2),'Beállítások'!$B$99))</f>
        <v/>
      </c>
      <c r="BA60">
        <f>IF($A60="","",IF(AQ60=5,"Elutasítva",IF(MAX('Beállítások'!$B$97,AW60*AX60,AY60)=AW60*AX60,"Munkaigény × státuszszorzó",IF(MAX('Beállítások'!$B$97,AW60*AX60,AY60)=AY60,"Hirdetési keret arányában","Minimumdíj"))))</f>
        <v/>
      </c>
      <c r="BB60" s="10">
        <f>IF(OR($A60="",'Ügyfelek'!AM60=""),"",'Ügyfelek'!AM60)</f>
        <v/>
      </c>
      <c r="BC60" s="10">
        <f>IF(OR(BB60="",AZ60=""),"",AZ60-BB60)</f>
        <v/>
      </c>
      <c r="BD60" s="18">
        <f>IF(OR(BB60="",AZ60="",BB60=0),"",BC60/BB60)</f>
        <v/>
      </c>
      <c r="BE60">
        <f>IF(OR($A60="",AQ60=5),"",IF(AND(INDEX('Beállítások'!$E$108:$E$112,AQ60)&gt;0,Y60&gt;='Beállítások'!$B$91),"Igen","Nem"))</f>
        <v/>
      </c>
      <c r="BF60" s="10">
        <f>IF(BE60="Igen",CEILING(ROUND(AZ60*(1-'Beállítások'!$B$92),2),'Beállítások'!$B$99),"")</f>
        <v/>
      </c>
      <c r="BG60" s="20">
        <f>IF(BE60="Igen",INDEX('Beállítások'!$E$108:$E$112,AQ60),"")</f>
        <v/>
      </c>
      <c r="BH60" s="10">
        <f>IF(OR(BE60&lt;&gt;"Igen",'Ügyfelek'!AN60=""),"",'Ügyfelek'!AN60*BG60)</f>
        <v/>
      </c>
      <c r="BI60" s="24">
        <f>IF($A60="","",('Ügyfelek'!B60="")+('Ügyfelek'!C60="")+('Ügyfelek'!D60="")+('Ügyfelek'!E60="")+('Ügyfelek'!F60="")+('Ügyfelek'!G60="")+('Ügyfelek'!H60="")+('Ügyfelek'!I60="")+('Ügyfelek'!J60="")+('Ügyfelek'!K60="")+('Ügyfelek'!L60="")+('Ügyfelek'!M60="")+('Ügyfelek'!N60="")+('Ügyfelek'!O60="")+('Ügyfelek'!P60="")+('Ügyfelek'!Q60="")+('Ügyfelek'!R60="")+('Ügyfelek'!S60="")+('Ügyfelek'!T60="")+('Ügyfelek'!U60="")+('Ügyfelek'!V60="")+('Ügyfelek'!W60="")+('Ügyfelek'!X60="")+('Ügyfelek'!Y60="")+('Ügyfelek'!Z60="")+('Ügyfelek'!AA60="")+('Ügyfelek'!AB60="")+('Ügyfelek'!AC60="")+('Ügyfelek'!AD60="")+('Ügyfelek'!AE60="")+('Ügyfelek'!AF60="")+('Ügyfelek'!AG60="")+('Ügyfelek'!AH60=""))</f>
        <v/>
      </c>
      <c r="BK60">
        <f>IF($A60="","",B60+'Beállítások'!$E$6/1000)</f>
        <v/>
      </c>
      <c r="BL60">
        <f>IF($A60="","",C60+'Beállítások'!$E$7/1000)</f>
        <v/>
      </c>
      <c r="BM60">
        <f>IF($A60="","",D60+'Beállítások'!$E$8/1000)</f>
        <v/>
      </c>
      <c r="BN60">
        <f>IF($A60="","",E60+'Beállítások'!$E$9/1000)</f>
        <v/>
      </c>
      <c r="BO60">
        <f>IF($A60="","",F60+'Beállítások'!$E$10/1000)</f>
        <v/>
      </c>
      <c r="BP60">
        <f>IF($A60="","",G60+'Beállítások'!$E$11/1000)</f>
        <v/>
      </c>
      <c r="BQ60">
        <f>IF($A60="","",H60+'Beállítások'!$E$12/1000)</f>
        <v/>
      </c>
      <c r="BR60">
        <f>IF($A60="","",I60+'Beállítások'!$E$13/1000)</f>
        <v/>
      </c>
      <c r="BS60">
        <f>IF($A60="","",J60+'Beállítások'!$E$14/1000)</f>
        <v/>
      </c>
      <c r="BT60">
        <f>IF($A60="","",K60+'Beállítások'!$E$15/1000)</f>
        <v/>
      </c>
      <c r="BU60">
        <f>IF($A60="","",L60+'Beállítások'!$E$16/1000)</f>
        <v/>
      </c>
      <c r="BV60">
        <f>IF($A60="","",M60+'Beállítások'!$E$17/1000)</f>
        <v/>
      </c>
      <c r="BW60">
        <f>IF($A60="","",N60+'Beállítások'!$E$18/1000)</f>
        <v/>
      </c>
      <c r="BX60">
        <f>IF($A60="","",O60+'Beállítások'!$E$19/1000)</f>
        <v/>
      </c>
      <c r="BY60">
        <f>IF($A60="","",P60+'Beállítások'!$E$20/1000)</f>
        <v/>
      </c>
      <c r="BZ60">
        <f>IF($A60="","",Q60+'Beállítások'!$E$21/1000)</f>
        <v/>
      </c>
      <c r="CA60">
        <f>IF($A60="","",R60+'Beállítások'!$E$22/1000)</f>
        <v/>
      </c>
      <c r="CB60">
        <f>IF($A60="","",S60+'Beállítások'!$E$23/1000)</f>
        <v/>
      </c>
      <c r="CC60">
        <f>IF($A60="","",T60+'Beállítások'!$E$24/1000)</f>
        <v/>
      </c>
      <c r="CD60">
        <f>IF($A60="","",U60+'Beállítások'!$E$25/1000)</f>
        <v/>
      </c>
      <c r="CE60">
        <f>IF($A60="","",V60+'Beállítások'!$E$26/1000)</f>
        <v/>
      </c>
      <c r="CF60">
        <f>IF($A60="","",W60+'Beállítások'!$E$27/1000)</f>
        <v/>
      </c>
      <c r="CG60">
        <f>IF($A60="","",X60+'Beállítások'!$E$28/1000)</f>
        <v/>
      </c>
      <c r="CH60">
        <f>IF($A60="","",Y60+'Beállítások'!$E$29/1000)</f>
        <v/>
      </c>
      <c r="CI60">
        <f>IF($A60="","",Z60+'Beállítások'!$E$30/1000)</f>
        <v/>
      </c>
      <c r="CJ60">
        <f>IF($A60="","",AA60+'Beállítások'!$E$31/1000)</f>
        <v/>
      </c>
      <c r="CK60">
        <f>IF($A60="","",AB60+'Beállítások'!$E$32/1000)</f>
        <v/>
      </c>
      <c r="CL60">
        <f>IF($A60="","",AC60+'Beállítások'!$E$33/1000)</f>
        <v/>
      </c>
      <c r="CM60">
        <f>IF($A60="","",AD60+'Beállítások'!$E$34/1000)</f>
        <v/>
      </c>
      <c r="CN60">
        <f>IF($A60="","",AE60+'Beállítások'!$E$35/1000)</f>
        <v/>
      </c>
      <c r="CO60">
        <f>IF($A60="","",AF60+'Beállítások'!$E$36/1000)</f>
        <v/>
      </c>
      <c r="CP60">
        <f>IF($A60="","",AG60+'Beállítások'!$E$37/1000)</f>
        <v/>
      </c>
      <c r="CQ60">
        <f>IF($A60="","",AH60+'Beállítások'!$E$38/1000)</f>
        <v/>
      </c>
      <c r="CR60">
        <f>IF($A60="","",'Beállítások'!$E$6*(10-B60))</f>
        <v/>
      </c>
      <c r="CS60">
        <f>IF($A60="","",'Beállítások'!$E$7*(10-C60))</f>
        <v/>
      </c>
      <c r="CT60">
        <f>IF($A60="","",'Beállítások'!$E$8*(10-D60))</f>
        <v/>
      </c>
      <c r="CU60">
        <f>IF($A60="","",'Beállítások'!$E$9*(10-E60))</f>
        <v/>
      </c>
      <c r="CV60">
        <f>IF($A60="","",'Beállítások'!$E$10*(10-F60))</f>
        <v/>
      </c>
      <c r="CW60">
        <f>IF($A60="","",'Beállítások'!$E$11*(10-G60))</f>
        <v/>
      </c>
      <c r="CX60">
        <f>IF($A60="","",'Beállítások'!$E$12*(10-H60))</f>
        <v/>
      </c>
      <c r="CY60">
        <f>IF($A60="","",'Beállítások'!$E$13*(10-I60))</f>
        <v/>
      </c>
      <c r="CZ60">
        <f>IF($A60="","",'Beállítások'!$E$14*(10-J60))</f>
        <v/>
      </c>
      <c r="DA60">
        <f>IF($A60="","",'Beállítások'!$E$15*(10-K60))</f>
        <v/>
      </c>
      <c r="DB60">
        <f>IF($A60="","",'Beállítások'!$E$16*(10-L60))</f>
        <v/>
      </c>
      <c r="DC60">
        <f>IF($A60="","",'Beállítások'!$E$17*(10-M60))</f>
        <v/>
      </c>
      <c r="DD60">
        <f>IF($A60="","",'Beállítások'!$E$18*(10-N60))</f>
        <v/>
      </c>
      <c r="DE60">
        <f>IF($A60="","",'Beállítások'!$E$19*(10-O60))</f>
        <v/>
      </c>
      <c r="DF60">
        <f>IF($A60="","",'Beállítások'!$E$20*(10-P60))</f>
        <v/>
      </c>
      <c r="DG60">
        <f>IF($A60="","",'Beállítások'!$E$21*(10-Q60))</f>
        <v/>
      </c>
      <c r="DH60">
        <f>IF($A60="","",'Beállítások'!$E$22*(10-R60))</f>
        <v/>
      </c>
      <c r="DI60">
        <f>IF($A60="","",'Beállítások'!$E$23*(10-S60))</f>
        <v/>
      </c>
      <c r="DJ60">
        <f>IF($A60="","",'Beállítások'!$E$24*(10-T60))</f>
        <v/>
      </c>
      <c r="DK60">
        <f>IF($A60="","",'Beállítások'!$E$25*(10-U60))</f>
        <v/>
      </c>
      <c r="DL60">
        <f>IF($A60="","",'Beállítások'!$E$26*(10-V60))</f>
        <v/>
      </c>
      <c r="DM60">
        <f>IF($A60="","",'Beállítások'!$E$27*(10-W60))</f>
        <v/>
      </c>
      <c r="DN60">
        <f>IF($A60="","",'Beállítások'!$E$28*(10-X60))</f>
        <v/>
      </c>
      <c r="DO60">
        <f>IF($A60="","",'Beállítások'!$E$29*(10-Y60))</f>
        <v/>
      </c>
      <c r="DP60">
        <f>IF($A60="","",'Beállítások'!$E$30*(10-Z60))</f>
        <v/>
      </c>
      <c r="DQ60">
        <f>IF($A60="","",'Beállítások'!$E$31*(10-AA60))</f>
        <v/>
      </c>
      <c r="DR60">
        <f>IF($A60="","",'Beállítások'!$E$32*(10-AB60))</f>
        <v/>
      </c>
      <c r="DS60">
        <f>IF($A60="","",'Beállítások'!$E$33*(10-AC60))</f>
        <v/>
      </c>
      <c r="DT60">
        <f>IF($A60="","",'Beállítások'!$E$34*(10-AD60))</f>
        <v/>
      </c>
      <c r="DU60">
        <f>IF($A60="","",'Beállítások'!$E$35*(10-AE60))</f>
        <v/>
      </c>
      <c r="DV60">
        <f>IF($A60="","",'Beállítások'!$E$36*(10-AF60))</f>
        <v/>
      </c>
      <c r="DW60">
        <f>IF($A60="","",'Beállítások'!$E$37*(10-AG60))</f>
        <v/>
      </c>
      <c r="DX60">
        <f>IF($A60="","",'Beállítások'!$E$38*(10-AH60))</f>
        <v/>
      </c>
      <c r="DY60">
        <f>IF($A60="","",AM60-ROW()/100000)</f>
        <v/>
      </c>
    </row>
    <row r="61">
      <c r="A61">
        <f>IF('Ügyfelek'!A61="","",'Ügyfelek'!A61)</f>
        <v/>
      </c>
      <c r="B61">
        <f>IF($A61="","",IF('Ügyfelek'!B61="",'Beállítások'!$B$84,IFERROR(VLOOKUP(TRIM('Ügyfelek'!B61),'Beállítások'!$A$51:$B$59,2,FALSE),'Beállítások'!$B$84)))</f>
        <v/>
      </c>
      <c r="C61">
        <f>IF($A61="","",IF('Ügyfelek'!C61="",'Beállítások'!$B$84,MIN(10,MAX(1,ROUND('Ügyfelek'!C61,0)))))</f>
        <v/>
      </c>
      <c r="D61">
        <f>IF($A61="","",IF('Ügyfelek'!D61="",'Beállítások'!$B$84,MIN(10,MAX(1,ROUND('Ügyfelek'!D61,0)))))</f>
        <v/>
      </c>
      <c r="E61">
        <f>IF($A61="","",IF('Ügyfelek'!E61="",'Beállítások'!$B$84,MIN(10,MAX(1,ROUND('Ügyfelek'!E61,0)))))</f>
        <v/>
      </c>
      <c r="F61">
        <f>IF($A61="","",IF('Ügyfelek'!F61="",'Beállítások'!$B$84,MIN(10,MAX(1,ROUND('Ügyfelek'!F61,0)))))</f>
        <v/>
      </c>
      <c r="G61">
        <f>IF($A61="","",IF('Ügyfelek'!G61="",'Beállítások'!$B$84,MIN(10,MAX(1,ROUND('Ügyfelek'!G61,0)))))</f>
        <v/>
      </c>
      <c r="H61">
        <f>IF($A61="","",IF('Ügyfelek'!H61="",'Beállítások'!$B$84,MIN(10,MAX(1,ROUND('Ügyfelek'!H61,0)))))</f>
        <v/>
      </c>
      <c r="I61">
        <f>IF($A61="","",IF('Ügyfelek'!I61="",'Beállítások'!$B$84,MIN(10,MAX(1,ROUND('Ügyfelek'!I61,0)))))</f>
        <v/>
      </c>
      <c r="J61">
        <f>IF($A61="","",IF('Ügyfelek'!J61="",'Beállítások'!$B$84,MIN(10,MAX(1,ROUND('Ügyfelek'!J61,0)))))</f>
        <v/>
      </c>
      <c r="K61">
        <f>IF($A61="","",IF('Ügyfelek'!K61="",'Beállítások'!$B$84,MIN(10,MAX(1,ROUND('Ügyfelek'!K61,0)))))</f>
        <v/>
      </c>
      <c r="L61">
        <f>IF($A61="","",IF('Ügyfelek'!L61="",'Beállítások'!$B$84,MIN(10,MAX(1,ROUND('Ügyfelek'!L61,0)))))</f>
        <v/>
      </c>
      <c r="M61">
        <f>IF($A61="","",IF('Ügyfelek'!M61="",'Beállítások'!$B$84,MIN(10,MAX(1,ROUND('Ügyfelek'!M61,0)))))</f>
        <v/>
      </c>
      <c r="N61">
        <f>IF($A61="","",IF('Ügyfelek'!N61="",'Beállítások'!$B$84,MIN(10,MAX(1,ROUND('Ügyfelek'!N61,0)))))</f>
        <v/>
      </c>
      <c r="O61">
        <f>IF($A61="","",IF('Ügyfelek'!O61="",'Beállítások'!$B$84,MIN(10,MAX(1,ROUND('Ügyfelek'!O61,0)))))</f>
        <v/>
      </c>
      <c r="P61">
        <f>IF($A61="","",IF('Ügyfelek'!P61="",'Beállítások'!$B$84,MIN(10,MAX(1,ROUND('Ügyfelek'!P61,0)))))</f>
        <v/>
      </c>
      <c r="Q61">
        <f>IF($A61="","",IF('Ügyfelek'!Q61="",'Beállítások'!$B$84,MIN(10,MAX(1,ROUND('Ügyfelek'!Q61,0)))))</f>
        <v/>
      </c>
      <c r="R61">
        <f>IF($A61="","",IF('Ügyfelek'!R61="",'Beállítások'!$B$84,MIN(10,MAX(1,ROUND('Ügyfelek'!R61,0)))))</f>
        <v/>
      </c>
      <c r="S61">
        <f>IF($A61="","",IF('Ügyfelek'!S61="",'Beállítások'!$B$84,MIN(10,MAX(1,ROUND('Ügyfelek'!S61,0)))))</f>
        <v/>
      </c>
      <c r="T61">
        <f>IF($A61="","",IF('Ügyfelek'!T61="",'Beállítások'!$B$84,VLOOKUP(MAX('Ügyfelek'!T61,'Beállítások'!$H$7),'Beállítások'!$H$7:$I$12,2,TRUE)))</f>
        <v/>
      </c>
      <c r="U61">
        <f>IF($A61="","",IF('Ügyfelek'!U61="",'Beállítások'!$B$84,VLOOKUP(MAX('Ügyfelek'!U61,'Beállítások'!$K$7),'Beállítások'!$K$7:$L$12,2,TRUE)))</f>
        <v/>
      </c>
      <c r="V61">
        <f>IF($A61="","",IF('Ügyfelek'!V61="",'Beállítások'!$B$84,MIN(10,MAX(1,ROUND('Ügyfelek'!V61,0)))))</f>
        <v/>
      </c>
      <c r="W61">
        <f>IF($A61="","",IF('Ügyfelek'!W61="",'Beállítások'!$B$84,VLOOKUP(MAX('Ügyfelek'!W61,'Beállítások'!$N$7),'Beállítások'!$N$7:$O$12,2,TRUE)))</f>
        <v/>
      </c>
      <c r="X61">
        <f>IF($A61="","",IF('Ügyfelek'!X61="",'Beállítások'!$B$84,MIN(10,MAX(1,ROUND('Ügyfelek'!X61,0)))))</f>
        <v/>
      </c>
      <c r="Y61">
        <f>IF($A61="","",IF('Ügyfelek'!Y61="",'Beállítások'!$B$84,IFERROR(VLOOKUP(TRIM('Ügyfelek'!Y61),'Beállítások'!$A$63:$B$69,2,FALSE),'Beállítások'!$B$84)))</f>
        <v/>
      </c>
      <c r="Z61">
        <f>IF($A61="","",IF('Ügyfelek'!Z61="",'Beállítások'!$B$84,VLOOKUP(MAX('Ügyfelek'!Z61,'Beállítások'!$Q$7),'Beállítások'!$Q$7:$R$12,2,TRUE)))</f>
        <v/>
      </c>
      <c r="AA61">
        <f>IF($A61="","",IF('Ügyfelek'!AA61="",'Beállítások'!$B$84,VLOOKUP(MAX('Ügyfelek'!AA61,'Beállítások'!$T$7),'Beállítások'!$T$7:$U$12,2,TRUE)))</f>
        <v/>
      </c>
      <c r="AB61">
        <f>IF($A61="","",IF('Ügyfelek'!AB61="",'Beállítások'!$B$84,MIN(10,MAX(1,ROUND('Ügyfelek'!AB61,0)))))</f>
        <v/>
      </c>
      <c r="AC61">
        <f>IF($A61="","",IF('Ügyfelek'!AC61="",'Beállítások'!$B$84,MIN(10,MAX(1,ROUND('Ügyfelek'!AC61,0)))))</f>
        <v/>
      </c>
      <c r="AD61">
        <f>IF($A61="","",IF('Ügyfelek'!AD61="",'Beállítások'!$B$84,MIN(10,MAX(1,ROUND('Ügyfelek'!AD61,0)))))</f>
        <v/>
      </c>
      <c r="AE61">
        <f>IF($A61="","",IF('Ügyfelek'!AE61="",'Beállítások'!$B$84,MIN(10,MAX(1,ROUND('Ügyfelek'!AE61,0)))))</f>
        <v/>
      </c>
      <c r="AF61">
        <f>IF($A61="","",IF('Ügyfelek'!AF61="",'Beállítások'!$B$84,MIN(10,MAX(1,ROUND('Ügyfelek'!AF61,0)))))</f>
        <v/>
      </c>
      <c r="AG61">
        <f>IF($A61="","",IF('Ügyfelek'!AG61="",'Beállítások'!$B$84,MIN(10,MAX(1,ROUND('Ügyfelek'!AG61,0)))))</f>
        <v/>
      </c>
      <c r="AH61">
        <f>IF($A61="","",IF('Ügyfelek'!AH61="",'Beállítások'!$B$84,IFERROR(VLOOKUP(TRIM('Ügyfelek'!AH61),'Beállítások'!$A$73:$B$79,2,FALSE),'Beállítások'!$B$84)))</f>
        <v/>
      </c>
      <c r="AI61" s="23">
        <f>IF($A61="","",ROUND(100*('Beállítások'!$E$6*(B61-1)+'Beállítások'!$E$7*(C61-1))/(9*'Beállítások'!$B$43),1))</f>
        <v/>
      </c>
      <c r="AJ61" s="23">
        <f>IF($A61="","",ROUND(100*('Beállítások'!$E$8*(D61-1)+'Beállítások'!$E$9*(E61-1)+'Beállítások'!$E$10*(F61-1)+'Beállítások'!$E$11*(G61-1)+'Beállítások'!$E$12*(H61-1)+'Beállítások'!$E$13*(I61-1)+'Beállítások'!$E$14*(J61-1)+'Beállítások'!$E$15*(K61-1)+'Beállítások'!$E$16*(L61-1)+'Beállítások'!$E$17*(M61-1)+'Beállítások'!$E$18*(N61-1)+'Beállítások'!$E$19*(O61-1)+'Beállítások'!$E$20*(P61-1)+'Beállítások'!$E$21*(Q61-1)+'Beállítások'!$E$22*(R61-1))/(9*'Beállítások'!$B$44),1))</f>
        <v/>
      </c>
      <c r="AK61" s="23">
        <f>IF($A61="","",ROUND(100*('Beállítások'!$E$23*(S61-1)+'Beállítások'!$E$24*(T61-1)+'Beállítások'!$E$25*(U61-1)+'Beállítások'!$E$26*(V61-1)+'Beállítások'!$E$27*(W61-1)+'Beállítások'!$E$28*(X61-1)+'Beállítások'!$E$29*(Y61-1))/(9*'Beállítások'!$B$45),1))</f>
        <v/>
      </c>
      <c r="AL61" s="23">
        <f>IF($A61="","",ROUND(100*('Beállítások'!$E$30*(Z61-1)+'Beállítások'!$E$31*(AA61-1)+'Beállítások'!$E$32*(AB61-1)+'Beállítások'!$E$33*(AC61-1)+'Beállítások'!$E$34*(AD61-1)+'Beállítások'!$E$35*(AE61-1)+'Beállítások'!$E$36*(AF61-1)+'Beállítások'!$E$37*(AG61-1)+'Beállítások'!$E$38*(AH61-1))/(9*'Beállítások'!$B$46),1))</f>
        <v/>
      </c>
      <c r="AM61" s="23">
        <f>IF($A61="","",ROUND(100*('Beállítások'!$E$6*(B61-1)+'Beállítások'!$E$7*(C61-1)+'Beállítások'!$E$8*(D61-1)+'Beállítások'!$E$9*(E61-1)+'Beállítások'!$E$10*(F61-1)+'Beállítások'!$E$11*(G61-1)+'Beállítások'!$E$12*(H61-1)+'Beállítások'!$E$13*(I61-1)+'Beállítások'!$E$14*(J61-1)+'Beállítások'!$E$15*(K61-1)+'Beállítások'!$E$16*(L61-1)+'Beállítások'!$E$17*(M61-1)+'Beállítások'!$E$18*(N61-1)+'Beállítások'!$E$19*(O61-1)+'Beállítások'!$E$20*(P61-1)+'Beállítások'!$E$21*(Q61-1)+'Beállítások'!$E$22*(R61-1)+'Beállítások'!$E$23*(S61-1)+'Beállítások'!$E$24*(T61-1)+'Beállítások'!$E$25*(U61-1)+'Beállítások'!$E$26*(V61-1)+'Beállítások'!$E$27*(W61-1)+'Beállítások'!$E$28*(X61-1)+'Beállítások'!$E$29*(Y61-1)+'Beállítások'!$E$30*(Z61-1)+'Beállítások'!$E$31*(AA61-1)+'Beállítások'!$E$32*(AB61-1)+'Beállítások'!$E$33*(AC61-1)+'Beállítások'!$E$34*(AD61-1)+'Beállítások'!$E$35*(AE61-1)+'Beállítások'!$E$36*(AF61-1)+'Beállítások'!$E$37*(AG61-1)+'Beállítások'!$E$38*(AH61-1))/(9*'Beállítások'!$E$39),1))</f>
        <v/>
      </c>
      <c r="AN61" s="23">
        <f>IF($A61="","",ROUND(100*('Beállítások'!$E$8*(D61-1)+'Beállítások'!$E$9*(E61-1)+'Beállítások'!$E$10*(F61-1)+'Beállítások'!$E$11*(G61-1)+'Beállítások'!$E$12*(H61-1)+'Beállítások'!$E$13*(I61-1)+'Beállítások'!$E$14*(J61-1)+'Beállítások'!$E$15*(K61-1)+'Beállítások'!$E$16*(L61-1)+'Beállítások'!$E$17*(M61-1)+'Beállítások'!$E$18*(N61-1)+'Beállítások'!$E$19*(O61-1)+'Beállítások'!$E$20*(P61-1)+'Beállítások'!$E$21*(Q61-1)+'Beállítások'!$E$22*(R61-1)+'Beállítások'!$E$23*(S61-1)+'Beállítások'!$E$24*(T61-1)+'Beállítások'!$E$25*(U61-1)+'Beállítások'!$E$26*(V61-1)+'Beállítások'!$E$27*(W61-1)+'Beállítások'!$E$28*(X61-1)+'Beállítások'!$E$29*(Y61-1))/(9*('Beállítások'!$B$44+'Beállítások'!$B$45)),1))</f>
        <v/>
      </c>
      <c r="AO61" s="24">
        <f>IF($A61="","",RANK(AM61,$AM$2:$AM$201))</f>
        <v/>
      </c>
      <c r="AP61">
        <f>IF($A61="","",IF(OR(AND('Ügyfelek'!B61&lt;&gt;"",B61&lt;='Beállítások'!$B$85),AND('Ügyfelek'!C61&lt;&gt;"",C61&lt;='Beállítások'!$B$86)),"Igen","Nem"))</f>
        <v/>
      </c>
      <c r="AQ61" s="24">
        <f>IF($A61="","",IF(AP61="Igen",5,IF(AN61&gt;='Beállítások'!$C$108,1,IF(AN61&gt;='Beállítások'!$C$109,2,IF(AN61&gt;='Beállítások'!$C$110,3,IF(AND(AN61&gt;='Beállítások'!$B$87,AI61&gt;='Beállítások'!$B$88,AL61&gt;='Beállítások'!$B$89),4,5))))))</f>
        <v/>
      </c>
      <c r="AR61">
        <f>IF($A61="","",INDEX('Beállítások'!$B$108:$B$112,AQ61))</f>
        <v/>
      </c>
      <c r="AS61">
        <f>IF($A61="","",IF(AQ61=5,"Elutasítjuk",IF(AND(AQ61=4,COUNTIFS('Eredmény'!$AQ$2:$AQ$201,4,'Eredmény'!$DY$2:$DY$201,"&gt;"&amp;DY61)&gt;='Beállítások'!$B$90),"Várólista (a 4-es hely foglalt)","Elfogadjuk")))</f>
        <v/>
      </c>
      <c r="AT61">
        <f>IF($A61="","",INDEX('Beállítások'!$F$108:$F$112,AQ61))</f>
        <v/>
      </c>
      <c r="AU61">
        <f>IF($A61="","",INDEX('Beállítások'!$B$6:$B$38,MATCH(MAX(BK61:CQ61),BK61:CQ61,0)))</f>
        <v/>
      </c>
      <c r="AV61">
        <f>IF($A61="","",IF(MAX(CR61:DX61)=0,"—",INDEX('Beállítások'!$B$6:$B$38,MATCH(MAX(CR61:DX61),CR61:DX61,0))))</f>
        <v/>
      </c>
      <c r="AW61" s="10">
        <f>IF($A61="","",'Beállítások'!$B$94*(TRIM('Ügyfelek'!AI61)="igen")+'Beállítások'!$B$95*(TRIM('Ügyfelek'!AJ61)="igen")+'Beállítások'!$B$96*N('Ügyfelek'!AK61)+'Beállítások'!$B$93*N('Ügyfelek'!AL61))</f>
        <v/>
      </c>
      <c r="AX61" s="25">
        <f>IF(OR($A61="",AQ61=5),"",INDEX('Beállítások'!$D$108:$D$112,AQ61))</f>
        <v/>
      </c>
      <c r="AY61" s="10">
        <f>IF($A61="","",N('Ügyfelek'!U61)*'Beállítások'!$B$98)</f>
        <v/>
      </c>
      <c r="AZ61" s="10">
        <f>IF(OR($A61="",AQ61=5),"",CEILING(ROUND(MAX('Beállítások'!$B$97,AW61*AX61,AY61),2),'Beállítások'!$B$99))</f>
        <v/>
      </c>
      <c r="BA61">
        <f>IF($A61="","",IF(AQ61=5,"Elutasítva",IF(MAX('Beállítások'!$B$97,AW61*AX61,AY61)=AW61*AX61,"Munkaigény × státuszszorzó",IF(MAX('Beállítások'!$B$97,AW61*AX61,AY61)=AY61,"Hirdetési keret arányában","Minimumdíj"))))</f>
        <v/>
      </c>
      <c r="BB61" s="10">
        <f>IF(OR($A61="",'Ügyfelek'!AM61=""),"",'Ügyfelek'!AM61)</f>
        <v/>
      </c>
      <c r="BC61" s="10">
        <f>IF(OR(BB61="",AZ61=""),"",AZ61-BB61)</f>
        <v/>
      </c>
      <c r="BD61" s="18">
        <f>IF(OR(BB61="",AZ61="",BB61=0),"",BC61/BB61)</f>
        <v/>
      </c>
      <c r="BE61">
        <f>IF(OR($A61="",AQ61=5),"",IF(AND(INDEX('Beállítások'!$E$108:$E$112,AQ61)&gt;0,Y61&gt;='Beállítások'!$B$91),"Igen","Nem"))</f>
        <v/>
      </c>
      <c r="BF61" s="10">
        <f>IF(BE61="Igen",CEILING(ROUND(AZ61*(1-'Beállítások'!$B$92),2),'Beállítások'!$B$99),"")</f>
        <v/>
      </c>
      <c r="BG61" s="20">
        <f>IF(BE61="Igen",INDEX('Beállítások'!$E$108:$E$112,AQ61),"")</f>
        <v/>
      </c>
      <c r="BH61" s="10">
        <f>IF(OR(BE61&lt;&gt;"Igen",'Ügyfelek'!AN61=""),"",'Ügyfelek'!AN61*BG61)</f>
        <v/>
      </c>
      <c r="BI61" s="24">
        <f>IF($A61="","",('Ügyfelek'!B61="")+('Ügyfelek'!C61="")+('Ügyfelek'!D61="")+('Ügyfelek'!E61="")+('Ügyfelek'!F61="")+('Ügyfelek'!G61="")+('Ügyfelek'!H61="")+('Ügyfelek'!I61="")+('Ügyfelek'!J61="")+('Ügyfelek'!K61="")+('Ügyfelek'!L61="")+('Ügyfelek'!M61="")+('Ügyfelek'!N61="")+('Ügyfelek'!O61="")+('Ügyfelek'!P61="")+('Ügyfelek'!Q61="")+('Ügyfelek'!R61="")+('Ügyfelek'!S61="")+('Ügyfelek'!T61="")+('Ügyfelek'!U61="")+('Ügyfelek'!V61="")+('Ügyfelek'!W61="")+('Ügyfelek'!X61="")+('Ügyfelek'!Y61="")+('Ügyfelek'!Z61="")+('Ügyfelek'!AA61="")+('Ügyfelek'!AB61="")+('Ügyfelek'!AC61="")+('Ügyfelek'!AD61="")+('Ügyfelek'!AE61="")+('Ügyfelek'!AF61="")+('Ügyfelek'!AG61="")+('Ügyfelek'!AH61=""))</f>
        <v/>
      </c>
      <c r="BK61">
        <f>IF($A61="","",B61+'Beállítások'!$E$6/1000)</f>
        <v/>
      </c>
      <c r="BL61">
        <f>IF($A61="","",C61+'Beállítások'!$E$7/1000)</f>
        <v/>
      </c>
      <c r="BM61">
        <f>IF($A61="","",D61+'Beállítások'!$E$8/1000)</f>
        <v/>
      </c>
      <c r="BN61">
        <f>IF($A61="","",E61+'Beállítások'!$E$9/1000)</f>
        <v/>
      </c>
      <c r="BO61">
        <f>IF($A61="","",F61+'Beállítások'!$E$10/1000)</f>
        <v/>
      </c>
      <c r="BP61">
        <f>IF($A61="","",G61+'Beállítások'!$E$11/1000)</f>
        <v/>
      </c>
      <c r="BQ61">
        <f>IF($A61="","",H61+'Beállítások'!$E$12/1000)</f>
        <v/>
      </c>
      <c r="BR61">
        <f>IF($A61="","",I61+'Beállítások'!$E$13/1000)</f>
        <v/>
      </c>
      <c r="BS61">
        <f>IF($A61="","",J61+'Beállítások'!$E$14/1000)</f>
        <v/>
      </c>
      <c r="BT61">
        <f>IF($A61="","",K61+'Beállítások'!$E$15/1000)</f>
        <v/>
      </c>
      <c r="BU61">
        <f>IF($A61="","",L61+'Beállítások'!$E$16/1000)</f>
        <v/>
      </c>
      <c r="BV61">
        <f>IF($A61="","",M61+'Beállítások'!$E$17/1000)</f>
        <v/>
      </c>
      <c r="BW61">
        <f>IF($A61="","",N61+'Beállítások'!$E$18/1000)</f>
        <v/>
      </c>
      <c r="BX61">
        <f>IF($A61="","",O61+'Beállítások'!$E$19/1000)</f>
        <v/>
      </c>
      <c r="BY61">
        <f>IF($A61="","",P61+'Beállítások'!$E$20/1000)</f>
        <v/>
      </c>
      <c r="BZ61">
        <f>IF($A61="","",Q61+'Beállítások'!$E$21/1000)</f>
        <v/>
      </c>
      <c r="CA61">
        <f>IF($A61="","",R61+'Beállítások'!$E$22/1000)</f>
        <v/>
      </c>
      <c r="CB61">
        <f>IF($A61="","",S61+'Beállítások'!$E$23/1000)</f>
        <v/>
      </c>
      <c r="CC61">
        <f>IF($A61="","",T61+'Beállítások'!$E$24/1000)</f>
        <v/>
      </c>
      <c r="CD61">
        <f>IF($A61="","",U61+'Beállítások'!$E$25/1000)</f>
        <v/>
      </c>
      <c r="CE61">
        <f>IF($A61="","",V61+'Beállítások'!$E$26/1000)</f>
        <v/>
      </c>
      <c r="CF61">
        <f>IF($A61="","",W61+'Beállítások'!$E$27/1000)</f>
        <v/>
      </c>
      <c r="CG61">
        <f>IF($A61="","",X61+'Beállítások'!$E$28/1000)</f>
        <v/>
      </c>
      <c r="CH61">
        <f>IF($A61="","",Y61+'Beállítások'!$E$29/1000)</f>
        <v/>
      </c>
      <c r="CI61">
        <f>IF($A61="","",Z61+'Beállítások'!$E$30/1000)</f>
        <v/>
      </c>
      <c r="CJ61">
        <f>IF($A61="","",AA61+'Beállítások'!$E$31/1000)</f>
        <v/>
      </c>
      <c r="CK61">
        <f>IF($A61="","",AB61+'Beállítások'!$E$32/1000)</f>
        <v/>
      </c>
      <c r="CL61">
        <f>IF($A61="","",AC61+'Beállítások'!$E$33/1000)</f>
        <v/>
      </c>
      <c r="CM61">
        <f>IF($A61="","",AD61+'Beállítások'!$E$34/1000)</f>
        <v/>
      </c>
      <c r="CN61">
        <f>IF($A61="","",AE61+'Beállítások'!$E$35/1000)</f>
        <v/>
      </c>
      <c r="CO61">
        <f>IF($A61="","",AF61+'Beállítások'!$E$36/1000)</f>
        <v/>
      </c>
      <c r="CP61">
        <f>IF($A61="","",AG61+'Beállítások'!$E$37/1000)</f>
        <v/>
      </c>
      <c r="CQ61">
        <f>IF($A61="","",AH61+'Beállítások'!$E$38/1000)</f>
        <v/>
      </c>
      <c r="CR61">
        <f>IF($A61="","",'Beállítások'!$E$6*(10-B61))</f>
        <v/>
      </c>
      <c r="CS61">
        <f>IF($A61="","",'Beállítások'!$E$7*(10-C61))</f>
        <v/>
      </c>
      <c r="CT61">
        <f>IF($A61="","",'Beállítások'!$E$8*(10-D61))</f>
        <v/>
      </c>
      <c r="CU61">
        <f>IF($A61="","",'Beállítások'!$E$9*(10-E61))</f>
        <v/>
      </c>
      <c r="CV61">
        <f>IF($A61="","",'Beállítások'!$E$10*(10-F61))</f>
        <v/>
      </c>
      <c r="CW61">
        <f>IF($A61="","",'Beállítások'!$E$11*(10-G61))</f>
        <v/>
      </c>
      <c r="CX61">
        <f>IF($A61="","",'Beállítások'!$E$12*(10-H61))</f>
        <v/>
      </c>
      <c r="CY61">
        <f>IF($A61="","",'Beállítások'!$E$13*(10-I61))</f>
        <v/>
      </c>
      <c r="CZ61">
        <f>IF($A61="","",'Beállítások'!$E$14*(10-J61))</f>
        <v/>
      </c>
      <c r="DA61">
        <f>IF($A61="","",'Beállítások'!$E$15*(10-K61))</f>
        <v/>
      </c>
      <c r="DB61">
        <f>IF($A61="","",'Beállítások'!$E$16*(10-L61))</f>
        <v/>
      </c>
      <c r="DC61">
        <f>IF($A61="","",'Beállítások'!$E$17*(10-M61))</f>
        <v/>
      </c>
      <c r="DD61">
        <f>IF($A61="","",'Beállítások'!$E$18*(10-N61))</f>
        <v/>
      </c>
      <c r="DE61">
        <f>IF($A61="","",'Beállítások'!$E$19*(10-O61))</f>
        <v/>
      </c>
      <c r="DF61">
        <f>IF($A61="","",'Beállítások'!$E$20*(10-P61))</f>
        <v/>
      </c>
      <c r="DG61">
        <f>IF($A61="","",'Beállítások'!$E$21*(10-Q61))</f>
        <v/>
      </c>
      <c r="DH61">
        <f>IF($A61="","",'Beállítások'!$E$22*(10-R61))</f>
        <v/>
      </c>
      <c r="DI61">
        <f>IF($A61="","",'Beállítások'!$E$23*(10-S61))</f>
        <v/>
      </c>
      <c r="DJ61">
        <f>IF($A61="","",'Beállítások'!$E$24*(10-T61))</f>
        <v/>
      </c>
      <c r="DK61">
        <f>IF($A61="","",'Beállítások'!$E$25*(10-U61))</f>
        <v/>
      </c>
      <c r="DL61">
        <f>IF($A61="","",'Beállítások'!$E$26*(10-V61))</f>
        <v/>
      </c>
      <c r="DM61">
        <f>IF($A61="","",'Beállítások'!$E$27*(10-W61))</f>
        <v/>
      </c>
      <c r="DN61">
        <f>IF($A61="","",'Beállítások'!$E$28*(10-X61))</f>
        <v/>
      </c>
      <c r="DO61">
        <f>IF($A61="","",'Beállítások'!$E$29*(10-Y61))</f>
        <v/>
      </c>
      <c r="DP61">
        <f>IF($A61="","",'Beállítások'!$E$30*(10-Z61))</f>
        <v/>
      </c>
      <c r="DQ61">
        <f>IF($A61="","",'Beállítások'!$E$31*(10-AA61))</f>
        <v/>
      </c>
      <c r="DR61">
        <f>IF($A61="","",'Beállítások'!$E$32*(10-AB61))</f>
        <v/>
      </c>
      <c r="DS61">
        <f>IF($A61="","",'Beállítások'!$E$33*(10-AC61))</f>
        <v/>
      </c>
      <c r="DT61">
        <f>IF($A61="","",'Beállítások'!$E$34*(10-AD61))</f>
        <v/>
      </c>
      <c r="DU61">
        <f>IF($A61="","",'Beállítások'!$E$35*(10-AE61))</f>
        <v/>
      </c>
      <c r="DV61">
        <f>IF($A61="","",'Beállítások'!$E$36*(10-AF61))</f>
        <v/>
      </c>
      <c r="DW61">
        <f>IF($A61="","",'Beállítások'!$E$37*(10-AG61))</f>
        <v/>
      </c>
      <c r="DX61">
        <f>IF($A61="","",'Beállítások'!$E$38*(10-AH61))</f>
        <v/>
      </c>
      <c r="DY61">
        <f>IF($A61="","",AM61-ROW()/100000)</f>
        <v/>
      </c>
    </row>
    <row r="62">
      <c r="A62">
        <f>IF('Ügyfelek'!A62="","",'Ügyfelek'!A62)</f>
        <v/>
      </c>
      <c r="B62">
        <f>IF($A62="","",IF('Ügyfelek'!B62="",'Beállítások'!$B$84,IFERROR(VLOOKUP(TRIM('Ügyfelek'!B62),'Beállítások'!$A$51:$B$59,2,FALSE),'Beállítások'!$B$84)))</f>
        <v/>
      </c>
      <c r="C62">
        <f>IF($A62="","",IF('Ügyfelek'!C62="",'Beállítások'!$B$84,MIN(10,MAX(1,ROUND('Ügyfelek'!C62,0)))))</f>
        <v/>
      </c>
      <c r="D62">
        <f>IF($A62="","",IF('Ügyfelek'!D62="",'Beállítások'!$B$84,MIN(10,MAX(1,ROUND('Ügyfelek'!D62,0)))))</f>
        <v/>
      </c>
      <c r="E62">
        <f>IF($A62="","",IF('Ügyfelek'!E62="",'Beállítások'!$B$84,MIN(10,MAX(1,ROUND('Ügyfelek'!E62,0)))))</f>
        <v/>
      </c>
      <c r="F62">
        <f>IF($A62="","",IF('Ügyfelek'!F62="",'Beállítások'!$B$84,MIN(10,MAX(1,ROUND('Ügyfelek'!F62,0)))))</f>
        <v/>
      </c>
      <c r="G62">
        <f>IF($A62="","",IF('Ügyfelek'!G62="",'Beállítások'!$B$84,MIN(10,MAX(1,ROUND('Ügyfelek'!G62,0)))))</f>
        <v/>
      </c>
      <c r="H62">
        <f>IF($A62="","",IF('Ügyfelek'!H62="",'Beállítások'!$B$84,MIN(10,MAX(1,ROUND('Ügyfelek'!H62,0)))))</f>
        <v/>
      </c>
      <c r="I62">
        <f>IF($A62="","",IF('Ügyfelek'!I62="",'Beállítások'!$B$84,MIN(10,MAX(1,ROUND('Ügyfelek'!I62,0)))))</f>
        <v/>
      </c>
      <c r="J62">
        <f>IF($A62="","",IF('Ügyfelek'!J62="",'Beállítások'!$B$84,MIN(10,MAX(1,ROUND('Ügyfelek'!J62,0)))))</f>
        <v/>
      </c>
      <c r="K62">
        <f>IF($A62="","",IF('Ügyfelek'!K62="",'Beállítások'!$B$84,MIN(10,MAX(1,ROUND('Ügyfelek'!K62,0)))))</f>
        <v/>
      </c>
      <c r="L62">
        <f>IF($A62="","",IF('Ügyfelek'!L62="",'Beállítások'!$B$84,MIN(10,MAX(1,ROUND('Ügyfelek'!L62,0)))))</f>
        <v/>
      </c>
      <c r="M62">
        <f>IF($A62="","",IF('Ügyfelek'!M62="",'Beállítások'!$B$84,MIN(10,MAX(1,ROUND('Ügyfelek'!M62,0)))))</f>
        <v/>
      </c>
      <c r="N62">
        <f>IF($A62="","",IF('Ügyfelek'!N62="",'Beállítások'!$B$84,MIN(10,MAX(1,ROUND('Ügyfelek'!N62,0)))))</f>
        <v/>
      </c>
      <c r="O62">
        <f>IF($A62="","",IF('Ügyfelek'!O62="",'Beállítások'!$B$84,MIN(10,MAX(1,ROUND('Ügyfelek'!O62,0)))))</f>
        <v/>
      </c>
      <c r="P62">
        <f>IF($A62="","",IF('Ügyfelek'!P62="",'Beállítások'!$B$84,MIN(10,MAX(1,ROUND('Ügyfelek'!P62,0)))))</f>
        <v/>
      </c>
      <c r="Q62">
        <f>IF($A62="","",IF('Ügyfelek'!Q62="",'Beállítások'!$B$84,MIN(10,MAX(1,ROUND('Ügyfelek'!Q62,0)))))</f>
        <v/>
      </c>
      <c r="R62">
        <f>IF($A62="","",IF('Ügyfelek'!R62="",'Beállítások'!$B$84,MIN(10,MAX(1,ROUND('Ügyfelek'!R62,0)))))</f>
        <v/>
      </c>
      <c r="S62">
        <f>IF($A62="","",IF('Ügyfelek'!S62="",'Beállítások'!$B$84,MIN(10,MAX(1,ROUND('Ügyfelek'!S62,0)))))</f>
        <v/>
      </c>
      <c r="T62">
        <f>IF($A62="","",IF('Ügyfelek'!T62="",'Beállítások'!$B$84,VLOOKUP(MAX('Ügyfelek'!T62,'Beállítások'!$H$7),'Beállítások'!$H$7:$I$12,2,TRUE)))</f>
        <v/>
      </c>
      <c r="U62">
        <f>IF($A62="","",IF('Ügyfelek'!U62="",'Beállítások'!$B$84,VLOOKUP(MAX('Ügyfelek'!U62,'Beállítások'!$K$7),'Beállítások'!$K$7:$L$12,2,TRUE)))</f>
        <v/>
      </c>
      <c r="V62">
        <f>IF($A62="","",IF('Ügyfelek'!V62="",'Beállítások'!$B$84,MIN(10,MAX(1,ROUND('Ügyfelek'!V62,0)))))</f>
        <v/>
      </c>
      <c r="W62">
        <f>IF($A62="","",IF('Ügyfelek'!W62="",'Beállítások'!$B$84,VLOOKUP(MAX('Ügyfelek'!W62,'Beállítások'!$N$7),'Beállítások'!$N$7:$O$12,2,TRUE)))</f>
        <v/>
      </c>
      <c r="X62">
        <f>IF($A62="","",IF('Ügyfelek'!X62="",'Beállítások'!$B$84,MIN(10,MAX(1,ROUND('Ügyfelek'!X62,0)))))</f>
        <v/>
      </c>
      <c r="Y62">
        <f>IF($A62="","",IF('Ügyfelek'!Y62="",'Beállítások'!$B$84,IFERROR(VLOOKUP(TRIM('Ügyfelek'!Y62),'Beállítások'!$A$63:$B$69,2,FALSE),'Beállítások'!$B$84)))</f>
        <v/>
      </c>
      <c r="Z62">
        <f>IF($A62="","",IF('Ügyfelek'!Z62="",'Beállítások'!$B$84,VLOOKUP(MAX('Ügyfelek'!Z62,'Beállítások'!$Q$7),'Beállítások'!$Q$7:$R$12,2,TRUE)))</f>
        <v/>
      </c>
      <c r="AA62">
        <f>IF($A62="","",IF('Ügyfelek'!AA62="",'Beállítások'!$B$84,VLOOKUP(MAX('Ügyfelek'!AA62,'Beállítások'!$T$7),'Beállítások'!$T$7:$U$12,2,TRUE)))</f>
        <v/>
      </c>
      <c r="AB62">
        <f>IF($A62="","",IF('Ügyfelek'!AB62="",'Beállítások'!$B$84,MIN(10,MAX(1,ROUND('Ügyfelek'!AB62,0)))))</f>
        <v/>
      </c>
      <c r="AC62">
        <f>IF($A62="","",IF('Ügyfelek'!AC62="",'Beállítások'!$B$84,MIN(10,MAX(1,ROUND('Ügyfelek'!AC62,0)))))</f>
        <v/>
      </c>
      <c r="AD62">
        <f>IF($A62="","",IF('Ügyfelek'!AD62="",'Beállítások'!$B$84,MIN(10,MAX(1,ROUND('Ügyfelek'!AD62,0)))))</f>
        <v/>
      </c>
      <c r="AE62">
        <f>IF($A62="","",IF('Ügyfelek'!AE62="",'Beállítások'!$B$84,MIN(10,MAX(1,ROUND('Ügyfelek'!AE62,0)))))</f>
        <v/>
      </c>
      <c r="AF62">
        <f>IF($A62="","",IF('Ügyfelek'!AF62="",'Beállítások'!$B$84,MIN(10,MAX(1,ROUND('Ügyfelek'!AF62,0)))))</f>
        <v/>
      </c>
      <c r="AG62">
        <f>IF($A62="","",IF('Ügyfelek'!AG62="",'Beállítások'!$B$84,MIN(10,MAX(1,ROUND('Ügyfelek'!AG62,0)))))</f>
        <v/>
      </c>
      <c r="AH62">
        <f>IF($A62="","",IF('Ügyfelek'!AH62="",'Beállítások'!$B$84,IFERROR(VLOOKUP(TRIM('Ügyfelek'!AH62),'Beállítások'!$A$73:$B$79,2,FALSE),'Beállítások'!$B$84)))</f>
        <v/>
      </c>
      <c r="AI62" s="23">
        <f>IF($A62="","",ROUND(100*('Beállítások'!$E$6*(B62-1)+'Beállítások'!$E$7*(C62-1))/(9*'Beállítások'!$B$43),1))</f>
        <v/>
      </c>
      <c r="AJ62" s="23">
        <f>IF($A62="","",ROUND(100*('Beállítások'!$E$8*(D62-1)+'Beállítások'!$E$9*(E62-1)+'Beállítások'!$E$10*(F62-1)+'Beállítások'!$E$11*(G62-1)+'Beállítások'!$E$12*(H62-1)+'Beállítások'!$E$13*(I62-1)+'Beállítások'!$E$14*(J62-1)+'Beállítások'!$E$15*(K62-1)+'Beállítások'!$E$16*(L62-1)+'Beállítások'!$E$17*(M62-1)+'Beállítások'!$E$18*(N62-1)+'Beállítások'!$E$19*(O62-1)+'Beállítások'!$E$20*(P62-1)+'Beállítások'!$E$21*(Q62-1)+'Beállítások'!$E$22*(R62-1))/(9*'Beállítások'!$B$44),1))</f>
        <v/>
      </c>
      <c r="AK62" s="23">
        <f>IF($A62="","",ROUND(100*('Beállítások'!$E$23*(S62-1)+'Beállítások'!$E$24*(T62-1)+'Beállítások'!$E$25*(U62-1)+'Beállítások'!$E$26*(V62-1)+'Beállítások'!$E$27*(W62-1)+'Beállítások'!$E$28*(X62-1)+'Beállítások'!$E$29*(Y62-1))/(9*'Beállítások'!$B$45),1))</f>
        <v/>
      </c>
      <c r="AL62" s="23">
        <f>IF($A62="","",ROUND(100*('Beállítások'!$E$30*(Z62-1)+'Beállítások'!$E$31*(AA62-1)+'Beállítások'!$E$32*(AB62-1)+'Beállítások'!$E$33*(AC62-1)+'Beállítások'!$E$34*(AD62-1)+'Beállítások'!$E$35*(AE62-1)+'Beállítások'!$E$36*(AF62-1)+'Beállítások'!$E$37*(AG62-1)+'Beállítások'!$E$38*(AH62-1))/(9*'Beállítások'!$B$46),1))</f>
        <v/>
      </c>
      <c r="AM62" s="23">
        <f>IF($A62="","",ROUND(100*('Beállítások'!$E$6*(B62-1)+'Beállítások'!$E$7*(C62-1)+'Beállítások'!$E$8*(D62-1)+'Beállítások'!$E$9*(E62-1)+'Beállítások'!$E$10*(F62-1)+'Beállítások'!$E$11*(G62-1)+'Beállítások'!$E$12*(H62-1)+'Beállítások'!$E$13*(I62-1)+'Beállítások'!$E$14*(J62-1)+'Beállítások'!$E$15*(K62-1)+'Beállítások'!$E$16*(L62-1)+'Beállítások'!$E$17*(M62-1)+'Beállítások'!$E$18*(N62-1)+'Beállítások'!$E$19*(O62-1)+'Beállítások'!$E$20*(P62-1)+'Beállítások'!$E$21*(Q62-1)+'Beállítások'!$E$22*(R62-1)+'Beállítások'!$E$23*(S62-1)+'Beállítások'!$E$24*(T62-1)+'Beállítások'!$E$25*(U62-1)+'Beállítások'!$E$26*(V62-1)+'Beállítások'!$E$27*(W62-1)+'Beállítások'!$E$28*(X62-1)+'Beállítások'!$E$29*(Y62-1)+'Beállítások'!$E$30*(Z62-1)+'Beállítások'!$E$31*(AA62-1)+'Beállítások'!$E$32*(AB62-1)+'Beállítások'!$E$33*(AC62-1)+'Beállítások'!$E$34*(AD62-1)+'Beállítások'!$E$35*(AE62-1)+'Beállítások'!$E$36*(AF62-1)+'Beállítások'!$E$37*(AG62-1)+'Beállítások'!$E$38*(AH62-1))/(9*'Beállítások'!$E$39),1))</f>
        <v/>
      </c>
      <c r="AN62" s="23">
        <f>IF($A62="","",ROUND(100*('Beállítások'!$E$8*(D62-1)+'Beállítások'!$E$9*(E62-1)+'Beállítások'!$E$10*(F62-1)+'Beállítások'!$E$11*(G62-1)+'Beállítások'!$E$12*(H62-1)+'Beállítások'!$E$13*(I62-1)+'Beállítások'!$E$14*(J62-1)+'Beállítások'!$E$15*(K62-1)+'Beállítások'!$E$16*(L62-1)+'Beállítások'!$E$17*(M62-1)+'Beállítások'!$E$18*(N62-1)+'Beállítások'!$E$19*(O62-1)+'Beállítások'!$E$20*(P62-1)+'Beállítások'!$E$21*(Q62-1)+'Beállítások'!$E$22*(R62-1)+'Beállítások'!$E$23*(S62-1)+'Beállítások'!$E$24*(T62-1)+'Beállítások'!$E$25*(U62-1)+'Beállítások'!$E$26*(V62-1)+'Beállítások'!$E$27*(W62-1)+'Beállítások'!$E$28*(X62-1)+'Beállítások'!$E$29*(Y62-1))/(9*('Beállítások'!$B$44+'Beállítások'!$B$45)),1))</f>
        <v/>
      </c>
      <c r="AO62" s="24">
        <f>IF($A62="","",RANK(AM62,$AM$2:$AM$201))</f>
        <v/>
      </c>
      <c r="AP62">
        <f>IF($A62="","",IF(OR(AND('Ügyfelek'!B62&lt;&gt;"",B62&lt;='Beállítások'!$B$85),AND('Ügyfelek'!C62&lt;&gt;"",C62&lt;='Beállítások'!$B$86)),"Igen","Nem"))</f>
        <v/>
      </c>
      <c r="AQ62" s="24">
        <f>IF($A62="","",IF(AP62="Igen",5,IF(AN62&gt;='Beállítások'!$C$108,1,IF(AN62&gt;='Beállítások'!$C$109,2,IF(AN62&gt;='Beállítások'!$C$110,3,IF(AND(AN62&gt;='Beállítások'!$B$87,AI62&gt;='Beállítások'!$B$88,AL62&gt;='Beállítások'!$B$89),4,5))))))</f>
        <v/>
      </c>
      <c r="AR62">
        <f>IF($A62="","",INDEX('Beállítások'!$B$108:$B$112,AQ62))</f>
        <v/>
      </c>
      <c r="AS62">
        <f>IF($A62="","",IF(AQ62=5,"Elutasítjuk",IF(AND(AQ62=4,COUNTIFS('Eredmény'!$AQ$2:$AQ$201,4,'Eredmény'!$DY$2:$DY$201,"&gt;"&amp;DY62)&gt;='Beállítások'!$B$90),"Várólista (a 4-es hely foglalt)","Elfogadjuk")))</f>
        <v/>
      </c>
      <c r="AT62">
        <f>IF($A62="","",INDEX('Beállítások'!$F$108:$F$112,AQ62))</f>
        <v/>
      </c>
      <c r="AU62">
        <f>IF($A62="","",INDEX('Beállítások'!$B$6:$B$38,MATCH(MAX(BK62:CQ62),BK62:CQ62,0)))</f>
        <v/>
      </c>
      <c r="AV62">
        <f>IF($A62="","",IF(MAX(CR62:DX62)=0,"—",INDEX('Beállítások'!$B$6:$B$38,MATCH(MAX(CR62:DX62),CR62:DX62,0))))</f>
        <v/>
      </c>
      <c r="AW62" s="10">
        <f>IF($A62="","",'Beállítások'!$B$94*(TRIM('Ügyfelek'!AI62)="igen")+'Beállítások'!$B$95*(TRIM('Ügyfelek'!AJ62)="igen")+'Beállítások'!$B$96*N('Ügyfelek'!AK62)+'Beállítások'!$B$93*N('Ügyfelek'!AL62))</f>
        <v/>
      </c>
      <c r="AX62" s="25">
        <f>IF(OR($A62="",AQ62=5),"",INDEX('Beállítások'!$D$108:$D$112,AQ62))</f>
        <v/>
      </c>
      <c r="AY62" s="10">
        <f>IF($A62="","",N('Ügyfelek'!U62)*'Beállítások'!$B$98)</f>
        <v/>
      </c>
      <c r="AZ62" s="10">
        <f>IF(OR($A62="",AQ62=5),"",CEILING(ROUND(MAX('Beállítások'!$B$97,AW62*AX62,AY62),2),'Beállítások'!$B$99))</f>
        <v/>
      </c>
      <c r="BA62">
        <f>IF($A62="","",IF(AQ62=5,"Elutasítva",IF(MAX('Beállítások'!$B$97,AW62*AX62,AY62)=AW62*AX62,"Munkaigény × státuszszorzó",IF(MAX('Beállítások'!$B$97,AW62*AX62,AY62)=AY62,"Hirdetési keret arányában","Minimumdíj"))))</f>
        <v/>
      </c>
      <c r="BB62" s="10">
        <f>IF(OR($A62="",'Ügyfelek'!AM62=""),"",'Ügyfelek'!AM62)</f>
        <v/>
      </c>
      <c r="BC62" s="10">
        <f>IF(OR(BB62="",AZ62=""),"",AZ62-BB62)</f>
        <v/>
      </c>
      <c r="BD62" s="18">
        <f>IF(OR(BB62="",AZ62="",BB62=0),"",BC62/BB62)</f>
        <v/>
      </c>
      <c r="BE62">
        <f>IF(OR($A62="",AQ62=5),"",IF(AND(INDEX('Beállítások'!$E$108:$E$112,AQ62)&gt;0,Y62&gt;='Beállítások'!$B$91),"Igen","Nem"))</f>
        <v/>
      </c>
      <c r="BF62" s="10">
        <f>IF(BE62="Igen",CEILING(ROUND(AZ62*(1-'Beállítások'!$B$92),2),'Beállítások'!$B$99),"")</f>
        <v/>
      </c>
      <c r="BG62" s="20">
        <f>IF(BE62="Igen",INDEX('Beállítások'!$E$108:$E$112,AQ62),"")</f>
        <v/>
      </c>
      <c r="BH62" s="10">
        <f>IF(OR(BE62&lt;&gt;"Igen",'Ügyfelek'!AN62=""),"",'Ügyfelek'!AN62*BG62)</f>
        <v/>
      </c>
      <c r="BI62" s="24">
        <f>IF($A62="","",('Ügyfelek'!B62="")+('Ügyfelek'!C62="")+('Ügyfelek'!D62="")+('Ügyfelek'!E62="")+('Ügyfelek'!F62="")+('Ügyfelek'!G62="")+('Ügyfelek'!H62="")+('Ügyfelek'!I62="")+('Ügyfelek'!J62="")+('Ügyfelek'!K62="")+('Ügyfelek'!L62="")+('Ügyfelek'!M62="")+('Ügyfelek'!N62="")+('Ügyfelek'!O62="")+('Ügyfelek'!P62="")+('Ügyfelek'!Q62="")+('Ügyfelek'!R62="")+('Ügyfelek'!S62="")+('Ügyfelek'!T62="")+('Ügyfelek'!U62="")+('Ügyfelek'!V62="")+('Ügyfelek'!W62="")+('Ügyfelek'!X62="")+('Ügyfelek'!Y62="")+('Ügyfelek'!Z62="")+('Ügyfelek'!AA62="")+('Ügyfelek'!AB62="")+('Ügyfelek'!AC62="")+('Ügyfelek'!AD62="")+('Ügyfelek'!AE62="")+('Ügyfelek'!AF62="")+('Ügyfelek'!AG62="")+('Ügyfelek'!AH62=""))</f>
        <v/>
      </c>
      <c r="BK62">
        <f>IF($A62="","",B62+'Beállítások'!$E$6/1000)</f>
        <v/>
      </c>
      <c r="BL62">
        <f>IF($A62="","",C62+'Beállítások'!$E$7/1000)</f>
        <v/>
      </c>
      <c r="BM62">
        <f>IF($A62="","",D62+'Beállítások'!$E$8/1000)</f>
        <v/>
      </c>
      <c r="BN62">
        <f>IF($A62="","",E62+'Beállítások'!$E$9/1000)</f>
        <v/>
      </c>
      <c r="BO62">
        <f>IF($A62="","",F62+'Beállítások'!$E$10/1000)</f>
        <v/>
      </c>
      <c r="BP62">
        <f>IF($A62="","",G62+'Beállítások'!$E$11/1000)</f>
        <v/>
      </c>
      <c r="BQ62">
        <f>IF($A62="","",H62+'Beállítások'!$E$12/1000)</f>
        <v/>
      </c>
      <c r="BR62">
        <f>IF($A62="","",I62+'Beállítások'!$E$13/1000)</f>
        <v/>
      </c>
      <c r="BS62">
        <f>IF($A62="","",J62+'Beállítások'!$E$14/1000)</f>
        <v/>
      </c>
      <c r="BT62">
        <f>IF($A62="","",K62+'Beállítások'!$E$15/1000)</f>
        <v/>
      </c>
      <c r="BU62">
        <f>IF($A62="","",L62+'Beállítások'!$E$16/1000)</f>
        <v/>
      </c>
      <c r="BV62">
        <f>IF($A62="","",M62+'Beállítások'!$E$17/1000)</f>
        <v/>
      </c>
      <c r="BW62">
        <f>IF($A62="","",N62+'Beállítások'!$E$18/1000)</f>
        <v/>
      </c>
      <c r="BX62">
        <f>IF($A62="","",O62+'Beállítások'!$E$19/1000)</f>
        <v/>
      </c>
      <c r="BY62">
        <f>IF($A62="","",P62+'Beállítások'!$E$20/1000)</f>
        <v/>
      </c>
      <c r="BZ62">
        <f>IF($A62="","",Q62+'Beállítások'!$E$21/1000)</f>
        <v/>
      </c>
      <c r="CA62">
        <f>IF($A62="","",R62+'Beállítások'!$E$22/1000)</f>
        <v/>
      </c>
      <c r="CB62">
        <f>IF($A62="","",S62+'Beállítások'!$E$23/1000)</f>
        <v/>
      </c>
      <c r="CC62">
        <f>IF($A62="","",T62+'Beállítások'!$E$24/1000)</f>
        <v/>
      </c>
      <c r="CD62">
        <f>IF($A62="","",U62+'Beállítások'!$E$25/1000)</f>
        <v/>
      </c>
      <c r="CE62">
        <f>IF($A62="","",V62+'Beállítások'!$E$26/1000)</f>
        <v/>
      </c>
      <c r="CF62">
        <f>IF($A62="","",W62+'Beállítások'!$E$27/1000)</f>
        <v/>
      </c>
      <c r="CG62">
        <f>IF($A62="","",X62+'Beállítások'!$E$28/1000)</f>
        <v/>
      </c>
      <c r="CH62">
        <f>IF($A62="","",Y62+'Beállítások'!$E$29/1000)</f>
        <v/>
      </c>
      <c r="CI62">
        <f>IF($A62="","",Z62+'Beállítások'!$E$30/1000)</f>
        <v/>
      </c>
      <c r="CJ62">
        <f>IF($A62="","",AA62+'Beállítások'!$E$31/1000)</f>
        <v/>
      </c>
      <c r="CK62">
        <f>IF($A62="","",AB62+'Beállítások'!$E$32/1000)</f>
        <v/>
      </c>
      <c r="CL62">
        <f>IF($A62="","",AC62+'Beállítások'!$E$33/1000)</f>
        <v/>
      </c>
      <c r="CM62">
        <f>IF($A62="","",AD62+'Beállítások'!$E$34/1000)</f>
        <v/>
      </c>
      <c r="CN62">
        <f>IF($A62="","",AE62+'Beállítások'!$E$35/1000)</f>
        <v/>
      </c>
      <c r="CO62">
        <f>IF($A62="","",AF62+'Beállítások'!$E$36/1000)</f>
        <v/>
      </c>
      <c r="CP62">
        <f>IF($A62="","",AG62+'Beállítások'!$E$37/1000)</f>
        <v/>
      </c>
      <c r="CQ62">
        <f>IF($A62="","",AH62+'Beállítások'!$E$38/1000)</f>
        <v/>
      </c>
      <c r="CR62">
        <f>IF($A62="","",'Beállítások'!$E$6*(10-B62))</f>
        <v/>
      </c>
      <c r="CS62">
        <f>IF($A62="","",'Beállítások'!$E$7*(10-C62))</f>
        <v/>
      </c>
      <c r="CT62">
        <f>IF($A62="","",'Beállítások'!$E$8*(10-D62))</f>
        <v/>
      </c>
      <c r="CU62">
        <f>IF($A62="","",'Beállítások'!$E$9*(10-E62))</f>
        <v/>
      </c>
      <c r="CV62">
        <f>IF($A62="","",'Beállítások'!$E$10*(10-F62))</f>
        <v/>
      </c>
      <c r="CW62">
        <f>IF($A62="","",'Beállítások'!$E$11*(10-G62))</f>
        <v/>
      </c>
      <c r="CX62">
        <f>IF($A62="","",'Beállítások'!$E$12*(10-H62))</f>
        <v/>
      </c>
      <c r="CY62">
        <f>IF($A62="","",'Beállítások'!$E$13*(10-I62))</f>
        <v/>
      </c>
      <c r="CZ62">
        <f>IF($A62="","",'Beállítások'!$E$14*(10-J62))</f>
        <v/>
      </c>
      <c r="DA62">
        <f>IF($A62="","",'Beállítások'!$E$15*(10-K62))</f>
        <v/>
      </c>
      <c r="DB62">
        <f>IF($A62="","",'Beállítások'!$E$16*(10-L62))</f>
        <v/>
      </c>
      <c r="DC62">
        <f>IF($A62="","",'Beállítások'!$E$17*(10-M62))</f>
        <v/>
      </c>
      <c r="DD62">
        <f>IF($A62="","",'Beállítások'!$E$18*(10-N62))</f>
        <v/>
      </c>
      <c r="DE62">
        <f>IF($A62="","",'Beállítások'!$E$19*(10-O62))</f>
        <v/>
      </c>
      <c r="DF62">
        <f>IF($A62="","",'Beállítások'!$E$20*(10-P62))</f>
        <v/>
      </c>
      <c r="DG62">
        <f>IF($A62="","",'Beállítások'!$E$21*(10-Q62))</f>
        <v/>
      </c>
      <c r="DH62">
        <f>IF($A62="","",'Beállítások'!$E$22*(10-R62))</f>
        <v/>
      </c>
      <c r="DI62">
        <f>IF($A62="","",'Beállítások'!$E$23*(10-S62))</f>
        <v/>
      </c>
      <c r="DJ62">
        <f>IF($A62="","",'Beállítások'!$E$24*(10-T62))</f>
        <v/>
      </c>
      <c r="DK62">
        <f>IF($A62="","",'Beállítások'!$E$25*(10-U62))</f>
        <v/>
      </c>
      <c r="DL62">
        <f>IF($A62="","",'Beállítások'!$E$26*(10-V62))</f>
        <v/>
      </c>
      <c r="DM62">
        <f>IF($A62="","",'Beállítások'!$E$27*(10-W62))</f>
        <v/>
      </c>
      <c r="DN62">
        <f>IF($A62="","",'Beállítások'!$E$28*(10-X62))</f>
        <v/>
      </c>
      <c r="DO62">
        <f>IF($A62="","",'Beállítások'!$E$29*(10-Y62))</f>
        <v/>
      </c>
      <c r="DP62">
        <f>IF($A62="","",'Beállítások'!$E$30*(10-Z62))</f>
        <v/>
      </c>
      <c r="DQ62">
        <f>IF($A62="","",'Beállítások'!$E$31*(10-AA62))</f>
        <v/>
      </c>
      <c r="DR62">
        <f>IF($A62="","",'Beállítások'!$E$32*(10-AB62))</f>
        <v/>
      </c>
      <c r="DS62">
        <f>IF($A62="","",'Beállítások'!$E$33*(10-AC62))</f>
        <v/>
      </c>
      <c r="DT62">
        <f>IF($A62="","",'Beállítások'!$E$34*(10-AD62))</f>
        <v/>
      </c>
      <c r="DU62">
        <f>IF($A62="","",'Beállítások'!$E$35*(10-AE62))</f>
        <v/>
      </c>
      <c r="DV62">
        <f>IF($A62="","",'Beállítások'!$E$36*(10-AF62))</f>
        <v/>
      </c>
      <c r="DW62">
        <f>IF($A62="","",'Beállítások'!$E$37*(10-AG62))</f>
        <v/>
      </c>
      <c r="DX62">
        <f>IF($A62="","",'Beállítások'!$E$38*(10-AH62))</f>
        <v/>
      </c>
      <c r="DY62">
        <f>IF($A62="","",AM62-ROW()/100000)</f>
        <v/>
      </c>
    </row>
    <row r="63">
      <c r="A63">
        <f>IF('Ügyfelek'!A63="","",'Ügyfelek'!A63)</f>
        <v/>
      </c>
      <c r="B63">
        <f>IF($A63="","",IF('Ügyfelek'!B63="",'Beállítások'!$B$84,IFERROR(VLOOKUP(TRIM('Ügyfelek'!B63),'Beállítások'!$A$51:$B$59,2,FALSE),'Beállítások'!$B$84)))</f>
        <v/>
      </c>
      <c r="C63">
        <f>IF($A63="","",IF('Ügyfelek'!C63="",'Beállítások'!$B$84,MIN(10,MAX(1,ROUND('Ügyfelek'!C63,0)))))</f>
        <v/>
      </c>
      <c r="D63">
        <f>IF($A63="","",IF('Ügyfelek'!D63="",'Beállítások'!$B$84,MIN(10,MAX(1,ROUND('Ügyfelek'!D63,0)))))</f>
        <v/>
      </c>
      <c r="E63">
        <f>IF($A63="","",IF('Ügyfelek'!E63="",'Beállítások'!$B$84,MIN(10,MAX(1,ROUND('Ügyfelek'!E63,0)))))</f>
        <v/>
      </c>
      <c r="F63">
        <f>IF($A63="","",IF('Ügyfelek'!F63="",'Beállítások'!$B$84,MIN(10,MAX(1,ROUND('Ügyfelek'!F63,0)))))</f>
        <v/>
      </c>
      <c r="G63">
        <f>IF($A63="","",IF('Ügyfelek'!G63="",'Beállítások'!$B$84,MIN(10,MAX(1,ROUND('Ügyfelek'!G63,0)))))</f>
        <v/>
      </c>
      <c r="H63">
        <f>IF($A63="","",IF('Ügyfelek'!H63="",'Beállítások'!$B$84,MIN(10,MAX(1,ROUND('Ügyfelek'!H63,0)))))</f>
        <v/>
      </c>
      <c r="I63">
        <f>IF($A63="","",IF('Ügyfelek'!I63="",'Beállítások'!$B$84,MIN(10,MAX(1,ROUND('Ügyfelek'!I63,0)))))</f>
        <v/>
      </c>
      <c r="J63">
        <f>IF($A63="","",IF('Ügyfelek'!J63="",'Beállítások'!$B$84,MIN(10,MAX(1,ROUND('Ügyfelek'!J63,0)))))</f>
        <v/>
      </c>
      <c r="K63">
        <f>IF($A63="","",IF('Ügyfelek'!K63="",'Beállítások'!$B$84,MIN(10,MAX(1,ROUND('Ügyfelek'!K63,0)))))</f>
        <v/>
      </c>
      <c r="L63">
        <f>IF($A63="","",IF('Ügyfelek'!L63="",'Beállítások'!$B$84,MIN(10,MAX(1,ROUND('Ügyfelek'!L63,0)))))</f>
        <v/>
      </c>
      <c r="M63">
        <f>IF($A63="","",IF('Ügyfelek'!M63="",'Beállítások'!$B$84,MIN(10,MAX(1,ROUND('Ügyfelek'!M63,0)))))</f>
        <v/>
      </c>
      <c r="N63">
        <f>IF($A63="","",IF('Ügyfelek'!N63="",'Beállítások'!$B$84,MIN(10,MAX(1,ROUND('Ügyfelek'!N63,0)))))</f>
        <v/>
      </c>
      <c r="O63">
        <f>IF($A63="","",IF('Ügyfelek'!O63="",'Beállítások'!$B$84,MIN(10,MAX(1,ROUND('Ügyfelek'!O63,0)))))</f>
        <v/>
      </c>
      <c r="P63">
        <f>IF($A63="","",IF('Ügyfelek'!P63="",'Beállítások'!$B$84,MIN(10,MAX(1,ROUND('Ügyfelek'!P63,0)))))</f>
        <v/>
      </c>
      <c r="Q63">
        <f>IF($A63="","",IF('Ügyfelek'!Q63="",'Beállítások'!$B$84,MIN(10,MAX(1,ROUND('Ügyfelek'!Q63,0)))))</f>
        <v/>
      </c>
      <c r="R63">
        <f>IF($A63="","",IF('Ügyfelek'!R63="",'Beállítások'!$B$84,MIN(10,MAX(1,ROUND('Ügyfelek'!R63,0)))))</f>
        <v/>
      </c>
      <c r="S63">
        <f>IF($A63="","",IF('Ügyfelek'!S63="",'Beállítások'!$B$84,MIN(10,MAX(1,ROUND('Ügyfelek'!S63,0)))))</f>
        <v/>
      </c>
      <c r="T63">
        <f>IF($A63="","",IF('Ügyfelek'!T63="",'Beállítások'!$B$84,VLOOKUP(MAX('Ügyfelek'!T63,'Beállítások'!$H$7),'Beállítások'!$H$7:$I$12,2,TRUE)))</f>
        <v/>
      </c>
      <c r="U63">
        <f>IF($A63="","",IF('Ügyfelek'!U63="",'Beállítások'!$B$84,VLOOKUP(MAX('Ügyfelek'!U63,'Beállítások'!$K$7),'Beállítások'!$K$7:$L$12,2,TRUE)))</f>
        <v/>
      </c>
      <c r="V63">
        <f>IF($A63="","",IF('Ügyfelek'!V63="",'Beállítások'!$B$84,MIN(10,MAX(1,ROUND('Ügyfelek'!V63,0)))))</f>
        <v/>
      </c>
      <c r="W63">
        <f>IF($A63="","",IF('Ügyfelek'!W63="",'Beállítások'!$B$84,VLOOKUP(MAX('Ügyfelek'!W63,'Beállítások'!$N$7),'Beállítások'!$N$7:$O$12,2,TRUE)))</f>
        <v/>
      </c>
      <c r="X63">
        <f>IF($A63="","",IF('Ügyfelek'!X63="",'Beállítások'!$B$84,MIN(10,MAX(1,ROUND('Ügyfelek'!X63,0)))))</f>
        <v/>
      </c>
      <c r="Y63">
        <f>IF($A63="","",IF('Ügyfelek'!Y63="",'Beállítások'!$B$84,IFERROR(VLOOKUP(TRIM('Ügyfelek'!Y63),'Beállítások'!$A$63:$B$69,2,FALSE),'Beállítások'!$B$84)))</f>
        <v/>
      </c>
      <c r="Z63">
        <f>IF($A63="","",IF('Ügyfelek'!Z63="",'Beállítások'!$B$84,VLOOKUP(MAX('Ügyfelek'!Z63,'Beállítások'!$Q$7),'Beállítások'!$Q$7:$R$12,2,TRUE)))</f>
        <v/>
      </c>
      <c r="AA63">
        <f>IF($A63="","",IF('Ügyfelek'!AA63="",'Beállítások'!$B$84,VLOOKUP(MAX('Ügyfelek'!AA63,'Beállítások'!$T$7),'Beállítások'!$T$7:$U$12,2,TRUE)))</f>
        <v/>
      </c>
      <c r="AB63">
        <f>IF($A63="","",IF('Ügyfelek'!AB63="",'Beállítások'!$B$84,MIN(10,MAX(1,ROUND('Ügyfelek'!AB63,0)))))</f>
        <v/>
      </c>
      <c r="AC63">
        <f>IF($A63="","",IF('Ügyfelek'!AC63="",'Beállítások'!$B$84,MIN(10,MAX(1,ROUND('Ügyfelek'!AC63,0)))))</f>
        <v/>
      </c>
      <c r="AD63">
        <f>IF($A63="","",IF('Ügyfelek'!AD63="",'Beállítások'!$B$84,MIN(10,MAX(1,ROUND('Ügyfelek'!AD63,0)))))</f>
        <v/>
      </c>
      <c r="AE63">
        <f>IF($A63="","",IF('Ügyfelek'!AE63="",'Beállítások'!$B$84,MIN(10,MAX(1,ROUND('Ügyfelek'!AE63,0)))))</f>
        <v/>
      </c>
      <c r="AF63">
        <f>IF($A63="","",IF('Ügyfelek'!AF63="",'Beállítások'!$B$84,MIN(10,MAX(1,ROUND('Ügyfelek'!AF63,0)))))</f>
        <v/>
      </c>
      <c r="AG63">
        <f>IF($A63="","",IF('Ügyfelek'!AG63="",'Beállítások'!$B$84,MIN(10,MAX(1,ROUND('Ügyfelek'!AG63,0)))))</f>
        <v/>
      </c>
      <c r="AH63">
        <f>IF($A63="","",IF('Ügyfelek'!AH63="",'Beállítások'!$B$84,IFERROR(VLOOKUP(TRIM('Ügyfelek'!AH63),'Beállítások'!$A$73:$B$79,2,FALSE),'Beállítások'!$B$84)))</f>
        <v/>
      </c>
      <c r="AI63" s="23">
        <f>IF($A63="","",ROUND(100*('Beállítások'!$E$6*(B63-1)+'Beállítások'!$E$7*(C63-1))/(9*'Beállítások'!$B$43),1))</f>
        <v/>
      </c>
      <c r="AJ63" s="23">
        <f>IF($A63="","",ROUND(100*('Beállítások'!$E$8*(D63-1)+'Beállítások'!$E$9*(E63-1)+'Beállítások'!$E$10*(F63-1)+'Beállítások'!$E$11*(G63-1)+'Beállítások'!$E$12*(H63-1)+'Beállítások'!$E$13*(I63-1)+'Beállítások'!$E$14*(J63-1)+'Beállítások'!$E$15*(K63-1)+'Beállítások'!$E$16*(L63-1)+'Beállítások'!$E$17*(M63-1)+'Beállítások'!$E$18*(N63-1)+'Beállítások'!$E$19*(O63-1)+'Beállítások'!$E$20*(P63-1)+'Beállítások'!$E$21*(Q63-1)+'Beállítások'!$E$22*(R63-1))/(9*'Beállítások'!$B$44),1))</f>
        <v/>
      </c>
      <c r="AK63" s="23">
        <f>IF($A63="","",ROUND(100*('Beállítások'!$E$23*(S63-1)+'Beállítások'!$E$24*(T63-1)+'Beállítások'!$E$25*(U63-1)+'Beállítások'!$E$26*(V63-1)+'Beállítások'!$E$27*(W63-1)+'Beállítások'!$E$28*(X63-1)+'Beállítások'!$E$29*(Y63-1))/(9*'Beállítások'!$B$45),1))</f>
        <v/>
      </c>
      <c r="AL63" s="23">
        <f>IF($A63="","",ROUND(100*('Beállítások'!$E$30*(Z63-1)+'Beállítások'!$E$31*(AA63-1)+'Beállítások'!$E$32*(AB63-1)+'Beállítások'!$E$33*(AC63-1)+'Beállítások'!$E$34*(AD63-1)+'Beállítások'!$E$35*(AE63-1)+'Beállítások'!$E$36*(AF63-1)+'Beállítások'!$E$37*(AG63-1)+'Beállítások'!$E$38*(AH63-1))/(9*'Beállítások'!$B$46),1))</f>
        <v/>
      </c>
      <c r="AM63" s="23">
        <f>IF($A63="","",ROUND(100*('Beállítások'!$E$6*(B63-1)+'Beállítások'!$E$7*(C63-1)+'Beállítások'!$E$8*(D63-1)+'Beállítások'!$E$9*(E63-1)+'Beállítások'!$E$10*(F63-1)+'Beállítások'!$E$11*(G63-1)+'Beállítások'!$E$12*(H63-1)+'Beállítások'!$E$13*(I63-1)+'Beállítások'!$E$14*(J63-1)+'Beállítások'!$E$15*(K63-1)+'Beállítások'!$E$16*(L63-1)+'Beállítások'!$E$17*(M63-1)+'Beállítások'!$E$18*(N63-1)+'Beállítások'!$E$19*(O63-1)+'Beállítások'!$E$20*(P63-1)+'Beállítások'!$E$21*(Q63-1)+'Beállítások'!$E$22*(R63-1)+'Beállítások'!$E$23*(S63-1)+'Beállítások'!$E$24*(T63-1)+'Beállítások'!$E$25*(U63-1)+'Beállítások'!$E$26*(V63-1)+'Beállítások'!$E$27*(W63-1)+'Beállítások'!$E$28*(X63-1)+'Beállítások'!$E$29*(Y63-1)+'Beállítások'!$E$30*(Z63-1)+'Beállítások'!$E$31*(AA63-1)+'Beállítások'!$E$32*(AB63-1)+'Beállítások'!$E$33*(AC63-1)+'Beállítások'!$E$34*(AD63-1)+'Beállítások'!$E$35*(AE63-1)+'Beállítások'!$E$36*(AF63-1)+'Beállítások'!$E$37*(AG63-1)+'Beállítások'!$E$38*(AH63-1))/(9*'Beállítások'!$E$39),1))</f>
        <v/>
      </c>
      <c r="AN63" s="23">
        <f>IF($A63="","",ROUND(100*('Beállítások'!$E$8*(D63-1)+'Beállítások'!$E$9*(E63-1)+'Beállítások'!$E$10*(F63-1)+'Beállítások'!$E$11*(G63-1)+'Beállítások'!$E$12*(H63-1)+'Beállítások'!$E$13*(I63-1)+'Beállítások'!$E$14*(J63-1)+'Beállítások'!$E$15*(K63-1)+'Beállítások'!$E$16*(L63-1)+'Beállítások'!$E$17*(M63-1)+'Beállítások'!$E$18*(N63-1)+'Beállítások'!$E$19*(O63-1)+'Beállítások'!$E$20*(P63-1)+'Beállítások'!$E$21*(Q63-1)+'Beállítások'!$E$22*(R63-1)+'Beállítások'!$E$23*(S63-1)+'Beállítások'!$E$24*(T63-1)+'Beállítások'!$E$25*(U63-1)+'Beállítások'!$E$26*(V63-1)+'Beállítások'!$E$27*(W63-1)+'Beállítások'!$E$28*(X63-1)+'Beállítások'!$E$29*(Y63-1))/(9*('Beállítások'!$B$44+'Beállítások'!$B$45)),1))</f>
        <v/>
      </c>
      <c r="AO63" s="24">
        <f>IF($A63="","",RANK(AM63,$AM$2:$AM$201))</f>
        <v/>
      </c>
      <c r="AP63">
        <f>IF($A63="","",IF(OR(AND('Ügyfelek'!B63&lt;&gt;"",B63&lt;='Beállítások'!$B$85),AND('Ügyfelek'!C63&lt;&gt;"",C63&lt;='Beállítások'!$B$86)),"Igen","Nem"))</f>
        <v/>
      </c>
      <c r="AQ63" s="24">
        <f>IF($A63="","",IF(AP63="Igen",5,IF(AN63&gt;='Beállítások'!$C$108,1,IF(AN63&gt;='Beállítások'!$C$109,2,IF(AN63&gt;='Beállítások'!$C$110,3,IF(AND(AN63&gt;='Beállítások'!$B$87,AI63&gt;='Beállítások'!$B$88,AL63&gt;='Beállítások'!$B$89),4,5))))))</f>
        <v/>
      </c>
      <c r="AR63">
        <f>IF($A63="","",INDEX('Beállítások'!$B$108:$B$112,AQ63))</f>
        <v/>
      </c>
      <c r="AS63">
        <f>IF($A63="","",IF(AQ63=5,"Elutasítjuk",IF(AND(AQ63=4,COUNTIFS('Eredmény'!$AQ$2:$AQ$201,4,'Eredmény'!$DY$2:$DY$201,"&gt;"&amp;DY63)&gt;='Beállítások'!$B$90),"Várólista (a 4-es hely foglalt)","Elfogadjuk")))</f>
        <v/>
      </c>
      <c r="AT63">
        <f>IF($A63="","",INDEX('Beállítások'!$F$108:$F$112,AQ63))</f>
        <v/>
      </c>
      <c r="AU63">
        <f>IF($A63="","",INDEX('Beállítások'!$B$6:$B$38,MATCH(MAX(BK63:CQ63),BK63:CQ63,0)))</f>
        <v/>
      </c>
      <c r="AV63">
        <f>IF($A63="","",IF(MAX(CR63:DX63)=0,"—",INDEX('Beállítások'!$B$6:$B$38,MATCH(MAX(CR63:DX63),CR63:DX63,0))))</f>
        <v/>
      </c>
      <c r="AW63" s="10">
        <f>IF($A63="","",'Beállítások'!$B$94*(TRIM('Ügyfelek'!AI63)="igen")+'Beállítások'!$B$95*(TRIM('Ügyfelek'!AJ63)="igen")+'Beállítások'!$B$96*N('Ügyfelek'!AK63)+'Beállítások'!$B$93*N('Ügyfelek'!AL63))</f>
        <v/>
      </c>
      <c r="AX63" s="25">
        <f>IF(OR($A63="",AQ63=5),"",INDEX('Beállítások'!$D$108:$D$112,AQ63))</f>
        <v/>
      </c>
      <c r="AY63" s="10">
        <f>IF($A63="","",N('Ügyfelek'!U63)*'Beállítások'!$B$98)</f>
        <v/>
      </c>
      <c r="AZ63" s="10">
        <f>IF(OR($A63="",AQ63=5),"",CEILING(ROUND(MAX('Beállítások'!$B$97,AW63*AX63,AY63),2),'Beállítások'!$B$99))</f>
        <v/>
      </c>
      <c r="BA63">
        <f>IF($A63="","",IF(AQ63=5,"Elutasítva",IF(MAX('Beállítások'!$B$97,AW63*AX63,AY63)=AW63*AX63,"Munkaigény × státuszszorzó",IF(MAX('Beállítások'!$B$97,AW63*AX63,AY63)=AY63,"Hirdetési keret arányában","Minimumdíj"))))</f>
        <v/>
      </c>
      <c r="BB63" s="10">
        <f>IF(OR($A63="",'Ügyfelek'!AM63=""),"",'Ügyfelek'!AM63)</f>
        <v/>
      </c>
      <c r="BC63" s="10">
        <f>IF(OR(BB63="",AZ63=""),"",AZ63-BB63)</f>
        <v/>
      </c>
      <c r="BD63" s="18">
        <f>IF(OR(BB63="",AZ63="",BB63=0),"",BC63/BB63)</f>
        <v/>
      </c>
      <c r="BE63">
        <f>IF(OR($A63="",AQ63=5),"",IF(AND(INDEX('Beállítások'!$E$108:$E$112,AQ63)&gt;0,Y63&gt;='Beállítások'!$B$91),"Igen","Nem"))</f>
        <v/>
      </c>
      <c r="BF63" s="10">
        <f>IF(BE63="Igen",CEILING(ROUND(AZ63*(1-'Beállítások'!$B$92),2),'Beállítások'!$B$99),"")</f>
        <v/>
      </c>
      <c r="BG63" s="20">
        <f>IF(BE63="Igen",INDEX('Beállítások'!$E$108:$E$112,AQ63),"")</f>
        <v/>
      </c>
      <c r="BH63" s="10">
        <f>IF(OR(BE63&lt;&gt;"Igen",'Ügyfelek'!AN63=""),"",'Ügyfelek'!AN63*BG63)</f>
        <v/>
      </c>
      <c r="BI63" s="24">
        <f>IF($A63="","",('Ügyfelek'!B63="")+('Ügyfelek'!C63="")+('Ügyfelek'!D63="")+('Ügyfelek'!E63="")+('Ügyfelek'!F63="")+('Ügyfelek'!G63="")+('Ügyfelek'!H63="")+('Ügyfelek'!I63="")+('Ügyfelek'!J63="")+('Ügyfelek'!K63="")+('Ügyfelek'!L63="")+('Ügyfelek'!M63="")+('Ügyfelek'!N63="")+('Ügyfelek'!O63="")+('Ügyfelek'!P63="")+('Ügyfelek'!Q63="")+('Ügyfelek'!R63="")+('Ügyfelek'!S63="")+('Ügyfelek'!T63="")+('Ügyfelek'!U63="")+('Ügyfelek'!V63="")+('Ügyfelek'!W63="")+('Ügyfelek'!X63="")+('Ügyfelek'!Y63="")+('Ügyfelek'!Z63="")+('Ügyfelek'!AA63="")+('Ügyfelek'!AB63="")+('Ügyfelek'!AC63="")+('Ügyfelek'!AD63="")+('Ügyfelek'!AE63="")+('Ügyfelek'!AF63="")+('Ügyfelek'!AG63="")+('Ügyfelek'!AH63=""))</f>
        <v/>
      </c>
      <c r="BK63">
        <f>IF($A63="","",B63+'Beállítások'!$E$6/1000)</f>
        <v/>
      </c>
      <c r="BL63">
        <f>IF($A63="","",C63+'Beállítások'!$E$7/1000)</f>
        <v/>
      </c>
      <c r="BM63">
        <f>IF($A63="","",D63+'Beállítások'!$E$8/1000)</f>
        <v/>
      </c>
      <c r="BN63">
        <f>IF($A63="","",E63+'Beállítások'!$E$9/1000)</f>
        <v/>
      </c>
      <c r="BO63">
        <f>IF($A63="","",F63+'Beállítások'!$E$10/1000)</f>
        <v/>
      </c>
      <c r="BP63">
        <f>IF($A63="","",G63+'Beállítások'!$E$11/1000)</f>
        <v/>
      </c>
      <c r="BQ63">
        <f>IF($A63="","",H63+'Beállítások'!$E$12/1000)</f>
        <v/>
      </c>
      <c r="BR63">
        <f>IF($A63="","",I63+'Beállítások'!$E$13/1000)</f>
        <v/>
      </c>
      <c r="BS63">
        <f>IF($A63="","",J63+'Beállítások'!$E$14/1000)</f>
        <v/>
      </c>
      <c r="BT63">
        <f>IF($A63="","",K63+'Beállítások'!$E$15/1000)</f>
        <v/>
      </c>
      <c r="BU63">
        <f>IF($A63="","",L63+'Beállítások'!$E$16/1000)</f>
        <v/>
      </c>
      <c r="BV63">
        <f>IF($A63="","",M63+'Beállítások'!$E$17/1000)</f>
        <v/>
      </c>
      <c r="BW63">
        <f>IF($A63="","",N63+'Beállítások'!$E$18/1000)</f>
        <v/>
      </c>
      <c r="BX63">
        <f>IF($A63="","",O63+'Beállítások'!$E$19/1000)</f>
        <v/>
      </c>
      <c r="BY63">
        <f>IF($A63="","",P63+'Beállítások'!$E$20/1000)</f>
        <v/>
      </c>
      <c r="BZ63">
        <f>IF($A63="","",Q63+'Beállítások'!$E$21/1000)</f>
        <v/>
      </c>
      <c r="CA63">
        <f>IF($A63="","",R63+'Beállítások'!$E$22/1000)</f>
        <v/>
      </c>
      <c r="CB63">
        <f>IF($A63="","",S63+'Beállítások'!$E$23/1000)</f>
        <v/>
      </c>
      <c r="CC63">
        <f>IF($A63="","",T63+'Beállítások'!$E$24/1000)</f>
        <v/>
      </c>
      <c r="CD63">
        <f>IF($A63="","",U63+'Beállítások'!$E$25/1000)</f>
        <v/>
      </c>
      <c r="CE63">
        <f>IF($A63="","",V63+'Beállítások'!$E$26/1000)</f>
        <v/>
      </c>
      <c r="CF63">
        <f>IF($A63="","",W63+'Beállítások'!$E$27/1000)</f>
        <v/>
      </c>
      <c r="CG63">
        <f>IF($A63="","",X63+'Beállítások'!$E$28/1000)</f>
        <v/>
      </c>
      <c r="CH63">
        <f>IF($A63="","",Y63+'Beállítások'!$E$29/1000)</f>
        <v/>
      </c>
      <c r="CI63">
        <f>IF($A63="","",Z63+'Beállítások'!$E$30/1000)</f>
        <v/>
      </c>
      <c r="CJ63">
        <f>IF($A63="","",AA63+'Beállítások'!$E$31/1000)</f>
        <v/>
      </c>
      <c r="CK63">
        <f>IF($A63="","",AB63+'Beállítások'!$E$32/1000)</f>
        <v/>
      </c>
      <c r="CL63">
        <f>IF($A63="","",AC63+'Beállítások'!$E$33/1000)</f>
        <v/>
      </c>
      <c r="CM63">
        <f>IF($A63="","",AD63+'Beállítások'!$E$34/1000)</f>
        <v/>
      </c>
      <c r="CN63">
        <f>IF($A63="","",AE63+'Beállítások'!$E$35/1000)</f>
        <v/>
      </c>
      <c r="CO63">
        <f>IF($A63="","",AF63+'Beállítások'!$E$36/1000)</f>
        <v/>
      </c>
      <c r="CP63">
        <f>IF($A63="","",AG63+'Beállítások'!$E$37/1000)</f>
        <v/>
      </c>
      <c r="CQ63">
        <f>IF($A63="","",AH63+'Beállítások'!$E$38/1000)</f>
        <v/>
      </c>
      <c r="CR63">
        <f>IF($A63="","",'Beállítások'!$E$6*(10-B63))</f>
        <v/>
      </c>
      <c r="CS63">
        <f>IF($A63="","",'Beállítások'!$E$7*(10-C63))</f>
        <v/>
      </c>
      <c r="CT63">
        <f>IF($A63="","",'Beállítások'!$E$8*(10-D63))</f>
        <v/>
      </c>
      <c r="CU63">
        <f>IF($A63="","",'Beállítások'!$E$9*(10-E63))</f>
        <v/>
      </c>
      <c r="CV63">
        <f>IF($A63="","",'Beállítások'!$E$10*(10-F63))</f>
        <v/>
      </c>
      <c r="CW63">
        <f>IF($A63="","",'Beállítások'!$E$11*(10-G63))</f>
        <v/>
      </c>
      <c r="CX63">
        <f>IF($A63="","",'Beállítások'!$E$12*(10-H63))</f>
        <v/>
      </c>
      <c r="CY63">
        <f>IF($A63="","",'Beállítások'!$E$13*(10-I63))</f>
        <v/>
      </c>
      <c r="CZ63">
        <f>IF($A63="","",'Beállítások'!$E$14*(10-J63))</f>
        <v/>
      </c>
      <c r="DA63">
        <f>IF($A63="","",'Beállítások'!$E$15*(10-K63))</f>
        <v/>
      </c>
      <c r="DB63">
        <f>IF($A63="","",'Beállítások'!$E$16*(10-L63))</f>
        <v/>
      </c>
      <c r="DC63">
        <f>IF($A63="","",'Beállítások'!$E$17*(10-M63))</f>
        <v/>
      </c>
      <c r="DD63">
        <f>IF($A63="","",'Beállítások'!$E$18*(10-N63))</f>
        <v/>
      </c>
      <c r="DE63">
        <f>IF($A63="","",'Beállítások'!$E$19*(10-O63))</f>
        <v/>
      </c>
      <c r="DF63">
        <f>IF($A63="","",'Beállítások'!$E$20*(10-P63))</f>
        <v/>
      </c>
      <c r="DG63">
        <f>IF($A63="","",'Beállítások'!$E$21*(10-Q63))</f>
        <v/>
      </c>
      <c r="DH63">
        <f>IF($A63="","",'Beállítások'!$E$22*(10-R63))</f>
        <v/>
      </c>
      <c r="DI63">
        <f>IF($A63="","",'Beállítások'!$E$23*(10-S63))</f>
        <v/>
      </c>
      <c r="DJ63">
        <f>IF($A63="","",'Beállítások'!$E$24*(10-T63))</f>
        <v/>
      </c>
      <c r="DK63">
        <f>IF($A63="","",'Beállítások'!$E$25*(10-U63))</f>
        <v/>
      </c>
      <c r="DL63">
        <f>IF($A63="","",'Beállítások'!$E$26*(10-V63))</f>
        <v/>
      </c>
      <c r="DM63">
        <f>IF($A63="","",'Beállítások'!$E$27*(10-W63))</f>
        <v/>
      </c>
      <c r="DN63">
        <f>IF($A63="","",'Beállítások'!$E$28*(10-X63))</f>
        <v/>
      </c>
      <c r="DO63">
        <f>IF($A63="","",'Beállítások'!$E$29*(10-Y63))</f>
        <v/>
      </c>
      <c r="DP63">
        <f>IF($A63="","",'Beállítások'!$E$30*(10-Z63))</f>
        <v/>
      </c>
      <c r="DQ63">
        <f>IF($A63="","",'Beállítások'!$E$31*(10-AA63))</f>
        <v/>
      </c>
      <c r="DR63">
        <f>IF($A63="","",'Beállítások'!$E$32*(10-AB63))</f>
        <v/>
      </c>
      <c r="DS63">
        <f>IF($A63="","",'Beállítások'!$E$33*(10-AC63))</f>
        <v/>
      </c>
      <c r="DT63">
        <f>IF($A63="","",'Beállítások'!$E$34*(10-AD63))</f>
        <v/>
      </c>
      <c r="DU63">
        <f>IF($A63="","",'Beállítások'!$E$35*(10-AE63))</f>
        <v/>
      </c>
      <c r="DV63">
        <f>IF($A63="","",'Beállítások'!$E$36*(10-AF63))</f>
        <v/>
      </c>
      <c r="DW63">
        <f>IF($A63="","",'Beállítások'!$E$37*(10-AG63))</f>
        <v/>
      </c>
      <c r="DX63">
        <f>IF($A63="","",'Beállítások'!$E$38*(10-AH63))</f>
        <v/>
      </c>
      <c r="DY63">
        <f>IF($A63="","",AM63-ROW()/100000)</f>
        <v/>
      </c>
    </row>
    <row r="64">
      <c r="A64">
        <f>IF('Ügyfelek'!A64="","",'Ügyfelek'!A64)</f>
        <v/>
      </c>
      <c r="B64">
        <f>IF($A64="","",IF('Ügyfelek'!B64="",'Beállítások'!$B$84,IFERROR(VLOOKUP(TRIM('Ügyfelek'!B64),'Beállítások'!$A$51:$B$59,2,FALSE),'Beállítások'!$B$84)))</f>
        <v/>
      </c>
      <c r="C64">
        <f>IF($A64="","",IF('Ügyfelek'!C64="",'Beállítások'!$B$84,MIN(10,MAX(1,ROUND('Ügyfelek'!C64,0)))))</f>
        <v/>
      </c>
      <c r="D64">
        <f>IF($A64="","",IF('Ügyfelek'!D64="",'Beállítások'!$B$84,MIN(10,MAX(1,ROUND('Ügyfelek'!D64,0)))))</f>
        <v/>
      </c>
      <c r="E64">
        <f>IF($A64="","",IF('Ügyfelek'!E64="",'Beállítások'!$B$84,MIN(10,MAX(1,ROUND('Ügyfelek'!E64,0)))))</f>
        <v/>
      </c>
      <c r="F64">
        <f>IF($A64="","",IF('Ügyfelek'!F64="",'Beállítások'!$B$84,MIN(10,MAX(1,ROUND('Ügyfelek'!F64,0)))))</f>
        <v/>
      </c>
      <c r="G64">
        <f>IF($A64="","",IF('Ügyfelek'!G64="",'Beállítások'!$B$84,MIN(10,MAX(1,ROUND('Ügyfelek'!G64,0)))))</f>
        <v/>
      </c>
      <c r="H64">
        <f>IF($A64="","",IF('Ügyfelek'!H64="",'Beállítások'!$B$84,MIN(10,MAX(1,ROUND('Ügyfelek'!H64,0)))))</f>
        <v/>
      </c>
      <c r="I64">
        <f>IF($A64="","",IF('Ügyfelek'!I64="",'Beállítások'!$B$84,MIN(10,MAX(1,ROUND('Ügyfelek'!I64,0)))))</f>
        <v/>
      </c>
      <c r="J64">
        <f>IF($A64="","",IF('Ügyfelek'!J64="",'Beállítások'!$B$84,MIN(10,MAX(1,ROUND('Ügyfelek'!J64,0)))))</f>
        <v/>
      </c>
      <c r="K64">
        <f>IF($A64="","",IF('Ügyfelek'!K64="",'Beállítások'!$B$84,MIN(10,MAX(1,ROUND('Ügyfelek'!K64,0)))))</f>
        <v/>
      </c>
      <c r="L64">
        <f>IF($A64="","",IF('Ügyfelek'!L64="",'Beállítások'!$B$84,MIN(10,MAX(1,ROUND('Ügyfelek'!L64,0)))))</f>
        <v/>
      </c>
      <c r="M64">
        <f>IF($A64="","",IF('Ügyfelek'!M64="",'Beállítások'!$B$84,MIN(10,MAX(1,ROUND('Ügyfelek'!M64,0)))))</f>
        <v/>
      </c>
      <c r="N64">
        <f>IF($A64="","",IF('Ügyfelek'!N64="",'Beállítások'!$B$84,MIN(10,MAX(1,ROUND('Ügyfelek'!N64,0)))))</f>
        <v/>
      </c>
      <c r="O64">
        <f>IF($A64="","",IF('Ügyfelek'!O64="",'Beállítások'!$B$84,MIN(10,MAX(1,ROUND('Ügyfelek'!O64,0)))))</f>
        <v/>
      </c>
      <c r="P64">
        <f>IF($A64="","",IF('Ügyfelek'!P64="",'Beállítások'!$B$84,MIN(10,MAX(1,ROUND('Ügyfelek'!P64,0)))))</f>
        <v/>
      </c>
      <c r="Q64">
        <f>IF($A64="","",IF('Ügyfelek'!Q64="",'Beállítások'!$B$84,MIN(10,MAX(1,ROUND('Ügyfelek'!Q64,0)))))</f>
        <v/>
      </c>
      <c r="R64">
        <f>IF($A64="","",IF('Ügyfelek'!R64="",'Beállítások'!$B$84,MIN(10,MAX(1,ROUND('Ügyfelek'!R64,0)))))</f>
        <v/>
      </c>
      <c r="S64">
        <f>IF($A64="","",IF('Ügyfelek'!S64="",'Beállítások'!$B$84,MIN(10,MAX(1,ROUND('Ügyfelek'!S64,0)))))</f>
        <v/>
      </c>
      <c r="T64">
        <f>IF($A64="","",IF('Ügyfelek'!T64="",'Beállítások'!$B$84,VLOOKUP(MAX('Ügyfelek'!T64,'Beállítások'!$H$7),'Beállítások'!$H$7:$I$12,2,TRUE)))</f>
        <v/>
      </c>
      <c r="U64">
        <f>IF($A64="","",IF('Ügyfelek'!U64="",'Beállítások'!$B$84,VLOOKUP(MAX('Ügyfelek'!U64,'Beállítások'!$K$7),'Beállítások'!$K$7:$L$12,2,TRUE)))</f>
        <v/>
      </c>
      <c r="V64">
        <f>IF($A64="","",IF('Ügyfelek'!V64="",'Beállítások'!$B$84,MIN(10,MAX(1,ROUND('Ügyfelek'!V64,0)))))</f>
        <v/>
      </c>
      <c r="W64">
        <f>IF($A64="","",IF('Ügyfelek'!W64="",'Beállítások'!$B$84,VLOOKUP(MAX('Ügyfelek'!W64,'Beállítások'!$N$7),'Beállítások'!$N$7:$O$12,2,TRUE)))</f>
        <v/>
      </c>
      <c r="X64">
        <f>IF($A64="","",IF('Ügyfelek'!X64="",'Beállítások'!$B$84,MIN(10,MAX(1,ROUND('Ügyfelek'!X64,0)))))</f>
        <v/>
      </c>
      <c r="Y64">
        <f>IF($A64="","",IF('Ügyfelek'!Y64="",'Beállítások'!$B$84,IFERROR(VLOOKUP(TRIM('Ügyfelek'!Y64),'Beállítások'!$A$63:$B$69,2,FALSE),'Beállítások'!$B$84)))</f>
        <v/>
      </c>
      <c r="Z64">
        <f>IF($A64="","",IF('Ügyfelek'!Z64="",'Beállítások'!$B$84,VLOOKUP(MAX('Ügyfelek'!Z64,'Beállítások'!$Q$7),'Beállítások'!$Q$7:$R$12,2,TRUE)))</f>
        <v/>
      </c>
      <c r="AA64">
        <f>IF($A64="","",IF('Ügyfelek'!AA64="",'Beállítások'!$B$84,VLOOKUP(MAX('Ügyfelek'!AA64,'Beállítások'!$T$7),'Beállítások'!$T$7:$U$12,2,TRUE)))</f>
        <v/>
      </c>
      <c r="AB64">
        <f>IF($A64="","",IF('Ügyfelek'!AB64="",'Beállítások'!$B$84,MIN(10,MAX(1,ROUND('Ügyfelek'!AB64,0)))))</f>
        <v/>
      </c>
      <c r="AC64">
        <f>IF($A64="","",IF('Ügyfelek'!AC64="",'Beállítások'!$B$84,MIN(10,MAX(1,ROUND('Ügyfelek'!AC64,0)))))</f>
        <v/>
      </c>
      <c r="AD64">
        <f>IF($A64="","",IF('Ügyfelek'!AD64="",'Beállítások'!$B$84,MIN(10,MAX(1,ROUND('Ügyfelek'!AD64,0)))))</f>
        <v/>
      </c>
      <c r="AE64">
        <f>IF($A64="","",IF('Ügyfelek'!AE64="",'Beállítások'!$B$84,MIN(10,MAX(1,ROUND('Ügyfelek'!AE64,0)))))</f>
        <v/>
      </c>
      <c r="AF64">
        <f>IF($A64="","",IF('Ügyfelek'!AF64="",'Beállítások'!$B$84,MIN(10,MAX(1,ROUND('Ügyfelek'!AF64,0)))))</f>
        <v/>
      </c>
      <c r="AG64">
        <f>IF($A64="","",IF('Ügyfelek'!AG64="",'Beállítások'!$B$84,MIN(10,MAX(1,ROUND('Ügyfelek'!AG64,0)))))</f>
        <v/>
      </c>
      <c r="AH64">
        <f>IF($A64="","",IF('Ügyfelek'!AH64="",'Beállítások'!$B$84,IFERROR(VLOOKUP(TRIM('Ügyfelek'!AH64),'Beállítások'!$A$73:$B$79,2,FALSE),'Beállítások'!$B$84)))</f>
        <v/>
      </c>
      <c r="AI64" s="23">
        <f>IF($A64="","",ROUND(100*('Beállítások'!$E$6*(B64-1)+'Beállítások'!$E$7*(C64-1))/(9*'Beállítások'!$B$43),1))</f>
        <v/>
      </c>
      <c r="AJ64" s="23">
        <f>IF($A64="","",ROUND(100*('Beállítások'!$E$8*(D64-1)+'Beállítások'!$E$9*(E64-1)+'Beállítások'!$E$10*(F64-1)+'Beállítások'!$E$11*(G64-1)+'Beállítások'!$E$12*(H64-1)+'Beállítások'!$E$13*(I64-1)+'Beállítások'!$E$14*(J64-1)+'Beállítások'!$E$15*(K64-1)+'Beállítások'!$E$16*(L64-1)+'Beállítások'!$E$17*(M64-1)+'Beállítások'!$E$18*(N64-1)+'Beállítások'!$E$19*(O64-1)+'Beállítások'!$E$20*(P64-1)+'Beállítások'!$E$21*(Q64-1)+'Beállítások'!$E$22*(R64-1))/(9*'Beállítások'!$B$44),1))</f>
        <v/>
      </c>
      <c r="AK64" s="23">
        <f>IF($A64="","",ROUND(100*('Beállítások'!$E$23*(S64-1)+'Beállítások'!$E$24*(T64-1)+'Beállítások'!$E$25*(U64-1)+'Beállítások'!$E$26*(V64-1)+'Beállítások'!$E$27*(W64-1)+'Beállítások'!$E$28*(X64-1)+'Beállítások'!$E$29*(Y64-1))/(9*'Beállítások'!$B$45),1))</f>
        <v/>
      </c>
      <c r="AL64" s="23">
        <f>IF($A64="","",ROUND(100*('Beállítások'!$E$30*(Z64-1)+'Beállítások'!$E$31*(AA64-1)+'Beállítások'!$E$32*(AB64-1)+'Beállítások'!$E$33*(AC64-1)+'Beállítások'!$E$34*(AD64-1)+'Beállítások'!$E$35*(AE64-1)+'Beállítások'!$E$36*(AF64-1)+'Beállítások'!$E$37*(AG64-1)+'Beállítások'!$E$38*(AH64-1))/(9*'Beállítások'!$B$46),1))</f>
        <v/>
      </c>
      <c r="AM64" s="23">
        <f>IF($A64="","",ROUND(100*('Beállítások'!$E$6*(B64-1)+'Beállítások'!$E$7*(C64-1)+'Beállítások'!$E$8*(D64-1)+'Beállítások'!$E$9*(E64-1)+'Beállítások'!$E$10*(F64-1)+'Beállítások'!$E$11*(G64-1)+'Beállítások'!$E$12*(H64-1)+'Beállítások'!$E$13*(I64-1)+'Beállítások'!$E$14*(J64-1)+'Beállítások'!$E$15*(K64-1)+'Beállítások'!$E$16*(L64-1)+'Beállítások'!$E$17*(M64-1)+'Beállítások'!$E$18*(N64-1)+'Beállítások'!$E$19*(O64-1)+'Beállítások'!$E$20*(P64-1)+'Beállítások'!$E$21*(Q64-1)+'Beállítások'!$E$22*(R64-1)+'Beállítások'!$E$23*(S64-1)+'Beállítások'!$E$24*(T64-1)+'Beállítások'!$E$25*(U64-1)+'Beállítások'!$E$26*(V64-1)+'Beállítások'!$E$27*(W64-1)+'Beállítások'!$E$28*(X64-1)+'Beállítások'!$E$29*(Y64-1)+'Beállítások'!$E$30*(Z64-1)+'Beállítások'!$E$31*(AA64-1)+'Beállítások'!$E$32*(AB64-1)+'Beállítások'!$E$33*(AC64-1)+'Beállítások'!$E$34*(AD64-1)+'Beállítások'!$E$35*(AE64-1)+'Beállítások'!$E$36*(AF64-1)+'Beállítások'!$E$37*(AG64-1)+'Beállítások'!$E$38*(AH64-1))/(9*'Beállítások'!$E$39),1))</f>
        <v/>
      </c>
      <c r="AN64" s="23">
        <f>IF($A64="","",ROUND(100*('Beállítások'!$E$8*(D64-1)+'Beállítások'!$E$9*(E64-1)+'Beállítások'!$E$10*(F64-1)+'Beállítások'!$E$11*(G64-1)+'Beállítások'!$E$12*(H64-1)+'Beállítások'!$E$13*(I64-1)+'Beállítások'!$E$14*(J64-1)+'Beállítások'!$E$15*(K64-1)+'Beállítások'!$E$16*(L64-1)+'Beállítások'!$E$17*(M64-1)+'Beállítások'!$E$18*(N64-1)+'Beállítások'!$E$19*(O64-1)+'Beállítások'!$E$20*(P64-1)+'Beállítások'!$E$21*(Q64-1)+'Beállítások'!$E$22*(R64-1)+'Beállítások'!$E$23*(S64-1)+'Beállítások'!$E$24*(T64-1)+'Beállítások'!$E$25*(U64-1)+'Beállítások'!$E$26*(V64-1)+'Beállítások'!$E$27*(W64-1)+'Beállítások'!$E$28*(X64-1)+'Beállítások'!$E$29*(Y64-1))/(9*('Beállítások'!$B$44+'Beállítások'!$B$45)),1))</f>
        <v/>
      </c>
      <c r="AO64" s="24">
        <f>IF($A64="","",RANK(AM64,$AM$2:$AM$201))</f>
        <v/>
      </c>
      <c r="AP64">
        <f>IF($A64="","",IF(OR(AND('Ügyfelek'!B64&lt;&gt;"",B64&lt;='Beállítások'!$B$85),AND('Ügyfelek'!C64&lt;&gt;"",C64&lt;='Beállítások'!$B$86)),"Igen","Nem"))</f>
        <v/>
      </c>
      <c r="AQ64" s="24">
        <f>IF($A64="","",IF(AP64="Igen",5,IF(AN64&gt;='Beállítások'!$C$108,1,IF(AN64&gt;='Beállítások'!$C$109,2,IF(AN64&gt;='Beállítások'!$C$110,3,IF(AND(AN64&gt;='Beállítások'!$B$87,AI64&gt;='Beállítások'!$B$88,AL64&gt;='Beállítások'!$B$89),4,5))))))</f>
        <v/>
      </c>
      <c r="AR64">
        <f>IF($A64="","",INDEX('Beállítások'!$B$108:$B$112,AQ64))</f>
        <v/>
      </c>
      <c r="AS64">
        <f>IF($A64="","",IF(AQ64=5,"Elutasítjuk",IF(AND(AQ64=4,COUNTIFS('Eredmény'!$AQ$2:$AQ$201,4,'Eredmény'!$DY$2:$DY$201,"&gt;"&amp;DY64)&gt;='Beállítások'!$B$90),"Várólista (a 4-es hely foglalt)","Elfogadjuk")))</f>
        <v/>
      </c>
      <c r="AT64">
        <f>IF($A64="","",INDEX('Beállítások'!$F$108:$F$112,AQ64))</f>
        <v/>
      </c>
      <c r="AU64">
        <f>IF($A64="","",INDEX('Beállítások'!$B$6:$B$38,MATCH(MAX(BK64:CQ64),BK64:CQ64,0)))</f>
        <v/>
      </c>
      <c r="AV64">
        <f>IF($A64="","",IF(MAX(CR64:DX64)=0,"—",INDEX('Beállítások'!$B$6:$B$38,MATCH(MAX(CR64:DX64),CR64:DX64,0))))</f>
        <v/>
      </c>
      <c r="AW64" s="10">
        <f>IF($A64="","",'Beállítások'!$B$94*(TRIM('Ügyfelek'!AI64)="igen")+'Beállítások'!$B$95*(TRIM('Ügyfelek'!AJ64)="igen")+'Beállítások'!$B$96*N('Ügyfelek'!AK64)+'Beállítások'!$B$93*N('Ügyfelek'!AL64))</f>
        <v/>
      </c>
      <c r="AX64" s="25">
        <f>IF(OR($A64="",AQ64=5),"",INDEX('Beállítások'!$D$108:$D$112,AQ64))</f>
        <v/>
      </c>
      <c r="AY64" s="10">
        <f>IF($A64="","",N('Ügyfelek'!U64)*'Beállítások'!$B$98)</f>
        <v/>
      </c>
      <c r="AZ64" s="10">
        <f>IF(OR($A64="",AQ64=5),"",CEILING(ROUND(MAX('Beállítások'!$B$97,AW64*AX64,AY64),2),'Beállítások'!$B$99))</f>
        <v/>
      </c>
      <c r="BA64">
        <f>IF($A64="","",IF(AQ64=5,"Elutasítva",IF(MAX('Beállítások'!$B$97,AW64*AX64,AY64)=AW64*AX64,"Munkaigény × státuszszorzó",IF(MAX('Beállítások'!$B$97,AW64*AX64,AY64)=AY64,"Hirdetési keret arányában","Minimumdíj"))))</f>
        <v/>
      </c>
      <c r="BB64" s="10">
        <f>IF(OR($A64="",'Ügyfelek'!AM64=""),"",'Ügyfelek'!AM64)</f>
        <v/>
      </c>
      <c r="BC64" s="10">
        <f>IF(OR(BB64="",AZ64=""),"",AZ64-BB64)</f>
        <v/>
      </c>
      <c r="BD64" s="18">
        <f>IF(OR(BB64="",AZ64="",BB64=0),"",BC64/BB64)</f>
        <v/>
      </c>
      <c r="BE64">
        <f>IF(OR($A64="",AQ64=5),"",IF(AND(INDEX('Beállítások'!$E$108:$E$112,AQ64)&gt;0,Y64&gt;='Beállítások'!$B$91),"Igen","Nem"))</f>
        <v/>
      </c>
      <c r="BF64" s="10">
        <f>IF(BE64="Igen",CEILING(ROUND(AZ64*(1-'Beállítások'!$B$92),2),'Beállítások'!$B$99),"")</f>
        <v/>
      </c>
      <c r="BG64" s="20">
        <f>IF(BE64="Igen",INDEX('Beállítások'!$E$108:$E$112,AQ64),"")</f>
        <v/>
      </c>
      <c r="BH64" s="10">
        <f>IF(OR(BE64&lt;&gt;"Igen",'Ügyfelek'!AN64=""),"",'Ügyfelek'!AN64*BG64)</f>
        <v/>
      </c>
      <c r="BI64" s="24">
        <f>IF($A64="","",('Ügyfelek'!B64="")+('Ügyfelek'!C64="")+('Ügyfelek'!D64="")+('Ügyfelek'!E64="")+('Ügyfelek'!F64="")+('Ügyfelek'!G64="")+('Ügyfelek'!H64="")+('Ügyfelek'!I64="")+('Ügyfelek'!J64="")+('Ügyfelek'!K64="")+('Ügyfelek'!L64="")+('Ügyfelek'!M64="")+('Ügyfelek'!N64="")+('Ügyfelek'!O64="")+('Ügyfelek'!P64="")+('Ügyfelek'!Q64="")+('Ügyfelek'!R64="")+('Ügyfelek'!S64="")+('Ügyfelek'!T64="")+('Ügyfelek'!U64="")+('Ügyfelek'!V64="")+('Ügyfelek'!W64="")+('Ügyfelek'!X64="")+('Ügyfelek'!Y64="")+('Ügyfelek'!Z64="")+('Ügyfelek'!AA64="")+('Ügyfelek'!AB64="")+('Ügyfelek'!AC64="")+('Ügyfelek'!AD64="")+('Ügyfelek'!AE64="")+('Ügyfelek'!AF64="")+('Ügyfelek'!AG64="")+('Ügyfelek'!AH64=""))</f>
        <v/>
      </c>
      <c r="BK64">
        <f>IF($A64="","",B64+'Beállítások'!$E$6/1000)</f>
        <v/>
      </c>
      <c r="BL64">
        <f>IF($A64="","",C64+'Beállítások'!$E$7/1000)</f>
        <v/>
      </c>
      <c r="BM64">
        <f>IF($A64="","",D64+'Beállítások'!$E$8/1000)</f>
        <v/>
      </c>
      <c r="BN64">
        <f>IF($A64="","",E64+'Beállítások'!$E$9/1000)</f>
        <v/>
      </c>
      <c r="BO64">
        <f>IF($A64="","",F64+'Beállítások'!$E$10/1000)</f>
        <v/>
      </c>
      <c r="BP64">
        <f>IF($A64="","",G64+'Beállítások'!$E$11/1000)</f>
        <v/>
      </c>
      <c r="BQ64">
        <f>IF($A64="","",H64+'Beállítások'!$E$12/1000)</f>
        <v/>
      </c>
      <c r="BR64">
        <f>IF($A64="","",I64+'Beállítások'!$E$13/1000)</f>
        <v/>
      </c>
      <c r="BS64">
        <f>IF($A64="","",J64+'Beállítások'!$E$14/1000)</f>
        <v/>
      </c>
      <c r="BT64">
        <f>IF($A64="","",K64+'Beállítások'!$E$15/1000)</f>
        <v/>
      </c>
      <c r="BU64">
        <f>IF($A64="","",L64+'Beállítások'!$E$16/1000)</f>
        <v/>
      </c>
      <c r="BV64">
        <f>IF($A64="","",M64+'Beállítások'!$E$17/1000)</f>
        <v/>
      </c>
      <c r="BW64">
        <f>IF($A64="","",N64+'Beállítások'!$E$18/1000)</f>
        <v/>
      </c>
      <c r="BX64">
        <f>IF($A64="","",O64+'Beállítások'!$E$19/1000)</f>
        <v/>
      </c>
      <c r="BY64">
        <f>IF($A64="","",P64+'Beállítások'!$E$20/1000)</f>
        <v/>
      </c>
      <c r="BZ64">
        <f>IF($A64="","",Q64+'Beállítások'!$E$21/1000)</f>
        <v/>
      </c>
      <c r="CA64">
        <f>IF($A64="","",R64+'Beállítások'!$E$22/1000)</f>
        <v/>
      </c>
      <c r="CB64">
        <f>IF($A64="","",S64+'Beállítások'!$E$23/1000)</f>
        <v/>
      </c>
      <c r="CC64">
        <f>IF($A64="","",T64+'Beállítások'!$E$24/1000)</f>
        <v/>
      </c>
      <c r="CD64">
        <f>IF($A64="","",U64+'Beállítások'!$E$25/1000)</f>
        <v/>
      </c>
      <c r="CE64">
        <f>IF($A64="","",V64+'Beállítások'!$E$26/1000)</f>
        <v/>
      </c>
      <c r="CF64">
        <f>IF($A64="","",W64+'Beállítások'!$E$27/1000)</f>
        <v/>
      </c>
      <c r="CG64">
        <f>IF($A64="","",X64+'Beállítások'!$E$28/1000)</f>
        <v/>
      </c>
      <c r="CH64">
        <f>IF($A64="","",Y64+'Beállítások'!$E$29/1000)</f>
        <v/>
      </c>
      <c r="CI64">
        <f>IF($A64="","",Z64+'Beállítások'!$E$30/1000)</f>
        <v/>
      </c>
      <c r="CJ64">
        <f>IF($A64="","",AA64+'Beállítások'!$E$31/1000)</f>
        <v/>
      </c>
      <c r="CK64">
        <f>IF($A64="","",AB64+'Beállítások'!$E$32/1000)</f>
        <v/>
      </c>
      <c r="CL64">
        <f>IF($A64="","",AC64+'Beállítások'!$E$33/1000)</f>
        <v/>
      </c>
      <c r="CM64">
        <f>IF($A64="","",AD64+'Beállítások'!$E$34/1000)</f>
        <v/>
      </c>
      <c r="CN64">
        <f>IF($A64="","",AE64+'Beállítások'!$E$35/1000)</f>
        <v/>
      </c>
      <c r="CO64">
        <f>IF($A64="","",AF64+'Beállítások'!$E$36/1000)</f>
        <v/>
      </c>
      <c r="CP64">
        <f>IF($A64="","",AG64+'Beállítások'!$E$37/1000)</f>
        <v/>
      </c>
      <c r="CQ64">
        <f>IF($A64="","",AH64+'Beállítások'!$E$38/1000)</f>
        <v/>
      </c>
      <c r="CR64">
        <f>IF($A64="","",'Beállítások'!$E$6*(10-B64))</f>
        <v/>
      </c>
      <c r="CS64">
        <f>IF($A64="","",'Beállítások'!$E$7*(10-C64))</f>
        <v/>
      </c>
      <c r="CT64">
        <f>IF($A64="","",'Beállítások'!$E$8*(10-D64))</f>
        <v/>
      </c>
      <c r="CU64">
        <f>IF($A64="","",'Beállítások'!$E$9*(10-E64))</f>
        <v/>
      </c>
      <c r="CV64">
        <f>IF($A64="","",'Beállítások'!$E$10*(10-F64))</f>
        <v/>
      </c>
      <c r="CW64">
        <f>IF($A64="","",'Beállítások'!$E$11*(10-G64))</f>
        <v/>
      </c>
      <c r="CX64">
        <f>IF($A64="","",'Beállítások'!$E$12*(10-H64))</f>
        <v/>
      </c>
      <c r="CY64">
        <f>IF($A64="","",'Beállítások'!$E$13*(10-I64))</f>
        <v/>
      </c>
      <c r="CZ64">
        <f>IF($A64="","",'Beállítások'!$E$14*(10-J64))</f>
        <v/>
      </c>
      <c r="DA64">
        <f>IF($A64="","",'Beállítások'!$E$15*(10-K64))</f>
        <v/>
      </c>
      <c r="DB64">
        <f>IF($A64="","",'Beállítások'!$E$16*(10-L64))</f>
        <v/>
      </c>
      <c r="DC64">
        <f>IF($A64="","",'Beállítások'!$E$17*(10-M64))</f>
        <v/>
      </c>
      <c r="DD64">
        <f>IF($A64="","",'Beállítások'!$E$18*(10-N64))</f>
        <v/>
      </c>
      <c r="DE64">
        <f>IF($A64="","",'Beállítások'!$E$19*(10-O64))</f>
        <v/>
      </c>
      <c r="DF64">
        <f>IF($A64="","",'Beállítások'!$E$20*(10-P64))</f>
        <v/>
      </c>
      <c r="DG64">
        <f>IF($A64="","",'Beállítások'!$E$21*(10-Q64))</f>
        <v/>
      </c>
      <c r="DH64">
        <f>IF($A64="","",'Beállítások'!$E$22*(10-R64))</f>
        <v/>
      </c>
      <c r="DI64">
        <f>IF($A64="","",'Beállítások'!$E$23*(10-S64))</f>
        <v/>
      </c>
      <c r="DJ64">
        <f>IF($A64="","",'Beállítások'!$E$24*(10-T64))</f>
        <v/>
      </c>
      <c r="DK64">
        <f>IF($A64="","",'Beállítások'!$E$25*(10-U64))</f>
        <v/>
      </c>
      <c r="DL64">
        <f>IF($A64="","",'Beállítások'!$E$26*(10-V64))</f>
        <v/>
      </c>
      <c r="DM64">
        <f>IF($A64="","",'Beállítások'!$E$27*(10-W64))</f>
        <v/>
      </c>
      <c r="DN64">
        <f>IF($A64="","",'Beállítások'!$E$28*(10-X64))</f>
        <v/>
      </c>
      <c r="DO64">
        <f>IF($A64="","",'Beállítások'!$E$29*(10-Y64))</f>
        <v/>
      </c>
      <c r="DP64">
        <f>IF($A64="","",'Beállítások'!$E$30*(10-Z64))</f>
        <v/>
      </c>
      <c r="DQ64">
        <f>IF($A64="","",'Beállítások'!$E$31*(10-AA64))</f>
        <v/>
      </c>
      <c r="DR64">
        <f>IF($A64="","",'Beállítások'!$E$32*(10-AB64))</f>
        <v/>
      </c>
      <c r="DS64">
        <f>IF($A64="","",'Beállítások'!$E$33*(10-AC64))</f>
        <v/>
      </c>
      <c r="DT64">
        <f>IF($A64="","",'Beállítások'!$E$34*(10-AD64))</f>
        <v/>
      </c>
      <c r="DU64">
        <f>IF($A64="","",'Beállítások'!$E$35*(10-AE64))</f>
        <v/>
      </c>
      <c r="DV64">
        <f>IF($A64="","",'Beállítások'!$E$36*(10-AF64))</f>
        <v/>
      </c>
      <c r="DW64">
        <f>IF($A64="","",'Beállítások'!$E$37*(10-AG64))</f>
        <v/>
      </c>
      <c r="DX64">
        <f>IF($A64="","",'Beállítások'!$E$38*(10-AH64))</f>
        <v/>
      </c>
      <c r="DY64">
        <f>IF($A64="","",AM64-ROW()/100000)</f>
        <v/>
      </c>
    </row>
    <row r="65">
      <c r="A65">
        <f>IF('Ügyfelek'!A65="","",'Ügyfelek'!A65)</f>
        <v/>
      </c>
      <c r="B65">
        <f>IF($A65="","",IF('Ügyfelek'!B65="",'Beállítások'!$B$84,IFERROR(VLOOKUP(TRIM('Ügyfelek'!B65),'Beállítások'!$A$51:$B$59,2,FALSE),'Beállítások'!$B$84)))</f>
        <v/>
      </c>
      <c r="C65">
        <f>IF($A65="","",IF('Ügyfelek'!C65="",'Beállítások'!$B$84,MIN(10,MAX(1,ROUND('Ügyfelek'!C65,0)))))</f>
        <v/>
      </c>
      <c r="D65">
        <f>IF($A65="","",IF('Ügyfelek'!D65="",'Beállítások'!$B$84,MIN(10,MAX(1,ROUND('Ügyfelek'!D65,0)))))</f>
        <v/>
      </c>
      <c r="E65">
        <f>IF($A65="","",IF('Ügyfelek'!E65="",'Beállítások'!$B$84,MIN(10,MAX(1,ROUND('Ügyfelek'!E65,0)))))</f>
        <v/>
      </c>
      <c r="F65">
        <f>IF($A65="","",IF('Ügyfelek'!F65="",'Beállítások'!$B$84,MIN(10,MAX(1,ROUND('Ügyfelek'!F65,0)))))</f>
        <v/>
      </c>
      <c r="G65">
        <f>IF($A65="","",IF('Ügyfelek'!G65="",'Beállítások'!$B$84,MIN(10,MAX(1,ROUND('Ügyfelek'!G65,0)))))</f>
        <v/>
      </c>
      <c r="H65">
        <f>IF($A65="","",IF('Ügyfelek'!H65="",'Beállítások'!$B$84,MIN(10,MAX(1,ROUND('Ügyfelek'!H65,0)))))</f>
        <v/>
      </c>
      <c r="I65">
        <f>IF($A65="","",IF('Ügyfelek'!I65="",'Beállítások'!$B$84,MIN(10,MAX(1,ROUND('Ügyfelek'!I65,0)))))</f>
        <v/>
      </c>
      <c r="J65">
        <f>IF($A65="","",IF('Ügyfelek'!J65="",'Beállítások'!$B$84,MIN(10,MAX(1,ROUND('Ügyfelek'!J65,0)))))</f>
        <v/>
      </c>
      <c r="K65">
        <f>IF($A65="","",IF('Ügyfelek'!K65="",'Beállítások'!$B$84,MIN(10,MAX(1,ROUND('Ügyfelek'!K65,0)))))</f>
        <v/>
      </c>
      <c r="L65">
        <f>IF($A65="","",IF('Ügyfelek'!L65="",'Beállítások'!$B$84,MIN(10,MAX(1,ROUND('Ügyfelek'!L65,0)))))</f>
        <v/>
      </c>
      <c r="M65">
        <f>IF($A65="","",IF('Ügyfelek'!M65="",'Beállítások'!$B$84,MIN(10,MAX(1,ROUND('Ügyfelek'!M65,0)))))</f>
        <v/>
      </c>
      <c r="N65">
        <f>IF($A65="","",IF('Ügyfelek'!N65="",'Beállítások'!$B$84,MIN(10,MAX(1,ROUND('Ügyfelek'!N65,0)))))</f>
        <v/>
      </c>
      <c r="O65">
        <f>IF($A65="","",IF('Ügyfelek'!O65="",'Beállítások'!$B$84,MIN(10,MAX(1,ROUND('Ügyfelek'!O65,0)))))</f>
        <v/>
      </c>
      <c r="P65">
        <f>IF($A65="","",IF('Ügyfelek'!P65="",'Beállítások'!$B$84,MIN(10,MAX(1,ROUND('Ügyfelek'!P65,0)))))</f>
        <v/>
      </c>
      <c r="Q65">
        <f>IF($A65="","",IF('Ügyfelek'!Q65="",'Beállítások'!$B$84,MIN(10,MAX(1,ROUND('Ügyfelek'!Q65,0)))))</f>
        <v/>
      </c>
      <c r="R65">
        <f>IF($A65="","",IF('Ügyfelek'!R65="",'Beállítások'!$B$84,MIN(10,MAX(1,ROUND('Ügyfelek'!R65,0)))))</f>
        <v/>
      </c>
      <c r="S65">
        <f>IF($A65="","",IF('Ügyfelek'!S65="",'Beállítások'!$B$84,MIN(10,MAX(1,ROUND('Ügyfelek'!S65,0)))))</f>
        <v/>
      </c>
      <c r="T65">
        <f>IF($A65="","",IF('Ügyfelek'!T65="",'Beállítások'!$B$84,VLOOKUP(MAX('Ügyfelek'!T65,'Beállítások'!$H$7),'Beállítások'!$H$7:$I$12,2,TRUE)))</f>
        <v/>
      </c>
      <c r="U65">
        <f>IF($A65="","",IF('Ügyfelek'!U65="",'Beállítások'!$B$84,VLOOKUP(MAX('Ügyfelek'!U65,'Beállítások'!$K$7),'Beállítások'!$K$7:$L$12,2,TRUE)))</f>
        <v/>
      </c>
      <c r="V65">
        <f>IF($A65="","",IF('Ügyfelek'!V65="",'Beállítások'!$B$84,MIN(10,MAX(1,ROUND('Ügyfelek'!V65,0)))))</f>
        <v/>
      </c>
      <c r="W65">
        <f>IF($A65="","",IF('Ügyfelek'!W65="",'Beállítások'!$B$84,VLOOKUP(MAX('Ügyfelek'!W65,'Beállítások'!$N$7),'Beállítások'!$N$7:$O$12,2,TRUE)))</f>
        <v/>
      </c>
      <c r="X65">
        <f>IF($A65="","",IF('Ügyfelek'!X65="",'Beállítások'!$B$84,MIN(10,MAX(1,ROUND('Ügyfelek'!X65,0)))))</f>
        <v/>
      </c>
      <c r="Y65">
        <f>IF($A65="","",IF('Ügyfelek'!Y65="",'Beállítások'!$B$84,IFERROR(VLOOKUP(TRIM('Ügyfelek'!Y65),'Beállítások'!$A$63:$B$69,2,FALSE),'Beállítások'!$B$84)))</f>
        <v/>
      </c>
      <c r="Z65">
        <f>IF($A65="","",IF('Ügyfelek'!Z65="",'Beállítások'!$B$84,VLOOKUP(MAX('Ügyfelek'!Z65,'Beállítások'!$Q$7),'Beállítások'!$Q$7:$R$12,2,TRUE)))</f>
        <v/>
      </c>
      <c r="AA65">
        <f>IF($A65="","",IF('Ügyfelek'!AA65="",'Beállítások'!$B$84,VLOOKUP(MAX('Ügyfelek'!AA65,'Beállítások'!$T$7),'Beállítások'!$T$7:$U$12,2,TRUE)))</f>
        <v/>
      </c>
      <c r="AB65">
        <f>IF($A65="","",IF('Ügyfelek'!AB65="",'Beállítások'!$B$84,MIN(10,MAX(1,ROUND('Ügyfelek'!AB65,0)))))</f>
        <v/>
      </c>
      <c r="AC65">
        <f>IF($A65="","",IF('Ügyfelek'!AC65="",'Beállítások'!$B$84,MIN(10,MAX(1,ROUND('Ügyfelek'!AC65,0)))))</f>
        <v/>
      </c>
      <c r="AD65">
        <f>IF($A65="","",IF('Ügyfelek'!AD65="",'Beállítások'!$B$84,MIN(10,MAX(1,ROUND('Ügyfelek'!AD65,0)))))</f>
        <v/>
      </c>
      <c r="AE65">
        <f>IF($A65="","",IF('Ügyfelek'!AE65="",'Beállítások'!$B$84,MIN(10,MAX(1,ROUND('Ügyfelek'!AE65,0)))))</f>
        <v/>
      </c>
      <c r="AF65">
        <f>IF($A65="","",IF('Ügyfelek'!AF65="",'Beállítások'!$B$84,MIN(10,MAX(1,ROUND('Ügyfelek'!AF65,0)))))</f>
        <v/>
      </c>
      <c r="AG65">
        <f>IF($A65="","",IF('Ügyfelek'!AG65="",'Beállítások'!$B$84,MIN(10,MAX(1,ROUND('Ügyfelek'!AG65,0)))))</f>
        <v/>
      </c>
      <c r="AH65">
        <f>IF($A65="","",IF('Ügyfelek'!AH65="",'Beállítások'!$B$84,IFERROR(VLOOKUP(TRIM('Ügyfelek'!AH65),'Beállítások'!$A$73:$B$79,2,FALSE),'Beállítások'!$B$84)))</f>
        <v/>
      </c>
      <c r="AI65" s="23">
        <f>IF($A65="","",ROUND(100*('Beállítások'!$E$6*(B65-1)+'Beállítások'!$E$7*(C65-1))/(9*'Beállítások'!$B$43),1))</f>
        <v/>
      </c>
      <c r="AJ65" s="23">
        <f>IF($A65="","",ROUND(100*('Beállítások'!$E$8*(D65-1)+'Beállítások'!$E$9*(E65-1)+'Beállítások'!$E$10*(F65-1)+'Beállítások'!$E$11*(G65-1)+'Beállítások'!$E$12*(H65-1)+'Beállítások'!$E$13*(I65-1)+'Beállítások'!$E$14*(J65-1)+'Beállítások'!$E$15*(K65-1)+'Beállítások'!$E$16*(L65-1)+'Beállítások'!$E$17*(M65-1)+'Beállítások'!$E$18*(N65-1)+'Beállítások'!$E$19*(O65-1)+'Beállítások'!$E$20*(P65-1)+'Beállítások'!$E$21*(Q65-1)+'Beállítások'!$E$22*(R65-1))/(9*'Beállítások'!$B$44),1))</f>
        <v/>
      </c>
      <c r="AK65" s="23">
        <f>IF($A65="","",ROUND(100*('Beállítások'!$E$23*(S65-1)+'Beállítások'!$E$24*(T65-1)+'Beállítások'!$E$25*(U65-1)+'Beállítások'!$E$26*(V65-1)+'Beállítások'!$E$27*(W65-1)+'Beállítások'!$E$28*(X65-1)+'Beállítások'!$E$29*(Y65-1))/(9*'Beállítások'!$B$45),1))</f>
        <v/>
      </c>
      <c r="AL65" s="23">
        <f>IF($A65="","",ROUND(100*('Beállítások'!$E$30*(Z65-1)+'Beállítások'!$E$31*(AA65-1)+'Beállítások'!$E$32*(AB65-1)+'Beállítások'!$E$33*(AC65-1)+'Beállítások'!$E$34*(AD65-1)+'Beállítások'!$E$35*(AE65-1)+'Beállítások'!$E$36*(AF65-1)+'Beállítások'!$E$37*(AG65-1)+'Beállítások'!$E$38*(AH65-1))/(9*'Beállítások'!$B$46),1))</f>
        <v/>
      </c>
      <c r="AM65" s="23">
        <f>IF($A65="","",ROUND(100*('Beállítások'!$E$6*(B65-1)+'Beállítások'!$E$7*(C65-1)+'Beállítások'!$E$8*(D65-1)+'Beállítások'!$E$9*(E65-1)+'Beállítások'!$E$10*(F65-1)+'Beállítások'!$E$11*(G65-1)+'Beállítások'!$E$12*(H65-1)+'Beállítások'!$E$13*(I65-1)+'Beállítások'!$E$14*(J65-1)+'Beállítások'!$E$15*(K65-1)+'Beállítások'!$E$16*(L65-1)+'Beállítások'!$E$17*(M65-1)+'Beállítások'!$E$18*(N65-1)+'Beállítások'!$E$19*(O65-1)+'Beállítások'!$E$20*(P65-1)+'Beállítások'!$E$21*(Q65-1)+'Beállítások'!$E$22*(R65-1)+'Beállítások'!$E$23*(S65-1)+'Beállítások'!$E$24*(T65-1)+'Beállítások'!$E$25*(U65-1)+'Beállítások'!$E$26*(V65-1)+'Beállítások'!$E$27*(W65-1)+'Beállítások'!$E$28*(X65-1)+'Beállítások'!$E$29*(Y65-1)+'Beállítások'!$E$30*(Z65-1)+'Beállítások'!$E$31*(AA65-1)+'Beállítások'!$E$32*(AB65-1)+'Beállítások'!$E$33*(AC65-1)+'Beállítások'!$E$34*(AD65-1)+'Beállítások'!$E$35*(AE65-1)+'Beállítások'!$E$36*(AF65-1)+'Beállítások'!$E$37*(AG65-1)+'Beállítások'!$E$38*(AH65-1))/(9*'Beállítások'!$E$39),1))</f>
        <v/>
      </c>
      <c r="AN65" s="23">
        <f>IF($A65="","",ROUND(100*('Beállítások'!$E$8*(D65-1)+'Beállítások'!$E$9*(E65-1)+'Beállítások'!$E$10*(F65-1)+'Beállítások'!$E$11*(G65-1)+'Beállítások'!$E$12*(H65-1)+'Beállítások'!$E$13*(I65-1)+'Beállítások'!$E$14*(J65-1)+'Beállítások'!$E$15*(K65-1)+'Beállítások'!$E$16*(L65-1)+'Beállítások'!$E$17*(M65-1)+'Beállítások'!$E$18*(N65-1)+'Beállítások'!$E$19*(O65-1)+'Beállítások'!$E$20*(P65-1)+'Beállítások'!$E$21*(Q65-1)+'Beállítások'!$E$22*(R65-1)+'Beállítások'!$E$23*(S65-1)+'Beállítások'!$E$24*(T65-1)+'Beállítások'!$E$25*(U65-1)+'Beállítások'!$E$26*(V65-1)+'Beállítások'!$E$27*(W65-1)+'Beállítások'!$E$28*(X65-1)+'Beállítások'!$E$29*(Y65-1))/(9*('Beállítások'!$B$44+'Beállítások'!$B$45)),1))</f>
        <v/>
      </c>
      <c r="AO65" s="24">
        <f>IF($A65="","",RANK(AM65,$AM$2:$AM$201))</f>
        <v/>
      </c>
      <c r="AP65">
        <f>IF($A65="","",IF(OR(AND('Ügyfelek'!B65&lt;&gt;"",B65&lt;='Beállítások'!$B$85),AND('Ügyfelek'!C65&lt;&gt;"",C65&lt;='Beállítások'!$B$86)),"Igen","Nem"))</f>
        <v/>
      </c>
      <c r="AQ65" s="24">
        <f>IF($A65="","",IF(AP65="Igen",5,IF(AN65&gt;='Beállítások'!$C$108,1,IF(AN65&gt;='Beállítások'!$C$109,2,IF(AN65&gt;='Beállítások'!$C$110,3,IF(AND(AN65&gt;='Beállítások'!$B$87,AI65&gt;='Beállítások'!$B$88,AL65&gt;='Beállítások'!$B$89),4,5))))))</f>
        <v/>
      </c>
      <c r="AR65">
        <f>IF($A65="","",INDEX('Beállítások'!$B$108:$B$112,AQ65))</f>
        <v/>
      </c>
      <c r="AS65">
        <f>IF($A65="","",IF(AQ65=5,"Elutasítjuk",IF(AND(AQ65=4,COUNTIFS('Eredmény'!$AQ$2:$AQ$201,4,'Eredmény'!$DY$2:$DY$201,"&gt;"&amp;DY65)&gt;='Beállítások'!$B$90),"Várólista (a 4-es hely foglalt)","Elfogadjuk")))</f>
        <v/>
      </c>
      <c r="AT65">
        <f>IF($A65="","",INDEX('Beállítások'!$F$108:$F$112,AQ65))</f>
        <v/>
      </c>
      <c r="AU65">
        <f>IF($A65="","",INDEX('Beállítások'!$B$6:$B$38,MATCH(MAX(BK65:CQ65),BK65:CQ65,0)))</f>
        <v/>
      </c>
      <c r="AV65">
        <f>IF($A65="","",IF(MAX(CR65:DX65)=0,"—",INDEX('Beállítások'!$B$6:$B$38,MATCH(MAX(CR65:DX65),CR65:DX65,0))))</f>
        <v/>
      </c>
      <c r="AW65" s="10">
        <f>IF($A65="","",'Beállítások'!$B$94*(TRIM('Ügyfelek'!AI65)="igen")+'Beállítások'!$B$95*(TRIM('Ügyfelek'!AJ65)="igen")+'Beállítások'!$B$96*N('Ügyfelek'!AK65)+'Beállítások'!$B$93*N('Ügyfelek'!AL65))</f>
        <v/>
      </c>
      <c r="AX65" s="25">
        <f>IF(OR($A65="",AQ65=5),"",INDEX('Beállítások'!$D$108:$D$112,AQ65))</f>
        <v/>
      </c>
      <c r="AY65" s="10">
        <f>IF($A65="","",N('Ügyfelek'!U65)*'Beállítások'!$B$98)</f>
        <v/>
      </c>
      <c r="AZ65" s="10">
        <f>IF(OR($A65="",AQ65=5),"",CEILING(ROUND(MAX('Beállítások'!$B$97,AW65*AX65,AY65),2),'Beállítások'!$B$99))</f>
        <v/>
      </c>
      <c r="BA65">
        <f>IF($A65="","",IF(AQ65=5,"Elutasítva",IF(MAX('Beállítások'!$B$97,AW65*AX65,AY65)=AW65*AX65,"Munkaigény × státuszszorzó",IF(MAX('Beállítások'!$B$97,AW65*AX65,AY65)=AY65,"Hirdetési keret arányában","Minimumdíj"))))</f>
        <v/>
      </c>
      <c r="BB65" s="10">
        <f>IF(OR($A65="",'Ügyfelek'!AM65=""),"",'Ügyfelek'!AM65)</f>
        <v/>
      </c>
      <c r="BC65" s="10">
        <f>IF(OR(BB65="",AZ65=""),"",AZ65-BB65)</f>
        <v/>
      </c>
      <c r="BD65" s="18">
        <f>IF(OR(BB65="",AZ65="",BB65=0),"",BC65/BB65)</f>
        <v/>
      </c>
      <c r="BE65">
        <f>IF(OR($A65="",AQ65=5),"",IF(AND(INDEX('Beállítások'!$E$108:$E$112,AQ65)&gt;0,Y65&gt;='Beállítások'!$B$91),"Igen","Nem"))</f>
        <v/>
      </c>
      <c r="BF65" s="10">
        <f>IF(BE65="Igen",CEILING(ROUND(AZ65*(1-'Beállítások'!$B$92),2),'Beállítások'!$B$99),"")</f>
        <v/>
      </c>
      <c r="BG65" s="20">
        <f>IF(BE65="Igen",INDEX('Beállítások'!$E$108:$E$112,AQ65),"")</f>
        <v/>
      </c>
      <c r="BH65" s="10">
        <f>IF(OR(BE65&lt;&gt;"Igen",'Ügyfelek'!AN65=""),"",'Ügyfelek'!AN65*BG65)</f>
        <v/>
      </c>
      <c r="BI65" s="24">
        <f>IF($A65="","",('Ügyfelek'!B65="")+('Ügyfelek'!C65="")+('Ügyfelek'!D65="")+('Ügyfelek'!E65="")+('Ügyfelek'!F65="")+('Ügyfelek'!G65="")+('Ügyfelek'!H65="")+('Ügyfelek'!I65="")+('Ügyfelek'!J65="")+('Ügyfelek'!K65="")+('Ügyfelek'!L65="")+('Ügyfelek'!M65="")+('Ügyfelek'!N65="")+('Ügyfelek'!O65="")+('Ügyfelek'!P65="")+('Ügyfelek'!Q65="")+('Ügyfelek'!R65="")+('Ügyfelek'!S65="")+('Ügyfelek'!T65="")+('Ügyfelek'!U65="")+('Ügyfelek'!V65="")+('Ügyfelek'!W65="")+('Ügyfelek'!X65="")+('Ügyfelek'!Y65="")+('Ügyfelek'!Z65="")+('Ügyfelek'!AA65="")+('Ügyfelek'!AB65="")+('Ügyfelek'!AC65="")+('Ügyfelek'!AD65="")+('Ügyfelek'!AE65="")+('Ügyfelek'!AF65="")+('Ügyfelek'!AG65="")+('Ügyfelek'!AH65=""))</f>
        <v/>
      </c>
      <c r="BK65">
        <f>IF($A65="","",B65+'Beállítások'!$E$6/1000)</f>
        <v/>
      </c>
      <c r="BL65">
        <f>IF($A65="","",C65+'Beállítások'!$E$7/1000)</f>
        <v/>
      </c>
      <c r="BM65">
        <f>IF($A65="","",D65+'Beállítások'!$E$8/1000)</f>
        <v/>
      </c>
      <c r="BN65">
        <f>IF($A65="","",E65+'Beállítások'!$E$9/1000)</f>
        <v/>
      </c>
      <c r="BO65">
        <f>IF($A65="","",F65+'Beállítások'!$E$10/1000)</f>
        <v/>
      </c>
      <c r="BP65">
        <f>IF($A65="","",G65+'Beállítások'!$E$11/1000)</f>
        <v/>
      </c>
      <c r="BQ65">
        <f>IF($A65="","",H65+'Beállítások'!$E$12/1000)</f>
        <v/>
      </c>
      <c r="BR65">
        <f>IF($A65="","",I65+'Beállítások'!$E$13/1000)</f>
        <v/>
      </c>
      <c r="BS65">
        <f>IF($A65="","",J65+'Beállítások'!$E$14/1000)</f>
        <v/>
      </c>
      <c r="BT65">
        <f>IF($A65="","",K65+'Beállítások'!$E$15/1000)</f>
        <v/>
      </c>
      <c r="BU65">
        <f>IF($A65="","",L65+'Beállítások'!$E$16/1000)</f>
        <v/>
      </c>
      <c r="BV65">
        <f>IF($A65="","",M65+'Beállítások'!$E$17/1000)</f>
        <v/>
      </c>
      <c r="BW65">
        <f>IF($A65="","",N65+'Beállítások'!$E$18/1000)</f>
        <v/>
      </c>
      <c r="BX65">
        <f>IF($A65="","",O65+'Beállítások'!$E$19/1000)</f>
        <v/>
      </c>
      <c r="BY65">
        <f>IF($A65="","",P65+'Beállítások'!$E$20/1000)</f>
        <v/>
      </c>
      <c r="BZ65">
        <f>IF($A65="","",Q65+'Beállítások'!$E$21/1000)</f>
        <v/>
      </c>
      <c r="CA65">
        <f>IF($A65="","",R65+'Beállítások'!$E$22/1000)</f>
        <v/>
      </c>
      <c r="CB65">
        <f>IF($A65="","",S65+'Beállítások'!$E$23/1000)</f>
        <v/>
      </c>
      <c r="CC65">
        <f>IF($A65="","",T65+'Beállítások'!$E$24/1000)</f>
        <v/>
      </c>
      <c r="CD65">
        <f>IF($A65="","",U65+'Beállítások'!$E$25/1000)</f>
        <v/>
      </c>
      <c r="CE65">
        <f>IF($A65="","",V65+'Beállítások'!$E$26/1000)</f>
        <v/>
      </c>
      <c r="CF65">
        <f>IF($A65="","",W65+'Beállítások'!$E$27/1000)</f>
        <v/>
      </c>
      <c r="CG65">
        <f>IF($A65="","",X65+'Beállítások'!$E$28/1000)</f>
        <v/>
      </c>
      <c r="CH65">
        <f>IF($A65="","",Y65+'Beállítások'!$E$29/1000)</f>
        <v/>
      </c>
      <c r="CI65">
        <f>IF($A65="","",Z65+'Beállítások'!$E$30/1000)</f>
        <v/>
      </c>
      <c r="CJ65">
        <f>IF($A65="","",AA65+'Beállítások'!$E$31/1000)</f>
        <v/>
      </c>
      <c r="CK65">
        <f>IF($A65="","",AB65+'Beállítások'!$E$32/1000)</f>
        <v/>
      </c>
      <c r="CL65">
        <f>IF($A65="","",AC65+'Beállítások'!$E$33/1000)</f>
        <v/>
      </c>
      <c r="CM65">
        <f>IF($A65="","",AD65+'Beállítások'!$E$34/1000)</f>
        <v/>
      </c>
      <c r="CN65">
        <f>IF($A65="","",AE65+'Beállítások'!$E$35/1000)</f>
        <v/>
      </c>
      <c r="CO65">
        <f>IF($A65="","",AF65+'Beállítások'!$E$36/1000)</f>
        <v/>
      </c>
      <c r="CP65">
        <f>IF($A65="","",AG65+'Beállítások'!$E$37/1000)</f>
        <v/>
      </c>
      <c r="CQ65">
        <f>IF($A65="","",AH65+'Beállítások'!$E$38/1000)</f>
        <v/>
      </c>
      <c r="CR65">
        <f>IF($A65="","",'Beállítások'!$E$6*(10-B65))</f>
        <v/>
      </c>
      <c r="CS65">
        <f>IF($A65="","",'Beállítások'!$E$7*(10-C65))</f>
        <v/>
      </c>
      <c r="CT65">
        <f>IF($A65="","",'Beállítások'!$E$8*(10-D65))</f>
        <v/>
      </c>
      <c r="CU65">
        <f>IF($A65="","",'Beállítások'!$E$9*(10-E65))</f>
        <v/>
      </c>
      <c r="CV65">
        <f>IF($A65="","",'Beállítások'!$E$10*(10-F65))</f>
        <v/>
      </c>
      <c r="CW65">
        <f>IF($A65="","",'Beállítások'!$E$11*(10-G65))</f>
        <v/>
      </c>
      <c r="CX65">
        <f>IF($A65="","",'Beállítások'!$E$12*(10-H65))</f>
        <v/>
      </c>
      <c r="CY65">
        <f>IF($A65="","",'Beállítások'!$E$13*(10-I65))</f>
        <v/>
      </c>
      <c r="CZ65">
        <f>IF($A65="","",'Beállítások'!$E$14*(10-J65))</f>
        <v/>
      </c>
      <c r="DA65">
        <f>IF($A65="","",'Beállítások'!$E$15*(10-K65))</f>
        <v/>
      </c>
      <c r="DB65">
        <f>IF($A65="","",'Beállítások'!$E$16*(10-L65))</f>
        <v/>
      </c>
      <c r="DC65">
        <f>IF($A65="","",'Beállítások'!$E$17*(10-M65))</f>
        <v/>
      </c>
      <c r="DD65">
        <f>IF($A65="","",'Beállítások'!$E$18*(10-N65))</f>
        <v/>
      </c>
      <c r="DE65">
        <f>IF($A65="","",'Beállítások'!$E$19*(10-O65))</f>
        <v/>
      </c>
      <c r="DF65">
        <f>IF($A65="","",'Beállítások'!$E$20*(10-P65))</f>
        <v/>
      </c>
      <c r="DG65">
        <f>IF($A65="","",'Beállítások'!$E$21*(10-Q65))</f>
        <v/>
      </c>
      <c r="DH65">
        <f>IF($A65="","",'Beállítások'!$E$22*(10-R65))</f>
        <v/>
      </c>
      <c r="DI65">
        <f>IF($A65="","",'Beállítások'!$E$23*(10-S65))</f>
        <v/>
      </c>
      <c r="DJ65">
        <f>IF($A65="","",'Beállítások'!$E$24*(10-T65))</f>
        <v/>
      </c>
      <c r="DK65">
        <f>IF($A65="","",'Beállítások'!$E$25*(10-U65))</f>
        <v/>
      </c>
      <c r="DL65">
        <f>IF($A65="","",'Beállítások'!$E$26*(10-V65))</f>
        <v/>
      </c>
      <c r="DM65">
        <f>IF($A65="","",'Beállítások'!$E$27*(10-W65))</f>
        <v/>
      </c>
      <c r="DN65">
        <f>IF($A65="","",'Beállítások'!$E$28*(10-X65))</f>
        <v/>
      </c>
      <c r="DO65">
        <f>IF($A65="","",'Beállítások'!$E$29*(10-Y65))</f>
        <v/>
      </c>
      <c r="DP65">
        <f>IF($A65="","",'Beállítások'!$E$30*(10-Z65))</f>
        <v/>
      </c>
      <c r="DQ65">
        <f>IF($A65="","",'Beállítások'!$E$31*(10-AA65))</f>
        <v/>
      </c>
      <c r="DR65">
        <f>IF($A65="","",'Beállítások'!$E$32*(10-AB65))</f>
        <v/>
      </c>
      <c r="DS65">
        <f>IF($A65="","",'Beállítások'!$E$33*(10-AC65))</f>
        <v/>
      </c>
      <c r="DT65">
        <f>IF($A65="","",'Beállítások'!$E$34*(10-AD65))</f>
        <v/>
      </c>
      <c r="DU65">
        <f>IF($A65="","",'Beállítások'!$E$35*(10-AE65))</f>
        <v/>
      </c>
      <c r="DV65">
        <f>IF($A65="","",'Beállítások'!$E$36*(10-AF65))</f>
        <v/>
      </c>
      <c r="DW65">
        <f>IF($A65="","",'Beállítások'!$E$37*(10-AG65))</f>
        <v/>
      </c>
      <c r="DX65">
        <f>IF($A65="","",'Beállítások'!$E$38*(10-AH65))</f>
        <v/>
      </c>
      <c r="DY65">
        <f>IF($A65="","",AM65-ROW()/100000)</f>
        <v/>
      </c>
    </row>
    <row r="66">
      <c r="A66">
        <f>IF('Ügyfelek'!A66="","",'Ügyfelek'!A66)</f>
        <v/>
      </c>
      <c r="B66">
        <f>IF($A66="","",IF('Ügyfelek'!B66="",'Beállítások'!$B$84,IFERROR(VLOOKUP(TRIM('Ügyfelek'!B66),'Beállítások'!$A$51:$B$59,2,FALSE),'Beállítások'!$B$84)))</f>
        <v/>
      </c>
      <c r="C66">
        <f>IF($A66="","",IF('Ügyfelek'!C66="",'Beállítások'!$B$84,MIN(10,MAX(1,ROUND('Ügyfelek'!C66,0)))))</f>
        <v/>
      </c>
      <c r="D66">
        <f>IF($A66="","",IF('Ügyfelek'!D66="",'Beállítások'!$B$84,MIN(10,MAX(1,ROUND('Ügyfelek'!D66,0)))))</f>
        <v/>
      </c>
      <c r="E66">
        <f>IF($A66="","",IF('Ügyfelek'!E66="",'Beállítások'!$B$84,MIN(10,MAX(1,ROUND('Ügyfelek'!E66,0)))))</f>
        <v/>
      </c>
      <c r="F66">
        <f>IF($A66="","",IF('Ügyfelek'!F66="",'Beállítások'!$B$84,MIN(10,MAX(1,ROUND('Ügyfelek'!F66,0)))))</f>
        <v/>
      </c>
      <c r="G66">
        <f>IF($A66="","",IF('Ügyfelek'!G66="",'Beállítások'!$B$84,MIN(10,MAX(1,ROUND('Ügyfelek'!G66,0)))))</f>
        <v/>
      </c>
      <c r="H66">
        <f>IF($A66="","",IF('Ügyfelek'!H66="",'Beállítások'!$B$84,MIN(10,MAX(1,ROUND('Ügyfelek'!H66,0)))))</f>
        <v/>
      </c>
      <c r="I66">
        <f>IF($A66="","",IF('Ügyfelek'!I66="",'Beállítások'!$B$84,MIN(10,MAX(1,ROUND('Ügyfelek'!I66,0)))))</f>
        <v/>
      </c>
      <c r="J66">
        <f>IF($A66="","",IF('Ügyfelek'!J66="",'Beállítások'!$B$84,MIN(10,MAX(1,ROUND('Ügyfelek'!J66,0)))))</f>
        <v/>
      </c>
      <c r="K66">
        <f>IF($A66="","",IF('Ügyfelek'!K66="",'Beállítások'!$B$84,MIN(10,MAX(1,ROUND('Ügyfelek'!K66,0)))))</f>
        <v/>
      </c>
      <c r="L66">
        <f>IF($A66="","",IF('Ügyfelek'!L66="",'Beállítások'!$B$84,MIN(10,MAX(1,ROUND('Ügyfelek'!L66,0)))))</f>
        <v/>
      </c>
      <c r="M66">
        <f>IF($A66="","",IF('Ügyfelek'!M66="",'Beállítások'!$B$84,MIN(10,MAX(1,ROUND('Ügyfelek'!M66,0)))))</f>
        <v/>
      </c>
      <c r="N66">
        <f>IF($A66="","",IF('Ügyfelek'!N66="",'Beállítások'!$B$84,MIN(10,MAX(1,ROUND('Ügyfelek'!N66,0)))))</f>
        <v/>
      </c>
      <c r="O66">
        <f>IF($A66="","",IF('Ügyfelek'!O66="",'Beállítások'!$B$84,MIN(10,MAX(1,ROUND('Ügyfelek'!O66,0)))))</f>
        <v/>
      </c>
      <c r="P66">
        <f>IF($A66="","",IF('Ügyfelek'!P66="",'Beállítások'!$B$84,MIN(10,MAX(1,ROUND('Ügyfelek'!P66,0)))))</f>
        <v/>
      </c>
      <c r="Q66">
        <f>IF($A66="","",IF('Ügyfelek'!Q66="",'Beállítások'!$B$84,MIN(10,MAX(1,ROUND('Ügyfelek'!Q66,0)))))</f>
        <v/>
      </c>
      <c r="R66">
        <f>IF($A66="","",IF('Ügyfelek'!R66="",'Beállítások'!$B$84,MIN(10,MAX(1,ROUND('Ügyfelek'!R66,0)))))</f>
        <v/>
      </c>
      <c r="S66">
        <f>IF($A66="","",IF('Ügyfelek'!S66="",'Beállítások'!$B$84,MIN(10,MAX(1,ROUND('Ügyfelek'!S66,0)))))</f>
        <v/>
      </c>
      <c r="T66">
        <f>IF($A66="","",IF('Ügyfelek'!T66="",'Beállítások'!$B$84,VLOOKUP(MAX('Ügyfelek'!T66,'Beállítások'!$H$7),'Beállítások'!$H$7:$I$12,2,TRUE)))</f>
        <v/>
      </c>
      <c r="U66">
        <f>IF($A66="","",IF('Ügyfelek'!U66="",'Beállítások'!$B$84,VLOOKUP(MAX('Ügyfelek'!U66,'Beállítások'!$K$7),'Beállítások'!$K$7:$L$12,2,TRUE)))</f>
        <v/>
      </c>
      <c r="V66">
        <f>IF($A66="","",IF('Ügyfelek'!V66="",'Beállítások'!$B$84,MIN(10,MAX(1,ROUND('Ügyfelek'!V66,0)))))</f>
        <v/>
      </c>
      <c r="W66">
        <f>IF($A66="","",IF('Ügyfelek'!W66="",'Beállítások'!$B$84,VLOOKUP(MAX('Ügyfelek'!W66,'Beállítások'!$N$7),'Beállítások'!$N$7:$O$12,2,TRUE)))</f>
        <v/>
      </c>
      <c r="X66">
        <f>IF($A66="","",IF('Ügyfelek'!X66="",'Beállítások'!$B$84,MIN(10,MAX(1,ROUND('Ügyfelek'!X66,0)))))</f>
        <v/>
      </c>
      <c r="Y66">
        <f>IF($A66="","",IF('Ügyfelek'!Y66="",'Beállítások'!$B$84,IFERROR(VLOOKUP(TRIM('Ügyfelek'!Y66),'Beállítások'!$A$63:$B$69,2,FALSE),'Beállítások'!$B$84)))</f>
        <v/>
      </c>
      <c r="Z66">
        <f>IF($A66="","",IF('Ügyfelek'!Z66="",'Beállítások'!$B$84,VLOOKUP(MAX('Ügyfelek'!Z66,'Beállítások'!$Q$7),'Beállítások'!$Q$7:$R$12,2,TRUE)))</f>
        <v/>
      </c>
      <c r="AA66">
        <f>IF($A66="","",IF('Ügyfelek'!AA66="",'Beállítások'!$B$84,VLOOKUP(MAX('Ügyfelek'!AA66,'Beállítások'!$T$7),'Beállítások'!$T$7:$U$12,2,TRUE)))</f>
        <v/>
      </c>
      <c r="AB66">
        <f>IF($A66="","",IF('Ügyfelek'!AB66="",'Beállítások'!$B$84,MIN(10,MAX(1,ROUND('Ügyfelek'!AB66,0)))))</f>
        <v/>
      </c>
      <c r="AC66">
        <f>IF($A66="","",IF('Ügyfelek'!AC66="",'Beállítások'!$B$84,MIN(10,MAX(1,ROUND('Ügyfelek'!AC66,0)))))</f>
        <v/>
      </c>
      <c r="AD66">
        <f>IF($A66="","",IF('Ügyfelek'!AD66="",'Beállítások'!$B$84,MIN(10,MAX(1,ROUND('Ügyfelek'!AD66,0)))))</f>
        <v/>
      </c>
      <c r="AE66">
        <f>IF($A66="","",IF('Ügyfelek'!AE66="",'Beállítások'!$B$84,MIN(10,MAX(1,ROUND('Ügyfelek'!AE66,0)))))</f>
        <v/>
      </c>
      <c r="AF66">
        <f>IF($A66="","",IF('Ügyfelek'!AF66="",'Beállítások'!$B$84,MIN(10,MAX(1,ROUND('Ügyfelek'!AF66,0)))))</f>
        <v/>
      </c>
      <c r="AG66">
        <f>IF($A66="","",IF('Ügyfelek'!AG66="",'Beállítások'!$B$84,MIN(10,MAX(1,ROUND('Ügyfelek'!AG66,0)))))</f>
        <v/>
      </c>
      <c r="AH66">
        <f>IF($A66="","",IF('Ügyfelek'!AH66="",'Beállítások'!$B$84,IFERROR(VLOOKUP(TRIM('Ügyfelek'!AH66),'Beállítások'!$A$73:$B$79,2,FALSE),'Beállítások'!$B$84)))</f>
        <v/>
      </c>
      <c r="AI66" s="23">
        <f>IF($A66="","",ROUND(100*('Beállítások'!$E$6*(B66-1)+'Beállítások'!$E$7*(C66-1))/(9*'Beállítások'!$B$43),1))</f>
        <v/>
      </c>
      <c r="AJ66" s="23">
        <f>IF($A66="","",ROUND(100*('Beállítások'!$E$8*(D66-1)+'Beállítások'!$E$9*(E66-1)+'Beállítások'!$E$10*(F66-1)+'Beállítások'!$E$11*(G66-1)+'Beállítások'!$E$12*(H66-1)+'Beállítások'!$E$13*(I66-1)+'Beállítások'!$E$14*(J66-1)+'Beállítások'!$E$15*(K66-1)+'Beállítások'!$E$16*(L66-1)+'Beállítások'!$E$17*(M66-1)+'Beállítások'!$E$18*(N66-1)+'Beállítások'!$E$19*(O66-1)+'Beállítások'!$E$20*(P66-1)+'Beállítások'!$E$21*(Q66-1)+'Beállítások'!$E$22*(R66-1))/(9*'Beállítások'!$B$44),1))</f>
        <v/>
      </c>
      <c r="AK66" s="23">
        <f>IF($A66="","",ROUND(100*('Beállítások'!$E$23*(S66-1)+'Beállítások'!$E$24*(T66-1)+'Beállítások'!$E$25*(U66-1)+'Beállítások'!$E$26*(V66-1)+'Beállítások'!$E$27*(W66-1)+'Beállítások'!$E$28*(X66-1)+'Beállítások'!$E$29*(Y66-1))/(9*'Beállítások'!$B$45),1))</f>
        <v/>
      </c>
      <c r="AL66" s="23">
        <f>IF($A66="","",ROUND(100*('Beállítások'!$E$30*(Z66-1)+'Beállítások'!$E$31*(AA66-1)+'Beállítások'!$E$32*(AB66-1)+'Beállítások'!$E$33*(AC66-1)+'Beállítások'!$E$34*(AD66-1)+'Beállítások'!$E$35*(AE66-1)+'Beállítások'!$E$36*(AF66-1)+'Beállítások'!$E$37*(AG66-1)+'Beállítások'!$E$38*(AH66-1))/(9*'Beállítások'!$B$46),1))</f>
        <v/>
      </c>
      <c r="AM66" s="23">
        <f>IF($A66="","",ROUND(100*('Beállítások'!$E$6*(B66-1)+'Beállítások'!$E$7*(C66-1)+'Beállítások'!$E$8*(D66-1)+'Beállítások'!$E$9*(E66-1)+'Beállítások'!$E$10*(F66-1)+'Beállítások'!$E$11*(G66-1)+'Beállítások'!$E$12*(H66-1)+'Beállítások'!$E$13*(I66-1)+'Beállítások'!$E$14*(J66-1)+'Beállítások'!$E$15*(K66-1)+'Beállítások'!$E$16*(L66-1)+'Beállítások'!$E$17*(M66-1)+'Beállítások'!$E$18*(N66-1)+'Beállítások'!$E$19*(O66-1)+'Beállítások'!$E$20*(P66-1)+'Beállítások'!$E$21*(Q66-1)+'Beállítások'!$E$22*(R66-1)+'Beállítások'!$E$23*(S66-1)+'Beállítások'!$E$24*(T66-1)+'Beállítások'!$E$25*(U66-1)+'Beállítások'!$E$26*(V66-1)+'Beállítások'!$E$27*(W66-1)+'Beállítások'!$E$28*(X66-1)+'Beállítások'!$E$29*(Y66-1)+'Beállítások'!$E$30*(Z66-1)+'Beállítások'!$E$31*(AA66-1)+'Beállítások'!$E$32*(AB66-1)+'Beállítások'!$E$33*(AC66-1)+'Beállítások'!$E$34*(AD66-1)+'Beállítások'!$E$35*(AE66-1)+'Beállítások'!$E$36*(AF66-1)+'Beállítások'!$E$37*(AG66-1)+'Beállítások'!$E$38*(AH66-1))/(9*'Beállítások'!$E$39),1))</f>
        <v/>
      </c>
      <c r="AN66" s="23">
        <f>IF($A66="","",ROUND(100*('Beállítások'!$E$8*(D66-1)+'Beállítások'!$E$9*(E66-1)+'Beállítások'!$E$10*(F66-1)+'Beállítások'!$E$11*(G66-1)+'Beállítások'!$E$12*(H66-1)+'Beállítások'!$E$13*(I66-1)+'Beállítások'!$E$14*(J66-1)+'Beállítások'!$E$15*(K66-1)+'Beállítások'!$E$16*(L66-1)+'Beállítások'!$E$17*(M66-1)+'Beállítások'!$E$18*(N66-1)+'Beállítások'!$E$19*(O66-1)+'Beállítások'!$E$20*(P66-1)+'Beállítások'!$E$21*(Q66-1)+'Beállítások'!$E$22*(R66-1)+'Beállítások'!$E$23*(S66-1)+'Beállítások'!$E$24*(T66-1)+'Beállítások'!$E$25*(U66-1)+'Beállítások'!$E$26*(V66-1)+'Beállítások'!$E$27*(W66-1)+'Beállítások'!$E$28*(X66-1)+'Beállítások'!$E$29*(Y66-1))/(9*('Beállítások'!$B$44+'Beállítások'!$B$45)),1))</f>
        <v/>
      </c>
      <c r="AO66" s="24">
        <f>IF($A66="","",RANK(AM66,$AM$2:$AM$201))</f>
        <v/>
      </c>
      <c r="AP66">
        <f>IF($A66="","",IF(OR(AND('Ügyfelek'!B66&lt;&gt;"",B66&lt;='Beállítások'!$B$85),AND('Ügyfelek'!C66&lt;&gt;"",C66&lt;='Beállítások'!$B$86)),"Igen","Nem"))</f>
        <v/>
      </c>
      <c r="AQ66" s="24">
        <f>IF($A66="","",IF(AP66="Igen",5,IF(AN66&gt;='Beállítások'!$C$108,1,IF(AN66&gt;='Beállítások'!$C$109,2,IF(AN66&gt;='Beállítások'!$C$110,3,IF(AND(AN66&gt;='Beállítások'!$B$87,AI66&gt;='Beállítások'!$B$88,AL66&gt;='Beállítások'!$B$89),4,5))))))</f>
        <v/>
      </c>
      <c r="AR66">
        <f>IF($A66="","",INDEX('Beállítások'!$B$108:$B$112,AQ66))</f>
        <v/>
      </c>
      <c r="AS66">
        <f>IF($A66="","",IF(AQ66=5,"Elutasítjuk",IF(AND(AQ66=4,COUNTIFS('Eredmény'!$AQ$2:$AQ$201,4,'Eredmény'!$DY$2:$DY$201,"&gt;"&amp;DY66)&gt;='Beállítások'!$B$90),"Várólista (a 4-es hely foglalt)","Elfogadjuk")))</f>
        <v/>
      </c>
      <c r="AT66">
        <f>IF($A66="","",INDEX('Beállítások'!$F$108:$F$112,AQ66))</f>
        <v/>
      </c>
      <c r="AU66">
        <f>IF($A66="","",INDEX('Beállítások'!$B$6:$B$38,MATCH(MAX(BK66:CQ66),BK66:CQ66,0)))</f>
        <v/>
      </c>
      <c r="AV66">
        <f>IF($A66="","",IF(MAX(CR66:DX66)=0,"—",INDEX('Beállítások'!$B$6:$B$38,MATCH(MAX(CR66:DX66),CR66:DX66,0))))</f>
        <v/>
      </c>
      <c r="AW66" s="10">
        <f>IF($A66="","",'Beállítások'!$B$94*(TRIM('Ügyfelek'!AI66)="igen")+'Beállítások'!$B$95*(TRIM('Ügyfelek'!AJ66)="igen")+'Beállítások'!$B$96*N('Ügyfelek'!AK66)+'Beállítások'!$B$93*N('Ügyfelek'!AL66))</f>
        <v/>
      </c>
      <c r="AX66" s="25">
        <f>IF(OR($A66="",AQ66=5),"",INDEX('Beállítások'!$D$108:$D$112,AQ66))</f>
        <v/>
      </c>
      <c r="AY66" s="10">
        <f>IF($A66="","",N('Ügyfelek'!U66)*'Beállítások'!$B$98)</f>
        <v/>
      </c>
      <c r="AZ66" s="10">
        <f>IF(OR($A66="",AQ66=5),"",CEILING(ROUND(MAX('Beállítások'!$B$97,AW66*AX66,AY66),2),'Beállítások'!$B$99))</f>
        <v/>
      </c>
      <c r="BA66">
        <f>IF($A66="","",IF(AQ66=5,"Elutasítva",IF(MAX('Beállítások'!$B$97,AW66*AX66,AY66)=AW66*AX66,"Munkaigény × státuszszorzó",IF(MAX('Beállítások'!$B$97,AW66*AX66,AY66)=AY66,"Hirdetési keret arányában","Minimumdíj"))))</f>
        <v/>
      </c>
      <c r="BB66" s="10">
        <f>IF(OR($A66="",'Ügyfelek'!AM66=""),"",'Ügyfelek'!AM66)</f>
        <v/>
      </c>
      <c r="BC66" s="10">
        <f>IF(OR(BB66="",AZ66=""),"",AZ66-BB66)</f>
        <v/>
      </c>
      <c r="BD66" s="18">
        <f>IF(OR(BB66="",AZ66="",BB66=0),"",BC66/BB66)</f>
        <v/>
      </c>
      <c r="BE66">
        <f>IF(OR($A66="",AQ66=5),"",IF(AND(INDEX('Beállítások'!$E$108:$E$112,AQ66)&gt;0,Y66&gt;='Beállítások'!$B$91),"Igen","Nem"))</f>
        <v/>
      </c>
      <c r="BF66" s="10">
        <f>IF(BE66="Igen",CEILING(ROUND(AZ66*(1-'Beállítások'!$B$92),2),'Beállítások'!$B$99),"")</f>
        <v/>
      </c>
      <c r="BG66" s="20">
        <f>IF(BE66="Igen",INDEX('Beállítások'!$E$108:$E$112,AQ66),"")</f>
        <v/>
      </c>
      <c r="BH66" s="10">
        <f>IF(OR(BE66&lt;&gt;"Igen",'Ügyfelek'!AN66=""),"",'Ügyfelek'!AN66*BG66)</f>
        <v/>
      </c>
      <c r="BI66" s="24">
        <f>IF($A66="","",('Ügyfelek'!B66="")+('Ügyfelek'!C66="")+('Ügyfelek'!D66="")+('Ügyfelek'!E66="")+('Ügyfelek'!F66="")+('Ügyfelek'!G66="")+('Ügyfelek'!H66="")+('Ügyfelek'!I66="")+('Ügyfelek'!J66="")+('Ügyfelek'!K66="")+('Ügyfelek'!L66="")+('Ügyfelek'!M66="")+('Ügyfelek'!N66="")+('Ügyfelek'!O66="")+('Ügyfelek'!P66="")+('Ügyfelek'!Q66="")+('Ügyfelek'!R66="")+('Ügyfelek'!S66="")+('Ügyfelek'!T66="")+('Ügyfelek'!U66="")+('Ügyfelek'!V66="")+('Ügyfelek'!W66="")+('Ügyfelek'!X66="")+('Ügyfelek'!Y66="")+('Ügyfelek'!Z66="")+('Ügyfelek'!AA66="")+('Ügyfelek'!AB66="")+('Ügyfelek'!AC66="")+('Ügyfelek'!AD66="")+('Ügyfelek'!AE66="")+('Ügyfelek'!AF66="")+('Ügyfelek'!AG66="")+('Ügyfelek'!AH66=""))</f>
        <v/>
      </c>
      <c r="BK66">
        <f>IF($A66="","",B66+'Beállítások'!$E$6/1000)</f>
        <v/>
      </c>
      <c r="BL66">
        <f>IF($A66="","",C66+'Beállítások'!$E$7/1000)</f>
        <v/>
      </c>
      <c r="BM66">
        <f>IF($A66="","",D66+'Beállítások'!$E$8/1000)</f>
        <v/>
      </c>
      <c r="BN66">
        <f>IF($A66="","",E66+'Beállítások'!$E$9/1000)</f>
        <v/>
      </c>
      <c r="BO66">
        <f>IF($A66="","",F66+'Beállítások'!$E$10/1000)</f>
        <v/>
      </c>
      <c r="BP66">
        <f>IF($A66="","",G66+'Beállítások'!$E$11/1000)</f>
        <v/>
      </c>
      <c r="BQ66">
        <f>IF($A66="","",H66+'Beállítások'!$E$12/1000)</f>
        <v/>
      </c>
      <c r="BR66">
        <f>IF($A66="","",I66+'Beállítások'!$E$13/1000)</f>
        <v/>
      </c>
      <c r="BS66">
        <f>IF($A66="","",J66+'Beállítások'!$E$14/1000)</f>
        <v/>
      </c>
      <c r="BT66">
        <f>IF($A66="","",K66+'Beállítások'!$E$15/1000)</f>
        <v/>
      </c>
      <c r="BU66">
        <f>IF($A66="","",L66+'Beállítások'!$E$16/1000)</f>
        <v/>
      </c>
      <c r="BV66">
        <f>IF($A66="","",M66+'Beállítások'!$E$17/1000)</f>
        <v/>
      </c>
      <c r="BW66">
        <f>IF($A66="","",N66+'Beállítások'!$E$18/1000)</f>
        <v/>
      </c>
      <c r="BX66">
        <f>IF($A66="","",O66+'Beállítások'!$E$19/1000)</f>
        <v/>
      </c>
      <c r="BY66">
        <f>IF($A66="","",P66+'Beállítások'!$E$20/1000)</f>
        <v/>
      </c>
      <c r="BZ66">
        <f>IF($A66="","",Q66+'Beállítások'!$E$21/1000)</f>
        <v/>
      </c>
      <c r="CA66">
        <f>IF($A66="","",R66+'Beállítások'!$E$22/1000)</f>
        <v/>
      </c>
      <c r="CB66">
        <f>IF($A66="","",S66+'Beállítások'!$E$23/1000)</f>
        <v/>
      </c>
      <c r="CC66">
        <f>IF($A66="","",T66+'Beállítások'!$E$24/1000)</f>
        <v/>
      </c>
      <c r="CD66">
        <f>IF($A66="","",U66+'Beállítások'!$E$25/1000)</f>
        <v/>
      </c>
      <c r="CE66">
        <f>IF($A66="","",V66+'Beállítások'!$E$26/1000)</f>
        <v/>
      </c>
      <c r="CF66">
        <f>IF($A66="","",W66+'Beállítások'!$E$27/1000)</f>
        <v/>
      </c>
      <c r="CG66">
        <f>IF($A66="","",X66+'Beállítások'!$E$28/1000)</f>
        <v/>
      </c>
      <c r="CH66">
        <f>IF($A66="","",Y66+'Beállítások'!$E$29/1000)</f>
        <v/>
      </c>
      <c r="CI66">
        <f>IF($A66="","",Z66+'Beállítások'!$E$30/1000)</f>
        <v/>
      </c>
      <c r="CJ66">
        <f>IF($A66="","",AA66+'Beállítások'!$E$31/1000)</f>
        <v/>
      </c>
      <c r="CK66">
        <f>IF($A66="","",AB66+'Beállítások'!$E$32/1000)</f>
        <v/>
      </c>
      <c r="CL66">
        <f>IF($A66="","",AC66+'Beállítások'!$E$33/1000)</f>
        <v/>
      </c>
      <c r="CM66">
        <f>IF($A66="","",AD66+'Beállítások'!$E$34/1000)</f>
        <v/>
      </c>
      <c r="CN66">
        <f>IF($A66="","",AE66+'Beállítások'!$E$35/1000)</f>
        <v/>
      </c>
      <c r="CO66">
        <f>IF($A66="","",AF66+'Beállítások'!$E$36/1000)</f>
        <v/>
      </c>
      <c r="CP66">
        <f>IF($A66="","",AG66+'Beállítások'!$E$37/1000)</f>
        <v/>
      </c>
      <c r="CQ66">
        <f>IF($A66="","",AH66+'Beállítások'!$E$38/1000)</f>
        <v/>
      </c>
      <c r="CR66">
        <f>IF($A66="","",'Beállítások'!$E$6*(10-B66))</f>
        <v/>
      </c>
      <c r="CS66">
        <f>IF($A66="","",'Beállítások'!$E$7*(10-C66))</f>
        <v/>
      </c>
      <c r="CT66">
        <f>IF($A66="","",'Beállítások'!$E$8*(10-D66))</f>
        <v/>
      </c>
      <c r="CU66">
        <f>IF($A66="","",'Beállítások'!$E$9*(10-E66))</f>
        <v/>
      </c>
      <c r="CV66">
        <f>IF($A66="","",'Beállítások'!$E$10*(10-F66))</f>
        <v/>
      </c>
      <c r="CW66">
        <f>IF($A66="","",'Beállítások'!$E$11*(10-G66))</f>
        <v/>
      </c>
      <c r="CX66">
        <f>IF($A66="","",'Beállítások'!$E$12*(10-H66))</f>
        <v/>
      </c>
      <c r="CY66">
        <f>IF($A66="","",'Beállítások'!$E$13*(10-I66))</f>
        <v/>
      </c>
      <c r="CZ66">
        <f>IF($A66="","",'Beállítások'!$E$14*(10-J66))</f>
        <v/>
      </c>
      <c r="DA66">
        <f>IF($A66="","",'Beállítások'!$E$15*(10-K66))</f>
        <v/>
      </c>
      <c r="DB66">
        <f>IF($A66="","",'Beállítások'!$E$16*(10-L66))</f>
        <v/>
      </c>
      <c r="DC66">
        <f>IF($A66="","",'Beállítások'!$E$17*(10-M66))</f>
        <v/>
      </c>
      <c r="DD66">
        <f>IF($A66="","",'Beállítások'!$E$18*(10-N66))</f>
        <v/>
      </c>
      <c r="DE66">
        <f>IF($A66="","",'Beállítások'!$E$19*(10-O66))</f>
        <v/>
      </c>
      <c r="DF66">
        <f>IF($A66="","",'Beállítások'!$E$20*(10-P66))</f>
        <v/>
      </c>
      <c r="DG66">
        <f>IF($A66="","",'Beállítások'!$E$21*(10-Q66))</f>
        <v/>
      </c>
      <c r="DH66">
        <f>IF($A66="","",'Beállítások'!$E$22*(10-R66))</f>
        <v/>
      </c>
      <c r="DI66">
        <f>IF($A66="","",'Beállítások'!$E$23*(10-S66))</f>
        <v/>
      </c>
      <c r="DJ66">
        <f>IF($A66="","",'Beállítások'!$E$24*(10-T66))</f>
        <v/>
      </c>
      <c r="DK66">
        <f>IF($A66="","",'Beállítások'!$E$25*(10-U66))</f>
        <v/>
      </c>
      <c r="DL66">
        <f>IF($A66="","",'Beállítások'!$E$26*(10-V66))</f>
        <v/>
      </c>
      <c r="DM66">
        <f>IF($A66="","",'Beállítások'!$E$27*(10-W66))</f>
        <v/>
      </c>
      <c r="DN66">
        <f>IF($A66="","",'Beállítások'!$E$28*(10-X66))</f>
        <v/>
      </c>
      <c r="DO66">
        <f>IF($A66="","",'Beállítások'!$E$29*(10-Y66))</f>
        <v/>
      </c>
      <c r="DP66">
        <f>IF($A66="","",'Beállítások'!$E$30*(10-Z66))</f>
        <v/>
      </c>
      <c r="DQ66">
        <f>IF($A66="","",'Beállítások'!$E$31*(10-AA66))</f>
        <v/>
      </c>
      <c r="DR66">
        <f>IF($A66="","",'Beállítások'!$E$32*(10-AB66))</f>
        <v/>
      </c>
      <c r="DS66">
        <f>IF($A66="","",'Beállítások'!$E$33*(10-AC66))</f>
        <v/>
      </c>
      <c r="DT66">
        <f>IF($A66="","",'Beállítások'!$E$34*(10-AD66))</f>
        <v/>
      </c>
      <c r="DU66">
        <f>IF($A66="","",'Beállítások'!$E$35*(10-AE66))</f>
        <v/>
      </c>
      <c r="DV66">
        <f>IF($A66="","",'Beállítások'!$E$36*(10-AF66))</f>
        <v/>
      </c>
      <c r="DW66">
        <f>IF($A66="","",'Beállítások'!$E$37*(10-AG66))</f>
        <v/>
      </c>
      <c r="DX66">
        <f>IF($A66="","",'Beállítások'!$E$38*(10-AH66))</f>
        <v/>
      </c>
      <c r="DY66">
        <f>IF($A66="","",AM66-ROW()/100000)</f>
        <v/>
      </c>
    </row>
    <row r="67">
      <c r="A67">
        <f>IF('Ügyfelek'!A67="","",'Ügyfelek'!A67)</f>
        <v/>
      </c>
      <c r="B67">
        <f>IF($A67="","",IF('Ügyfelek'!B67="",'Beállítások'!$B$84,IFERROR(VLOOKUP(TRIM('Ügyfelek'!B67),'Beállítások'!$A$51:$B$59,2,FALSE),'Beállítások'!$B$84)))</f>
        <v/>
      </c>
      <c r="C67">
        <f>IF($A67="","",IF('Ügyfelek'!C67="",'Beállítások'!$B$84,MIN(10,MAX(1,ROUND('Ügyfelek'!C67,0)))))</f>
        <v/>
      </c>
      <c r="D67">
        <f>IF($A67="","",IF('Ügyfelek'!D67="",'Beállítások'!$B$84,MIN(10,MAX(1,ROUND('Ügyfelek'!D67,0)))))</f>
        <v/>
      </c>
      <c r="E67">
        <f>IF($A67="","",IF('Ügyfelek'!E67="",'Beállítások'!$B$84,MIN(10,MAX(1,ROUND('Ügyfelek'!E67,0)))))</f>
        <v/>
      </c>
      <c r="F67">
        <f>IF($A67="","",IF('Ügyfelek'!F67="",'Beállítások'!$B$84,MIN(10,MAX(1,ROUND('Ügyfelek'!F67,0)))))</f>
        <v/>
      </c>
      <c r="G67">
        <f>IF($A67="","",IF('Ügyfelek'!G67="",'Beállítások'!$B$84,MIN(10,MAX(1,ROUND('Ügyfelek'!G67,0)))))</f>
        <v/>
      </c>
      <c r="H67">
        <f>IF($A67="","",IF('Ügyfelek'!H67="",'Beállítások'!$B$84,MIN(10,MAX(1,ROUND('Ügyfelek'!H67,0)))))</f>
        <v/>
      </c>
      <c r="I67">
        <f>IF($A67="","",IF('Ügyfelek'!I67="",'Beállítások'!$B$84,MIN(10,MAX(1,ROUND('Ügyfelek'!I67,0)))))</f>
        <v/>
      </c>
      <c r="J67">
        <f>IF($A67="","",IF('Ügyfelek'!J67="",'Beállítások'!$B$84,MIN(10,MAX(1,ROUND('Ügyfelek'!J67,0)))))</f>
        <v/>
      </c>
      <c r="K67">
        <f>IF($A67="","",IF('Ügyfelek'!K67="",'Beállítások'!$B$84,MIN(10,MAX(1,ROUND('Ügyfelek'!K67,0)))))</f>
        <v/>
      </c>
      <c r="L67">
        <f>IF($A67="","",IF('Ügyfelek'!L67="",'Beállítások'!$B$84,MIN(10,MAX(1,ROUND('Ügyfelek'!L67,0)))))</f>
        <v/>
      </c>
      <c r="M67">
        <f>IF($A67="","",IF('Ügyfelek'!M67="",'Beállítások'!$B$84,MIN(10,MAX(1,ROUND('Ügyfelek'!M67,0)))))</f>
        <v/>
      </c>
      <c r="N67">
        <f>IF($A67="","",IF('Ügyfelek'!N67="",'Beállítások'!$B$84,MIN(10,MAX(1,ROUND('Ügyfelek'!N67,0)))))</f>
        <v/>
      </c>
      <c r="O67">
        <f>IF($A67="","",IF('Ügyfelek'!O67="",'Beállítások'!$B$84,MIN(10,MAX(1,ROUND('Ügyfelek'!O67,0)))))</f>
        <v/>
      </c>
      <c r="P67">
        <f>IF($A67="","",IF('Ügyfelek'!P67="",'Beállítások'!$B$84,MIN(10,MAX(1,ROUND('Ügyfelek'!P67,0)))))</f>
        <v/>
      </c>
      <c r="Q67">
        <f>IF($A67="","",IF('Ügyfelek'!Q67="",'Beállítások'!$B$84,MIN(10,MAX(1,ROUND('Ügyfelek'!Q67,0)))))</f>
        <v/>
      </c>
      <c r="R67">
        <f>IF($A67="","",IF('Ügyfelek'!R67="",'Beállítások'!$B$84,MIN(10,MAX(1,ROUND('Ügyfelek'!R67,0)))))</f>
        <v/>
      </c>
      <c r="S67">
        <f>IF($A67="","",IF('Ügyfelek'!S67="",'Beállítások'!$B$84,MIN(10,MAX(1,ROUND('Ügyfelek'!S67,0)))))</f>
        <v/>
      </c>
      <c r="T67">
        <f>IF($A67="","",IF('Ügyfelek'!T67="",'Beállítások'!$B$84,VLOOKUP(MAX('Ügyfelek'!T67,'Beállítások'!$H$7),'Beállítások'!$H$7:$I$12,2,TRUE)))</f>
        <v/>
      </c>
      <c r="U67">
        <f>IF($A67="","",IF('Ügyfelek'!U67="",'Beállítások'!$B$84,VLOOKUP(MAX('Ügyfelek'!U67,'Beállítások'!$K$7),'Beállítások'!$K$7:$L$12,2,TRUE)))</f>
        <v/>
      </c>
      <c r="V67">
        <f>IF($A67="","",IF('Ügyfelek'!V67="",'Beállítások'!$B$84,MIN(10,MAX(1,ROUND('Ügyfelek'!V67,0)))))</f>
        <v/>
      </c>
      <c r="W67">
        <f>IF($A67="","",IF('Ügyfelek'!W67="",'Beállítások'!$B$84,VLOOKUP(MAX('Ügyfelek'!W67,'Beállítások'!$N$7),'Beállítások'!$N$7:$O$12,2,TRUE)))</f>
        <v/>
      </c>
      <c r="X67">
        <f>IF($A67="","",IF('Ügyfelek'!X67="",'Beállítások'!$B$84,MIN(10,MAX(1,ROUND('Ügyfelek'!X67,0)))))</f>
        <v/>
      </c>
      <c r="Y67">
        <f>IF($A67="","",IF('Ügyfelek'!Y67="",'Beállítások'!$B$84,IFERROR(VLOOKUP(TRIM('Ügyfelek'!Y67),'Beállítások'!$A$63:$B$69,2,FALSE),'Beállítások'!$B$84)))</f>
        <v/>
      </c>
      <c r="Z67">
        <f>IF($A67="","",IF('Ügyfelek'!Z67="",'Beállítások'!$B$84,VLOOKUP(MAX('Ügyfelek'!Z67,'Beállítások'!$Q$7),'Beállítások'!$Q$7:$R$12,2,TRUE)))</f>
        <v/>
      </c>
      <c r="AA67">
        <f>IF($A67="","",IF('Ügyfelek'!AA67="",'Beállítások'!$B$84,VLOOKUP(MAX('Ügyfelek'!AA67,'Beállítások'!$T$7),'Beállítások'!$T$7:$U$12,2,TRUE)))</f>
        <v/>
      </c>
      <c r="AB67">
        <f>IF($A67="","",IF('Ügyfelek'!AB67="",'Beállítások'!$B$84,MIN(10,MAX(1,ROUND('Ügyfelek'!AB67,0)))))</f>
        <v/>
      </c>
      <c r="AC67">
        <f>IF($A67="","",IF('Ügyfelek'!AC67="",'Beállítások'!$B$84,MIN(10,MAX(1,ROUND('Ügyfelek'!AC67,0)))))</f>
        <v/>
      </c>
      <c r="AD67">
        <f>IF($A67="","",IF('Ügyfelek'!AD67="",'Beállítások'!$B$84,MIN(10,MAX(1,ROUND('Ügyfelek'!AD67,0)))))</f>
        <v/>
      </c>
      <c r="AE67">
        <f>IF($A67="","",IF('Ügyfelek'!AE67="",'Beállítások'!$B$84,MIN(10,MAX(1,ROUND('Ügyfelek'!AE67,0)))))</f>
        <v/>
      </c>
      <c r="AF67">
        <f>IF($A67="","",IF('Ügyfelek'!AF67="",'Beállítások'!$B$84,MIN(10,MAX(1,ROUND('Ügyfelek'!AF67,0)))))</f>
        <v/>
      </c>
      <c r="AG67">
        <f>IF($A67="","",IF('Ügyfelek'!AG67="",'Beállítások'!$B$84,MIN(10,MAX(1,ROUND('Ügyfelek'!AG67,0)))))</f>
        <v/>
      </c>
      <c r="AH67">
        <f>IF($A67="","",IF('Ügyfelek'!AH67="",'Beállítások'!$B$84,IFERROR(VLOOKUP(TRIM('Ügyfelek'!AH67),'Beállítások'!$A$73:$B$79,2,FALSE),'Beállítások'!$B$84)))</f>
        <v/>
      </c>
      <c r="AI67" s="23">
        <f>IF($A67="","",ROUND(100*('Beállítások'!$E$6*(B67-1)+'Beállítások'!$E$7*(C67-1))/(9*'Beállítások'!$B$43),1))</f>
        <v/>
      </c>
      <c r="AJ67" s="23">
        <f>IF($A67="","",ROUND(100*('Beállítások'!$E$8*(D67-1)+'Beállítások'!$E$9*(E67-1)+'Beállítások'!$E$10*(F67-1)+'Beállítások'!$E$11*(G67-1)+'Beállítások'!$E$12*(H67-1)+'Beállítások'!$E$13*(I67-1)+'Beállítások'!$E$14*(J67-1)+'Beállítások'!$E$15*(K67-1)+'Beállítások'!$E$16*(L67-1)+'Beállítások'!$E$17*(M67-1)+'Beállítások'!$E$18*(N67-1)+'Beállítások'!$E$19*(O67-1)+'Beállítások'!$E$20*(P67-1)+'Beállítások'!$E$21*(Q67-1)+'Beállítások'!$E$22*(R67-1))/(9*'Beállítások'!$B$44),1))</f>
        <v/>
      </c>
      <c r="AK67" s="23">
        <f>IF($A67="","",ROUND(100*('Beállítások'!$E$23*(S67-1)+'Beállítások'!$E$24*(T67-1)+'Beállítások'!$E$25*(U67-1)+'Beállítások'!$E$26*(V67-1)+'Beállítások'!$E$27*(W67-1)+'Beállítások'!$E$28*(X67-1)+'Beállítások'!$E$29*(Y67-1))/(9*'Beállítások'!$B$45),1))</f>
        <v/>
      </c>
      <c r="AL67" s="23">
        <f>IF($A67="","",ROUND(100*('Beállítások'!$E$30*(Z67-1)+'Beállítások'!$E$31*(AA67-1)+'Beállítások'!$E$32*(AB67-1)+'Beállítások'!$E$33*(AC67-1)+'Beállítások'!$E$34*(AD67-1)+'Beállítások'!$E$35*(AE67-1)+'Beállítások'!$E$36*(AF67-1)+'Beállítások'!$E$37*(AG67-1)+'Beállítások'!$E$38*(AH67-1))/(9*'Beállítások'!$B$46),1))</f>
        <v/>
      </c>
      <c r="AM67" s="23">
        <f>IF($A67="","",ROUND(100*('Beállítások'!$E$6*(B67-1)+'Beállítások'!$E$7*(C67-1)+'Beállítások'!$E$8*(D67-1)+'Beállítások'!$E$9*(E67-1)+'Beállítások'!$E$10*(F67-1)+'Beállítások'!$E$11*(G67-1)+'Beállítások'!$E$12*(H67-1)+'Beállítások'!$E$13*(I67-1)+'Beállítások'!$E$14*(J67-1)+'Beállítások'!$E$15*(K67-1)+'Beállítások'!$E$16*(L67-1)+'Beállítások'!$E$17*(M67-1)+'Beállítások'!$E$18*(N67-1)+'Beállítások'!$E$19*(O67-1)+'Beállítások'!$E$20*(P67-1)+'Beállítások'!$E$21*(Q67-1)+'Beállítások'!$E$22*(R67-1)+'Beállítások'!$E$23*(S67-1)+'Beállítások'!$E$24*(T67-1)+'Beállítások'!$E$25*(U67-1)+'Beállítások'!$E$26*(V67-1)+'Beállítások'!$E$27*(W67-1)+'Beállítások'!$E$28*(X67-1)+'Beállítások'!$E$29*(Y67-1)+'Beállítások'!$E$30*(Z67-1)+'Beállítások'!$E$31*(AA67-1)+'Beállítások'!$E$32*(AB67-1)+'Beállítások'!$E$33*(AC67-1)+'Beállítások'!$E$34*(AD67-1)+'Beállítások'!$E$35*(AE67-1)+'Beállítások'!$E$36*(AF67-1)+'Beállítások'!$E$37*(AG67-1)+'Beállítások'!$E$38*(AH67-1))/(9*'Beállítások'!$E$39),1))</f>
        <v/>
      </c>
      <c r="AN67" s="23">
        <f>IF($A67="","",ROUND(100*('Beállítások'!$E$8*(D67-1)+'Beállítások'!$E$9*(E67-1)+'Beállítások'!$E$10*(F67-1)+'Beállítások'!$E$11*(G67-1)+'Beállítások'!$E$12*(H67-1)+'Beállítások'!$E$13*(I67-1)+'Beállítások'!$E$14*(J67-1)+'Beállítások'!$E$15*(K67-1)+'Beállítások'!$E$16*(L67-1)+'Beállítások'!$E$17*(M67-1)+'Beállítások'!$E$18*(N67-1)+'Beállítások'!$E$19*(O67-1)+'Beállítások'!$E$20*(P67-1)+'Beállítások'!$E$21*(Q67-1)+'Beállítások'!$E$22*(R67-1)+'Beállítások'!$E$23*(S67-1)+'Beállítások'!$E$24*(T67-1)+'Beállítások'!$E$25*(U67-1)+'Beállítások'!$E$26*(V67-1)+'Beállítások'!$E$27*(W67-1)+'Beállítások'!$E$28*(X67-1)+'Beállítások'!$E$29*(Y67-1))/(9*('Beállítások'!$B$44+'Beállítások'!$B$45)),1))</f>
        <v/>
      </c>
      <c r="AO67" s="24">
        <f>IF($A67="","",RANK(AM67,$AM$2:$AM$201))</f>
        <v/>
      </c>
      <c r="AP67">
        <f>IF($A67="","",IF(OR(AND('Ügyfelek'!B67&lt;&gt;"",B67&lt;='Beállítások'!$B$85),AND('Ügyfelek'!C67&lt;&gt;"",C67&lt;='Beállítások'!$B$86)),"Igen","Nem"))</f>
        <v/>
      </c>
      <c r="AQ67" s="24">
        <f>IF($A67="","",IF(AP67="Igen",5,IF(AN67&gt;='Beállítások'!$C$108,1,IF(AN67&gt;='Beállítások'!$C$109,2,IF(AN67&gt;='Beállítások'!$C$110,3,IF(AND(AN67&gt;='Beállítások'!$B$87,AI67&gt;='Beállítások'!$B$88,AL67&gt;='Beállítások'!$B$89),4,5))))))</f>
        <v/>
      </c>
      <c r="AR67">
        <f>IF($A67="","",INDEX('Beállítások'!$B$108:$B$112,AQ67))</f>
        <v/>
      </c>
      <c r="AS67">
        <f>IF($A67="","",IF(AQ67=5,"Elutasítjuk",IF(AND(AQ67=4,COUNTIFS('Eredmény'!$AQ$2:$AQ$201,4,'Eredmény'!$DY$2:$DY$201,"&gt;"&amp;DY67)&gt;='Beállítások'!$B$90),"Várólista (a 4-es hely foglalt)","Elfogadjuk")))</f>
        <v/>
      </c>
      <c r="AT67">
        <f>IF($A67="","",INDEX('Beállítások'!$F$108:$F$112,AQ67))</f>
        <v/>
      </c>
      <c r="AU67">
        <f>IF($A67="","",INDEX('Beállítások'!$B$6:$B$38,MATCH(MAX(BK67:CQ67),BK67:CQ67,0)))</f>
        <v/>
      </c>
      <c r="AV67">
        <f>IF($A67="","",IF(MAX(CR67:DX67)=0,"—",INDEX('Beállítások'!$B$6:$B$38,MATCH(MAX(CR67:DX67),CR67:DX67,0))))</f>
        <v/>
      </c>
      <c r="AW67" s="10">
        <f>IF($A67="","",'Beállítások'!$B$94*(TRIM('Ügyfelek'!AI67)="igen")+'Beállítások'!$B$95*(TRIM('Ügyfelek'!AJ67)="igen")+'Beállítások'!$B$96*N('Ügyfelek'!AK67)+'Beállítások'!$B$93*N('Ügyfelek'!AL67))</f>
        <v/>
      </c>
      <c r="AX67" s="25">
        <f>IF(OR($A67="",AQ67=5),"",INDEX('Beállítások'!$D$108:$D$112,AQ67))</f>
        <v/>
      </c>
      <c r="AY67" s="10">
        <f>IF($A67="","",N('Ügyfelek'!U67)*'Beállítások'!$B$98)</f>
        <v/>
      </c>
      <c r="AZ67" s="10">
        <f>IF(OR($A67="",AQ67=5),"",CEILING(ROUND(MAX('Beállítások'!$B$97,AW67*AX67,AY67),2),'Beállítások'!$B$99))</f>
        <v/>
      </c>
      <c r="BA67">
        <f>IF($A67="","",IF(AQ67=5,"Elutasítva",IF(MAX('Beállítások'!$B$97,AW67*AX67,AY67)=AW67*AX67,"Munkaigény × státuszszorzó",IF(MAX('Beállítások'!$B$97,AW67*AX67,AY67)=AY67,"Hirdetési keret arányában","Minimumdíj"))))</f>
        <v/>
      </c>
      <c r="BB67" s="10">
        <f>IF(OR($A67="",'Ügyfelek'!AM67=""),"",'Ügyfelek'!AM67)</f>
        <v/>
      </c>
      <c r="BC67" s="10">
        <f>IF(OR(BB67="",AZ67=""),"",AZ67-BB67)</f>
        <v/>
      </c>
      <c r="BD67" s="18">
        <f>IF(OR(BB67="",AZ67="",BB67=0),"",BC67/BB67)</f>
        <v/>
      </c>
      <c r="BE67">
        <f>IF(OR($A67="",AQ67=5),"",IF(AND(INDEX('Beállítások'!$E$108:$E$112,AQ67)&gt;0,Y67&gt;='Beállítások'!$B$91),"Igen","Nem"))</f>
        <v/>
      </c>
      <c r="BF67" s="10">
        <f>IF(BE67="Igen",CEILING(ROUND(AZ67*(1-'Beállítások'!$B$92),2),'Beállítások'!$B$99),"")</f>
        <v/>
      </c>
      <c r="BG67" s="20">
        <f>IF(BE67="Igen",INDEX('Beállítások'!$E$108:$E$112,AQ67),"")</f>
        <v/>
      </c>
      <c r="BH67" s="10">
        <f>IF(OR(BE67&lt;&gt;"Igen",'Ügyfelek'!AN67=""),"",'Ügyfelek'!AN67*BG67)</f>
        <v/>
      </c>
      <c r="BI67" s="24">
        <f>IF($A67="","",('Ügyfelek'!B67="")+('Ügyfelek'!C67="")+('Ügyfelek'!D67="")+('Ügyfelek'!E67="")+('Ügyfelek'!F67="")+('Ügyfelek'!G67="")+('Ügyfelek'!H67="")+('Ügyfelek'!I67="")+('Ügyfelek'!J67="")+('Ügyfelek'!K67="")+('Ügyfelek'!L67="")+('Ügyfelek'!M67="")+('Ügyfelek'!N67="")+('Ügyfelek'!O67="")+('Ügyfelek'!P67="")+('Ügyfelek'!Q67="")+('Ügyfelek'!R67="")+('Ügyfelek'!S67="")+('Ügyfelek'!T67="")+('Ügyfelek'!U67="")+('Ügyfelek'!V67="")+('Ügyfelek'!W67="")+('Ügyfelek'!X67="")+('Ügyfelek'!Y67="")+('Ügyfelek'!Z67="")+('Ügyfelek'!AA67="")+('Ügyfelek'!AB67="")+('Ügyfelek'!AC67="")+('Ügyfelek'!AD67="")+('Ügyfelek'!AE67="")+('Ügyfelek'!AF67="")+('Ügyfelek'!AG67="")+('Ügyfelek'!AH67=""))</f>
        <v/>
      </c>
      <c r="BK67">
        <f>IF($A67="","",B67+'Beállítások'!$E$6/1000)</f>
        <v/>
      </c>
      <c r="BL67">
        <f>IF($A67="","",C67+'Beállítások'!$E$7/1000)</f>
        <v/>
      </c>
      <c r="BM67">
        <f>IF($A67="","",D67+'Beállítások'!$E$8/1000)</f>
        <v/>
      </c>
      <c r="BN67">
        <f>IF($A67="","",E67+'Beállítások'!$E$9/1000)</f>
        <v/>
      </c>
      <c r="BO67">
        <f>IF($A67="","",F67+'Beállítások'!$E$10/1000)</f>
        <v/>
      </c>
      <c r="BP67">
        <f>IF($A67="","",G67+'Beállítások'!$E$11/1000)</f>
        <v/>
      </c>
      <c r="BQ67">
        <f>IF($A67="","",H67+'Beállítások'!$E$12/1000)</f>
        <v/>
      </c>
      <c r="BR67">
        <f>IF($A67="","",I67+'Beállítások'!$E$13/1000)</f>
        <v/>
      </c>
      <c r="BS67">
        <f>IF($A67="","",J67+'Beállítások'!$E$14/1000)</f>
        <v/>
      </c>
      <c r="BT67">
        <f>IF($A67="","",K67+'Beállítások'!$E$15/1000)</f>
        <v/>
      </c>
      <c r="BU67">
        <f>IF($A67="","",L67+'Beállítások'!$E$16/1000)</f>
        <v/>
      </c>
      <c r="BV67">
        <f>IF($A67="","",M67+'Beállítások'!$E$17/1000)</f>
        <v/>
      </c>
      <c r="BW67">
        <f>IF($A67="","",N67+'Beállítások'!$E$18/1000)</f>
        <v/>
      </c>
      <c r="BX67">
        <f>IF($A67="","",O67+'Beállítások'!$E$19/1000)</f>
        <v/>
      </c>
      <c r="BY67">
        <f>IF($A67="","",P67+'Beállítások'!$E$20/1000)</f>
        <v/>
      </c>
      <c r="BZ67">
        <f>IF($A67="","",Q67+'Beállítások'!$E$21/1000)</f>
        <v/>
      </c>
      <c r="CA67">
        <f>IF($A67="","",R67+'Beállítások'!$E$22/1000)</f>
        <v/>
      </c>
      <c r="CB67">
        <f>IF($A67="","",S67+'Beállítások'!$E$23/1000)</f>
        <v/>
      </c>
      <c r="CC67">
        <f>IF($A67="","",T67+'Beállítások'!$E$24/1000)</f>
        <v/>
      </c>
      <c r="CD67">
        <f>IF($A67="","",U67+'Beállítások'!$E$25/1000)</f>
        <v/>
      </c>
      <c r="CE67">
        <f>IF($A67="","",V67+'Beállítások'!$E$26/1000)</f>
        <v/>
      </c>
      <c r="CF67">
        <f>IF($A67="","",W67+'Beállítások'!$E$27/1000)</f>
        <v/>
      </c>
      <c r="CG67">
        <f>IF($A67="","",X67+'Beállítások'!$E$28/1000)</f>
        <v/>
      </c>
      <c r="CH67">
        <f>IF($A67="","",Y67+'Beállítások'!$E$29/1000)</f>
        <v/>
      </c>
      <c r="CI67">
        <f>IF($A67="","",Z67+'Beállítások'!$E$30/1000)</f>
        <v/>
      </c>
      <c r="CJ67">
        <f>IF($A67="","",AA67+'Beállítások'!$E$31/1000)</f>
        <v/>
      </c>
      <c r="CK67">
        <f>IF($A67="","",AB67+'Beállítások'!$E$32/1000)</f>
        <v/>
      </c>
      <c r="CL67">
        <f>IF($A67="","",AC67+'Beállítások'!$E$33/1000)</f>
        <v/>
      </c>
      <c r="CM67">
        <f>IF($A67="","",AD67+'Beállítások'!$E$34/1000)</f>
        <v/>
      </c>
      <c r="CN67">
        <f>IF($A67="","",AE67+'Beállítások'!$E$35/1000)</f>
        <v/>
      </c>
      <c r="CO67">
        <f>IF($A67="","",AF67+'Beállítások'!$E$36/1000)</f>
        <v/>
      </c>
      <c r="CP67">
        <f>IF($A67="","",AG67+'Beállítások'!$E$37/1000)</f>
        <v/>
      </c>
      <c r="CQ67">
        <f>IF($A67="","",AH67+'Beállítások'!$E$38/1000)</f>
        <v/>
      </c>
      <c r="CR67">
        <f>IF($A67="","",'Beállítások'!$E$6*(10-B67))</f>
        <v/>
      </c>
      <c r="CS67">
        <f>IF($A67="","",'Beállítások'!$E$7*(10-C67))</f>
        <v/>
      </c>
      <c r="CT67">
        <f>IF($A67="","",'Beállítások'!$E$8*(10-D67))</f>
        <v/>
      </c>
      <c r="CU67">
        <f>IF($A67="","",'Beállítások'!$E$9*(10-E67))</f>
        <v/>
      </c>
      <c r="CV67">
        <f>IF($A67="","",'Beállítások'!$E$10*(10-F67))</f>
        <v/>
      </c>
      <c r="CW67">
        <f>IF($A67="","",'Beállítások'!$E$11*(10-G67))</f>
        <v/>
      </c>
      <c r="CX67">
        <f>IF($A67="","",'Beállítások'!$E$12*(10-H67))</f>
        <v/>
      </c>
      <c r="CY67">
        <f>IF($A67="","",'Beállítások'!$E$13*(10-I67))</f>
        <v/>
      </c>
      <c r="CZ67">
        <f>IF($A67="","",'Beállítások'!$E$14*(10-J67))</f>
        <v/>
      </c>
      <c r="DA67">
        <f>IF($A67="","",'Beállítások'!$E$15*(10-K67))</f>
        <v/>
      </c>
      <c r="DB67">
        <f>IF($A67="","",'Beállítások'!$E$16*(10-L67))</f>
        <v/>
      </c>
      <c r="DC67">
        <f>IF($A67="","",'Beállítások'!$E$17*(10-M67))</f>
        <v/>
      </c>
      <c r="DD67">
        <f>IF($A67="","",'Beállítások'!$E$18*(10-N67))</f>
        <v/>
      </c>
      <c r="DE67">
        <f>IF($A67="","",'Beállítások'!$E$19*(10-O67))</f>
        <v/>
      </c>
      <c r="DF67">
        <f>IF($A67="","",'Beállítások'!$E$20*(10-P67))</f>
        <v/>
      </c>
      <c r="DG67">
        <f>IF($A67="","",'Beállítások'!$E$21*(10-Q67))</f>
        <v/>
      </c>
      <c r="DH67">
        <f>IF($A67="","",'Beállítások'!$E$22*(10-R67))</f>
        <v/>
      </c>
      <c r="DI67">
        <f>IF($A67="","",'Beállítások'!$E$23*(10-S67))</f>
        <v/>
      </c>
      <c r="DJ67">
        <f>IF($A67="","",'Beállítások'!$E$24*(10-T67))</f>
        <v/>
      </c>
      <c r="DK67">
        <f>IF($A67="","",'Beállítások'!$E$25*(10-U67))</f>
        <v/>
      </c>
      <c r="DL67">
        <f>IF($A67="","",'Beállítások'!$E$26*(10-V67))</f>
        <v/>
      </c>
      <c r="DM67">
        <f>IF($A67="","",'Beállítások'!$E$27*(10-W67))</f>
        <v/>
      </c>
      <c r="DN67">
        <f>IF($A67="","",'Beállítások'!$E$28*(10-X67))</f>
        <v/>
      </c>
      <c r="DO67">
        <f>IF($A67="","",'Beállítások'!$E$29*(10-Y67))</f>
        <v/>
      </c>
      <c r="DP67">
        <f>IF($A67="","",'Beállítások'!$E$30*(10-Z67))</f>
        <v/>
      </c>
      <c r="DQ67">
        <f>IF($A67="","",'Beállítások'!$E$31*(10-AA67))</f>
        <v/>
      </c>
      <c r="DR67">
        <f>IF($A67="","",'Beállítások'!$E$32*(10-AB67))</f>
        <v/>
      </c>
      <c r="DS67">
        <f>IF($A67="","",'Beállítások'!$E$33*(10-AC67))</f>
        <v/>
      </c>
      <c r="DT67">
        <f>IF($A67="","",'Beállítások'!$E$34*(10-AD67))</f>
        <v/>
      </c>
      <c r="DU67">
        <f>IF($A67="","",'Beállítások'!$E$35*(10-AE67))</f>
        <v/>
      </c>
      <c r="DV67">
        <f>IF($A67="","",'Beállítások'!$E$36*(10-AF67))</f>
        <v/>
      </c>
      <c r="DW67">
        <f>IF($A67="","",'Beállítások'!$E$37*(10-AG67))</f>
        <v/>
      </c>
      <c r="DX67">
        <f>IF($A67="","",'Beállítások'!$E$38*(10-AH67))</f>
        <v/>
      </c>
      <c r="DY67">
        <f>IF($A67="","",AM67-ROW()/100000)</f>
        <v/>
      </c>
    </row>
    <row r="68">
      <c r="A68">
        <f>IF('Ügyfelek'!A68="","",'Ügyfelek'!A68)</f>
        <v/>
      </c>
      <c r="B68">
        <f>IF($A68="","",IF('Ügyfelek'!B68="",'Beállítások'!$B$84,IFERROR(VLOOKUP(TRIM('Ügyfelek'!B68),'Beállítások'!$A$51:$B$59,2,FALSE),'Beállítások'!$B$84)))</f>
        <v/>
      </c>
      <c r="C68">
        <f>IF($A68="","",IF('Ügyfelek'!C68="",'Beállítások'!$B$84,MIN(10,MAX(1,ROUND('Ügyfelek'!C68,0)))))</f>
        <v/>
      </c>
      <c r="D68">
        <f>IF($A68="","",IF('Ügyfelek'!D68="",'Beállítások'!$B$84,MIN(10,MAX(1,ROUND('Ügyfelek'!D68,0)))))</f>
        <v/>
      </c>
      <c r="E68">
        <f>IF($A68="","",IF('Ügyfelek'!E68="",'Beállítások'!$B$84,MIN(10,MAX(1,ROUND('Ügyfelek'!E68,0)))))</f>
        <v/>
      </c>
      <c r="F68">
        <f>IF($A68="","",IF('Ügyfelek'!F68="",'Beállítások'!$B$84,MIN(10,MAX(1,ROUND('Ügyfelek'!F68,0)))))</f>
        <v/>
      </c>
      <c r="G68">
        <f>IF($A68="","",IF('Ügyfelek'!G68="",'Beállítások'!$B$84,MIN(10,MAX(1,ROUND('Ügyfelek'!G68,0)))))</f>
        <v/>
      </c>
      <c r="H68">
        <f>IF($A68="","",IF('Ügyfelek'!H68="",'Beállítások'!$B$84,MIN(10,MAX(1,ROUND('Ügyfelek'!H68,0)))))</f>
        <v/>
      </c>
      <c r="I68">
        <f>IF($A68="","",IF('Ügyfelek'!I68="",'Beállítások'!$B$84,MIN(10,MAX(1,ROUND('Ügyfelek'!I68,0)))))</f>
        <v/>
      </c>
      <c r="J68">
        <f>IF($A68="","",IF('Ügyfelek'!J68="",'Beállítások'!$B$84,MIN(10,MAX(1,ROUND('Ügyfelek'!J68,0)))))</f>
        <v/>
      </c>
      <c r="K68">
        <f>IF($A68="","",IF('Ügyfelek'!K68="",'Beállítások'!$B$84,MIN(10,MAX(1,ROUND('Ügyfelek'!K68,0)))))</f>
        <v/>
      </c>
      <c r="L68">
        <f>IF($A68="","",IF('Ügyfelek'!L68="",'Beállítások'!$B$84,MIN(10,MAX(1,ROUND('Ügyfelek'!L68,0)))))</f>
        <v/>
      </c>
      <c r="M68">
        <f>IF($A68="","",IF('Ügyfelek'!M68="",'Beállítások'!$B$84,MIN(10,MAX(1,ROUND('Ügyfelek'!M68,0)))))</f>
        <v/>
      </c>
      <c r="N68">
        <f>IF($A68="","",IF('Ügyfelek'!N68="",'Beállítások'!$B$84,MIN(10,MAX(1,ROUND('Ügyfelek'!N68,0)))))</f>
        <v/>
      </c>
      <c r="O68">
        <f>IF($A68="","",IF('Ügyfelek'!O68="",'Beállítások'!$B$84,MIN(10,MAX(1,ROUND('Ügyfelek'!O68,0)))))</f>
        <v/>
      </c>
      <c r="P68">
        <f>IF($A68="","",IF('Ügyfelek'!P68="",'Beállítások'!$B$84,MIN(10,MAX(1,ROUND('Ügyfelek'!P68,0)))))</f>
        <v/>
      </c>
      <c r="Q68">
        <f>IF($A68="","",IF('Ügyfelek'!Q68="",'Beállítások'!$B$84,MIN(10,MAX(1,ROUND('Ügyfelek'!Q68,0)))))</f>
        <v/>
      </c>
      <c r="R68">
        <f>IF($A68="","",IF('Ügyfelek'!R68="",'Beállítások'!$B$84,MIN(10,MAX(1,ROUND('Ügyfelek'!R68,0)))))</f>
        <v/>
      </c>
      <c r="S68">
        <f>IF($A68="","",IF('Ügyfelek'!S68="",'Beállítások'!$B$84,MIN(10,MAX(1,ROUND('Ügyfelek'!S68,0)))))</f>
        <v/>
      </c>
      <c r="T68">
        <f>IF($A68="","",IF('Ügyfelek'!T68="",'Beállítások'!$B$84,VLOOKUP(MAX('Ügyfelek'!T68,'Beállítások'!$H$7),'Beállítások'!$H$7:$I$12,2,TRUE)))</f>
        <v/>
      </c>
      <c r="U68">
        <f>IF($A68="","",IF('Ügyfelek'!U68="",'Beállítások'!$B$84,VLOOKUP(MAX('Ügyfelek'!U68,'Beállítások'!$K$7),'Beállítások'!$K$7:$L$12,2,TRUE)))</f>
        <v/>
      </c>
      <c r="V68">
        <f>IF($A68="","",IF('Ügyfelek'!V68="",'Beállítások'!$B$84,MIN(10,MAX(1,ROUND('Ügyfelek'!V68,0)))))</f>
        <v/>
      </c>
      <c r="W68">
        <f>IF($A68="","",IF('Ügyfelek'!W68="",'Beállítások'!$B$84,VLOOKUP(MAX('Ügyfelek'!W68,'Beállítások'!$N$7),'Beállítások'!$N$7:$O$12,2,TRUE)))</f>
        <v/>
      </c>
      <c r="X68">
        <f>IF($A68="","",IF('Ügyfelek'!X68="",'Beállítások'!$B$84,MIN(10,MAX(1,ROUND('Ügyfelek'!X68,0)))))</f>
        <v/>
      </c>
      <c r="Y68">
        <f>IF($A68="","",IF('Ügyfelek'!Y68="",'Beállítások'!$B$84,IFERROR(VLOOKUP(TRIM('Ügyfelek'!Y68),'Beállítások'!$A$63:$B$69,2,FALSE),'Beállítások'!$B$84)))</f>
        <v/>
      </c>
      <c r="Z68">
        <f>IF($A68="","",IF('Ügyfelek'!Z68="",'Beállítások'!$B$84,VLOOKUP(MAX('Ügyfelek'!Z68,'Beállítások'!$Q$7),'Beállítások'!$Q$7:$R$12,2,TRUE)))</f>
        <v/>
      </c>
      <c r="AA68">
        <f>IF($A68="","",IF('Ügyfelek'!AA68="",'Beállítások'!$B$84,VLOOKUP(MAX('Ügyfelek'!AA68,'Beállítások'!$T$7),'Beállítások'!$T$7:$U$12,2,TRUE)))</f>
        <v/>
      </c>
      <c r="AB68">
        <f>IF($A68="","",IF('Ügyfelek'!AB68="",'Beállítások'!$B$84,MIN(10,MAX(1,ROUND('Ügyfelek'!AB68,0)))))</f>
        <v/>
      </c>
      <c r="AC68">
        <f>IF($A68="","",IF('Ügyfelek'!AC68="",'Beállítások'!$B$84,MIN(10,MAX(1,ROUND('Ügyfelek'!AC68,0)))))</f>
        <v/>
      </c>
      <c r="AD68">
        <f>IF($A68="","",IF('Ügyfelek'!AD68="",'Beállítások'!$B$84,MIN(10,MAX(1,ROUND('Ügyfelek'!AD68,0)))))</f>
        <v/>
      </c>
      <c r="AE68">
        <f>IF($A68="","",IF('Ügyfelek'!AE68="",'Beállítások'!$B$84,MIN(10,MAX(1,ROUND('Ügyfelek'!AE68,0)))))</f>
        <v/>
      </c>
      <c r="AF68">
        <f>IF($A68="","",IF('Ügyfelek'!AF68="",'Beállítások'!$B$84,MIN(10,MAX(1,ROUND('Ügyfelek'!AF68,0)))))</f>
        <v/>
      </c>
      <c r="AG68">
        <f>IF($A68="","",IF('Ügyfelek'!AG68="",'Beállítások'!$B$84,MIN(10,MAX(1,ROUND('Ügyfelek'!AG68,0)))))</f>
        <v/>
      </c>
      <c r="AH68">
        <f>IF($A68="","",IF('Ügyfelek'!AH68="",'Beállítások'!$B$84,IFERROR(VLOOKUP(TRIM('Ügyfelek'!AH68),'Beállítások'!$A$73:$B$79,2,FALSE),'Beállítások'!$B$84)))</f>
        <v/>
      </c>
      <c r="AI68" s="23">
        <f>IF($A68="","",ROUND(100*('Beállítások'!$E$6*(B68-1)+'Beállítások'!$E$7*(C68-1))/(9*'Beállítások'!$B$43),1))</f>
        <v/>
      </c>
      <c r="AJ68" s="23">
        <f>IF($A68="","",ROUND(100*('Beállítások'!$E$8*(D68-1)+'Beállítások'!$E$9*(E68-1)+'Beállítások'!$E$10*(F68-1)+'Beállítások'!$E$11*(G68-1)+'Beállítások'!$E$12*(H68-1)+'Beállítások'!$E$13*(I68-1)+'Beállítások'!$E$14*(J68-1)+'Beállítások'!$E$15*(K68-1)+'Beállítások'!$E$16*(L68-1)+'Beállítások'!$E$17*(M68-1)+'Beállítások'!$E$18*(N68-1)+'Beállítások'!$E$19*(O68-1)+'Beállítások'!$E$20*(P68-1)+'Beállítások'!$E$21*(Q68-1)+'Beállítások'!$E$22*(R68-1))/(9*'Beállítások'!$B$44),1))</f>
        <v/>
      </c>
      <c r="AK68" s="23">
        <f>IF($A68="","",ROUND(100*('Beállítások'!$E$23*(S68-1)+'Beállítások'!$E$24*(T68-1)+'Beállítások'!$E$25*(U68-1)+'Beállítások'!$E$26*(V68-1)+'Beállítások'!$E$27*(W68-1)+'Beállítások'!$E$28*(X68-1)+'Beállítások'!$E$29*(Y68-1))/(9*'Beállítások'!$B$45),1))</f>
        <v/>
      </c>
      <c r="AL68" s="23">
        <f>IF($A68="","",ROUND(100*('Beállítások'!$E$30*(Z68-1)+'Beállítások'!$E$31*(AA68-1)+'Beállítások'!$E$32*(AB68-1)+'Beállítások'!$E$33*(AC68-1)+'Beállítások'!$E$34*(AD68-1)+'Beállítások'!$E$35*(AE68-1)+'Beállítások'!$E$36*(AF68-1)+'Beállítások'!$E$37*(AG68-1)+'Beállítások'!$E$38*(AH68-1))/(9*'Beállítások'!$B$46),1))</f>
        <v/>
      </c>
      <c r="AM68" s="23">
        <f>IF($A68="","",ROUND(100*('Beállítások'!$E$6*(B68-1)+'Beállítások'!$E$7*(C68-1)+'Beállítások'!$E$8*(D68-1)+'Beállítások'!$E$9*(E68-1)+'Beállítások'!$E$10*(F68-1)+'Beállítások'!$E$11*(G68-1)+'Beállítások'!$E$12*(H68-1)+'Beállítások'!$E$13*(I68-1)+'Beállítások'!$E$14*(J68-1)+'Beállítások'!$E$15*(K68-1)+'Beállítások'!$E$16*(L68-1)+'Beállítások'!$E$17*(M68-1)+'Beállítások'!$E$18*(N68-1)+'Beállítások'!$E$19*(O68-1)+'Beállítások'!$E$20*(P68-1)+'Beállítások'!$E$21*(Q68-1)+'Beállítások'!$E$22*(R68-1)+'Beállítások'!$E$23*(S68-1)+'Beállítások'!$E$24*(T68-1)+'Beállítások'!$E$25*(U68-1)+'Beállítások'!$E$26*(V68-1)+'Beállítások'!$E$27*(W68-1)+'Beállítások'!$E$28*(X68-1)+'Beállítások'!$E$29*(Y68-1)+'Beállítások'!$E$30*(Z68-1)+'Beállítások'!$E$31*(AA68-1)+'Beállítások'!$E$32*(AB68-1)+'Beállítások'!$E$33*(AC68-1)+'Beállítások'!$E$34*(AD68-1)+'Beállítások'!$E$35*(AE68-1)+'Beállítások'!$E$36*(AF68-1)+'Beállítások'!$E$37*(AG68-1)+'Beállítások'!$E$38*(AH68-1))/(9*'Beállítások'!$E$39),1))</f>
        <v/>
      </c>
      <c r="AN68" s="23">
        <f>IF($A68="","",ROUND(100*('Beállítások'!$E$8*(D68-1)+'Beállítások'!$E$9*(E68-1)+'Beállítások'!$E$10*(F68-1)+'Beállítások'!$E$11*(G68-1)+'Beállítások'!$E$12*(H68-1)+'Beállítások'!$E$13*(I68-1)+'Beállítások'!$E$14*(J68-1)+'Beállítások'!$E$15*(K68-1)+'Beállítások'!$E$16*(L68-1)+'Beállítások'!$E$17*(M68-1)+'Beállítások'!$E$18*(N68-1)+'Beállítások'!$E$19*(O68-1)+'Beállítások'!$E$20*(P68-1)+'Beállítások'!$E$21*(Q68-1)+'Beállítások'!$E$22*(R68-1)+'Beállítások'!$E$23*(S68-1)+'Beállítások'!$E$24*(T68-1)+'Beállítások'!$E$25*(U68-1)+'Beállítások'!$E$26*(V68-1)+'Beállítások'!$E$27*(W68-1)+'Beállítások'!$E$28*(X68-1)+'Beállítások'!$E$29*(Y68-1))/(9*('Beállítások'!$B$44+'Beállítások'!$B$45)),1))</f>
        <v/>
      </c>
      <c r="AO68" s="24">
        <f>IF($A68="","",RANK(AM68,$AM$2:$AM$201))</f>
        <v/>
      </c>
      <c r="AP68">
        <f>IF($A68="","",IF(OR(AND('Ügyfelek'!B68&lt;&gt;"",B68&lt;='Beállítások'!$B$85),AND('Ügyfelek'!C68&lt;&gt;"",C68&lt;='Beállítások'!$B$86)),"Igen","Nem"))</f>
        <v/>
      </c>
      <c r="AQ68" s="24">
        <f>IF($A68="","",IF(AP68="Igen",5,IF(AN68&gt;='Beállítások'!$C$108,1,IF(AN68&gt;='Beállítások'!$C$109,2,IF(AN68&gt;='Beállítások'!$C$110,3,IF(AND(AN68&gt;='Beállítások'!$B$87,AI68&gt;='Beállítások'!$B$88,AL68&gt;='Beállítások'!$B$89),4,5))))))</f>
        <v/>
      </c>
      <c r="AR68">
        <f>IF($A68="","",INDEX('Beállítások'!$B$108:$B$112,AQ68))</f>
        <v/>
      </c>
      <c r="AS68">
        <f>IF($A68="","",IF(AQ68=5,"Elutasítjuk",IF(AND(AQ68=4,COUNTIFS('Eredmény'!$AQ$2:$AQ$201,4,'Eredmény'!$DY$2:$DY$201,"&gt;"&amp;DY68)&gt;='Beállítások'!$B$90),"Várólista (a 4-es hely foglalt)","Elfogadjuk")))</f>
        <v/>
      </c>
      <c r="AT68">
        <f>IF($A68="","",INDEX('Beállítások'!$F$108:$F$112,AQ68))</f>
        <v/>
      </c>
      <c r="AU68">
        <f>IF($A68="","",INDEX('Beállítások'!$B$6:$B$38,MATCH(MAX(BK68:CQ68),BK68:CQ68,0)))</f>
        <v/>
      </c>
      <c r="AV68">
        <f>IF($A68="","",IF(MAX(CR68:DX68)=0,"—",INDEX('Beállítások'!$B$6:$B$38,MATCH(MAX(CR68:DX68),CR68:DX68,0))))</f>
        <v/>
      </c>
      <c r="AW68" s="10">
        <f>IF($A68="","",'Beállítások'!$B$94*(TRIM('Ügyfelek'!AI68)="igen")+'Beállítások'!$B$95*(TRIM('Ügyfelek'!AJ68)="igen")+'Beállítások'!$B$96*N('Ügyfelek'!AK68)+'Beállítások'!$B$93*N('Ügyfelek'!AL68))</f>
        <v/>
      </c>
      <c r="AX68" s="25">
        <f>IF(OR($A68="",AQ68=5),"",INDEX('Beállítások'!$D$108:$D$112,AQ68))</f>
        <v/>
      </c>
      <c r="AY68" s="10">
        <f>IF($A68="","",N('Ügyfelek'!U68)*'Beállítások'!$B$98)</f>
        <v/>
      </c>
      <c r="AZ68" s="10">
        <f>IF(OR($A68="",AQ68=5),"",CEILING(ROUND(MAX('Beállítások'!$B$97,AW68*AX68,AY68),2),'Beállítások'!$B$99))</f>
        <v/>
      </c>
      <c r="BA68">
        <f>IF($A68="","",IF(AQ68=5,"Elutasítva",IF(MAX('Beállítások'!$B$97,AW68*AX68,AY68)=AW68*AX68,"Munkaigény × státuszszorzó",IF(MAX('Beállítások'!$B$97,AW68*AX68,AY68)=AY68,"Hirdetési keret arányában","Minimumdíj"))))</f>
        <v/>
      </c>
      <c r="BB68" s="10">
        <f>IF(OR($A68="",'Ügyfelek'!AM68=""),"",'Ügyfelek'!AM68)</f>
        <v/>
      </c>
      <c r="BC68" s="10">
        <f>IF(OR(BB68="",AZ68=""),"",AZ68-BB68)</f>
        <v/>
      </c>
      <c r="BD68" s="18">
        <f>IF(OR(BB68="",AZ68="",BB68=0),"",BC68/BB68)</f>
        <v/>
      </c>
      <c r="BE68">
        <f>IF(OR($A68="",AQ68=5),"",IF(AND(INDEX('Beállítások'!$E$108:$E$112,AQ68)&gt;0,Y68&gt;='Beállítások'!$B$91),"Igen","Nem"))</f>
        <v/>
      </c>
      <c r="BF68" s="10">
        <f>IF(BE68="Igen",CEILING(ROUND(AZ68*(1-'Beállítások'!$B$92),2),'Beállítások'!$B$99),"")</f>
        <v/>
      </c>
      <c r="BG68" s="20">
        <f>IF(BE68="Igen",INDEX('Beállítások'!$E$108:$E$112,AQ68),"")</f>
        <v/>
      </c>
      <c r="BH68" s="10">
        <f>IF(OR(BE68&lt;&gt;"Igen",'Ügyfelek'!AN68=""),"",'Ügyfelek'!AN68*BG68)</f>
        <v/>
      </c>
      <c r="BI68" s="24">
        <f>IF($A68="","",('Ügyfelek'!B68="")+('Ügyfelek'!C68="")+('Ügyfelek'!D68="")+('Ügyfelek'!E68="")+('Ügyfelek'!F68="")+('Ügyfelek'!G68="")+('Ügyfelek'!H68="")+('Ügyfelek'!I68="")+('Ügyfelek'!J68="")+('Ügyfelek'!K68="")+('Ügyfelek'!L68="")+('Ügyfelek'!M68="")+('Ügyfelek'!N68="")+('Ügyfelek'!O68="")+('Ügyfelek'!P68="")+('Ügyfelek'!Q68="")+('Ügyfelek'!R68="")+('Ügyfelek'!S68="")+('Ügyfelek'!T68="")+('Ügyfelek'!U68="")+('Ügyfelek'!V68="")+('Ügyfelek'!W68="")+('Ügyfelek'!X68="")+('Ügyfelek'!Y68="")+('Ügyfelek'!Z68="")+('Ügyfelek'!AA68="")+('Ügyfelek'!AB68="")+('Ügyfelek'!AC68="")+('Ügyfelek'!AD68="")+('Ügyfelek'!AE68="")+('Ügyfelek'!AF68="")+('Ügyfelek'!AG68="")+('Ügyfelek'!AH68=""))</f>
        <v/>
      </c>
      <c r="BK68">
        <f>IF($A68="","",B68+'Beállítások'!$E$6/1000)</f>
        <v/>
      </c>
      <c r="BL68">
        <f>IF($A68="","",C68+'Beállítások'!$E$7/1000)</f>
        <v/>
      </c>
      <c r="BM68">
        <f>IF($A68="","",D68+'Beállítások'!$E$8/1000)</f>
        <v/>
      </c>
      <c r="BN68">
        <f>IF($A68="","",E68+'Beállítások'!$E$9/1000)</f>
        <v/>
      </c>
      <c r="BO68">
        <f>IF($A68="","",F68+'Beállítások'!$E$10/1000)</f>
        <v/>
      </c>
      <c r="BP68">
        <f>IF($A68="","",G68+'Beállítások'!$E$11/1000)</f>
        <v/>
      </c>
      <c r="BQ68">
        <f>IF($A68="","",H68+'Beállítások'!$E$12/1000)</f>
        <v/>
      </c>
      <c r="BR68">
        <f>IF($A68="","",I68+'Beállítások'!$E$13/1000)</f>
        <v/>
      </c>
      <c r="BS68">
        <f>IF($A68="","",J68+'Beállítások'!$E$14/1000)</f>
        <v/>
      </c>
      <c r="BT68">
        <f>IF($A68="","",K68+'Beállítások'!$E$15/1000)</f>
        <v/>
      </c>
      <c r="BU68">
        <f>IF($A68="","",L68+'Beállítások'!$E$16/1000)</f>
        <v/>
      </c>
      <c r="BV68">
        <f>IF($A68="","",M68+'Beállítások'!$E$17/1000)</f>
        <v/>
      </c>
      <c r="BW68">
        <f>IF($A68="","",N68+'Beállítások'!$E$18/1000)</f>
        <v/>
      </c>
      <c r="BX68">
        <f>IF($A68="","",O68+'Beállítások'!$E$19/1000)</f>
        <v/>
      </c>
      <c r="BY68">
        <f>IF($A68="","",P68+'Beállítások'!$E$20/1000)</f>
        <v/>
      </c>
      <c r="BZ68">
        <f>IF($A68="","",Q68+'Beállítások'!$E$21/1000)</f>
        <v/>
      </c>
      <c r="CA68">
        <f>IF($A68="","",R68+'Beállítások'!$E$22/1000)</f>
        <v/>
      </c>
      <c r="CB68">
        <f>IF($A68="","",S68+'Beállítások'!$E$23/1000)</f>
        <v/>
      </c>
      <c r="CC68">
        <f>IF($A68="","",T68+'Beállítások'!$E$24/1000)</f>
        <v/>
      </c>
      <c r="CD68">
        <f>IF($A68="","",U68+'Beállítások'!$E$25/1000)</f>
        <v/>
      </c>
      <c r="CE68">
        <f>IF($A68="","",V68+'Beállítások'!$E$26/1000)</f>
        <v/>
      </c>
      <c r="CF68">
        <f>IF($A68="","",W68+'Beállítások'!$E$27/1000)</f>
        <v/>
      </c>
      <c r="CG68">
        <f>IF($A68="","",X68+'Beállítások'!$E$28/1000)</f>
        <v/>
      </c>
      <c r="CH68">
        <f>IF($A68="","",Y68+'Beállítások'!$E$29/1000)</f>
        <v/>
      </c>
      <c r="CI68">
        <f>IF($A68="","",Z68+'Beállítások'!$E$30/1000)</f>
        <v/>
      </c>
      <c r="CJ68">
        <f>IF($A68="","",AA68+'Beállítások'!$E$31/1000)</f>
        <v/>
      </c>
      <c r="CK68">
        <f>IF($A68="","",AB68+'Beállítások'!$E$32/1000)</f>
        <v/>
      </c>
      <c r="CL68">
        <f>IF($A68="","",AC68+'Beállítások'!$E$33/1000)</f>
        <v/>
      </c>
      <c r="CM68">
        <f>IF($A68="","",AD68+'Beállítások'!$E$34/1000)</f>
        <v/>
      </c>
      <c r="CN68">
        <f>IF($A68="","",AE68+'Beállítások'!$E$35/1000)</f>
        <v/>
      </c>
      <c r="CO68">
        <f>IF($A68="","",AF68+'Beállítások'!$E$36/1000)</f>
        <v/>
      </c>
      <c r="CP68">
        <f>IF($A68="","",AG68+'Beállítások'!$E$37/1000)</f>
        <v/>
      </c>
      <c r="CQ68">
        <f>IF($A68="","",AH68+'Beállítások'!$E$38/1000)</f>
        <v/>
      </c>
      <c r="CR68">
        <f>IF($A68="","",'Beállítások'!$E$6*(10-B68))</f>
        <v/>
      </c>
      <c r="CS68">
        <f>IF($A68="","",'Beállítások'!$E$7*(10-C68))</f>
        <v/>
      </c>
      <c r="CT68">
        <f>IF($A68="","",'Beállítások'!$E$8*(10-D68))</f>
        <v/>
      </c>
      <c r="CU68">
        <f>IF($A68="","",'Beállítások'!$E$9*(10-E68))</f>
        <v/>
      </c>
      <c r="CV68">
        <f>IF($A68="","",'Beállítások'!$E$10*(10-F68))</f>
        <v/>
      </c>
      <c r="CW68">
        <f>IF($A68="","",'Beállítások'!$E$11*(10-G68))</f>
        <v/>
      </c>
      <c r="CX68">
        <f>IF($A68="","",'Beállítások'!$E$12*(10-H68))</f>
        <v/>
      </c>
      <c r="CY68">
        <f>IF($A68="","",'Beállítások'!$E$13*(10-I68))</f>
        <v/>
      </c>
      <c r="CZ68">
        <f>IF($A68="","",'Beállítások'!$E$14*(10-J68))</f>
        <v/>
      </c>
      <c r="DA68">
        <f>IF($A68="","",'Beállítások'!$E$15*(10-K68))</f>
        <v/>
      </c>
      <c r="DB68">
        <f>IF($A68="","",'Beállítások'!$E$16*(10-L68))</f>
        <v/>
      </c>
      <c r="DC68">
        <f>IF($A68="","",'Beállítások'!$E$17*(10-M68))</f>
        <v/>
      </c>
      <c r="DD68">
        <f>IF($A68="","",'Beállítások'!$E$18*(10-N68))</f>
        <v/>
      </c>
      <c r="DE68">
        <f>IF($A68="","",'Beállítások'!$E$19*(10-O68))</f>
        <v/>
      </c>
      <c r="DF68">
        <f>IF($A68="","",'Beállítások'!$E$20*(10-P68))</f>
        <v/>
      </c>
      <c r="DG68">
        <f>IF($A68="","",'Beállítások'!$E$21*(10-Q68))</f>
        <v/>
      </c>
      <c r="DH68">
        <f>IF($A68="","",'Beállítások'!$E$22*(10-R68))</f>
        <v/>
      </c>
      <c r="DI68">
        <f>IF($A68="","",'Beállítások'!$E$23*(10-S68))</f>
        <v/>
      </c>
      <c r="DJ68">
        <f>IF($A68="","",'Beállítások'!$E$24*(10-T68))</f>
        <v/>
      </c>
      <c r="DK68">
        <f>IF($A68="","",'Beállítások'!$E$25*(10-U68))</f>
        <v/>
      </c>
      <c r="DL68">
        <f>IF($A68="","",'Beállítások'!$E$26*(10-V68))</f>
        <v/>
      </c>
      <c r="DM68">
        <f>IF($A68="","",'Beállítások'!$E$27*(10-W68))</f>
        <v/>
      </c>
      <c r="DN68">
        <f>IF($A68="","",'Beállítások'!$E$28*(10-X68))</f>
        <v/>
      </c>
      <c r="DO68">
        <f>IF($A68="","",'Beállítások'!$E$29*(10-Y68))</f>
        <v/>
      </c>
      <c r="DP68">
        <f>IF($A68="","",'Beállítások'!$E$30*(10-Z68))</f>
        <v/>
      </c>
      <c r="DQ68">
        <f>IF($A68="","",'Beállítások'!$E$31*(10-AA68))</f>
        <v/>
      </c>
      <c r="DR68">
        <f>IF($A68="","",'Beállítások'!$E$32*(10-AB68))</f>
        <v/>
      </c>
      <c r="DS68">
        <f>IF($A68="","",'Beállítások'!$E$33*(10-AC68))</f>
        <v/>
      </c>
      <c r="DT68">
        <f>IF($A68="","",'Beállítások'!$E$34*(10-AD68))</f>
        <v/>
      </c>
      <c r="DU68">
        <f>IF($A68="","",'Beállítások'!$E$35*(10-AE68))</f>
        <v/>
      </c>
      <c r="DV68">
        <f>IF($A68="","",'Beállítások'!$E$36*(10-AF68))</f>
        <v/>
      </c>
      <c r="DW68">
        <f>IF($A68="","",'Beállítások'!$E$37*(10-AG68))</f>
        <v/>
      </c>
      <c r="DX68">
        <f>IF($A68="","",'Beállítások'!$E$38*(10-AH68))</f>
        <v/>
      </c>
      <c r="DY68">
        <f>IF($A68="","",AM68-ROW()/100000)</f>
        <v/>
      </c>
    </row>
    <row r="69">
      <c r="A69">
        <f>IF('Ügyfelek'!A69="","",'Ügyfelek'!A69)</f>
        <v/>
      </c>
      <c r="B69">
        <f>IF($A69="","",IF('Ügyfelek'!B69="",'Beállítások'!$B$84,IFERROR(VLOOKUP(TRIM('Ügyfelek'!B69),'Beállítások'!$A$51:$B$59,2,FALSE),'Beállítások'!$B$84)))</f>
        <v/>
      </c>
      <c r="C69">
        <f>IF($A69="","",IF('Ügyfelek'!C69="",'Beállítások'!$B$84,MIN(10,MAX(1,ROUND('Ügyfelek'!C69,0)))))</f>
        <v/>
      </c>
      <c r="D69">
        <f>IF($A69="","",IF('Ügyfelek'!D69="",'Beállítások'!$B$84,MIN(10,MAX(1,ROUND('Ügyfelek'!D69,0)))))</f>
        <v/>
      </c>
      <c r="E69">
        <f>IF($A69="","",IF('Ügyfelek'!E69="",'Beállítások'!$B$84,MIN(10,MAX(1,ROUND('Ügyfelek'!E69,0)))))</f>
        <v/>
      </c>
      <c r="F69">
        <f>IF($A69="","",IF('Ügyfelek'!F69="",'Beállítások'!$B$84,MIN(10,MAX(1,ROUND('Ügyfelek'!F69,0)))))</f>
        <v/>
      </c>
      <c r="G69">
        <f>IF($A69="","",IF('Ügyfelek'!G69="",'Beállítások'!$B$84,MIN(10,MAX(1,ROUND('Ügyfelek'!G69,0)))))</f>
        <v/>
      </c>
      <c r="H69">
        <f>IF($A69="","",IF('Ügyfelek'!H69="",'Beállítások'!$B$84,MIN(10,MAX(1,ROUND('Ügyfelek'!H69,0)))))</f>
        <v/>
      </c>
      <c r="I69">
        <f>IF($A69="","",IF('Ügyfelek'!I69="",'Beállítások'!$B$84,MIN(10,MAX(1,ROUND('Ügyfelek'!I69,0)))))</f>
        <v/>
      </c>
      <c r="J69">
        <f>IF($A69="","",IF('Ügyfelek'!J69="",'Beállítások'!$B$84,MIN(10,MAX(1,ROUND('Ügyfelek'!J69,0)))))</f>
        <v/>
      </c>
      <c r="K69">
        <f>IF($A69="","",IF('Ügyfelek'!K69="",'Beállítások'!$B$84,MIN(10,MAX(1,ROUND('Ügyfelek'!K69,0)))))</f>
        <v/>
      </c>
      <c r="L69">
        <f>IF($A69="","",IF('Ügyfelek'!L69="",'Beállítások'!$B$84,MIN(10,MAX(1,ROUND('Ügyfelek'!L69,0)))))</f>
        <v/>
      </c>
      <c r="M69">
        <f>IF($A69="","",IF('Ügyfelek'!M69="",'Beállítások'!$B$84,MIN(10,MAX(1,ROUND('Ügyfelek'!M69,0)))))</f>
        <v/>
      </c>
      <c r="N69">
        <f>IF($A69="","",IF('Ügyfelek'!N69="",'Beállítások'!$B$84,MIN(10,MAX(1,ROUND('Ügyfelek'!N69,0)))))</f>
        <v/>
      </c>
      <c r="O69">
        <f>IF($A69="","",IF('Ügyfelek'!O69="",'Beállítások'!$B$84,MIN(10,MAX(1,ROUND('Ügyfelek'!O69,0)))))</f>
        <v/>
      </c>
      <c r="P69">
        <f>IF($A69="","",IF('Ügyfelek'!P69="",'Beállítások'!$B$84,MIN(10,MAX(1,ROUND('Ügyfelek'!P69,0)))))</f>
        <v/>
      </c>
      <c r="Q69">
        <f>IF($A69="","",IF('Ügyfelek'!Q69="",'Beállítások'!$B$84,MIN(10,MAX(1,ROUND('Ügyfelek'!Q69,0)))))</f>
        <v/>
      </c>
      <c r="R69">
        <f>IF($A69="","",IF('Ügyfelek'!R69="",'Beállítások'!$B$84,MIN(10,MAX(1,ROUND('Ügyfelek'!R69,0)))))</f>
        <v/>
      </c>
      <c r="S69">
        <f>IF($A69="","",IF('Ügyfelek'!S69="",'Beállítások'!$B$84,MIN(10,MAX(1,ROUND('Ügyfelek'!S69,0)))))</f>
        <v/>
      </c>
      <c r="T69">
        <f>IF($A69="","",IF('Ügyfelek'!T69="",'Beállítások'!$B$84,VLOOKUP(MAX('Ügyfelek'!T69,'Beállítások'!$H$7),'Beállítások'!$H$7:$I$12,2,TRUE)))</f>
        <v/>
      </c>
      <c r="U69">
        <f>IF($A69="","",IF('Ügyfelek'!U69="",'Beállítások'!$B$84,VLOOKUP(MAX('Ügyfelek'!U69,'Beállítások'!$K$7),'Beállítások'!$K$7:$L$12,2,TRUE)))</f>
        <v/>
      </c>
      <c r="V69">
        <f>IF($A69="","",IF('Ügyfelek'!V69="",'Beállítások'!$B$84,MIN(10,MAX(1,ROUND('Ügyfelek'!V69,0)))))</f>
        <v/>
      </c>
      <c r="W69">
        <f>IF($A69="","",IF('Ügyfelek'!W69="",'Beállítások'!$B$84,VLOOKUP(MAX('Ügyfelek'!W69,'Beállítások'!$N$7),'Beállítások'!$N$7:$O$12,2,TRUE)))</f>
        <v/>
      </c>
      <c r="X69">
        <f>IF($A69="","",IF('Ügyfelek'!X69="",'Beállítások'!$B$84,MIN(10,MAX(1,ROUND('Ügyfelek'!X69,0)))))</f>
        <v/>
      </c>
      <c r="Y69">
        <f>IF($A69="","",IF('Ügyfelek'!Y69="",'Beállítások'!$B$84,IFERROR(VLOOKUP(TRIM('Ügyfelek'!Y69),'Beállítások'!$A$63:$B$69,2,FALSE),'Beállítások'!$B$84)))</f>
        <v/>
      </c>
      <c r="Z69">
        <f>IF($A69="","",IF('Ügyfelek'!Z69="",'Beállítások'!$B$84,VLOOKUP(MAX('Ügyfelek'!Z69,'Beállítások'!$Q$7),'Beállítások'!$Q$7:$R$12,2,TRUE)))</f>
        <v/>
      </c>
      <c r="AA69">
        <f>IF($A69="","",IF('Ügyfelek'!AA69="",'Beállítások'!$B$84,VLOOKUP(MAX('Ügyfelek'!AA69,'Beállítások'!$T$7),'Beállítások'!$T$7:$U$12,2,TRUE)))</f>
        <v/>
      </c>
      <c r="AB69">
        <f>IF($A69="","",IF('Ügyfelek'!AB69="",'Beállítások'!$B$84,MIN(10,MAX(1,ROUND('Ügyfelek'!AB69,0)))))</f>
        <v/>
      </c>
      <c r="AC69">
        <f>IF($A69="","",IF('Ügyfelek'!AC69="",'Beállítások'!$B$84,MIN(10,MAX(1,ROUND('Ügyfelek'!AC69,0)))))</f>
        <v/>
      </c>
      <c r="AD69">
        <f>IF($A69="","",IF('Ügyfelek'!AD69="",'Beállítások'!$B$84,MIN(10,MAX(1,ROUND('Ügyfelek'!AD69,0)))))</f>
        <v/>
      </c>
      <c r="AE69">
        <f>IF($A69="","",IF('Ügyfelek'!AE69="",'Beállítások'!$B$84,MIN(10,MAX(1,ROUND('Ügyfelek'!AE69,0)))))</f>
        <v/>
      </c>
      <c r="AF69">
        <f>IF($A69="","",IF('Ügyfelek'!AF69="",'Beállítások'!$B$84,MIN(10,MAX(1,ROUND('Ügyfelek'!AF69,0)))))</f>
        <v/>
      </c>
      <c r="AG69">
        <f>IF($A69="","",IF('Ügyfelek'!AG69="",'Beállítások'!$B$84,MIN(10,MAX(1,ROUND('Ügyfelek'!AG69,0)))))</f>
        <v/>
      </c>
      <c r="AH69">
        <f>IF($A69="","",IF('Ügyfelek'!AH69="",'Beállítások'!$B$84,IFERROR(VLOOKUP(TRIM('Ügyfelek'!AH69),'Beállítások'!$A$73:$B$79,2,FALSE),'Beállítások'!$B$84)))</f>
        <v/>
      </c>
      <c r="AI69" s="23">
        <f>IF($A69="","",ROUND(100*('Beállítások'!$E$6*(B69-1)+'Beállítások'!$E$7*(C69-1))/(9*'Beállítások'!$B$43),1))</f>
        <v/>
      </c>
      <c r="AJ69" s="23">
        <f>IF($A69="","",ROUND(100*('Beállítások'!$E$8*(D69-1)+'Beállítások'!$E$9*(E69-1)+'Beállítások'!$E$10*(F69-1)+'Beállítások'!$E$11*(G69-1)+'Beállítások'!$E$12*(H69-1)+'Beállítások'!$E$13*(I69-1)+'Beállítások'!$E$14*(J69-1)+'Beállítások'!$E$15*(K69-1)+'Beállítások'!$E$16*(L69-1)+'Beállítások'!$E$17*(M69-1)+'Beállítások'!$E$18*(N69-1)+'Beállítások'!$E$19*(O69-1)+'Beállítások'!$E$20*(P69-1)+'Beállítások'!$E$21*(Q69-1)+'Beállítások'!$E$22*(R69-1))/(9*'Beállítások'!$B$44),1))</f>
        <v/>
      </c>
      <c r="AK69" s="23">
        <f>IF($A69="","",ROUND(100*('Beállítások'!$E$23*(S69-1)+'Beállítások'!$E$24*(T69-1)+'Beállítások'!$E$25*(U69-1)+'Beállítások'!$E$26*(V69-1)+'Beállítások'!$E$27*(W69-1)+'Beállítások'!$E$28*(X69-1)+'Beállítások'!$E$29*(Y69-1))/(9*'Beállítások'!$B$45),1))</f>
        <v/>
      </c>
      <c r="AL69" s="23">
        <f>IF($A69="","",ROUND(100*('Beállítások'!$E$30*(Z69-1)+'Beállítások'!$E$31*(AA69-1)+'Beállítások'!$E$32*(AB69-1)+'Beállítások'!$E$33*(AC69-1)+'Beállítások'!$E$34*(AD69-1)+'Beállítások'!$E$35*(AE69-1)+'Beállítások'!$E$36*(AF69-1)+'Beállítások'!$E$37*(AG69-1)+'Beállítások'!$E$38*(AH69-1))/(9*'Beállítások'!$B$46),1))</f>
        <v/>
      </c>
      <c r="AM69" s="23">
        <f>IF($A69="","",ROUND(100*('Beállítások'!$E$6*(B69-1)+'Beállítások'!$E$7*(C69-1)+'Beállítások'!$E$8*(D69-1)+'Beállítások'!$E$9*(E69-1)+'Beállítások'!$E$10*(F69-1)+'Beállítások'!$E$11*(G69-1)+'Beállítások'!$E$12*(H69-1)+'Beállítások'!$E$13*(I69-1)+'Beállítások'!$E$14*(J69-1)+'Beállítások'!$E$15*(K69-1)+'Beállítások'!$E$16*(L69-1)+'Beállítások'!$E$17*(M69-1)+'Beállítások'!$E$18*(N69-1)+'Beállítások'!$E$19*(O69-1)+'Beállítások'!$E$20*(P69-1)+'Beállítások'!$E$21*(Q69-1)+'Beállítások'!$E$22*(R69-1)+'Beállítások'!$E$23*(S69-1)+'Beállítások'!$E$24*(T69-1)+'Beállítások'!$E$25*(U69-1)+'Beállítások'!$E$26*(V69-1)+'Beállítások'!$E$27*(W69-1)+'Beállítások'!$E$28*(X69-1)+'Beállítások'!$E$29*(Y69-1)+'Beállítások'!$E$30*(Z69-1)+'Beállítások'!$E$31*(AA69-1)+'Beállítások'!$E$32*(AB69-1)+'Beállítások'!$E$33*(AC69-1)+'Beállítások'!$E$34*(AD69-1)+'Beállítások'!$E$35*(AE69-1)+'Beállítások'!$E$36*(AF69-1)+'Beállítások'!$E$37*(AG69-1)+'Beállítások'!$E$38*(AH69-1))/(9*'Beállítások'!$E$39),1))</f>
        <v/>
      </c>
      <c r="AN69" s="23">
        <f>IF($A69="","",ROUND(100*('Beállítások'!$E$8*(D69-1)+'Beállítások'!$E$9*(E69-1)+'Beállítások'!$E$10*(F69-1)+'Beállítások'!$E$11*(G69-1)+'Beállítások'!$E$12*(H69-1)+'Beállítások'!$E$13*(I69-1)+'Beállítások'!$E$14*(J69-1)+'Beállítások'!$E$15*(K69-1)+'Beállítások'!$E$16*(L69-1)+'Beállítások'!$E$17*(M69-1)+'Beállítások'!$E$18*(N69-1)+'Beállítások'!$E$19*(O69-1)+'Beállítások'!$E$20*(P69-1)+'Beállítások'!$E$21*(Q69-1)+'Beállítások'!$E$22*(R69-1)+'Beállítások'!$E$23*(S69-1)+'Beállítások'!$E$24*(T69-1)+'Beállítások'!$E$25*(U69-1)+'Beállítások'!$E$26*(V69-1)+'Beállítások'!$E$27*(W69-1)+'Beállítások'!$E$28*(X69-1)+'Beállítások'!$E$29*(Y69-1))/(9*('Beállítások'!$B$44+'Beállítások'!$B$45)),1))</f>
        <v/>
      </c>
      <c r="AO69" s="24">
        <f>IF($A69="","",RANK(AM69,$AM$2:$AM$201))</f>
        <v/>
      </c>
      <c r="AP69">
        <f>IF($A69="","",IF(OR(AND('Ügyfelek'!B69&lt;&gt;"",B69&lt;='Beállítások'!$B$85),AND('Ügyfelek'!C69&lt;&gt;"",C69&lt;='Beállítások'!$B$86)),"Igen","Nem"))</f>
        <v/>
      </c>
      <c r="AQ69" s="24">
        <f>IF($A69="","",IF(AP69="Igen",5,IF(AN69&gt;='Beállítások'!$C$108,1,IF(AN69&gt;='Beállítások'!$C$109,2,IF(AN69&gt;='Beállítások'!$C$110,3,IF(AND(AN69&gt;='Beállítások'!$B$87,AI69&gt;='Beállítások'!$B$88,AL69&gt;='Beállítások'!$B$89),4,5))))))</f>
        <v/>
      </c>
      <c r="AR69">
        <f>IF($A69="","",INDEX('Beállítások'!$B$108:$B$112,AQ69))</f>
        <v/>
      </c>
      <c r="AS69">
        <f>IF($A69="","",IF(AQ69=5,"Elutasítjuk",IF(AND(AQ69=4,COUNTIFS('Eredmény'!$AQ$2:$AQ$201,4,'Eredmény'!$DY$2:$DY$201,"&gt;"&amp;DY69)&gt;='Beállítások'!$B$90),"Várólista (a 4-es hely foglalt)","Elfogadjuk")))</f>
        <v/>
      </c>
      <c r="AT69">
        <f>IF($A69="","",INDEX('Beállítások'!$F$108:$F$112,AQ69))</f>
        <v/>
      </c>
      <c r="AU69">
        <f>IF($A69="","",INDEX('Beállítások'!$B$6:$B$38,MATCH(MAX(BK69:CQ69),BK69:CQ69,0)))</f>
        <v/>
      </c>
      <c r="AV69">
        <f>IF($A69="","",IF(MAX(CR69:DX69)=0,"—",INDEX('Beállítások'!$B$6:$B$38,MATCH(MAX(CR69:DX69),CR69:DX69,0))))</f>
        <v/>
      </c>
      <c r="AW69" s="10">
        <f>IF($A69="","",'Beállítások'!$B$94*(TRIM('Ügyfelek'!AI69)="igen")+'Beállítások'!$B$95*(TRIM('Ügyfelek'!AJ69)="igen")+'Beállítások'!$B$96*N('Ügyfelek'!AK69)+'Beállítások'!$B$93*N('Ügyfelek'!AL69))</f>
        <v/>
      </c>
      <c r="AX69" s="25">
        <f>IF(OR($A69="",AQ69=5),"",INDEX('Beállítások'!$D$108:$D$112,AQ69))</f>
        <v/>
      </c>
      <c r="AY69" s="10">
        <f>IF($A69="","",N('Ügyfelek'!U69)*'Beállítások'!$B$98)</f>
        <v/>
      </c>
      <c r="AZ69" s="10">
        <f>IF(OR($A69="",AQ69=5),"",CEILING(ROUND(MAX('Beállítások'!$B$97,AW69*AX69,AY69),2),'Beállítások'!$B$99))</f>
        <v/>
      </c>
      <c r="BA69">
        <f>IF($A69="","",IF(AQ69=5,"Elutasítva",IF(MAX('Beállítások'!$B$97,AW69*AX69,AY69)=AW69*AX69,"Munkaigény × státuszszorzó",IF(MAX('Beállítások'!$B$97,AW69*AX69,AY69)=AY69,"Hirdetési keret arányában","Minimumdíj"))))</f>
        <v/>
      </c>
      <c r="BB69" s="10">
        <f>IF(OR($A69="",'Ügyfelek'!AM69=""),"",'Ügyfelek'!AM69)</f>
        <v/>
      </c>
      <c r="BC69" s="10">
        <f>IF(OR(BB69="",AZ69=""),"",AZ69-BB69)</f>
        <v/>
      </c>
      <c r="BD69" s="18">
        <f>IF(OR(BB69="",AZ69="",BB69=0),"",BC69/BB69)</f>
        <v/>
      </c>
      <c r="BE69">
        <f>IF(OR($A69="",AQ69=5),"",IF(AND(INDEX('Beállítások'!$E$108:$E$112,AQ69)&gt;0,Y69&gt;='Beállítások'!$B$91),"Igen","Nem"))</f>
        <v/>
      </c>
      <c r="BF69" s="10">
        <f>IF(BE69="Igen",CEILING(ROUND(AZ69*(1-'Beállítások'!$B$92),2),'Beállítások'!$B$99),"")</f>
        <v/>
      </c>
      <c r="BG69" s="20">
        <f>IF(BE69="Igen",INDEX('Beállítások'!$E$108:$E$112,AQ69),"")</f>
        <v/>
      </c>
      <c r="BH69" s="10">
        <f>IF(OR(BE69&lt;&gt;"Igen",'Ügyfelek'!AN69=""),"",'Ügyfelek'!AN69*BG69)</f>
        <v/>
      </c>
      <c r="BI69" s="24">
        <f>IF($A69="","",('Ügyfelek'!B69="")+('Ügyfelek'!C69="")+('Ügyfelek'!D69="")+('Ügyfelek'!E69="")+('Ügyfelek'!F69="")+('Ügyfelek'!G69="")+('Ügyfelek'!H69="")+('Ügyfelek'!I69="")+('Ügyfelek'!J69="")+('Ügyfelek'!K69="")+('Ügyfelek'!L69="")+('Ügyfelek'!M69="")+('Ügyfelek'!N69="")+('Ügyfelek'!O69="")+('Ügyfelek'!P69="")+('Ügyfelek'!Q69="")+('Ügyfelek'!R69="")+('Ügyfelek'!S69="")+('Ügyfelek'!T69="")+('Ügyfelek'!U69="")+('Ügyfelek'!V69="")+('Ügyfelek'!W69="")+('Ügyfelek'!X69="")+('Ügyfelek'!Y69="")+('Ügyfelek'!Z69="")+('Ügyfelek'!AA69="")+('Ügyfelek'!AB69="")+('Ügyfelek'!AC69="")+('Ügyfelek'!AD69="")+('Ügyfelek'!AE69="")+('Ügyfelek'!AF69="")+('Ügyfelek'!AG69="")+('Ügyfelek'!AH69=""))</f>
        <v/>
      </c>
      <c r="BK69">
        <f>IF($A69="","",B69+'Beállítások'!$E$6/1000)</f>
        <v/>
      </c>
      <c r="BL69">
        <f>IF($A69="","",C69+'Beállítások'!$E$7/1000)</f>
        <v/>
      </c>
      <c r="BM69">
        <f>IF($A69="","",D69+'Beállítások'!$E$8/1000)</f>
        <v/>
      </c>
      <c r="BN69">
        <f>IF($A69="","",E69+'Beállítások'!$E$9/1000)</f>
        <v/>
      </c>
      <c r="BO69">
        <f>IF($A69="","",F69+'Beállítások'!$E$10/1000)</f>
        <v/>
      </c>
      <c r="BP69">
        <f>IF($A69="","",G69+'Beállítások'!$E$11/1000)</f>
        <v/>
      </c>
      <c r="BQ69">
        <f>IF($A69="","",H69+'Beállítások'!$E$12/1000)</f>
        <v/>
      </c>
      <c r="BR69">
        <f>IF($A69="","",I69+'Beállítások'!$E$13/1000)</f>
        <v/>
      </c>
      <c r="BS69">
        <f>IF($A69="","",J69+'Beállítások'!$E$14/1000)</f>
        <v/>
      </c>
      <c r="BT69">
        <f>IF($A69="","",K69+'Beállítások'!$E$15/1000)</f>
        <v/>
      </c>
      <c r="BU69">
        <f>IF($A69="","",L69+'Beállítások'!$E$16/1000)</f>
        <v/>
      </c>
      <c r="BV69">
        <f>IF($A69="","",M69+'Beállítások'!$E$17/1000)</f>
        <v/>
      </c>
      <c r="BW69">
        <f>IF($A69="","",N69+'Beállítások'!$E$18/1000)</f>
        <v/>
      </c>
      <c r="BX69">
        <f>IF($A69="","",O69+'Beállítások'!$E$19/1000)</f>
        <v/>
      </c>
      <c r="BY69">
        <f>IF($A69="","",P69+'Beállítások'!$E$20/1000)</f>
        <v/>
      </c>
      <c r="BZ69">
        <f>IF($A69="","",Q69+'Beállítások'!$E$21/1000)</f>
        <v/>
      </c>
      <c r="CA69">
        <f>IF($A69="","",R69+'Beállítások'!$E$22/1000)</f>
        <v/>
      </c>
      <c r="CB69">
        <f>IF($A69="","",S69+'Beállítások'!$E$23/1000)</f>
        <v/>
      </c>
      <c r="CC69">
        <f>IF($A69="","",T69+'Beállítások'!$E$24/1000)</f>
        <v/>
      </c>
      <c r="CD69">
        <f>IF($A69="","",U69+'Beállítások'!$E$25/1000)</f>
        <v/>
      </c>
      <c r="CE69">
        <f>IF($A69="","",V69+'Beállítások'!$E$26/1000)</f>
        <v/>
      </c>
      <c r="CF69">
        <f>IF($A69="","",W69+'Beállítások'!$E$27/1000)</f>
        <v/>
      </c>
      <c r="CG69">
        <f>IF($A69="","",X69+'Beállítások'!$E$28/1000)</f>
        <v/>
      </c>
      <c r="CH69">
        <f>IF($A69="","",Y69+'Beállítások'!$E$29/1000)</f>
        <v/>
      </c>
      <c r="CI69">
        <f>IF($A69="","",Z69+'Beállítások'!$E$30/1000)</f>
        <v/>
      </c>
      <c r="CJ69">
        <f>IF($A69="","",AA69+'Beállítások'!$E$31/1000)</f>
        <v/>
      </c>
      <c r="CK69">
        <f>IF($A69="","",AB69+'Beállítások'!$E$32/1000)</f>
        <v/>
      </c>
      <c r="CL69">
        <f>IF($A69="","",AC69+'Beállítások'!$E$33/1000)</f>
        <v/>
      </c>
      <c r="CM69">
        <f>IF($A69="","",AD69+'Beállítások'!$E$34/1000)</f>
        <v/>
      </c>
      <c r="CN69">
        <f>IF($A69="","",AE69+'Beállítások'!$E$35/1000)</f>
        <v/>
      </c>
      <c r="CO69">
        <f>IF($A69="","",AF69+'Beállítások'!$E$36/1000)</f>
        <v/>
      </c>
      <c r="CP69">
        <f>IF($A69="","",AG69+'Beállítások'!$E$37/1000)</f>
        <v/>
      </c>
      <c r="CQ69">
        <f>IF($A69="","",AH69+'Beállítások'!$E$38/1000)</f>
        <v/>
      </c>
      <c r="CR69">
        <f>IF($A69="","",'Beállítások'!$E$6*(10-B69))</f>
        <v/>
      </c>
      <c r="CS69">
        <f>IF($A69="","",'Beállítások'!$E$7*(10-C69))</f>
        <v/>
      </c>
      <c r="CT69">
        <f>IF($A69="","",'Beállítások'!$E$8*(10-D69))</f>
        <v/>
      </c>
      <c r="CU69">
        <f>IF($A69="","",'Beállítások'!$E$9*(10-E69))</f>
        <v/>
      </c>
      <c r="CV69">
        <f>IF($A69="","",'Beállítások'!$E$10*(10-F69))</f>
        <v/>
      </c>
      <c r="CW69">
        <f>IF($A69="","",'Beállítások'!$E$11*(10-G69))</f>
        <v/>
      </c>
      <c r="CX69">
        <f>IF($A69="","",'Beállítások'!$E$12*(10-H69))</f>
        <v/>
      </c>
      <c r="CY69">
        <f>IF($A69="","",'Beállítások'!$E$13*(10-I69))</f>
        <v/>
      </c>
      <c r="CZ69">
        <f>IF($A69="","",'Beállítások'!$E$14*(10-J69))</f>
        <v/>
      </c>
      <c r="DA69">
        <f>IF($A69="","",'Beállítások'!$E$15*(10-K69))</f>
        <v/>
      </c>
      <c r="DB69">
        <f>IF($A69="","",'Beállítások'!$E$16*(10-L69))</f>
        <v/>
      </c>
      <c r="DC69">
        <f>IF($A69="","",'Beállítások'!$E$17*(10-M69))</f>
        <v/>
      </c>
      <c r="DD69">
        <f>IF($A69="","",'Beállítások'!$E$18*(10-N69))</f>
        <v/>
      </c>
      <c r="DE69">
        <f>IF($A69="","",'Beállítások'!$E$19*(10-O69))</f>
        <v/>
      </c>
      <c r="DF69">
        <f>IF($A69="","",'Beállítások'!$E$20*(10-P69))</f>
        <v/>
      </c>
      <c r="DG69">
        <f>IF($A69="","",'Beállítások'!$E$21*(10-Q69))</f>
        <v/>
      </c>
      <c r="DH69">
        <f>IF($A69="","",'Beállítások'!$E$22*(10-R69))</f>
        <v/>
      </c>
      <c r="DI69">
        <f>IF($A69="","",'Beállítások'!$E$23*(10-S69))</f>
        <v/>
      </c>
      <c r="DJ69">
        <f>IF($A69="","",'Beállítások'!$E$24*(10-T69))</f>
        <v/>
      </c>
      <c r="DK69">
        <f>IF($A69="","",'Beállítások'!$E$25*(10-U69))</f>
        <v/>
      </c>
      <c r="DL69">
        <f>IF($A69="","",'Beállítások'!$E$26*(10-V69))</f>
        <v/>
      </c>
      <c r="DM69">
        <f>IF($A69="","",'Beállítások'!$E$27*(10-W69))</f>
        <v/>
      </c>
      <c r="DN69">
        <f>IF($A69="","",'Beállítások'!$E$28*(10-X69))</f>
        <v/>
      </c>
      <c r="DO69">
        <f>IF($A69="","",'Beállítások'!$E$29*(10-Y69))</f>
        <v/>
      </c>
      <c r="DP69">
        <f>IF($A69="","",'Beállítások'!$E$30*(10-Z69))</f>
        <v/>
      </c>
      <c r="DQ69">
        <f>IF($A69="","",'Beállítások'!$E$31*(10-AA69))</f>
        <v/>
      </c>
      <c r="DR69">
        <f>IF($A69="","",'Beállítások'!$E$32*(10-AB69))</f>
        <v/>
      </c>
      <c r="DS69">
        <f>IF($A69="","",'Beállítások'!$E$33*(10-AC69))</f>
        <v/>
      </c>
      <c r="DT69">
        <f>IF($A69="","",'Beállítások'!$E$34*(10-AD69))</f>
        <v/>
      </c>
      <c r="DU69">
        <f>IF($A69="","",'Beállítások'!$E$35*(10-AE69))</f>
        <v/>
      </c>
      <c r="DV69">
        <f>IF($A69="","",'Beállítások'!$E$36*(10-AF69))</f>
        <v/>
      </c>
      <c r="DW69">
        <f>IF($A69="","",'Beállítások'!$E$37*(10-AG69))</f>
        <v/>
      </c>
      <c r="DX69">
        <f>IF($A69="","",'Beállítások'!$E$38*(10-AH69))</f>
        <v/>
      </c>
      <c r="DY69">
        <f>IF($A69="","",AM69-ROW()/100000)</f>
        <v/>
      </c>
    </row>
    <row r="70">
      <c r="A70">
        <f>IF('Ügyfelek'!A70="","",'Ügyfelek'!A70)</f>
        <v/>
      </c>
      <c r="B70">
        <f>IF($A70="","",IF('Ügyfelek'!B70="",'Beállítások'!$B$84,IFERROR(VLOOKUP(TRIM('Ügyfelek'!B70),'Beállítások'!$A$51:$B$59,2,FALSE),'Beállítások'!$B$84)))</f>
        <v/>
      </c>
      <c r="C70">
        <f>IF($A70="","",IF('Ügyfelek'!C70="",'Beállítások'!$B$84,MIN(10,MAX(1,ROUND('Ügyfelek'!C70,0)))))</f>
        <v/>
      </c>
      <c r="D70">
        <f>IF($A70="","",IF('Ügyfelek'!D70="",'Beállítások'!$B$84,MIN(10,MAX(1,ROUND('Ügyfelek'!D70,0)))))</f>
        <v/>
      </c>
      <c r="E70">
        <f>IF($A70="","",IF('Ügyfelek'!E70="",'Beállítások'!$B$84,MIN(10,MAX(1,ROUND('Ügyfelek'!E70,0)))))</f>
        <v/>
      </c>
      <c r="F70">
        <f>IF($A70="","",IF('Ügyfelek'!F70="",'Beállítások'!$B$84,MIN(10,MAX(1,ROUND('Ügyfelek'!F70,0)))))</f>
        <v/>
      </c>
      <c r="G70">
        <f>IF($A70="","",IF('Ügyfelek'!G70="",'Beállítások'!$B$84,MIN(10,MAX(1,ROUND('Ügyfelek'!G70,0)))))</f>
        <v/>
      </c>
      <c r="H70">
        <f>IF($A70="","",IF('Ügyfelek'!H70="",'Beállítások'!$B$84,MIN(10,MAX(1,ROUND('Ügyfelek'!H70,0)))))</f>
        <v/>
      </c>
      <c r="I70">
        <f>IF($A70="","",IF('Ügyfelek'!I70="",'Beállítások'!$B$84,MIN(10,MAX(1,ROUND('Ügyfelek'!I70,0)))))</f>
        <v/>
      </c>
      <c r="J70">
        <f>IF($A70="","",IF('Ügyfelek'!J70="",'Beállítások'!$B$84,MIN(10,MAX(1,ROUND('Ügyfelek'!J70,0)))))</f>
        <v/>
      </c>
      <c r="K70">
        <f>IF($A70="","",IF('Ügyfelek'!K70="",'Beállítások'!$B$84,MIN(10,MAX(1,ROUND('Ügyfelek'!K70,0)))))</f>
        <v/>
      </c>
      <c r="L70">
        <f>IF($A70="","",IF('Ügyfelek'!L70="",'Beállítások'!$B$84,MIN(10,MAX(1,ROUND('Ügyfelek'!L70,0)))))</f>
        <v/>
      </c>
      <c r="M70">
        <f>IF($A70="","",IF('Ügyfelek'!M70="",'Beállítások'!$B$84,MIN(10,MAX(1,ROUND('Ügyfelek'!M70,0)))))</f>
        <v/>
      </c>
      <c r="N70">
        <f>IF($A70="","",IF('Ügyfelek'!N70="",'Beállítások'!$B$84,MIN(10,MAX(1,ROUND('Ügyfelek'!N70,0)))))</f>
        <v/>
      </c>
      <c r="O70">
        <f>IF($A70="","",IF('Ügyfelek'!O70="",'Beállítások'!$B$84,MIN(10,MAX(1,ROUND('Ügyfelek'!O70,0)))))</f>
        <v/>
      </c>
      <c r="P70">
        <f>IF($A70="","",IF('Ügyfelek'!P70="",'Beállítások'!$B$84,MIN(10,MAX(1,ROUND('Ügyfelek'!P70,0)))))</f>
        <v/>
      </c>
      <c r="Q70">
        <f>IF($A70="","",IF('Ügyfelek'!Q70="",'Beállítások'!$B$84,MIN(10,MAX(1,ROUND('Ügyfelek'!Q70,0)))))</f>
        <v/>
      </c>
      <c r="R70">
        <f>IF($A70="","",IF('Ügyfelek'!R70="",'Beállítások'!$B$84,MIN(10,MAX(1,ROUND('Ügyfelek'!R70,0)))))</f>
        <v/>
      </c>
      <c r="S70">
        <f>IF($A70="","",IF('Ügyfelek'!S70="",'Beállítások'!$B$84,MIN(10,MAX(1,ROUND('Ügyfelek'!S70,0)))))</f>
        <v/>
      </c>
      <c r="T70">
        <f>IF($A70="","",IF('Ügyfelek'!T70="",'Beállítások'!$B$84,VLOOKUP(MAX('Ügyfelek'!T70,'Beállítások'!$H$7),'Beállítások'!$H$7:$I$12,2,TRUE)))</f>
        <v/>
      </c>
      <c r="U70">
        <f>IF($A70="","",IF('Ügyfelek'!U70="",'Beállítások'!$B$84,VLOOKUP(MAX('Ügyfelek'!U70,'Beállítások'!$K$7),'Beállítások'!$K$7:$L$12,2,TRUE)))</f>
        <v/>
      </c>
      <c r="V70">
        <f>IF($A70="","",IF('Ügyfelek'!V70="",'Beállítások'!$B$84,MIN(10,MAX(1,ROUND('Ügyfelek'!V70,0)))))</f>
        <v/>
      </c>
      <c r="W70">
        <f>IF($A70="","",IF('Ügyfelek'!W70="",'Beállítások'!$B$84,VLOOKUP(MAX('Ügyfelek'!W70,'Beállítások'!$N$7),'Beállítások'!$N$7:$O$12,2,TRUE)))</f>
        <v/>
      </c>
      <c r="X70">
        <f>IF($A70="","",IF('Ügyfelek'!X70="",'Beállítások'!$B$84,MIN(10,MAX(1,ROUND('Ügyfelek'!X70,0)))))</f>
        <v/>
      </c>
      <c r="Y70">
        <f>IF($A70="","",IF('Ügyfelek'!Y70="",'Beállítások'!$B$84,IFERROR(VLOOKUP(TRIM('Ügyfelek'!Y70),'Beállítások'!$A$63:$B$69,2,FALSE),'Beállítások'!$B$84)))</f>
        <v/>
      </c>
      <c r="Z70">
        <f>IF($A70="","",IF('Ügyfelek'!Z70="",'Beállítások'!$B$84,VLOOKUP(MAX('Ügyfelek'!Z70,'Beállítások'!$Q$7),'Beállítások'!$Q$7:$R$12,2,TRUE)))</f>
        <v/>
      </c>
      <c r="AA70">
        <f>IF($A70="","",IF('Ügyfelek'!AA70="",'Beállítások'!$B$84,VLOOKUP(MAX('Ügyfelek'!AA70,'Beállítások'!$T$7),'Beállítások'!$T$7:$U$12,2,TRUE)))</f>
        <v/>
      </c>
      <c r="AB70">
        <f>IF($A70="","",IF('Ügyfelek'!AB70="",'Beállítások'!$B$84,MIN(10,MAX(1,ROUND('Ügyfelek'!AB70,0)))))</f>
        <v/>
      </c>
      <c r="AC70">
        <f>IF($A70="","",IF('Ügyfelek'!AC70="",'Beállítások'!$B$84,MIN(10,MAX(1,ROUND('Ügyfelek'!AC70,0)))))</f>
        <v/>
      </c>
      <c r="AD70">
        <f>IF($A70="","",IF('Ügyfelek'!AD70="",'Beállítások'!$B$84,MIN(10,MAX(1,ROUND('Ügyfelek'!AD70,0)))))</f>
        <v/>
      </c>
      <c r="AE70">
        <f>IF($A70="","",IF('Ügyfelek'!AE70="",'Beállítások'!$B$84,MIN(10,MAX(1,ROUND('Ügyfelek'!AE70,0)))))</f>
        <v/>
      </c>
      <c r="AF70">
        <f>IF($A70="","",IF('Ügyfelek'!AF70="",'Beállítások'!$B$84,MIN(10,MAX(1,ROUND('Ügyfelek'!AF70,0)))))</f>
        <v/>
      </c>
      <c r="AG70">
        <f>IF($A70="","",IF('Ügyfelek'!AG70="",'Beállítások'!$B$84,MIN(10,MAX(1,ROUND('Ügyfelek'!AG70,0)))))</f>
        <v/>
      </c>
      <c r="AH70">
        <f>IF($A70="","",IF('Ügyfelek'!AH70="",'Beállítások'!$B$84,IFERROR(VLOOKUP(TRIM('Ügyfelek'!AH70),'Beállítások'!$A$73:$B$79,2,FALSE),'Beállítások'!$B$84)))</f>
        <v/>
      </c>
      <c r="AI70" s="23">
        <f>IF($A70="","",ROUND(100*('Beállítások'!$E$6*(B70-1)+'Beállítások'!$E$7*(C70-1))/(9*'Beállítások'!$B$43),1))</f>
        <v/>
      </c>
      <c r="AJ70" s="23">
        <f>IF($A70="","",ROUND(100*('Beállítások'!$E$8*(D70-1)+'Beállítások'!$E$9*(E70-1)+'Beállítások'!$E$10*(F70-1)+'Beállítások'!$E$11*(G70-1)+'Beállítások'!$E$12*(H70-1)+'Beállítások'!$E$13*(I70-1)+'Beállítások'!$E$14*(J70-1)+'Beállítások'!$E$15*(K70-1)+'Beállítások'!$E$16*(L70-1)+'Beállítások'!$E$17*(M70-1)+'Beállítások'!$E$18*(N70-1)+'Beállítások'!$E$19*(O70-1)+'Beállítások'!$E$20*(P70-1)+'Beállítások'!$E$21*(Q70-1)+'Beállítások'!$E$22*(R70-1))/(9*'Beállítások'!$B$44),1))</f>
        <v/>
      </c>
      <c r="AK70" s="23">
        <f>IF($A70="","",ROUND(100*('Beállítások'!$E$23*(S70-1)+'Beállítások'!$E$24*(T70-1)+'Beállítások'!$E$25*(U70-1)+'Beállítások'!$E$26*(V70-1)+'Beállítások'!$E$27*(W70-1)+'Beállítások'!$E$28*(X70-1)+'Beállítások'!$E$29*(Y70-1))/(9*'Beállítások'!$B$45),1))</f>
        <v/>
      </c>
      <c r="AL70" s="23">
        <f>IF($A70="","",ROUND(100*('Beállítások'!$E$30*(Z70-1)+'Beállítások'!$E$31*(AA70-1)+'Beállítások'!$E$32*(AB70-1)+'Beállítások'!$E$33*(AC70-1)+'Beállítások'!$E$34*(AD70-1)+'Beállítások'!$E$35*(AE70-1)+'Beállítások'!$E$36*(AF70-1)+'Beállítások'!$E$37*(AG70-1)+'Beállítások'!$E$38*(AH70-1))/(9*'Beállítások'!$B$46),1))</f>
        <v/>
      </c>
      <c r="AM70" s="23">
        <f>IF($A70="","",ROUND(100*('Beállítások'!$E$6*(B70-1)+'Beállítások'!$E$7*(C70-1)+'Beállítások'!$E$8*(D70-1)+'Beállítások'!$E$9*(E70-1)+'Beállítások'!$E$10*(F70-1)+'Beállítások'!$E$11*(G70-1)+'Beállítások'!$E$12*(H70-1)+'Beállítások'!$E$13*(I70-1)+'Beállítások'!$E$14*(J70-1)+'Beállítások'!$E$15*(K70-1)+'Beállítások'!$E$16*(L70-1)+'Beállítások'!$E$17*(M70-1)+'Beállítások'!$E$18*(N70-1)+'Beállítások'!$E$19*(O70-1)+'Beállítások'!$E$20*(P70-1)+'Beállítások'!$E$21*(Q70-1)+'Beállítások'!$E$22*(R70-1)+'Beállítások'!$E$23*(S70-1)+'Beállítások'!$E$24*(T70-1)+'Beállítások'!$E$25*(U70-1)+'Beállítások'!$E$26*(V70-1)+'Beállítások'!$E$27*(W70-1)+'Beállítások'!$E$28*(X70-1)+'Beállítások'!$E$29*(Y70-1)+'Beállítások'!$E$30*(Z70-1)+'Beállítások'!$E$31*(AA70-1)+'Beállítások'!$E$32*(AB70-1)+'Beállítások'!$E$33*(AC70-1)+'Beállítások'!$E$34*(AD70-1)+'Beállítások'!$E$35*(AE70-1)+'Beállítások'!$E$36*(AF70-1)+'Beállítások'!$E$37*(AG70-1)+'Beállítások'!$E$38*(AH70-1))/(9*'Beállítások'!$E$39),1))</f>
        <v/>
      </c>
      <c r="AN70" s="23">
        <f>IF($A70="","",ROUND(100*('Beállítások'!$E$8*(D70-1)+'Beállítások'!$E$9*(E70-1)+'Beállítások'!$E$10*(F70-1)+'Beállítások'!$E$11*(G70-1)+'Beállítások'!$E$12*(H70-1)+'Beállítások'!$E$13*(I70-1)+'Beállítások'!$E$14*(J70-1)+'Beállítások'!$E$15*(K70-1)+'Beállítások'!$E$16*(L70-1)+'Beállítások'!$E$17*(M70-1)+'Beállítások'!$E$18*(N70-1)+'Beállítások'!$E$19*(O70-1)+'Beállítások'!$E$20*(P70-1)+'Beállítások'!$E$21*(Q70-1)+'Beállítások'!$E$22*(R70-1)+'Beállítások'!$E$23*(S70-1)+'Beállítások'!$E$24*(T70-1)+'Beállítások'!$E$25*(U70-1)+'Beállítások'!$E$26*(V70-1)+'Beállítások'!$E$27*(W70-1)+'Beállítások'!$E$28*(X70-1)+'Beállítások'!$E$29*(Y70-1))/(9*('Beállítások'!$B$44+'Beállítások'!$B$45)),1))</f>
        <v/>
      </c>
      <c r="AO70" s="24">
        <f>IF($A70="","",RANK(AM70,$AM$2:$AM$201))</f>
        <v/>
      </c>
      <c r="AP70">
        <f>IF($A70="","",IF(OR(AND('Ügyfelek'!B70&lt;&gt;"",B70&lt;='Beállítások'!$B$85),AND('Ügyfelek'!C70&lt;&gt;"",C70&lt;='Beállítások'!$B$86)),"Igen","Nem"))</f>
        <v/>
      </c>
      <c r="AQ70" s="24">
        <f>IF($A70="","",IF(AP70="Igen",5,IF(AN70&gt;='Beállítások'!$C$108,1,IF(AN70&gt;='Beállítások'!$C$109,2,IF(AN70&gt;='Beállítások'!$C$110,3,IF(AND(AN70&gt;='Beállítások'!$B$87,AI70&gt;='Beállítások'!$B$88,AL70&gt;='Beállítások'!$B$89),4,5))))))</f>
        <v/>
      </c>
      <c r="AR70">
        <f>IF($A70="","",INDEX('Beállítások'!$B$108:$B$112,AQ70))</f>
        <v/>
      </c>
      <c r="AS70">
        <f>IF($A70="","",IF(AQ70=5,"Elutasítjuk",IF(AND(AQ70=4,COUNTIFS('Eredmény'!$AQ$2:$AQ$201,4,'Eredmény'!$DY$2:$DY$201,"&gt;"&amp;DY70)&gt;='Beállítások'!$B$90),"Várólista (a 4-es hely foglalt)","Elfogadjuk")))</f>
        <v/>
      </c>
      <c r="AT70">
        <f>IF($A70="","",INDEX('Beállítások'!$F$108:$F$112,AQ70))</f>
        <v/>
      </c>
      <c r="AU70">
        <f>IF($A70="","",INDEX('Beállítások'!$B$6:$B$38,MATCH(MAX(BK70:CQ70),BK70:CQ70,0)))</f>
        <v/>
      </c>
      <c r="AV70">
        <f>IF($A70="","",IF(MAX(CR70:DX70)=0,"—",INDEX('Beállítások'!$B$6:$B$38,MATCH(MAX(CR70:DX70),CR70:DX70,0))))</f>
        <v/>
      </c>
      <c r="AW70" s="10">
        <f>IF($A70="","",'Beállítások'!$B$94*(TRIM('Ügyfelek'!AI70)="igen")+'Beállítások'!$B$95*(TRIM('Ügyfelek'!AJ70)="igen")+'Beállítások'!$B$96*N('Ügyfelek'!AK70)+'Beállítások'!$B$93*N('Ügyfelek'!AL70))</f>
        <v/>
      </c>
      <c r="AX70" s="25">
        <f>IF(OR($A70="",AQ70=5),"",INDEX('Beállítások'!$D$108:$D$112,AQ70))</f>
        <v/>
      </c>
      <c r="AY70" s="10">
        <f>IF($A70="","",N('Ügyfelek'!U70)*'Beállítások'!$B$98)</f>
        <v/>
      </c>
      <c r="AZ70" s="10">
        <f>IF(OR($A70="",AQ70=5),"",CEILING(ROUND(MAX('Beállítások'!$B$97,AW70*AX70,AY70),2),'Beállítások'!$B$99))</f>
        <v/>
      </c>
      <c r="BA70">
        <f>IF($A70="","",IF(AQ70=5,"Elutasítva",IF(MAX('Beállítások'!$B$97,AW70*AX70,AY70)=AW70*AX70,"Munkaigény × státuszszorzó",IF(MAX('Beállítások'!$B$97,AW70*AX70,AY70)=AY70,"Hirdetési keret arányában","Minimumdíj"))))</f>
        <v/>
      </c>
      <c r="BB70" s="10">
        <f>IF(OR($A70="",'Ügyfelek'!AM70=""),"",'Ügyfelek'!AM70)</f>
        <v/>
      </c>
      <c r="BC70" s="10">
        <f>IF(OR(BB70="",AZ70=""),"",AZ70-BB70)</f>
        <v/>
      </c>
      <c r="BD70" s="18">
        <f>IF(OR(BB70="",AZ70="",BB70=0),"",BC70/BB70)</f>
        <v/>
      </c>
      <c r="BE70">
        <f>IF(OR($A70="",AQ70=5),"",IF(AND(INDEX('Beállítások'!$E$108:$E$112,AQ70)&gt;0,Y70&gt;='Beállítások'!$B$91),"Igen","Nem"))</f>
        <v/>
      </c>
      <c r="BF70" s="10">
        <f>IF(BE70="Igen",CEILING(ROUND(AZ70*(1-'Beállítások'!$B$92),2),'Beállítások'!$B$99),"")</f>
        <v/>
      </c>
      <c r="BG70" s="20">
        <f>IF(BE70="Igen",INDEX('Beállítások'!$E$108:$E$112,AQ70),"")</f>
        <v/>
      </c>
      <c r="BH70" s="10">
        <f>IF(OR(BE70&lt;&gt;"Igen",'Ügyfelek'!AN70=""),"",'Ügyfelek'!AN70*BG70)</f>
        <v/>
      </c>
      <c r="BI70" s="24">
        <f>IF($A70="","",('Ügyfelek'!B70="")+('Ügyfelek'!C70="")+('Ügyfelek'!D70="")+('Ügyfelek'!E70="")+('Ügyfelek'!F70="")+('Ügyfelek'!G70="")+('Ügyfelek'!H70="")+('Ügyfelek'!I70="")+('Ügyfelek'!J70="")+('Ügyfelek'!K70="")+('Ügyfelek'!L70="")+('Ügyfelek'!M70="")+('Ügyfelek'!N70="")+('Ügyfelek'!O70="")+('Ügyfelek'!P70="")+('Ügyfelek'!Q70="")+('Ügyfelek'!R70="")+('Ügyfelek'!S70="")+('Ügyfelek'!T70="")+('Ügyfelek'!U70="")+('Ügyfelek'!V70="")+('Ügyfelek'!W70="")+('Ügyfelek'!X70="")+('Ügyfelek'!Y70="")+('Ügyfelek'!Z70="")+('Ügyfelek'!AA70="")+('Ügyfelek'!AB70="")+('Ügyfelek'!AC70="")+('Ügyfelek'!AD70="")+('Ügyfelek'!AE70="")+('Ügyfelek'!AF70="")+('Ügyfelek'!AG70="")+('Ügyfelek'!AH70=""))</f>
        <v/>
      </c>
      <c r="BK70">
        <f>IF($A70="","",B70+'Beállítások'!$E$6/1000)</f>
        <v/>
      </c>
      <c r="BL70">
        <f>IF($A70="","",C70+'Beállítások'!$E$7/1000)</f>
        <v/>
      </c>
      <c r="BM70">
        <f>IF($A70="","",D70+'Beállítások'!$E$8/1000)</f>
        <v/>
      </c>
      <c r="BN70">
        <f>IF($A70="","",E70+'Beállítások'!$E$9/1000)</f>
        <v/>
      </c>
      <c r="BO70">
        <f>IF($A70="","",F70+'Beállítások'!$E$10/1000)</f>
        <v/>
      </c>
      <c r="BP70">
        <f>IF($A70="","",G70+'Beállítások'!$E$11/1000)</f>
        <v/>
      </c>
      <c r="BQ70">
        <f>IF($A70="","",H70+'Beállítások'!$E$12/1000)</f>
        <v/>
      </c>
      <c r="BR70">
        <f>IF($A70="","",I70+'Beállítások'!$E$13/1000)</f>
        <v/>
      </c>
      <c r="BS70">
        <f>IF($A70="","",J70+'Beállítások'!$E$14/1000)</f>
        <v/>
      </c>
      <c r="BT70">
        <f>IF($A70="","",K70+'Beállítások'!$E$15/1000)</f>
        <v/>
      </c>
      <c r="BU70">
        <f>IF($A70="","",L70+'Beállítások'!$E$16/1000)</f>
        <v/>
      </c>
      <c r="BV70">
        <f>IF($A70="","",M70+'Beállítások'!$E$17/1000)</f>
        <v/>
      </c>
      <c r="BW70">
        <f>IF($A70="","",N70+'Beállítások'!$E$18/1000)</f>
        <v/>
      </c>
      <c r="BX70">
        <f>IF($A70="","",O70+'Beállítások'!$E$19/1000)</f>
        <v/>
      </c>
      <c r="BY70">
        <f>IF($A70="","",P70+'Beállítások'!$E$20/1000)</f>
        <v/>
      </c>
      <c r="BZ70">
        <f>IF($A70="","",Q70+'Beállítások'!$E$21/1000)</f>
        <v/>
      </c>
      <c r="CA70">
        <f>IF($A70="","",R70+'Beállítások'!$E$22/1000)</f>
        <v/>
      </c>
      <c r="CB70">
        <f>IF($A70="","",S70+'Beállítások'!$E$23/1000)</f>
        <v/>
      </c>
      <c r="CC70">
        <f>IF($A70="","",T70+'Beállítások'!$E$24/1000)</f>
        <v/>
      </c>
      <c r="CD70">
        <f>IF($A70="","",U70+'Beállítások'!$E$25/1000)</f>
        <v/>
      </c>
      <c r="CE70">
        <f>IF($A70="","",V70+'Beállítások'!$E$26/1000)</f>
        <v/>
      </c>
      <c r="CF70">
        <f>IF($A70="","",W70+'Beállítások'!$E$27/1000)</f>
        <v/>
      </c>
      <c r="CG70">
        <f>IF($A70="","",X70+'Beállítások'!$E$28/1000)</f>
        <v/>
      </c>
      <c r="CH70">
        <f>IF($A70="","",Y70+'Beállítások'!$E$29/1000)</f>
        <v/>
      </c>
      <c r="CI70">
        <f>IF($A70="","",Z70+'Beállítások'!$E$30/1000)</f>
        <v/>
      </c>
      <c r="CJ70">
        <f>IF($A70="","",AA70+'Beállítások'!$E$31/1000)</f>
        <v/>
      </c>
      <c r="CK70">
        <f>IF($A70="","",AB70+'Beállítások'!$E$32/1000)</f>
        <v/>
      </c>
      <c r="CL70">
        <f>IF($A70="","",AC70+'Beállítások'!$E$33/1000)</f>
        <v/>
      </c>
      <c r="CM70">
        <f>IF($A70="","",AD70+'Beállítások'!$E$34/1000)</f>
        <v/>
      </c>
      <c r="CN70">
        <f>IF($A70="","",AE70+'Beállítások'!$E$35/1000)</f>
        <v/>
      </c>
      <c r="CO70">
        <f>IF($A70="","",AF70+'Beállítások'!$E$36/1000)</f>
        <v/>
      </c>
      <c r="CP70">
        <f>IF($A70="","",AG70+'Beállítások'!$E$37/1000)</f>
        <v/>
      </c>
      <c r="CQ70">
        <f>IF($A70="","",AH70+'Beállítások'!$E$38/1000)</f>
        <v/>
      </c>
      <c r="CR70">
        <f>IF($A70="","",'Beállítások'!$E$6*(10-B70))</f>
        <v/>
      </c>
      <c r="CS70">
        <f>IF($A70="","",'Beállítások'!$E$7*(10-C70))</f>
        <v/>
      </c>
      <c r="CT70">
        <f>IF($A70="","",'Beállítások'!$E$8*(10-D70))</f>
        <v/>
      </c>
      <c r="CU70">
        <f>IF($A70="","",'Beállítások'!$E$9*(10-E70))</f>
        <v/>
      </c>
      <c r="CV70">
        <f>IF($A70="","",'Beállítások'!$E$10*(10-F70))</f>
        <v/>
      </c>
      <c r="CW70">
        <f>IF($A70="","",'Beállítások'!$E$11*(10-G70))</f>
        <v/>
      </c>
      <c r="CX70">
        <f>IF($A70="","",'Beállítások'!$E$12*(10-H70))</f>
        <v/>
      </c>
      <c r="CY70">
        <f>IF($A70="","",'Beállítások'!$E$13*(10-I70))</f>
        <v/>
      </c>
      <c r="CZ70">
        <f>IF($A70="","",'Beállítások'!$E$14*(10-J70))</f>
        <v/>
      </c>
      <c r="DA70">
        <f>IF($A70="","",'Beállítások'!$E$15*(10-K70))</f>
        <v/>
      </c>
      <c r="DB70">
        <f>IF($A70="","",'Beállítások'!$E$16*(10-L70))</f>
        <v/>
      </c>
      <c r="DC70">
        <f>IF($A70="","",'Beállítások'!$E$17*(10-M70))</f>
        <v/>
      </c>
      <c r="DD70">
        <f>IF($A70="","",'Beállítások'!$E$18*(10-N70))</f>
        <v/>
      </c>
      <c r="DE70">
        <f>IF($A70="","",'Beállítások'!$E$19*(10-O70))</f>
        <v/>
      </c>
      <c r="DF70">
        <f>IF($A70="","",'Beállítások'!$E$20*(10-P70))</f>
        <v/>
      </c>
      <c r="DG70">
        <f>IF($A70="","",'Beállítások'!$E$21*(10-Q70))</f>
        <v/>
      </c>
      <c r="DH70">
        <f>IF($A70="","",'Beállítások'!$E$22*(10-R70))</f>
        <v/>
      </c>
      <c r="DI70">
        <f>IF($A70="","",'Beállítások'!$E$23*(10-S70))</f>
        <v/>
      </c>
      <c r="DJ70">
        <f>IF($A70="","",'Beállítások'!$E$24*(10-T70))</f>
        <v/>
      </c>
      <c r="DK70">
        <f>IF($A70="","",'Beállítások'!$E$25*(10-U70))</f>
        <v/>
      </c>
      <c r="DL70">
        <f>IF($A70="","",'Beállítások'!$E$26*(10-V70))</f>
        <v/>
      </c>
      <c r="DM70">
        <f>IF($A70="","",'Beállítások'!$E$27*(10-W70))</f>
        <v/>
      </c>
      <c r="DN70">
        <f>IF($A70="","",'Beállítások'!$E$28*(10-X70))</f>
        <v/>
      </c>
      <c r="DO70">
        <f>IF($A70="","",'Beállítások'!$E$29*(10-Y70))</f>
        <v/>
      </c>
      <c r="DP70">
        <f>IF($A70="","",'Beállítások'!$E$30*(10-Z70))</f>
        <v/>
      </c>
      <c r="DQ70">
        <f>IF($A70="","",'Beállítások'!$E$31*(10-AA70))</f>
        <v/>
      </c>
      <c r="DR70">
        <f>IF($A70="","",'Beállítások'!$E$32*(10-AB70))</f>
        <v/>
      </c>
      <c r="DS70">
        <f>IF($A70="","",'Beállítások'!$E$33*(10-AC70))</f>
        <v/>
      </c>
      <c r="DT70">
        <f>IF($A70="","",'Beállítások'!$E$34*(10-AD70))</f>
        <v/>
      </c>
      <c r="DU70">
        <f>IF($A70="","",'Beállítások'!$E$35*(10-AE70))</f>
        <v/>
      </c>
      <c r="DV70">
        <f>IF($A70="","",'Beállítások'!$E$36*(10-AF70))</f>
        <v/>
      </c>
      <c r="DW70">
        <f>IF($A70="","",'Beállítások'!$E$37*(10-AG70))</f>
        <v/>
      </c>
      <c r="DX70">
        <f>IF($A70="","",'Beállítások'!$E$38*(10-AH70))</f>
        <v/>
      </c>
      <c r="DY70">
        <f>IF($A70="","",AM70-ROW()/100000)</f>
        <v/>
      </c>
    </row>
    <row r="71">
      <c r="A71">
        <f>IF('Ügyfelek'!A71="","",'Ügyfelek'!A71)</f>
        <v/>
      </c>
      <c r="B71">
        <f>IF($A71="","",IF('Ügyfelek'!B71="",'Beállítások'!$B$84,IFERROR(VLOOKUP(TRIM('Ügyfelek'!B71),'Beállítások'!$A$51:$B$59,2,FALSE),'Beállítások'!$B$84)))</f>
        <v/>
      </c>
      <c r="C71">
        <f>IF($A71="","",IF('Ügyfelek'!C71="",'Beállítások'!$B$84,MIN(10,MAX(1,ROUND('Ügyfelek'!C71,0)))))</f>
        <v/>
      </c>
      <c r="D71">
        <f>IF($A71="","",IF('Ügyfelek'!D71="",'Beállítások'!$B$84,MIN(10,MAX(1,ROUND('Ügyfelek'!D71,0)))))</f>
        <v/>
      </c>
      <c r="E71">
        <f>IF($A71="","",IF('Ügyfelek'!E71="",'Beállítások'!$B$84,MIN(10,MAX(1,ROUND('Ügyfelek'!E71,0)))))</f>
        <v/>
      </c>
      <c r="F71">
        <f>IF($A71="","",IF('Ügyfelek'!F71="",'Beállítások'!$B$84,MIN(10,MAX(1,ROUND('Ügyfelek'!F71,0)))))</f>
        <v/>
      </c>
      <c r="G71">
        <f>IF($A71="","",IF('Ügyfelek'!G71="",'Beállítások'!$B$84,MIN(10,MAX(1,ROUND('Ügyfelek'!G71,0)))))</f>
        <v/>
      </c>
      <c r="H71">
        <f>IF($A71="","",IF('Ügyfelek'!H71="",'Beállítások'!$B$84,MIN(10,MAX(1,ROUND('Ügyfelek'!H71,0)))))</f>
        <v/>
      </c>
      <c r="I71">
        <f>IF($A71="","",IF('Ügyfelek'!I71="",'Beállítások'!$B$84,MIN(10,MAX(1,ROUND('Ügyfelek'!I71,0)))))</f>
        <v/>
      </c>
      <c r="J71">
        <f>IF($A71="","",IF('Ügyfelek'!J71="",'Beállítások'!$B$84,MIN(10,MAX(1,ROUND('Ügyfelek'!J71,0)))))</f>
        <v/>
      </c>
      <c r="K71">
        <f>IF($A71="","",IF('Ügyfelek'!K71="",'Beállítások'!$B$84,MIN(10,MAX(1,ROUND('Ügyfelek'!K71,0)))))</f>
        <v/>
      </c>
      <c r="L71">
        <f>IF($A71="","",IF('Ügyfelek'!L71="",'Beállítások'!$B$84,MIN(10,MAX(1,ROUND('Ügyfelek'!L71,0)))))</f>
        <v/>
      </c>
      <c r="M71">
        <f>IF($A71="","",IF('Ügyfelek'!M71="",'Beállítások'!$B$84,MIN(10,MAX(1,ROUND('Ügyfelek'!M71,0)))))</f>
        <v/>
      </c>
      <c r="N71">
        <f>IF($A71="","",IF('Ügyfelek'!N71="",'Beállítások'!$B$84,MIN(10,MAX(1,ROUND('Ügyfelek'!N71,0)))))</f>
        <v/>
      </c>
      <c r="O71">
        <f>IF($A71="","",IF('Ügyfelek'!O71="",'Beállítások'!$B$84,MIN(10,MAX(1,ROUND('Ügyfelek'!O71,0)))))</f>
        <v/>
      </c>
      <c r="P71">
        <f>IF($A71="","",IF('Ügyfelek'!P71="",'Beállítások'!$B$84,MIN(10,MAX(1,ROUND('Ügyfelek'!P71,0)))))</f>
        <v/>
      </c>
      <c r="Q71">
        <f>IF($A71="","",IF('Ügyfelek'!Q71="",'Beállítások'!$B$84,MIN(10,MAX(1,ROUND('Ügyfelek'!Q71,0)))))</f>
        <v/>
      </c>
      <c r="R71">
        <f>IF($A71="","",IF('Ügyfelek'!R71="",'Beállítások'!$B$84,MIN(10,MAX(1,ROUND('Ügyfelek'!R71,0)))))</f>
        <v/>
      </c>
      <c r="S71">
        <f>IF($A71="","",IF('Ügyfelek'!S71="",'Beállítások'!$B$84,MIN(10,MAX(1,ROUND('Ügyfelek'!S71,0)))))</f>
        <v/>
      </c>
      <c r="T71">
        <f>IF($A71="","",IF('Ügyfelek'!T71="",'Beállítások'!$B$84,VLOOKUP(MAX('Ügyfelek'!T71,'Beállítások'!$H$7),'Beállítások'!$H$7:$I$12,2,TRUE)))</f>
        <v/>
      </c>
      <c r="U71">
        <f>IF($A71="","",IF('Ügyfelek'!U71="",'Beállítások'!$B$84,VLOOKUP(MAX('Ügyfelek'!U71,'Beállítások'!$K$7),'Beállítások'!$K$7:$L$12,2,TRUE)))</f>
        <v/>
      </c>
      <c r="V71">
        <f>IF($A71="","",IF('Ügyfelek'!V71="",'Beállítások'!$B$84,MIN(10,MAX(1,ROUND('Ügyfelek'!V71,0)))))</f>
        <v/>
      </c>
      <c r="W71">
        <f>IF($A71="","",IF('Ügyfelek'!W71="",'Beállítások'!$B$84,VLOOKUP(MAX('Ügyfelek'!W71,'Beállítások'!$N$7),'Beállítások'!$N$7:$O$12,2,TRUE)))</f>
        <v/>
      </c>
      <c r="X71">
        <f>IF($A71="","",IF('Ügyfelek'!X71="",'Beállítások'!$B$84,MIN(10,MAX(1,ROUND('Ügyfelek'!X71,0)))))</f>
        <v/>
      </c>
      <c r="Y71">
        <f>IF($A71="","",IF('Ügyfelek'!Y71="",'Beállítások'!$B$84,IFERROR(VLOOKUP(TRIM('Ügyfelek'!Y71),'Beállítások'!$A$63:$B$69,2,FALSE),'Beállítások'!$B$84)))</f>
        <v/>
      </c>
      <c r="Z71">
        <f>IF($A71="","",IF('Ügyfelek'!Z71="",'Beállítások'!$B$84,VLOOKUP(MAX('Ügyfelek'!Z71,'Beállítások'!$Q$7),'Beállítások'!$Q$7:$R$12,2,TRUE)))</f>
        <v/>
      </c>
      <c r="AA71">
        <f>IF($A71="","",IF('Ügyfelek'!AA71="",'Beállítások'!$B$84,VLOOKUP(MAX('Ügyfelek'!AA71,'Beállítások'!$T$7),'Beállítások'!$T$7:$U$12,2,TRUE)))</f>
        <v/>
      </c>
      <c r="AB71">
        <f>IF($A71="","",IF('Ügyfelek'!AB71="",'Beállítások'!$B$84,MIN(10,MAX(1,ROUND('Ügyfelek'!AB71,0)))))</f>
        <v/>
      </c>
      <c r="AC71">
        <f>IF($A71="","",IF('Ügyfelek'!AC71="",'Beállítások'!$B$84,MIN(10,MAX(1,ROUND('Ügyfelek'!AC71,0)))))</f>
        <v/>
      </c>
      <c r="AD71">
        <f>IF($A71="","",IF('Ügyfelek'!AD71="",'Beállítások'!$B$84,MIN(10,MAX(1,ROUND('Ügyfelek'!AD71,0)))))</f>
        <v/>
      </c>
      <c r="AE71">
        <f>IF($A71="","",IF('Ügyfelek'!AE71="",'Beállítások'!$B$84,MIN(10,MAX(1,ROUND('Ügyfelek'!AE71,0)))))</f>
        <v/>
      </c>
      <c r="AF71">
        <f>IF($A71="","",IF('Ügyfelek'!AF71="",'Beállítások'!$B$84,MIN(10,MAX(1,ROUND('Ügyfelek'!AF71,0)))))</f>
        <v/>
      </c>
      <c r="AG71">
        <f>IF($A71="","",IF('Ügyfelek'!AG71="",'Beállítások'!$B$84,MIN(10,MAX(1,ROUND('Ügyfelek'!AG71,0)))))</f>
        <v/>
      </c>
      <c r="AH71">
        <f>IF($A71="","",IF('Ügyfelek'!AH71="",'Beállítások'!$B$84,IFERROR(VLOOKUP(TRIM('Ügyfelek'!AH71),'Beállítások'!$A$73:$B$79,2,FALSE),'Beállítások'!$B$84)))</f>
        <v/>
      </c>
      <c r="AI71" s="23">
        <f>IF($A71="","",ROUND(100*('Beállítások'!$E$6*(B71-1)+'Beállítások'!$E$7*(C71-1))/(9*'Beállítások'!$B$43),1))</f>
        <v/>
      </c>
      <c r="AJ71" s="23">
        <f>IF($A71="","",ROUND(100*('Beállítások'!$E$8*(D71-1)+'Beállítások'!$E$9*(E71-1)+'Beállítások'!$E$10*(F71-1)+'Beállítások'!$E$11*(G71-1)+'Beállítások'!$E$12*(H71-1)+'Beállítások'!$E$13*(I71-1)+'Beállítások'!$E$14*(J71-1)+'Beállítások'!$E$15*(K71-1)+'Beállítások'!$E$16*(L71-1)+'Beállítások'!$E$17*(M71-1)+'Beállítások'!$E$18*(N71-1)+'Beállítások'!$E$19*(O71-1)+'Beállítások'!$E$20*(P71-1)+'Beállítások'!$E$21*(Q71-1)+'Beállítások'!$E$22*(R71-1))/(9*'Beállítások'!$B$44),1))</f>
        <v/>
      </c>
      <c r="AK71" s="23">
        <f>IF($A71="","",ROUND(100*('Beállítások'!$E$23*(S71-1)+'Beállítások'!$E$24*(T71-1)+'Beállítások'!$E$25*(U71-1)+'Beállítások'!$E$26*(V71-1)+'Beállítások'!$E$27*(W71-1)+'Beállítások'!$E$28*(X71-1)+'Beállítások'!$E$29*(Y71-1))/(9*'Beállítások'!$B$45),1))</f>
        <v/>
      </c>
      <c r="AL71" s="23">
        <f>IF($A71="","",ROUND(100*('Beállítások'!$E$30*(Z71-1)+'Beállítások'!$E$31*(AA71-1)+'Beállítások'!$E$32*(AB71-1)+'Beállítások'!$E$33*(AC71-1)+'Beállítások'!$E$34*(AD71-1)+'Beállítások'!$E$35*(AE71-1)+'Beállítások'!$E$36*(AF71-1)+'Beállítások'!$E$37*(AG71-1)+'Beállítások'!$E$38*(AH71-1))/(9*'Beállítások'!$B$46),1))</f>
        <v/>
      </c>
      <c r="AM71" s="23">
        <f>IF($A71="","",ROUND(100*('Beállítások'!$E$6*(B71-1)+'Beállítások'!$E$7*(C71-1)+'Beállítások'!$E$8*(D71-1)+'Beállítások'!$E$9*(E71-1)+'Beállítások'!$E$10*(F71-1)+'Beállítások'!$E$11*(G71-1)+'Beállítások'!$E$12*(H71-1)+'Beállítások'!$E$13*(I71-1)+'Beállítások'!$E$14*(J71-1)+'Beállítások'!$E$15*(K71-1)+'Beállítások'!$E$16*(L71-1)+'Beállítások'!$E$17*(M71-1)+'Beállítások'!$E$18*(N71-1)+'Beállítások'!$E$19*(O71-1)+'Beállítások'!$E$20*(P71-1)+'Beállítások'!$E$21*(Q71-1)+'Beállítások'!$E$22*(R71-1)+'Beállítások'!$E$23*(S71-1)+'Beállítások'!$E$24*(T71-1)+'Beállítások'!$E$25*(U71-1)+'Beállítások'!$E$26*(V71-1)+'Beállítások'!$E$27*(W71-1)+'Beállítások'!$E$28*(X71-1)+'Beállítások'!$E$29*(Y71-1)+'Beállítások'!$E$30*(Z71-1)+'Beállítások'!$E$31*(AA71-1)+'Beállítások'!$E$32*(AB71-1)+'Beállítások'!$E$33*(AC71-1)+'Beállítások'!$E$34*(AD71-1)+'Beállítások'!$E$35*(AE71-1)+'Beállítások'!$E$36*(AF71-1)+'Beállítások'!$E$37*(AG71-1)+'Beállítások'!$E$38*(AH71-1))/(9*'Beállítások'!$E$39),1))</f>
        <v/>
      </c>
      <c r="AN71" s="23">
        <f>IF($A71="","",ROUND(100*('Beállítások'!$E$8*(D71-1)+'Beállítások'!$E$9*(E71-1)+'Beállítások'!$E$10*(F71-1)+'Beállítások'!$E$11*(G71-1)+'Beállítások'!$E$12*(H71-1)+'Beállítások'!$E$13*(I71-1)+'Beállítások'!$E$14*(J71-1)+'Beállítások'!$E$15*(K71-1)+'Beállítások'!$E$16*(L71-1)+'Beállítások'!$E$17*(M71-1)+'Beállítások'!$E$18*(N71-1)+'Beállítások'!$E$19*(O71-1)+'Beállítások'!$E$20*(P71-1)+'Beállítások'!$E$21*(Q71-1)+'Beállítások'!$E$22*(R71-1)+'Beállítások'!$E$23*(S71-1)+'Beállítások'!$E$24*(T71-1)+'Beállítások'!$E$25*(U71-1)+'Beállítások'!$E$26*(V71-1)+'Beállítások'!$E$27*(W71-1)+'Beállítások'!$E$28*(X71-1)+'Beállítások'!$E$29*(Y71-1))/(9*('Beállítások'!$B$44+'Beállítások'!$B$45)),1))</f>
        <v/>
      </c>
      <c r="AO71" s="24">
        <f>IF($A71="","",RANK(AM71,$AM$2:$AM$201))</f>
        <v/>
      </c>
      <c r="AP71">
        <f>IF($A71="","",IF(OR(AND('Ügyfelek'!B71&lt;&gt;"",B71&lt;='Beállítások'!$B$85),AND('Ügyfelek'!C71&lt;&gt;"",C71&lt;='Beállítások'!$B$86)),"Igen","Nem"))</f>
        <v/>
      </c>
      <c r="AQ71" s="24">
        <f>IF($A71="","",IF(AP71="Igen",5,IF(AN71&gt;='Beállítások'!$C$108,1,IF(AN71&gt;='Beállítások'!$C$109,2,IF(AN71&gt;='Beállítások'!$C$110,3,IF(AND(AN71&gt;='Beállítások'!$B$87,AI71&gt;='Beállítások'!$B$88,AL71&gt;='Beállítások'!$B$89),4,5))))))</f>
        <v/>
      </c>
      <c r="AR71">
        <f>IF($A71="","",INDEX('Beállítások'!$B$108:$B$112,AQ71))</f>
        <v/>
      </c>
      <c r="AS71">
        <f>IF($A71="","",IF(AQ71=5,"Elutasítjuk",IF(AND(AQ71=4,COUNTIFS('Eredmény'!$AQ$2:$AQ$201,4,'Eredmény'!$DY$2:$DY$201,"&gt;"&amp;DY71)&gt;='Beállítások'!$B$90),"Várólista (a 4-es hely foglalt)","Elfogadjuk")))</f>
        <v/>
      </c>
      <c r="AT71">
        <f>IF($A71="","",INDEX('Beállítások'!$F$108:$F$112,AQ71))</f>
        <v/>
      </c>
      <c r="AU71">
        <f>IF($A71="","",INDEX('Beállítások'!$B$6:$B$38,MATCH(MAX(BK71:CQ71),BK71:CQ71,0)))</f>
        <v/>
      </c>
      <c r="AV71">
        <f>IF($A71="","",IF(MAX(CR71:DX71)=0,"—",INDEX('Beállítások'!$B$6:$B$38,MATCH(MAX(CR71:DX71),CR71:DX71,0))))</f>
        <v/>
      </c>
      <c r="AW71" s="10">
        <f>IF($A71="","",'Beállítások'!$B$94*(TRIM('Ügyfelek'!AI71)="igen")+'Beállítások'!$B$95*(TRIM('Ügyfelek'!AJ71)="igen")+'Beállítások'!$B$96*N('Ügyfelek'!AK71)+'Beállítások'!$B$93*N('Ügyfelek'!AL71))</f>
        <v/>
      </c>
      <c r="AX71" s="25">
        <f>IF(OR($A71="",AQ71=5),"",INDEX('Beállítások'!$D$108:$D$112,AQ71))</f>
        <v/>
      </c>
      <c r="AY71" s="10">
        <f>IF($A71="","",N('Ügyfelek'!U71)*'Beállítások'!$B$98)</f>
        <v/>
      </c>
      <c r="AZ71" s="10">
        <f>IF(OR($A71="",AQ71=5),"",CEILING(ROUND(MAX('Beállítások'!$B$97,AW71*AX71,AY71),2),'Beállítások'!$B$99))</f>
        <v/>
      </c>
      <c r="BA71">
        <f>IF($A71="","",IF(AQ71=5,"Elutasítva",IF(MAX('Beállítások'!$B$97,AW71*AX71,AY71)=AW71*AX71,"Munkaigény × státuszszorzó",IF(MAX('Beállítások'!$B$97,AW71*AX71,AY71)=AY71,"Hirdetési keret arányában","Minimumdíj"))))</f>
        <v/>
      </c>
      <c r="BB71" s="10">
        <f>IF(OR($A71="",'Ügyfelek'!AM71=""),"",'Ügyfelek'!AM71)</f>
        <v/>
      </c>
      <c r="BC71" s="10">
        <f>IF(OR(BB71="",AZ71=""),"",AZ71-BB71)</f>
        <v/>
      </c>
      <c r="BD71" s="18">
        <f>IF(OR(BB71="",AZ71="",BB71=0),"",BC71/BB71)</f>
        <v/>
      </c>
      <c r="BE71">
        <f>IF(OR($A71="",AQ71=5),"",IF(AND(INDEX('Beállítások'!$E$108:$E$112,AQ71)&gt;0,Y71&gt;='Beállítások'!$B$91),"Igen","Nem"))</f>
        <v/>
      </c>
      <c r="BF71" s="10">
        <f>IF(BE71="Igen",CEILING(ROUND(AZ71*(1-'Beállítások'!$B$92),2),'Beállítások'!$B$99),"")</f>
        <v/>
      </c>
      <c r="BG71" s="20">
        <f>IF(BE71="Igen",INDEX('Beállítások'!$E$108:$E$112,AQ71),"")</f>
        <v/>
      </c>
      <c r="BH71" s="10">
        <f>IF(OR(BE71&lt;&gt;"Igen",'Ügyfelek'!AN71=""),"",'Ügyfelek'!AN71*BG71)</f>
        <v/>
      </c>
      <c r="BI71" s="24">
        <f>IF($A71="","",('Ügyfelek'!B71="")+('Ügyfelek'!C71="")+('Ügyfelek'!D71="")+('Ügyfelek'!E71="")+('Ügyfelek'!F71="")+('Ügyfelek'!G71="")+('Ügyfelek'!H71="")+('Ügyfelek'!I71="")+('Ügyfelek'!J71="")+('Ügyfelek'!K71="")+('Ügyfelek'!L71="")+('Ügyfelek'!M71="")+('Ügyfelek'!N71="")+('Ügyfelek'!O71="")+('Ügyfelek'!P71="")+('Ügyfelek'!Q71="")+('Ügyfelek'!R71="")+('Ügyfelek'!S71="")+('Ügyfelek'!T71="")+('Ügyfelek'!U71="")+('Ügyfelek'!V71="")+('Ügyfelek'!W71="")+('Ügyfelek'!X71="")+('Ügyfelek'!Y71="")+('Ügyfelek'!Z71="")+('Ügyfelek'!AA71="")+('Ügyfelek'!AB71="")+('Ügyfelek'!AC71="")+('Ügyfelek'!AD71="")+('Ügyfelek'!AE71="")+('Ügyfelek'!AF71="")+('Ügyfelek'!AG71="")+('Ügyfelek'!AH71=""))</f>
        <v/>
      </c>
      <c r="BK71">
        <f>IF($A71="","",B71+'Beállítások'!$E$6/1000)</f>
        <v/>
      </c>
      <c r="BL71">
        <f>IF($A71="","",C71+'Beállítások'!$E$7/1000)</f>
        <v/>
      </c>
      <c r="BM71">
        <f>IF($A71="","",D71+'Beállítások'!$E$8/1000)</f>
        <v/>
      </c>
      <c r="BN71">
        <f>IF($A71="","",E71+'Beállítások'!$E$9/1000)</f>
        <v/>
      </c>
      <c r="BO71">
        <f>IF($A71="","",F71+'Beállítások'!$E$10/1000)</f>
        <v/>
      </c>
      <c r="BP71">
        <f>IF($A71="","",G71+'Beállítások'!$E$11/1000)</f>
        <v/>
      </c>
      <c r="BQ71">
        <f>IF($A71="","",H71+'Beállítások'!$E$12/1000)</f>
        <v/>
      </c>
      <c r="BR71">
        <f>IF($A71="","",I71+'Beállítások'!$E$13/1000)</f>
        <v/>
      </c>
      <c r="BS71">
        <f>IF($A71="","",J71+'Beállítások'!$E$14/1000)</f>
        <v/>
      </c>
      <c r="BT71">
        <f>IF($A71="","",K71+'Beállítások'!$E$15/1000)</f>
        <v/>
      </c>
      <c r="BU71">
        <f>IF($A71="","",L71+'Beállítások'!$E$16/1000)</f>
        <v/>
      </c>
      <c r="BV71">
        <f>IF($A71="","",M71+'Beállítások'!$E$17/1000)</f>
        <v/>
      </c>
      <c r="BW71">
        <f>IF($A71="","",N71+'Beállítások'!$E$18/1000)</f>
        <v/>
      </c>
      <c r="BX71">
        <f>IF($A71="","",O71+'Beállítások'!$E$19/1000)</f>
        <v/>
      </c>
      <c r="BY71">
        <f>IF($A71="","",P71+'Beállítások'!$E$20/1000)</f>
        <v/>
      </c>
      <c r="BZ71">
        <f>IF($A71="","",Q71+'Beállítások'!$E$21/1000)</f>
        <v/>
      </c>
      <c r="CA71">
        <f>IF($A71="","",R71+'Beállítások'!$E$22/1000)</f>
        <v/>
      </c>
      <c r="CB71">
        <f>IF($A71="","",S71+'Beállítások'!$E$23/1000)</f>
        <v/>
      </c>
      <c r="CC71">
        <f>IF($A71="","",T71+'Beállítások'!$E$24/1000)</f>
        <v/>
      </c>
      <c r="CD71">
        <f>IF($A71="","",U71+'Beállítások'!$E$25/1000)</f>
        <v/>
      </c>
      <c r="CE71">
        <f>IF($A71="","",V71+'Beállítások'!$E$26/1000)</f>
        <v/>
      </c>
      <c r="CF71">
        <f>IF($A71="","",W71+'Beállítások'!$E$27/1000)</f>
        <v/>
      </c>
      <c r="CG71">
        <f>IF($A71="","",X71+'Beállítások'!$E$28/1000)</f>
        <v/>
      </c>
      <c r="CH71">
        <f>IF($A71="","",Y71+'Beállítások'!$E$29/1000)</f>
        <v/>
      </c>
      <c r="CI71">
        <f>IF($A71="","",Z71+'Beállítások'!$E$30/1000)</f>
        <v/>
      </c>
      <c r="CJ71">
        <f>IF($A71="","",AA71+'Beállítások'!$E$31/1000)</f>
        <v/>
      </c>
      <c r="CK71">
        <f>IF($A71="","",AB71+'Beállítások'!$E$32/1000)</f>
        <v/>
      </c>
      <c r="CL71">
        <f>IF($A71="","",AC71+'Beállítások'!$E$33/1000)</f>
        <v/>
      </c>
      <c r="CM71">
        <f>IF($A71="","",AD71+'Beállítások'!$E$34/1000)</f>
        <v/>
      </c>
      <c r="CN71">
        <f>IF($A71="","",AE71+'Beállítások'!$E$35/1000)</f>
        <v/>
      </c>
      <c r="CO71">
        <f>IF($A71="","",AF71+'Beállítások'!$E$36/1000)</f>
        <v/>
      </c>
      <c r="CP71">
        <f>IF($A71="","",AG71+'Beállítások'!$E$37/1000)</f>
        <v/>
      </c>
      <c r="CQ71">
        <f>IF($A71="","",AH71+'Beállítások'!$E$38/1000)</f>
        <v/>
      </c>
      <c r="CR71">
        <f>IF($A71="","",'Beállítások'!$E$6*(10-B71))</f>
        <v/>
      </c>
      <c r="CS71">
        <f>IF($A71="","",'Beállítások'!$E$7*(10-C71))</f>
        <v/>
      </c>
      <c r="CT71">
        <f>IF($A71="","",'Beállítások'!$E$8*(10-D71))</f>
        <v/>
      </c>
      <c r="CU71">
        <f>IF($A71="","",'Beállítások'!$E$9*(10-E71))</f>
        <v/>
      </c>
      <c r="CV71">
        <f>IF($A71="","",'Beállítások'!$E$10*(10-F71))</f>
        <v/>
      </c>
      <c r="CW71">
        <f>IF($A71="","",'Beállítások'!$E$11*(10-G71))</f>
        <v/>
      </c>
      <c r="CX71">
        <f>IF($A71="","",'Beállítások'!$E$12*(10-H71))</f>
        <v/>
      </c>
      <c r="CY71">
        <f>IF($A71="","",'Beállítások'!$E$13*(10-I71))</f>
        <v/>
      </c>
      <c r="CZ71">
        <f>IF($A71="","",'Beállítások'!$E$14*(10-J71))</f>
        <v/>
      </c>
      <c r="DA71">
        <f>IF($A71="","",'Beállítások'!$E$15*(10-K71))</f>
        <v/>
      </c>
      <c r="DB71">
        <f>IF($A71="","",'Beállítások'!$E$16*(10-L71))</f>
        <v/>
      </c>
      <c r="DC71">
        <f>IF($A71="","",'Beállítások'!$E$17*(10-M71))</f>
        <v/>
      </c>
      <c r="DD71">
        <f>IF($A71="","",'Beállítások'!$E$18*(10-N71))</f>
        <v/>
      </c>
      <c r="DE71">
        <f>IF($A71="","",'Beállítások'!$E$19*(10-O71))</f>
        <v/>
      </c>
      <c r="DF71">
        <f>IF($A71="","",'Beállítások'!$E$20*(10-P71))</f>
        <v/>
      </c>
      <c r="DG71">
        <f>IF($A71="","",'Beállítások'!$E$21*(10-Q71))</f>
        <v/>
      </c>
      <c r="DH71">
        <f>IF($A71="","",'Beállítások'!$E$22*(10-R71))</f>
        <v/>
      </c>
      <c r="DI71">
        <f>IF($A71="","",'Beállítások'!$E$23*(10-S71))</f>
        <v/>
      </c>
      <c r="DJ71">
        <f>IF($A71="","",'Beállítások'!$E$24*(10-T71))</f>
        <v/>
      </c>
      <c r="DK71">
        <f>IF($A71="","",'Beállítások'!$E$25*(10-U71))</f>
        <v/>
      </c>
      <c r="DL71">
        <f>IF($A71="","",'Beállítások'!$E$26*(10-V71))</f>
        <v/>
      </c>
      <c r="DM71">
        <f>IF($A71="","",'Beállítások'!$E$27*(10-W71))</f>
        <v/>
      </c>
      <c r="DN71">
        <f>IF($A71="","",'Beállítások'!$E$28*(10-X71))</f>
        <v/>
      </c>
      <c r="DO71">
        <f>IF($A71="","",'Beállítások'!$E$29*(10-Y71))</f>
        <v/>
      </c>
      <c r="DP71">
        <f>IF($A71="","",'Beállítások'!$E$30*(10-Z71))</f>
        <v/>
      </c>
      <c r="DQ71">
        <f>IF($A71="","",'Beállítások'!$E$31*(10-AA71))</f>
        <v/>
      </c>
      <c r="DR71">
        <f>IF($A71="","",'Beállítások'!$E$32*(10-AB71))</f>
        <v/>
      </c>
      <c r="DS71">
        <f>IF($A71="","",'Beállítások'!$E$33*(10-AC71))</f>
        <v/>
      </c>
      <c r="DT71">
        <f>IF($A71="","",'Beállítások'!$E$34*(10-AD71))</f>
        <v/>
      </c>
      <c r="DU71">
        <f>IF($A71="","",'Beállítások'!$E$35*(10-AE71))</f>
        <v/>
      </c>
      <c r="DV71">
        <f>IF($A71="","",'Beállítások'!$E$36*(10-AF71))</f>
        <v/>
      </c>
      <c r="DW71">
        <f>IF($A71="","",'Beállítások'!$E$37*(10-AG71))</f>
        <v/>
      </c>
      <c r="DX71">
        <f>IF($A71="","",'Beállítások'!$E$38*(10-AH71))</f>
        <v/>
      </c>
      <c r="DY71">
        <f>IF($A71="","",AM71-ROW()/100000)</f>
        <v/>
      </c>
    </row>
    <row r="72">
      <c r="A72">
        <f>IF('Ügyfelek'!A72="","",'Ügyfelek'!A72)</f>
        <v/>
      </c>
      <c r="B72">
        <f>IF($A72="","",IF('Ügyfelek'!B72="",'Beállítások'!$B$84,IFERROR(VLOOKUP(TRIM('Ügyfelek'!B72),'Beállítások'!$A$51:$B$59,2,FALSE),'Beállítások'!$B$84)))</f>
        <v/>
      </c>
      <c r="C72">
        <f>IF($A72="","",IF('Ügyfelek'!C72="",'Beállítások'!$B$84,MIN(10,MAX(1,ROUND('Ügyfelek'!C72,0)))))</f>
        <v/>
      </c>
      <c r="D72">
        <f>IF($A72="","",IF('Ügyfelek'!D72="",'Beállítások'!$B$84,MIN(10,MAX(1,ROUND('Ügyfelek'!D72,0)))))</f>
        <v/>
      </c>
      <c r="E72">
        <f>IF($A72="","",IF('Ügyfelek'!E72="",'Beállítások'!$B$84,MIN(10,MAX(1,ROUND('Ügyfelek'!E72,0)))))</f>
        <v/>
      </c>
      <c r="F72">
        <f>IF($A72="","",IF('Ügyfelek'!F72="",'Beállítások'!$B$84,MIN(10,MAX(1,ROUND('Ügyfelek'!F72,0)))))</f>
        <v/>
      </c>
      <c r="G72">
        <f>IF($A72="","",IF('Ügyfelek'!G72="",'Beállítások'!$B$84,MIN(10,MAX(1,ROUND('Ügyfelek'!G72,0)))))</f>
        <v/>
      </c>
      <c r="H72">
        <f>IF($A72="","",IF('Ügyfelek'!H72="",'Beállítások'!$B$84,MIN(10,MAX(1,ROUND('Ügyfelek'!H72,0)))))</f>
        <v/>
      </c>
      <c r="I72">
        <f>IF($A72="","",IF('Ügyfelek'!I72="",'Beállítások'!$B$84,MIN(10,MAX(1,ROUND('Ügyfelek'!I72,0)))))</f>
        <v/>
      </c>
      <c r="J72">
        <f>IF($A72="","",IF('Ügyfelek'!J72="",'Beállítások'!$B$84,MIN(10,MAX(1,ROUND('Ügyfelek'!J72,0)))))</f>
        <v/>
      </c>
      <c r="K72">
        <f>IF($A72="","",IF('Ügyfelek'!K72="",'Beállítások'!$B$84,MIN(10,MAX(1,ROUND('Ügyfelek'!K72,0)))))</f>
        <v/>
      </c>
      <c r="L72">
        <f>IF($A72="","",IF('Ügyfelek'!L72="",'Beállítások'!$B$84,MIN(10,MAX(1,ROUND('Ügyfelek'!L72,0)))))</f>
        <v/>
      </c>
      <c r="M72">
        <f>IF($A72="","",IF('Ügyfelek'!M72="",'Beállítások'!$B$84,MIN(10,MAX(1,ROUND('Ügyfelek'!M72,0)))))</f>
        <v/>
      </c>
      <c r="N72">
        <f>IF($A72="","",IF('Ügyfelek'!N72="",'Beállítások'!$B$84,MIN(10,MAX(1,ROUND('Ügyfelek'!N72,0)))))</f>
        <v/>
      </c>
      <c r="O72">
        <f>IF($A72="","",IF('Ügyfelek'!O72="",'Beállítások'!$B$84,MIN(10,MAX(1,ROUND('Ügyfelek'!O72,0)))))</f>
        <v/>
      </c>
      <c r="P72">
        <f>IF($A72="","",IF('Ügyfelek'!P72="",'Beállítások'!$B$84,MIN(10,MAX(1,ROUND('Ügyfelek'!P72,0)))))</f>
        <v/>
      </c>
      <c r="Q72">
        <f>IF($A72="","",IF('Ügyfelek'!Q72="",'Beállítások'!$B$84,MIN(10,MAX(1,ROUND('Ügyfelek'!Q72,0)))))</f>
        <v/>
      </c>
      <c r="R72">
        <f>IF($A72="","",IF('Ügyfelek'!R72="",'Beállítások'!$B$84,MIN(10,MAX(1,ROUND('Ügyfelek'!R72,0)))))</f>
        <v/>
      </c>
      <c r="S72">
        <f>IF($A72="","",IF('Ügyfelek'!S72="",'Beállítások'!$B$84,MIN(10,MAX(1,ROUND('Ügyfelek'!S72,0)))))</f>
        <v/>
      </c>
      <c r="T72">
        <f>IF($A72="","",IF('Ügyfelek'!T72="",'Beállítások'!$B$84,VLOOKUP(MAX('Ügyfelek'!T72,'Beállítások'!$H$7),'Beállítások'!$H$7:$I$12,2,TRUE)))</f>
        <v/>
      </c>
      <c r="U72">
        <f>IF($A72="","",IF('Ügyfelek'!U72="",'Beállítások'!$B$84,VLOOKUP(MAX('Ügyfelek'!U72,'Beállítások'!$K$7),'Beállítások'!$K$7:$L$12,2,TRUE)))</f>
        <v/>
      </c>
      <c r="V72">
        <f>IF($A72="","",IF('Ügyfelek'!V72="",'Beállítások'!$B$84,MIN(10,MAX(1,ROUND('Ügyfelek'!V72,0)))))</f>
        <v/>
      </c>
      <c r="W72">
        <f>IF($A72="","",IF('Ügyfelek'!W72="",'Beállítások'!$B$84,VLOOKUP(MAX('Ügyfelek'!W72,'Beállítások'!$N$7),'Beállítások'!$N$7:$O$12,2,TRUE)))</f>
        <v/>
      </c>
      <c r="X72">
        <f>IF($A72="","",IF('Ügyfelek'!X72="",'Beállítások'!$B$84,MIN(10,MAX(1,ROUND('Ügyfelek'!X72,0)))))</f>
        <v/>
      </c>
      <c r="Y72">
        <f>IF($A72="","",IF('Ügyfelek'!Y72="",'Beállítások'!$B$84,IFERROR(VLOOKUP(TRIM('Ügyfelek'!Y72),'Beállítások'!$A$63:$B$69,2,FALSE),'Beállítások'!$B$84)))</f>
        <v/>
      </c>
      <c r="Z72">
        <f>IF($A72="","",IF('Ügyfelek'!Z72="",'Beállítások'!$B$84,VLOOKUP(MAX('Ügyfelek'!Z72,'Beállítások'!$Q$7),'Beállítások'!$Q$7:$R$12,2,TRUE)))</f>
        <v/>
      </c>
      <c r="AA72">
        <f>IF($A72="","",IF('Ügyfelek'!AA72="",'Beállítások'!$B$84,VLOOKUP(MAX('Ügyfelek'!AA72,'Beállítások'!$T$7),'Beállítások'!$T$7:$U$12,2,TRUE)))</f>
        <v/>
      </c>
      <c r="AB72">
        <f>IF($A72="","",IF('Ügyfelek'!AB72="",'Beállítások'!$B$84,MIN(10,MAX(1,ROUND('Ügyfelek'!AB72,0)))))</f>
        <v/>
      </c>
      <c r="AC72">
        <f>IF($A72="","",IF('Ügyfelek'!AC72="",'Beállítások'!$B$84,MIN(10,MAX(1,ROUND('Ügyfelek'!AC72,0)))))</f>
        <v/>
      </c>
      <c r="AD72">
        <f>IF($A72="","",IF('Ügyfelek'!AD72="",'Beállítások'!$B$84,MIN(10,MAX(1,ROUND('Ügyfelek'!AD72,0)))))</f>
        <v/>
      </c>
      <c r="AE72">
        <f>IF($A72="","",IF('Ügyfelek'!AE72="",'Beállítások'!$B$84,MIN(10,MAX(1,ROUND('Ügyfelek'!AE72,0)))))</f>
        <v/>
      </c>
      <c r="AF72">
        <f>IF($A72="","",IF('Ügyfelek'!AF72="",'Beállítások'!$B$84,MIN(10,MAX(1,ROUND('Ügyfelek'!AF72,0)))))</f>
        <v/>
      </c>
      <c r="AG72">
        <f>IF($A72="","",IF('Ügyfelek'!AG72="",'Beállítások'!$B$84,MIN(10,MAX(1,ROUND('Ügyfelek'!AG72,0)))))</f>
        <v/>
      </c>
      <c r="AH72">
        <f>IF($A72="","",IF('Ügyfelek'!AH72="",'Beállítások'!$B$84,IFERROR(VLOOKUP(TRIM('Ügyfelek'!AH72),'Beállítások'!$A$73:$B$79,2,FALSE),'Beállítások'!$B$84)))</f>
        <v/>
      </c>
      <c r="AI72" s="23">
        <f>IF($A72="","",ROUND(100*('Beállítások'!$E$6*(B72-1)+'Beállítások'!$E$7*(C72-1))/(9*'Beállítások'!$B$43),1))</f>
        <v/>
      </c>
      <c r="AJ72" s="23">
        <f>IF($A72="","",ROUND(100*('Beállítások'!$E$8*(D72-1)+'Beállítások'!$E$9*(E72-1)+'Beállítások'!$E$10*(F72-1)+'Beállítások'!$E$11*(G72-1)+'Beállítások'!$E$12*(H72-1)+'Beállítások'!$E$13*(I72-1)+'Beállítások'!$E$14*(J72-1)+'Beállítások'!$E$15*(K72-1)+'Beállítások'!$E$16*(L72-1)+'Beállítások'!$E$17*(M72-1)+'Beállítások'!$E$18*(N72-1)+'Beállítások'!$E$19*(O72-1)+'Beállítások'!$E$20*(P72-1)+'Beállítások'!$E$21*(Q72-1)+'Beállítások'!$E$22*(R72-1))/(9*'Beállítások'!$B$44),1))</f>
        <v/>
      </c>
      <c r="AK72" s="23">
        <f>IF($A72="","",ROUND(100*('Beállítások'!$E$23*(S72-1)+'Beállítások'!$E$24*(T72-1)+'Beállítások'!$E$25*(U72-1)+'Beállítások'!$E$26*(V72-1)+'Beállítások'!$E$27*(W72-1)+'Beállítások'!$E$28*(X72-1)+'Beállítások'!$E$29*(Y72-1))/(9*'Beállítások'!$B$45),1))</f>
        <v/>
      </c>
      <c r="AL72" s="23">
        <f>IF($A72="","",ROUND(100*('Beállítások'!$E$30*(Z72-1)+'Beállítások'!$E$31*(AA72-1)+'Beállítások'!$E$32*(AB72-1)+'Beállítások'!$E$33*(AC72-1)+'Beállítások'!$E$34*(AD72-1)+'Beállítások'!$E$35*(AE72-1)+'Beállítások'!$E$36*(AF72-1)+'Beállítások'!$E$37*(AG72-1)+'Beállítások'!$E$38*(AH72-1))/(9*'Beállítások'!$B$46),1))</f>
        <v/>
      </c>
      <c r="AM72" s="23">
        <f>IF($A72="","",ROUND(100*('Beállítások'!$E$6*(B72-1)+'Beállítások'!$E$7*(C72-1)+'Beállítások'!$E$8*(D72-1)+'Beállítások'!$E$9*(E72-1)+'Beállítások'!$E$10*(F72-1)+'Beállítások'!$E$11*(G72-1)+'Beállítások'!$E$12*(H72-1)+'Beállítások'!$E$13*(I72-1)+'Beállítások'!$E$14*(J72-1)+'Beállítások'!$E$15*(K72-1)+'Beállítások'!$E$16*(L72-1)+'Beállítások'!$E$17*(M72-1)+'Beállítások'!$E$18*(N72-1)+'Beállítások'!$E$19*(O72-1)+'Beállítások'!$E$20*(P72-1)+'Beállítások'!$E$21*(Q72-1)+'Beállítások'!$E$22*(R72-1)+'Beállítások'!$E$23*(S72-1)+'Beállítások'!$E$24*(T72-1)+'Beállítások'!$E$25*(U72-1)+'Beállítások'!$E$26*(V72-1)+'Beállítások'!$E$27*(W72-1)+'Beállítások'!$E$28*(X72-1)+'Beállítások'!$E$29*(Y72-1)+'Beállítások'!$E$30*(Z72-1)+'Beállítások'!$E$31*(AA72-1)+'Beállítások'!$E$32*(AB72-1)+'Beállítások'!$E$33*(AC72-1)+'Beállítások'!$E$34*(AD72-1)+'Beállítások'!$E$35*(AE72-1)+'Beállítások'!$E$36*(AF72-1)+'Beállítások'!$E$37*(AG72-1)+'Beállítások'!$E$38*(AH72-1))/(9*'Beállítások'!$E$39),1))</f>
        <v/>
      </c>
      <c r="AN72" s="23">
        <f>IF($A72="","",ROUND(100*('Beállítások'!$E$8*(D72-1)+'Beállítások'!$E$9*(E72-1)+'Beállítások'!$E$10*(F72-1)+'Beállítások'!$E$11*(G72-1)+'Beállítások'!$E$12*(H72-1)+'Beállítások'!$E$13*(I72-1)+'Beállítások'!$E$14*(J72-1)+'Beállítások'!$E$15*(K72-1)+'Beállítások'!$E$16*(L72-1)+'Beállítások'!$E$17*(M72-1)+'Beállítások'!$E$18*(N72-1)+'Beállítások'!$E$19*(O72-1)+'Beállítások'!$E$20*(P72-1)+'Beállítások'!$E$21*(Q72-1)+'Beállítások'!$E$22*(R72-1)+'Beállítások'!$E$23*(S72-1)+'Beállítások'!$E$24*(T72-1)+'Beállítások'!$E$25*(U72-1)+'Beállítások'!$E$26*(V72-1)+'Beállítások'!$E$27*(W72-1)+'Beállítások'!$E$28*(X72-1)+'Beállítások'!$E$29*(Y72-1))/(9*('Beállítások'!$B$44+'Beállítások'!$B$45)),1))</f>
        <v/>
      </c>
      <c r="AO72" s="24">
        <f>IF($A72="","",RANK(AM72,$AM$2:$AM$201))</f>
        <v/>
      </c>
      <c r="AP72">
        <f>IF($A72="","",IF(OR(AND('Ügyfelek'!B72&lt;&gt;"",B72&lt;='Beállítások'!$B$85),AND('Ügyfelek'!C72&lt;&gt;"",C72&lt;='Beállítások'!$B$86)),"Igen","Nem"))</f>
        <v/>
      </c>
      <c r="AQ72" s="24">
        <f>IF($A72="","",IF(AP72="Igen",5,IF(AN72&gt;='Beállítások'!$C$108,1,IF(AN72&gt;='Beállítások'!$C$109,2,IF(AN72&gt;='Beállítások'!$C$110,3,IF(AND(AN72&gt;='Beállítások'!$B$87,AI72&gt;='Beállítások'!$B$88,AL72&gt;='Beállítások'!$B$89),4,5))))))</f>
        <v/>
      </c>
      <c r="AR72">
        <f>IF($A72="","",INDEX('Beállítások'!$B$108:$B$112,AQ72))</f>
        <v/>
      </c>
      <c r="AS72">
        <f>IF($A72="","",IF(AQ72=5,"Elutasítjuk",IF(AND(AQ72=4,COUNTIFS('Eredmény'!$AQ$2:$AQ$201,4,'Eredmény'!$DY$2:$DY$201,"&gt;"&amp;DY72)&gt;='Beállítások'!$B$90),"Várólista (a 4-es hely foglalt)","Elfogadjuk")))</f>
        <v/>
      </c>
      <c r="AT72">
        <f>IF($A72="","",INDEX('Beállítások'!$F$108:$F$112,AQ72))</f>
        <v/>
      </c>
      <c r="AU72">
        <f>IF($A72="","",INDEX('Beállítások'!$B$6:$B$38,MATCH(MAX(BK72:CQ72),BK72:CQ72,0)))</f>
        <v/>
      </c>
      <c r="AV72">
        <f>IF($A72="","",IF(MAX(CR72:DX72)=0,"—",INDEX('Beállítások'!$B$6:$B$38,MATCH(MAX(CR72:DX72),CR72:DX72,0))))</f>
        <v/>
      </c>
      <c r="AW72" s="10">
        <f>IF($A72="","",'Beállítások'!$B$94*(TRIM('Ügyfelek'!AI72)="igen")+'Beállítások'!$B$95*(TRIM('Ügyfelek'!AJ72)="igen")+'Beállítások'!$B$96*N('Ügyfelek'!AK72)+'Beállítások'!$B$93*N('Ügyfelek'!AL72))</f>
        <v/>
      </c>
      <c r="AX72" s="25">
        <f>IF(OR($A72="",AQ72=5),"",INDEX('Beállítások'!$D$108:$D$112,AQ72))</f>
        <v/>
      </c>
      <c r="AY72" s="10">
        <f>IF($A72="","",N('Ügyfelek'!U72)*'Beállítások'!$B$98)</f>
        <v/>
      </c>
      <c r="AZ72" s="10">
        <f>IF(OR($A72="",AQ72=5),"",CEILING(ROUND(MAX('Beállítások'!$B$97,AW72*AX72,AY72),2),'Beállítások'!$B$99))</f>
        <v/>
      </c>
      <c r="BA72">
        <f>IF($A72="","",IF(AQ72=5,"Elutasítva",IF(MAX('Beállítások'!$B$97,AW72*AX72,AY72)=AW72*AX72,"Munkaigény × státuszszorzó",IF(MAX('Beállítások'!$B$97,AW72*AX72,AY72)=AY72,"Hirdetési keret arányában","Minimumdíj"))))</f>
        <v/>
      </c>
      <c r="BB72" s="10">
        <f>IF(OR($A72="",'Ügyfelek'!AM72=""),"",'Ügyfelek'!AM72)</f>
        <v/>
      </c>
      <c r="BC72" s="10">
        <f>IF(OR(BB72="",AZ72=""),"",AZ72-BB72)</f>
        <v/>
      </c>
      <c r="BD72" s="18">
        <f>IF(OR(BB72="",AZ72="",BB72=0),"",BC72/BB72)</f>
        <v/>
      </c>
      <c r="BE72">
        <f>IF(OR($A72="",AQ72=5),"",IF(AND(INDEX('Beállítások'!$E$108:$E$112,AQ72)&gt;0,Y72&gt;='Beállítások'!$B$91),"Igen","Nem"))</f>
        <v/>
      </c>
      <c r="BF72" s="10">
        <f>IF(BE72="Igen",CEILING(ROUND(AZ72*(1-'Beállítások'!$B$92),2),'Beállítások'!$B$99),"")</f>
        <v/>
      </c>
      <c r="BG72" s="20">
        <f>IF(BE72="Igen",INDEX('Beállítások'!$E$108:$E$112,AQ72),"")</f>
        <v/>
      </c>
      <c r="BH72" s="10">
        <f>IF(OR(BE72&lt;&gt;"Igen",'Ügyfelek'!AN72=""),"",'Ügyfelek'!AN72*BG72)</f>
        <v/>
      </c>
      <c r="BI72" s="24">
        <f>IF($A72="","",('Ügyfelek'!B72="")+('Ügyfelek'!C72="")+('Ügyfelek'!D72="")+('Ügyfelek'!E72="")+('Ügyfelek'!F72="")+('Ügyfelek'!G72="")+('Ügyfelek'!H72="")+('Ügyfelek'!I72="")+('Ügyfelek'!J72="")+('Ügyfelek'!K72="")+('Ügyfelek'!L72="")+('Ügyfelek'!M72="")+('Ügyfelek'!N72="")+('Ügyfelek'!O72="")+('Ügyfelek'!P72="")+('Ügyfelek'!Q72="")+('Ügyfelek'!R72="")+('Ügyfelek'!S72="")+('Ügyfelek'!T72="")+('Ügyfelek'!U72="")+('Ügyfelek'!V72="")+('Ügyfelek'!W72="")+('Ügyfelek'!X72="")+('Ügyfelek'!Y72="")+('Ügyfelek'!Z72="")+('Ügyfelek'!AA72="")+('Ügyfelek'!AB72="")+('Ügyfelek'!AC72="")+('Ügyfelek'!AD72="")+('Ügyfelek'!AE72="")+('Ügyfelek'!AF72="")+('Ügyfelek'!AG72="")+('Ügyfelek'!AH72=""))</f>
        <v/>
      </c>
      <c r="BK72">
        <f>IF($A72="","",B72+'Beállítások'!$E$6/1000)</f>
        <v/>
      </c>
      <c r="BL72">
        <f>IF($A72="","",C72+'Beállítások'!$E$7/1000)</f>
        <v/>
      </c>
      <c r="BM72">
        <f>IF($A72="","",D72+'Beállítások'!$E$8/1000)</f>
        <v/>
      </c>
      <c r="BN72">
        <f>IF($A72="","",E72+'Beállítások'!$E$9/1000)</f>
        <v/>
      </c>
      <c r="BO72">
        <f>IF($A72="","",F72+'Beállítások'!$E$10/1000)</f>
        <v/>
      </c>
      <c r="BP72">
        <f>IF($A72="","",G72+'Beállítások'!$E$11/1000)</f>
        <v/>
      </c>
      <c r="BQ72">
        <f>IF($A72="","",H72+'Beállítások'!$E$12/1000)</f>
        <v/>
      </c>
      <c r="BR72">
        <f>IF($A72="","",I72+'Beállítások'!$E$13/1000)</f>
        <v/>
      </c>
      <c r="BS72">
        <f>IF($A72="","",J72+'Beállítások'!$E$14/1000)</f>
        <v/>
      </c>
      <c r="BT72">
        <f>IF($A72="","",K72+'Beállítások'!$E$15/1000)</f>
        <v/>
      </c>
      <c r="BU72">
        <f>IF($A72="","",L72+'Beállítások'!$E$16/1000)</f>
        <v/>
      </c>
      <c r="BV72">
        <f>IF($A72="","",M72+'Beállítások'!$E$17/1000)</f>
        <v/>
      </c>
      <c r="BW72">
        <f>IF($A72="","",N72+'Beállítások'!$E$18/1000)</f>
        <v/>
      </c>
      <c r="BX72">
        <f>IF($A72="","",O72+'Beállítások'!$E$19/1000)</f>
        <v/>
      </c>
      <c r="BY72">
        <f>IF($A72="","",P72+'Beállítások'!$E$20/1000)</f>
        <v/>
      </c>
      <c r="BZ72">
        <f>IF($A72="","",Q72+'Beállítások'!$E$21/1000)</f>
        <v/>
      </c>
      <c r="CA72">
        <f>IF($A72="","",R72+'Beállítások'!$E$22/1000)</f>
        <v/>
      </c>
      <c r="CB72">
        <f>IF($A72="","",S72+'Beállítások'!$E$23/1000)</f>
        <v/>
      </c>
      <c r="CC72">
        <f>IF($A72="","",T72+'Beállítások'!$E$24/1000)</f>
        <v/>
      </c>
      <c r="CD72">
        <f>IF($A72="","",U72+'Beállítások'!$E$25/1000)</f>
        <v/>
      </c>
      <c r="CE72">
        <f>IF($A72="","",V72+'Beállítások'!$E$26/1000)</f>
        <v/>
      </c>
      <c r="CF72">
        <f>IF($A72="","",W72+'Beállítások'!$E$27/1000)</f>
        <v/>
      </c>
      <c r="CG72">
        <f>IF($A72="","",X72+'Beállítások'!$E$28/1000)</f>
        <v/>
      </c>
      <c r="CH72">
        <f>IF($A72="","",Y72+'Beállítások'!$E$29/1000)</f>
        <v/>
      </c>
      <c r="CI72">
        <f>IF($A72="","",Z72+'Beállítások'!$E$30/1000)</f>
        <v/>
      </c>
      <c r="CJ72">
        <f>IF($A72="","",AA72+'Beállítások'!$E$31/1000)</f>
        <v/>
      </c>
      <c r="CK72">
        <f>IF($A72="","",AB72+'Beállítások'!$E$32/1000)</f>
        <v/>
      </c>
      <c r="CL72">
        <f>IF($A72="","",AC72+'Beállítások'!$E$33/1000)</f>
        <v/>
      </c>
      <c r="CM72">
        <f>IF($A72="","",AD72+'Beállítások'!$E$34/1000)</f>
        <v/>
      </c>
      <c r="CN72">
        <f>IF($A72="","",AE72+'Beállítások'!$E$35/1000)</f>
        <v/>
      </c>
      <c r="CO72">
        <f>IF($A72="","",AF72+'Beállítások'!$E$36/1000)</f>
        <v/>
      </c>
      <c r="CP72">
        <f>IF($A72="","",AG72+'Beállítások'!$E$37/1000)</f>
        <v/>
      </c>
      <c r="CQ72">
        <f>IF($A72="","",AH72+'Beállítások'!$E$38/1000)</f>
        <v/>
      </c>
      <c r="CR72">
        <f>IF($A72="","",'Beállítások'!$E$6*(10-B72))</f>
        <v/>
      </c>
      <c r="CS72">
        <f>IF($A72="","",'Beállítások'!$E$7*(10-C72))</f>
        <v/>
      </c>
      <c r="CT72">
        <f>IF($A72="","",'Beállítások'!$E$8*(10-D72))</f>
        <v/>
      </c>
      <c r="CU72">
        <f>IF($A72="","",'Beállítások'!$E$9*(10-E72))</f>
        <v/>
      </c>
      <c r="CV72">
        <f>IF($A72="","",'Beállítások'!$E$10*(10-F72))</f>
        <v/>
      </c>
      <c r="CW72">
        <f>IF($A72="","",'Beállítások'!$E$11*(10-G72))</f>
        <v/>
      </c>
      <c r="CX72">
        <f>IF($A72="","",'Beállítások'!$E$12*(10-H72))</f>
        <v/>
      </c>
      <c r="CY72">
        <f>IF($A72="","",'Beállítások'!$E$13*(10-I72))</f>
        <v/>
      </c>
      <c r="CZ72">
        <f>IF($A72="","",'Beállítások'!$E$14*(10-J72))</f>
        <v/>
      </c>
      <c r="DA72">
        <f>IF($A72="","",'Beállítások'!$E$15*(10-K72))</f>
        <v/>
      </c>
      <c r="DB72">
        <f>IF($A72="","",'Beállítások'!$E$16*(10-L72))</f>
        <v/>
      </c>
      <c r="DC72">
        <f>IF($A72="","",'Beállítások'!$E$17*(10-M72))</f>
        <v/>
      </c>
      <c r="DD72">
        <f>IF($A72="","",'Beállítások'!$E$18*(10-N72))</f>
        <v/>
      </c>
      <c r="DE72">
        <f>IF($A72="","",'Beállítások'!$E$19*(10-O72))</f>
        <v/>
      </c>
      <c r="DF72">
        <f>IF($A72="","",'Beállítások'!$E$20*(10-P72))</f>
        <v/>
      </c>
      <c r="DG72">
        <f>IF($A72="","",'Beállítások'!$E$21*(10-Q72))</f>
        <v/>
      </c>
      <c r="DH72">
        <f>IF($A72="","",'Beállítások'!$E$22*(10-R72))</f>
        <v/>
      </c>
      <c r="DI72">
        <f>IF($A72="","",'Beállítások'!$E$23*(10-S72))</f>
        <v/>
      </c>
      <c r="DJ72">
        <f>IF($A72="","",'Beállítások'!$E$24*(10-T72))</f>
        <v/>
      </c>
      <c r="DK72">
        <f>IF($A72="","",'Beállítások'!$E$25*(10-U72))</f>
        <v/>
      </c>
      <c r="DL72">
        <f>IF($A72="","",'Beállítások'!$E$26*(10-V72))</f>
        <v/>
      </c>
      <c r="DM72">
        <f>IF($A72="","",'Beállítások'!$E$27*(10-W72))</f>
        <v/>
      </c>
      <c r="DN72">
        <f>IF($A72="","",'Beállítások'!$E$28*(10-X72))</f>
        <v/>
      </c>
      <c r="DO72">
        <f>IF($A72="","",'Beállítások'!$E$29*(10-Y72))</f>
        <v/>
      </c>
      <c r="DP72">
        <f>IF($A72="","",'Beállítások'!$E$30*(10-Z72))</f>
        <v/>
      </c>
      <c r="DQ72">
        <f>IF($A72="","",'Beállítások'!$E$31*(10-AA72))</f>
        <v/>
      </c>
      <c r="DR72">
        <f>IF($A72="","",'Beállítások'!$E$32*(10-AB72))</f>
        <v/>
      </c>
      <c r="DS72">
        <f>IF($A72="","",'Beállítások'!$E$33*(10-AC72))</f>
        <v/>
      </c>
      <c r="DT72">
        <f>IF($A72="","",'Beállítások'!$E$34*(10-AD72))</f>
        <v/>
      </c>
      <c r="DU72">
        <f>IF($A72="","",'Beállítások'!$E$35*(10-AE72))</f>
        <v/>
      </c>
      <c r="DV72">
        <f>IF($A72="","",'Beállítások'!$E$36*(10-AF72))</f>
        <v/>
      </c>
      <c r="DW72">
        <f>IF($A72="","",'Beállítások'!$E$37*(10-AG72))</f>
        <v/>
      </c>
      <c r="DX72">
        <f>IF($A72="","",'Beállítások'!$E$38*(10-AH72))</f>
        <v/>
      </c>
      <c r="DY72">
        <f>IF($A72="","",AM72-ROW()/100000)</f>
        <v/>
      </c>
    </row>
    <row r="73">
      <c r="A73">
        <f>IF('Ügyfelek'!A73="","",'Ügyfelek'!A73)</f>
        <v/>
      </c>
      <c r="B73">
        <f>IF($A73="","",IF('Ügyfelek'!B73="",'Beállítások'!$B$84,IFERROR(VLOOKUP(TRIM('Ügyfelek'!B73),'Beállítások'!$A$51:$B$59,2,FALSE),'Beállítások'!$B$84)))</f>
        <v/>
      </c>
      <c r="C73">
        <f>IF($A73="","",IF('Ügyfelek'!C73="",'Beállítások'!$B$84,MIN(10,MAX(1,ROUND('Ügyfelek'!C73,0)))))</f>
        <v/>
      </c>
      <c r="D73">
        <f>IF($A73="","",IF('Ügyfelek'!D73="",'Beállítások'!$B$84,MIN(10,MAX(1,ROUND('Ügyfelek'!D73,0)))))</f>
        <v/>
      </c>
      <c r="E73">
        <f>IF($A73="","",IF('Ügyfelek'!E73="",'Beállítások'!$B$84,MIN(10,MAX(1,ROUND('Ügyfelek'!E73,0)))))</f>
        <v/>
      </c>
      <c r="F73">
        <f>IF($A73="","",IF('Ügyfelek'!F73="",'Beállítások'!$B$84,MIN(10,MAX(1,ROUND('Ügyfelek'!F73,0)))))</f>
        <v/>
      </c>
      <c r="G73">
        <f>IF($A73="","",IF('Ügyfelek'!G73="",'Beállítások'!$B$84,MIN(10,MAX(1,ROUND('Ügyfelek'!G73,0)))))</f>
        <v/>
      </c>
      <c r="H73">
        <f>IF($A73="","",IF('Ügyfelek'!H73="",'Beállítások'!$B$84,MIN(10,MAX(1,ROUND('Ügyfelek'!H73,0)))))</f>
        <v/>
      </c>
      <c r="I73">
        <f>IF($A73="","",IF('Ügyfelek'!I73="",'Beállítások'!$B$84,MIN(10,MAX(1,ROUND('Ügyfelek'!I73,0)))))</f>
        <v/>
      </c>
      <c r="J73">
        <f>IF($A73="","",IF('Ügyfelek'!J73="",'Beállítások'!$B$84,MIN(10,MAX(1,ROUND('Ügyfelek'!J73,0)))))</f>
        <v/>
      </c>
      <c r="K73">
        <f>IF($A73="","",IF('Ügyfelek'!K73="",'Beállítások'!$B$84,MIN(10,MAX(1,ROUND('Ügyfelek'!K73,0)))))</f>
        <v/>
      </c>
      <c r="L73">
        <f>IF($A73="","",IF('Ügyfelek'!L73="",'Beállítások'!$B$84,MIN(10,MAX(1,ROUND('Ügyfelek'!L73,0)))))</f>
        <v/>
      </c>
      <c r="M73">
        <f>IF($A73="","",IF('Ügyfelek'!M73="",'Beállítások'!$B$84,MIN(10,MAX(1,ROUND('Ügyfelek'!M73,0)))))</f>
        <v/>
      </c>
      <c r="N73">
        <f>IF($A73="","",IF('Ügyfelek'!N73="",'Beállítások'!$B$84,MIN(10,MAX(1,ROUND('Ügyfelek'!N73,0)))))</f>
        <v/>
      </c>
      <c r="O73">
        <f>IF($A73="","",IF('Ügyfelek'!O73="",'Beállítások'!$B$84,MIN(10,MAX(1,ROUND('Ügyfelek'!O73,0)))))</f>
        <v/>
      </c>
      <c r="P73">
        <f>IF($A73="","",IF('Ügyfelek'!P73="",'Beállítások'!$B$84,MIN(10,MAX(1,ROUND('Ügyfelek'!P73,0)))))</f>
        <v/>
      </c>
      <c r="Q73">
        <f>IF($A73="","",IF('Ügyfelek'!Q73="",'Beállítások'!$B$84,MIN(10,MAX(1,ROUND('Ügyfelek'!Q73,0)))))</f>
        <v/>
      </c>
      <c r="R73">
        <f>IF($A73="","",IF('Ügyfelek'!R73="",'Beállítások'!$B$84,MIN(10,MAX(1,ROUND('Ügyfelek'!R73,0)))))</f>
        <v/>
      </c>
      <c r="S73">
        <f>IF($A73="","",IF('Ügyfelek'!S73="",'Beállítások'!$B$84,MIN(10,MAX(1,ROUND('Ügyfelek'!S73,0)))))</f>
        <v/>
      </c>
      <c r="T73">
        <f>IF($A73="","",IF('Ügyfelek'!T73="",'Beállítások'!$B$84,VLOOKUP(MAX('Ügyfelek'!T73,'Beállítások'!$H$7),'Beállítások'!$H$7:$I$12,2,TRUE)))</f>
        <v/>
      </c>
      <c r="U73">
        <f>IF($A73="","",IF('Ügyfelek'!U73="",'Beállítások'!$B$84,VLOOKUP(MAX('Ügyfelek'!U73,'Beállítások'!$K$7),'Beállítások'!$K$7:$L$12,2,TRUE)))</f>
        <v/>
      </c>
      <c r="V73">
        <f>IF($A73="","",IF('Ügyfelek'!V73="",'Beállítások'!$B$84,MIN(10,MAX(1,ROUND('Ügyfelek'!V73,0)))))</f>
        <v/>
      </c>
      <c r="W73">
        <f>IF($A73="","",IF('Ügyfelek'!W73="",'Beállítások'!$B$84,VLOOKUP(MAX('Ügyfelek'!W73,'Beállítások'!$N$7),'Beállítások'!$N$7:$O$12,2,TRUE)))</f>
        <v/>
      </c>
      <c r="X73">
        <f>IF($A73="","",IF('Ügyfelek'!X73="",'Beállítások'!$B$84,MIN(10,MAX(1,ROUND('Ügyfelek'!X73,0)))))</f>
        <v/>
      </c>
      <c r="Y73">
        <f>IF($A73="","",IF('Ügyfelek'!Y73="",'Beállítások'!$B$84,IFERROR(VLOOKUP(TRIM('Ügyfelek'!Y73),'Beállítások'!$A$63:$B$69,2,FALSE),'Beállítások'!$B$84)))</f>
        <v/>
      </c>
      <c r="Z73">
        <f>IF($A73="","",IF('Ügyfelek'!Z73="",'Beállítások'!$B$84,VLOOKUP(MAX('Ügyfelek'!Z73,'Beállítások'!$Q$7),'Beállítások'!$Q$7:$R$12,2,TRUE)))</f>
        <v/>
      </c>
      <c r="AA73">
        <f>IF($A73="","",IF('Ügyfelek'!AA73="",'Beállítások'!$B$84,VLOOKUP(MAX('Ügyfelek'!AA73,'Beállítások'!$T$7),'Beállítások'!$T$7:$U$12,2,TRUE)))</f>
        <v/>
      </c>
      <c r="AB73">
        <f>IF($A73="","",IF('Ügyfelek'!AB73="",'Beállítások'!$B$84,MIN(10,MAX(1,ROUND('Ügyfelek'!AB73,0)))))</f>
        <v/>
      </c>
      <c r="AC73">
        <f>IF($A73="","",IF('Ügyfelek'!AC73="",'Beállítások'!$B$84,MIN(10,MAX(1,ROUND('Ügyfelek'!AC73,0)))))</f>
        <v/>
      </c>
      <c r="AD73">
        <f>IF($A73="","",IF('Ügyfelek'!AD73="",'Beállítások'!$B$84,MIN(10,MAX(1,ROUND('Ügyfelek'!AD73,0)))))</f>
        <v/>
      </c>
      <c r="AE73">
        <f>IF($A73="","",IF('Ügyfelek'!AE73="",'Beállítások'!$B$84,MIN(10,MAX(1,ROUND('Ügyfelek'!AE73,0)))))</f>
        <v/>
      </c>
      <c r="AF73">
        <f>IF($A73="","",IF('Ügyfelek'!AF73="",'Beállítások'!$B$84,MIN(10,MAX(1,ROUND('Ügyfelek'!AF73,0)))))</f>
        <v/>
      </c>
      <c r="AG73">
        <f>IF($A73="","",IF('Ügyfelek'!AG73="",'Beállítások'!$B$84,MIN(10,MAX(1,ROUND('Ügyfelek'!AG73,0)))))</f>
        <v/>
      </c>
      <c r="AH73">
        <f>IF($A73="","",IF('Ügyfelek'!AH73="",'Beállítások'!$B$84,IFERROR(VLOOKUP(TRIM('Ügyfelek'!AH73),'Beállítások'!$A$73:$B$79,2,FALSE),'Beállítások'!$B$84)))</f>
        <v/>
      </c>
      <c r="AI73" s="23">
        <f>IF($A73="","",ROUND(100*('Beállítások'!$E$6*(B73-1)+'Beállítások'!$E$7*(C73-1))/(9*'Beállítások'!$B$43),1))</f>
        <v/>
      </c>
      <c r="AJ73" s="23">
        <f>IF($A73="","",ROUND(100*('Beállítások'!$E$8*(D73-1)+'Beállítások'!$E$9*(E73-1)+'Beállítások'!$E$10*(F73-1)+'Beállítások'!$E$11*(G73-1)+'Beállítások'!$E$12*(H73-1)+'Beállítások'!$E$13*(I73-1)+'Beállítások'!$E$14*(J73-1)+'Beállítások'!$E$15*(K73-1)+'Beállítások'!$E$16*(L73-1)+'Beállítások'!$E$17*(M73-1)+'Beállítások'!$E$18*(N73-1)+'Beállítások'!$E$19*(O73-1)+'Beállítások'!$E$20*(P73-1)+'Beállítások'!$E$21*(Q73-1)+'Beállítások'!$E$22*(R73-1))/(9*'Beállítások'!$B$44),1))</f>
        <v/>
      </c>
      <c r="AK73" s="23">
        <f>IF($A73="","",ROUND(100*('Beállítások'!$E$23*(S73-1)+'Beállítások'!$E$24*(T73-1)+'Beállítások'!$E$25*(U73-1)+'Beállítások'!$E$26*(V73-1)+'Beállítások'!$E$27*(W73-1)+'Beállítások'!$E$28*(X73-1)+'Beállítások'!$E$29*(Y73-1))/(9*'Beállítások'!$B$45),1))</f>
        <v/>
      </c>
      <c r="AL73" s="23">
        <f>IF($A73="","",ROUND(100*('Beállítások'!$E$30*(Z73-1)+'Beállítások'!$E$31*(AA73-1)+'Beállítások'!$E$32*(AB73-1)+'Beállítások'!$E$33*(AC73-1)+'Beállítások'!$E$34*(AD73-1)+'Beállítások'!$E$35*(AE73-1)+'Beállítások'!$E$36*(AF73-1)+'Beállítások'!$E$37*(AG73-1)+'Beállítások'!$E$38*(AH73-1))/(9*'Beállítások'!$B$46),1))</f>
        <v/>
      </c>
      <c r="AM73" s="23">
        <f>IF($A73="","",ROUND(100*('Beállítások'!$E$6*(B73-1)+'Beállítások'!$E$7*(C73-1)+'Beállítások'!$E$8*(D73-1)+'Beállítások'!$E$9*(E73-1)+'Beállítások'!$E$10*(F73-1)+'Beállítások'!$E$11*(G73-1)+'Beállítások'!$E$12*(H73-1)+'Beállítások'!$E$13*(I73-1)+'Beállítások'!$E$14*(J73-1)+'Beállítások'!$E$15*(K73-1)+'Beállítások'!$E$16*(L73-1)+'Beállítások'!$E$17*(M73-1)+'Beállítások'!$E$18*(N73-1)+'Beállítások'!$E$19*(O73-1)+'Beállítások'!$E$20*(P73-1)+'Beállítások'!$E$21*(Q73-1)+'Beállítások'!$E$22*(R73-1)+'Beállítások'!$E$23*(S73-1)+'Beállítások'!$E$24*(T73-1)+'Beállítások'!$E$25*(U73-1)+'Beállítások'!$E$26*(V73-1)+'Beállítások'!$E$27*(W73-1)+'Beállítások'!$E$28*(X73-1)+'Beállítások'!$E$29*(Y73-1)+'Beállítások'!$E$30*(Z73-1)+'Beállítások'!$E$31*(AA73-1)+'Beállítások'!$E$32*(AB73-1)+'Beállítások'!$E$33*(AC73-1)+'Beállítások'!$E$34*(AD73-1)+'Beállítások'!$E$35*(AE73-1)+'Beállítások'!$E$36*(AF73-1)+'Beállítások'!$E$37*(AG73-1)+'Beállítások'!$E$38*(AH73-1))/(9*'Beállítások'!$E$39),1))</f>
        <v/>
      </c>
      <c r="AN73" s="23">
        <f>IF($A73="","",ROUND(100*('Beállítások'!$E$8*(D73-1)+'Beállítások'!$E$9*(E73-1)+'Beállítások'!$E$10*(F73-1)+'Beállítások'!$E$11*(G73-1)+'Beállítások'!$E$12*(H73-1)+'Beállítások'!$E$13*(I73-1)+'Beállítások'!$E$14*(J73-1)+'Beállítások'!$E$15*(K73-1)+'Beállítások'!$E$16*(L73-1)+'Beállítások'!$E$17*(M73-1)+'Beállítások'!$E$18*(N73-1)+'Beállítások'!$E$19*(O73-1)+'Beállítások'!$E$20*(P73-1)+'Beállítások'!$E$21*(Q73-1)+'Beállítások'!$E$22*(R73-1)+'Beállítások'!$E$23*(S73-1)+'Beállítások'!$E$24*(T73-1)+'Beállítások'!$E$25*(U73-1)+'Beállítások'!$E$26*(V73-1)+'Beállítások'!$E$27*(W73-1)+'Beállítások'!$E$28*(X73-1)+'Beállítások'!$E$29*(Y73-1))/(9*('Beállítások'!$B$44+'Beállítások'!$B$45)),1))</f>
        <v/>
      </c>
      <c r="AO73" s="24">
        <f>IF($A73="","",RANK(AM73,$AM$2:$AM$201))</f>
        <v/>
      </c>
      <c r="AP73">
        <f>IF($A73="","",IF(OR(AND('Ügyfelek'!B73&lt;&gt;"",B73&lt;='Beállítások'!$B$85),AND('Ügyfelek'!C73&lt;&gt;"",C73&lt;='Beállítások'!$B$86)),"Igen","Nem"))</f>
        <v/>
      </c>
      <c r="AQ73" s="24">
        <f>IF($A73="","",IF(AP73="Igen",5,IF(AN73&gt;='Beállítások'!$C$108,1,IF(AN73&gt;='Beállítások'!$C$109,2,IF(AN73&gt;='Beállítások'!$C$110,3,IF(AND(AN73&gt;='Beállítások'!$B$87,AI73&gt;='Beállítások'!$B$88,AL73&gt;='Beállítások'!$B$89),4,5))))))</f>
        <v/>
      </c>
      <c r="AR73">
        <f>IF($A73="","",INDEX('Beállítások'!$B$108:$B$112,AQ73))</f>
        <v/>
      </c>
      <c r="AS73">
        <f>IF($A73="","",IF(AQ73=5,"Elutasítjuk",IF(AND(AQ73=4,COUNTIFS('Eredmény'!$AQ$2:$AQ$201,4,'Eredmény'!$DY$2:$DY$201,"&gt;"&amp;DY73)&gt;='Beállítások'!$B$90),"Várólista (a 4-es hely foglalt)","Elfogadjuk")))</f>
        <v/>
      </c>
      <c r="AT73">
        <f>IF($A73="","",INDEX('Beállítások'!$F$108:$F$112,AQ73))</f>
        <v/>
      </c>
      <c r="AU73">
        <f>IF($A73="","",INDEX('Beállítások'!$B$6:$B$38,MATCH(MAX(BK73:CQ73),BK73:CQ73,0)))</f>
        <v/>
      </c>
      <c r="AV73">
        <f>IF($A73="","",IF(MAX(CR73:DX73)=0,"—",INDEX('Beállítások'!$B$6:$B$38,MATCH(MAX(CR73:DX73),CR73:DX73,0))))</f>
        <v/>
      </c>
      <c r="AW73" s="10">
        <f>IF($A73="","",'Beállítások'!$B$94*(TRIM('Ügyfelek'!AI73)="igen")+'Beállítások'!$B$95*(TRIM('Ügyfelek'!AJ73)="igen")+'Beállítások'!$B$96*N('Ügyfelek'!AK73)+'Beállítások'!$B$93*N('Ügyfelek'!AL73))</f>
        <v/>
      </c>
      <c r="AX73" s="25">
        <f>IF(OR($A73="",AQ73=5),"",INDEX('Beállítások'!$D$108:$D$112,AQ73))</f>
        <v/>
      </c>
      <c r="AY73" s="10">
        <f>IF($A73="","",N('Ügyfelek'!U73)*'Beállítások'!$B$98)</f>
        <v/>
      </c>
      <c r="AZ73" s="10">
        <f>IF(OR($A73="",AQ73=5),"",CEILING(ROUND(MAX('Beállítások'!$B$97,AW73*AX73,AY73),2),'Beállítások'!$B$99))</f>
        <v/>
      </c>
      <c r="BA73">
        <f>IF($A73="","",IF(AQ73=5,"Elutasítva",IF(MAX('Beállítások'!$B$97,AW73*AX73,AY73)=AW73*AX73,"Munkaigény × státuszszorzó",IF(MAX('Beállítások'!$B$97,AW73*AX73,AY73)=AY73,"Hirdetési keret arányában","Minimumdíj"))))</f>
        <v/>
      </c>
      <c r="BB73" s="10">
        <f>IF(OR($A73="",'Ügyfelek'!AM73=""),"",'Ügyfelek'!AM73)</f>
        <v/>
      </c>
      <c r="BC73" s="10">
        <f>IF(OR(BB73="",AZ73=""),"",AZ73-BB73)</f>
        <v/>
      </c>
      <c r="BD73" s="18">
        <f>IF(OR(BB73="",AZ73="",BB73=0),"",BC73/BB73)</f>
        <v/>
      </c>
      <c r="BE73">
        <f>IF(OR($A73="",AQ73=5),"",IF(AND(INDEX('Beállítások'!$E$108:$E$112,AQ73)&gt;0,Y73&gt;='Beállítások'!$B$91),"Igen","Nem"))</f>
        <v/>
      </c>
      <c r="BF73" s="10">
        <f>IF(BE73="Igen",CEILING(ROUND(AZ73*(1-'Beállítások'!$B$92),2),'Beállítások'!$B$99),"")</f>
        <v/>
      </c>
      <c r="BG73" s="20">
        <f>IF(BE73="Igen",INDEX('Beállítások'!$E$108:$E$112,AQ73),"")</f>
        <v/>
      </c>
      <c r="BH73" s="10">
        <f>IF(OR(BE73&lt;&gt;"Igen",'Ügyfelek'!AN73=""),"",'Ügyfelek'!AN73*BG73)</f>
        <v/>
      </c>
      <c r="BI73" s="24">
        <f>IF($A73="","",('Ügyfelek'!B73="")+('Ügyfelek'!C73="")+('Ügyfelek'!D73="")+('Ügyfelek'!E73="")+('Ügyfelek'!F73="")+('Ügyfelek'!G73="")+('Ügyfelek'!H73="")+('Ügyfelek'!I73="")+('Ügyfelek'!J73="")+('Ügyfelek'!K73="")+('Ügyfelek'!L73="")+('Ügyfelek'!M73="")+('Ügyfelek'!N73="")+('Ügyfelek'!O73="")+('Ügyfelek'!P73="")+('Ügyfelek'!Q73="")+('Ügyfelek'!R73="")+('Ügyfelek'!S73="")+('Ügyfelek'!T73="")+('Ügyfelek'!U73="")+('Ügyfelek'!V73="")+('Ügyfelek'!W73="")+('Ügyfelek'!X73="")+('Ügyfelek'!Y73="")+('Ügyfelek'!Z73="")+('Ügyfelek'!AA73="")+('Ügyfelek'!AB73="")+('Ügyfelek'!AC73="")+('Ügyfelek'!AD73="")+('Ügyfelek'!AE73="")+('Ügyfelek'!AF73="")+('Ügyfelek'!AG73="")+('Ügyfelek'!AH73=""))</f>
        <v/>
      </c>
      <c r="BK73">
        <f>IF($A73="","",B73+'Beállítások'!$E$6/1000)</f>
        <v/>
      </c>
      <c r="BL73">
        <f>IF($A73="","",C73+'Beállítások'!$E$7/1000)</f>
        <v/>
      </c>
      <c r="BM73">
        <f>IF($A73="","",D73+'Beállítások'!$E$8/1000)</f>
        <v/>
      </c>
      <c r="BN73">
        <f>IF($A73="","",E73+'Beállítások'!$E$9/1000)</f>
        <v/>
      </c>
      <c r="BO73">
        <f>IF($A73="","",F73+'Beállítások'!$E$10/1000)</f>
        <v/>
      </c>
      <c r="BP73">
        <f>IF($A73="","",G73+'Beállítások'!$E$11/1000)</f>
        <v/>
      </c>
      <c r="BQ73">
        <f>IF($A73="","",H73+'Beállítások'!$E$12/1000)</f>
        <v/>
      </c>
      <c r="BR73">
        <f>IF($A73="","",I73+'Beállítások'!$E$13/1000)</f>
        <v/>
      </c>
      <c r="BS73">
        <f>IF($A73="","",J73+'Beállítások'!$E$14/1000)</f>
        <v/>
      </c>
      <c r="BT73">
        <f>IF($A73="","",K73+'Beállítások'!$E$15/1000)</f>
        <v/>
      </c>
      <c r="BU73">
        <f>IF($A73="","",L73+'Beállítások'!$E$16/1000)</f>
        <v/>
      </c>
      <c r="BV73">
        <f>IF($A73="","",M73+'Beállítások'!$E$17/1000)</f>
        <v/>
      </c>
      <c r="BW73">
        <f>IF($A73="","",N73+'Beállítások'!$E$18/1000)</f>
        <v/>
      </c>
      <c r="BX73">
        <f>IF($A73="","",O73+'Beállítások'!$E$19/1000)</f>
        <v/>
      </c>
      <c r="BY73">
        <f>IF($A73="","",P73+'Beállítások'!$E$20/1000)</f>
        <v/>
      </c>
      <c r="BZ73">
        <f>IF($A73="","",Q73+'Beállítások'!$E$21/1000)</f>
        <v/>
      </c>
      <c r="CA73">
        <f>IF($A73="","",R73+'Beállítások'!$E$22/1000)</f>
        <v/>
      </c>
      <c r="CB73">
        <f>IF($A73="","",S73+'Beállítások'!$E$23/1000)</f>
        <v/>
      </c>
      <c r="CC73">
        <f>IF($A73="","",T73+'Beállítások'!$E$24/1000)</f>
        <v/>
      </c>
      <c r="CD73">
        <f>IF($A73="","",U73+'Beállítások'!$E$25/1000)</f>
        <v/>
      </c>
      <c r="CE73">
        <f>IF($A73="","",V73+'Beállítások'!$E$26/1000)</f>
        <v/>
      </c>
      <c r="CF73">
        <f>IF($A73="","",W73+'Beállítások'!$E$27/1000)</f>
        <v/>
      </c>
      <c r="CG73">
        <f>IF($A73="","",X73+'Beállítások'!$E$28/1000)</f>
        <v/>
      </c>
      <c r="CH73">
        <f>IF($A73="","",Y73+'Beállítások'!$E$29/1000)</f>
        <v/>
      </c>
      <c r="CI73">
        <f>IF($A73="","",Z73+'Beállítások'!$E$30/1000)</f>
        <v/>
      </c>
      <c r="CJ73">
        <f>IF($A73="","",AA73+'Beállítások'!$E$31/1000)</f>
        <v/>
      </c>
      <c r="CK73">
        <f>IF($A73="","",AB73+'Beállítások'!$E$32/1000)</f>
        <v/>
      </c>
      <c r="CL73">
        <f>IF($A73="","",AC73+'Beállítások'!$E$33/1000)</f>
        <v/>
      </c>
      <c r="CM73">
        <f>IF($A73="","",AD73+'Beállítások'!$E$34/1000)</f>
        <v/>
      </c>
      <c r="CN73">
        <f>IF($A73="","",AE73+'Beállítások'!$E$35/1000)</f>
        <v/>
      </c>
      <c r="CO73">
        <f>IF($A73="","",AF73+'Beállítások'!$E$36/1000)</f>
        <v/>
      </c>
      <c r="CP73">
        <f>IF($A73="","",AG73+'Beállítások'!$E$37/1000)</f>
        <v/>
      </c>
      <c r="CQ73">
        <f>IF($A73="","",AH73+'Beállítások'!$E$38/1000)</f>
        <v/>
      </c>
      <c r="CR73">
        <f>IF($A73="","",'Beállítások'!$E$6*(10-B73))</f>
        <v/>
      </c>
      <c r="CS73">
        <f>IF($A73="","",'Beállítások'!$E$7*(10-C73))</f>
        <v/>
      </c>
      <c r="CT73">
        <f>IF($A73="","",'Beállítások'!$E$8*(10-D73))</f>
        <v/>
      </c>
      <c r="CU73">
        <f>IF($A73="","",'Beállítások'!$E$9*(10-E73))</f>
        <v/>
      </c>
      <c r="CV73">
        <f>IF($A73="","",'Beállítások'!$E$10*(10-F73))</f>
        <v/>
      </c>
      <c r="CW73">
        <f>IF($A73="","",'Beállítások'!$E$11*(10-G73))</f>
        <v/>
      </c>
      <c r="CX73">
        <f>IF($A73="","",'Beállítások'!$E$12*(10-H73))</f>
        <v/>
      </c>
      <c r="CY73">
        <f>IF($A73="","",'Beállítások'!$E$13*(10-I73))</f>
        <v/>
      </c>
      <c r="CZ73">
        <f>IF($A73="","",'Beállítások'!$E$14*(10-J73))</f>
        <v/>
      </c>
      <c r="DA73">
        <f>IF($A73="","",'Beállítások'!$E$15*(10-K73))</f>
        <v/>
      </c>
      <c r="DB73">
        <f>IF($A73="","",'Beállítások'!$E$16*(10-L73))</f>
        <v/>
      </c>
      <c r="DC73">
        <f>IF($A73="","",'Beállítások'!$E$17*(10-M73))</f>
        <v/>
      </c>
      <c r="DD73">
        <f>IF($A73="","",'Beállítások'!$E$18*(10-N73))</f>
        <v/>
      </c>
      <c r="DE73">
        <f>IF($A73="","",'Beállítások'!$E$19*(10-O73))</f>
        <v/>
      </c>
      <c r="DF73">
        <f>IF($A73="","",'Beállítások'!$E$20*(10-P73))</f>
        <v/>
      </c>
      <c r="DG73">
        <f>IF($A73="","",'Beállítások'!$E$21*(10-Q73))</f>
        <v/>
      </c>
      <c r="DH73">
        <f>IF($A73="","",'Beállítások'!$E$22*(10-R73))</f>
        <v/>
      </c>
      <c r="DI73">
        <f>IF($A73="","",'Beállítások'!$E$23*(10-S73))</f>
        <v/>
      </c>
      <c r="DJ73">
        <f>IF($A73="","",'Beállítások'!$E$24*(10-T73))</f>
        <v/>
      </c>
      <c r="DK73">
        <f>IF($A73="","",'Beállítások'!$E$25*(10-U73))</f>
        <v/>
      </c>
      <c r="DL73">
        <f>IF($A73="","",'Beállítások'!$E$26*(10-V73))</f>
        <v/>
      </c>
      <c r="DM73">
        <f>IF($A73="","",'Beállítások'!$E$27*(10-W73))</f>
        <v/>
      </c>
      <c r="DN73">
        <f>IF($A73="","",'Beállítások'!$E$28*(10-X73))</f>
        <v/>
      </c>
      <c r="DO73">
        <f>IF($A73="","",'Beállítások'!$E$29*(10-Y73))</f>
        <v/>
      </c>
      <c r="DP73">
        <f>IF($A73="","",'Beállítások'!$E$30*(10-Z73))</f>
        <v/>
      </c>
      <c r="DQ73">
        <f>IF($A73="","",'Beállítások'!$E$31*(10-AA73))</f>
        <v/>
      </c>
      <c r="DR73">
        <f>IF($A73="","",'Beállítások'!$E$32*(10-AB73))</f>
        <v/>
      </c>
      <c r="DS73">
        <f>IF($A73="","",'Beállítások'!$E$33*(10-AC73))</f>
        <v/>
      </c>
      <c r="DT73">
        <f>IF($A73="","",'Beállítások'!$E$34*(10-AD73))</f>
        <v/>
      </c>
      <c r="DU73">
        <f>IF($A73="","",'Beállítások'!$E$35*(10-AE73))</f>
        <v/>
      </c>
      <c r="DV73">
        <f>IF($A73="","",'Beállítások'!$E$36*(10-AF73))</f>
        <v/>
      </c>
      <c r="DW73">
        <f>IF($A73="","",'Beállítások'!$E$37*(10-AG73))</f>
        <v/>
      </c>
      <c r="DX73">
        <f>IF($A73="","",'Beállítások'!$E$38*(10-AH73))</f>
        <v/>
      </c>
      <c r="DY73">
        <f>IF($A73="","",AM73-ROW()/100000)</f>
        <v/>
      </c>
    </row>
    <row r="74">
      <c r="A74">
        <f>IF('Ügyfelek'!A74="","",'Ügyfelek'!A74)</f>
        <v/>
      </c>
      <c r="B74">
        <f>IF($A74="","",IF('Ügyfelek'!B74="",'Beállítások'!$B$84,IFERROR(VLOOKUP(TRIM('Ügyfelek'!B74),'Beállítások'!$A$51:$B$59,2,FALSE),'Beállítások'!$B$84)))</f>
        <v/>
      </c>
      <c r="C74">
        <f>IF($A74="","",IF('Ügyfelek'!C74="",'Beállítások'!$B$84,MIN(10,MAX(1,ROUND('Ügyfelek'!C74,0)))))</f>
        <v/>
      </c>
      <c r="D74">
        <f>IF($A74="","",IF('Ügyfelek'!D74="",'Beállítások'!$B$84,MIN(10,MAX(1,ROUND('Ügyfelek'!D74,0)))))</f>
        <v/>
      </c>
      <c r="E74">
        <f>IF($A74="","",IF('Ügyfelek'!E74="",'Beállítások'!$B$84,MIN(10,MAX(1,ROUND('Ügyfelek'!E74,0)))))</f>
        <v/>
      </c>
      <c r="F74">
        <f>IF($A74="","",IF('Ügyfelek'!F74="",'Beállítások'!$B$84,MIN(10,MAX(1,ROUND('Ügyfelek'!F74,0)))))</f>
        <v/>
      </c>
      <c r="G74">
        <f>IF($A74="","",IF('Ügyfelek'!G74="",'Beállítások'!$B$84,MIN(10,MAX(1,ROUND('Ügyfelek'!G74,0)))))</f>
        <v/>
      </c>
      <c r="H74">
        <f>IF($A74="","",IF('Ügyfelek'!H74="",'Beállítások'!$B$84,MIN(10,MAX(1,ROUND('Ügyfelek'!H74,0)))))</f>
        <v/>
      </c>
      <c r="I74">
        <f>IF($A74="","",IF('Ügyfelek'!I74="",'Beállítások'!$B$84,MIN(10,MAX(1,ROUND('Ügyfelek'!I74,0)))))</f>
        <v/>
      </c>
      <c r="J74">
        <f>IF($A74="","",IF('Ügyfelek'!J74="",'Beállítások'!$B$84,MIN(10,MAX(1,ROUND('Ügyfelek'!J74,0)))))</f>
        <v/>
      </c>
      <c r="K74">
        <f>IF($A74="","",IF('Ügyfelek'!K74="",'Beállítások'!$B$84,MIN(10,MAX(1,ROUND('Ügyfelek'!K74,0)))))</f>
        <v/>
      </c>
      <c r="L74">
        <f>IF($A74="","",IF('Ügyfelek'!L74="",'Beállítások'!$B$84,MIN(10,MAX(1,ROUND('Ügyfelek'!L74,0)))))</f>
        <v/>
      </c>
      <c r="M74">
        <f>IF($A74="","",IF('Ügyfelek'!M74="",'Beállítások'!$B$84,MIN(10,MAX(1,ROUND('Ügyfelek'!M74,0)))))</f>
        <v/>
      </c>
      <c r="N74">
        <f>IF($A74="","",IF('Ügyfelek'!N74="",'Beállítások'!$B$84,MIN(10,MAX(1,ROUND('Ügyfelek'!N74,0)))))</f>
        <v/>
      </c>
      <c r="O74">
        <f>IF($A74="","",IF('Ügyfelek'!O74="",'Beállítások'!$B$84,MIN(10,MAX(1,ROUND('Ügyfelek'!O74,0)))))</f>
        <v/>
      </c>
      <c r="P74">
        <f>IF($A74="","",IF('Ügyfelek'!P74="",'Beállítások'!$B$84,MIN(10,MAX(1,ROUND('Ügyfelek'!P74,0)))))</f>
        <v/>
      </c>
      <c r="Q74">
        <f>IF($A74="","",IF('Ügyfelek'!Q74="",'Beállítások'!$B$84,MIN(10,MAX(1,ROUND('Ügyfelek'!Q74,0)))))</f>
        <v/>
      </c>
      <c r="R74">
        <f>IF($A74="","",IF('Ügyfelek'!R74="",'Beállítások'!$B$84,MIN(10,MAX(1,ROUND('Ügyfelek'!R74,0)))))</f>
        <v/>
      </c>
      <c r="S74">
        <f>IF($A74="","",IF('Ügyfelek'!S74="",'Beállítások'!$B$84,MIN(10,MAX(1,ROUND('Ügyfelek'!S74,0)))))</f>
        <v/>
      </c>
      <c r="T74">
        <f>IF($A74="","",IF('Ügyfelek'!T74="",'Beállítások'!$B$84,VLOOKUP(MAX('Ügyfelek'!T74,'Beállítások'!$H$7),'Beállítások'!$H$7:$I$12,2,TRUE)))</f>
        <v/>
      </c>
      <c r="U74">
        <f>IF($A74="","",IF('Ügyfelek'!U74="",'Beállítások'!$B$84,VLOOKUP(MAX('Ügyfelek'!U74,'Beállítások'!$K$7),'Beállítások'!$K$7:$L$12,2,TRUE)))</f>
        <v/>
      </c>
      <c r="V74">
        <f>IF($A74="","",IF('Ügyfelek'!V74="",'Beállítások'!$B$84,MIN(10,MAX(1,ROUND('Ügyfelek'!V74,0)))))</f>
        <v/>
      </c>
      <c r="W74">
        <f>IF($A74="","",IF('Ügyfelek'!W74="",'Beállítások'!$B$84,VLOOKUP(MAX('Ügyfelek'!W74,'Beállítások'!$N$7),'Beállítások'!$N$7:$O$12,2,TRUE)))</f>
        <v/>
      </c>
      <c r="X74">
        <f>IF($A74="","",IF('Ügyfelek'!X74="",'Beállítások'!$B$84,MIN(10,MAX(1,ROUND('Ügyfelek'!X74,0)))))</f>
        <v/>
      </c>
      <c r="Y74">
        <f>IF($A74="","",IF('Ügyfelek'!Y74="",'Beállítások'!$B$84,IFERROR(VLOOKUP(TRIM('Ügyfelek'!Y74),'Beállítások'!$A$63:$B$69,2,FALSE),'Beállítások'!$B$84)))</f>
        <v/>
      </c>
      <c r="Z74">
        <f>IF($A74="","",IF('Ügyfelek'!Z74="",'Beállítások'!$B$84,VLOOKUP(MAX('Ügyfelek'!Z74,'Beállítások'!$Q$7),'Beállítások'!$Q$7:$R$12,2,TRUE)))</f>
        <v/>
      </c>
      <c r="AA74">
        <f>IF($A74="","",IF('Ügyfelek'!AA74="",'Beállítások'!$B$84,VLOOKUP(MAX('Ügyfelek'!AA74,'Beállítások'!$T$7),'Beállítások'!$T$7:$U$12,2,TRUE)))</f>
        <v/>
      </c>
      <c r="AB74">
        <f>IF($A74="","",IF('Ügyfelek'!AB74="",'Beállítások'!$B$84,MIN(10,MAX(1,ROUND('Ügyfelek'!AB74,0)))))</f>
        <v/>
      </c>
      <c r="AC74">
        <f>IF($A74="","",IF('Ügyfelek'!AC74="",'Beállítások'!$B$84,MIN(10,MAX(1,ROUND('Ügyfelek'!AC74,0)))))</f>
        <v/>
      </c>
      <c r="AD74">
        <f>IF($A74="","",IF('Ügyfelek'!AD74="",'Beállítások'!$B$84,MIN(10,MAX(1,ROUND('Ügyfelek'!AD74,0)))))</f>
        <v/>
      </c>
      <c r="AE74">
        <f>IF($A74="","",IF('Ügyfelek'!AE74="",'Beállítások'!$B$84,MIN(10,MAX(1,ROUND('Ügyfelek'!AE74,0)))))</f>
        <v/>
      </c>
      <c r="AF74">
        <f>IF($A74="","",IF('Ügyfelek'!AF74="",'Beállítások'!$B$84,MIN(10,MAX(1,ROUND('Ügyfelek'!AF74,0)))))</f>
        <v/>
      </c>
      <c r="AG74">
        <f>IF($A74="","",IF('Ügyfelek'!AG74="",'Beállítások'!$B$84,MIN(10,MAX(1,ROUND('Ügyfelek'!AG74,0)))))</f>
        <v/>
      </c>
      <c r="AH74">
        <f>IF($A74="","",IF('Ügyfelek'!AH74="",'Beállítások'!$B$84,IFERROR(VLOOKUP(TRIM('Ügyfelek'!AH74),'Beállítások'!$A$73:$B$79,2,FALSE),'Beállítások'!$B$84)))</f>
        <v/>
      </c>
      <c r="AI74" s="23">
        <f>IF($A74="","",ROUND(100*('Beállítások'!$E$6*(B74-1)+'Beállítások'!$E$7*(C74-1))/(9*'Beállítások'!$B$43),1))</f>
        <v/>
      </c>
      <c r="AJ74" s="23">
        <f>IF($A74="","",ROUND(100*('Beállítások'!$E$8*(D74-1)+'Beállítások'!$E$9*(E74-1)+'Beállítások'!$E$10*(F74-1)+'Beállítások'!$E$11*(G74-1)+'Beállítások'!$E$12*(H74-1)+'Beállítások'!$E$13*(I74-1)+'Beállítások'!$E$14*(J74-1)+'Beállítások'!$E$15*(K74-1)+'Beállítások'!$E$16*(L74-1)+'Beállítások'!$E$17*(M74-1)+'Beállítások'!$E$18*(N74-1)+'Beállítások'!$E$19*(O74-1)+'Beállítások'!$E$20*(P74-1)+'Beállítások'!$E$21*(Q74-1)+'Beállítások'!$E$22*(R74-1))/(9*'Beállítások'!$B$44),1))</f>
        <v/>
      </c>
      <c r="AK74" s="23">
        <f>IF($A74="","",ROUND(100*('Beállítások'!$E$23*(S74-1)+'Beállítások'!$E$24*(T74-1)+'Beállítások'!$E$25*(U74-1)+'Beállítások'!$E$26*(V74-1)+'Beállítások'!$E$27*(W74-1)+'Beállítások'!$E$28*(X74-1)+'Beállítások'!$E$29*(Y74-1))/(9*'Beállítások'!$B$45),1))</f>
        <v/>
      </c>
      <c r="AL74" s="23">
        <f>IF($A74="","",ROUND(100*('Beállítások'!$E$30*(Z74-1)+'Beállítások'!$E$31*(AA74-1)+'Beállítások'!$E$32*(AB74-1)+'Beállítások'!$E$33*(AC74-1)+'Beállítások'!$E$34*(AD74-1)+'Beállítások'!$E$35*(AE74-1)+'Beállítások'!$E$36*(AF74-1)+'Beállítások'!$E$37*(AG74-1)+'Beállítások'!$E$38*(AH74-1))/(9*'Beállítások'!$B$46),1))</f>
        <v/>
      </c>
      <c r="AM74" s="23">
        <f>IF($A74="","",ROUND(100*('Beállítások'!$E$6*(B74-1)+'Beállítások'!$E$7*(C74-1)+'Beállítások'!$E$8*(D74-1)+'Beállítások'!$E$9*(E74-1)+'Beállítások'!$E$10*(F74-1)+'Beállítások'!$E$11*(G74-1)+'Beállítások'!$E$12*(H74-1)+'Beállítások'!$E$13*(I74-1)+'Beállítások'!$E$14*(J74-1)+'Beállítások'!$E$15*(K74-1)+'Beállítások'!$E$16*(L74-1)+'Beállítások'!$E$17*(M74-1)+'Beállítások'!$E$18*(N74-1)+'Beállítások'!$E$19*(O74-1)+'Beállítások'!$E$20*(P74-1)+'Beállítások'!$E$21*(Q74-1)+'Beállítások'!$E$22*(R74-1)+'Beállítások'!$E$23*(S74-1)+'Beállítások'!$E$24*(T74-1)+'Beállítások'!$E$25*(U74-1)+'Beállítások'!$E$26*(V74-1)+'Beállítások'!$E$27*(W74-1)+'Beállítások'!$E$28*(X74-1)+'Beállítások'!$E$29*(Y74-1)+'Beállítások'!$E$30*(Z74-1)+'Beállítások'!$E$31*(AA74-1)+'Beállítások'!$E$32*(AB74-1)+'Beállítások'!$E$33*(AC74-1)+'Beállítások'!$E$34*(AD74-1)+'Beállítások'!$E$35*(AE74-1)+'Beállítások'!$E$36*(AF74-1)+'Beállítások'!$E$37*(AG74-1)+'Beállítások'!$E$38*(AH74-1))/(9*'Beállítások'!$E$39),1))</f>
        <v/>
      </c>
      <c r="AN74" s="23">
        <f>IF($A74="","",ROUND(100*('Beállítások'!$E$8*(D74-1)+'Beállítások'!$E$9*(E74-1)+'Beállítások'!$E$10*(F74-1)+'Beállítások'!$E$11*(G74-1)+'Beállítások'!$E$12*(H74-1)+'Beállítások'!$E$13*(I74-1)+'Beállítások'!$E$14*(J74-1)+'Beállítások'!$E$15*(K74-1)+'Beállítások'!$E$16*(L74-1)+'Beállítások'!$E$17*(M74-1)+'Beállítások'!$E$18*(N74-1)+'Beállítások'!$E$19*(O74-1)+'Beállítások'!$E$20*(P74-1)+'Beállítások'!$E$21*(Q74-1)+'Beállítások'!$E$22*(R74-1)+'Beállítások'!$E$23*(S74-1)+'Beállítások'!$E$24*(T74-1)+'Beállítások'!$E$25*(U74-1)+'Beállítások'!$E$26*(V74-1)+'Beállítások'!$E$27*(W74-1)+'Beállítások'!$E$28*(X74-1)+'Beállítások'!$E$29*(Y74-1))/(9*('Beállítások'!$B$44+'Beállítások'!$B$45)),1))</f>
        <v/>
      </c>
      <c r="AO74" s="24">
        <f>IF($A74="","",RANK(AM74,$AM$2:$AM$201))</f>
        <v/>
      </c>
      <c r="AP74">
        <f>IF($A74="","",IF(OR(AND('Ügyfelek'!B74&lt;&gt;"",B74&lt;='Beállítások'!$B$85),AND('Ügyfelek'!C74&lt;&gt;"",C74&lt;='Beállítások'!$B$86)),"Igen","Nem"))</f>
        <v/>
      </c>
      <c r="AQ74" s="24">
        <f>IF($A74="","",IF(AP74="Igen",5,IF(AN74&gt;='Beállítások'!$C$108,1,IF(AN74&gt;='Beállítások'!$C$109,2,IF(AN74&gt;='Beállítások'!$C$110,3,IF(AND(AN74&gt;='Beállítások'!$B$87,AI74&gt;='Beállítások'!$B$88,AL74&gt;='Beállítások'!$B$89),4,5))))))</f>
        <v/>
      </c>
      <c r="AR74">
        <f>IF($A74="","",INDEX('Beállítások'!$B$108:$B$112,AQ74))</f>
        <v/>
      </c>
      <c r="AS74">
        <f>IF($A74="","",IF(AQ74=5,"Elutasítjuk",IF(AND(AQ74=4,COUNTIFS('Eredmény'!$AQ$2:$AQ$201,4,'Eredmény'!$DY$2:$DY$201,"&gt;"&amp;DY74)&gt;='Beállítások'!$B$90),"Várólista (a 4-es hely foglalt)","Elfogadjuk")))</f>
        <v/>
      </c>
      <c r="AT74">
        <f>IF($A74="","",INDEX('Beállítások'!$F$108:$F$112,AQ74))</f>
        <v/>
      </c>
      <c r="AU74">
        <f>IF($A74="","",INDEX('Beállítások'!$B$6:$B$38,MATCH(MAX(BK74:CQ74),BK74:CQ74,0)))</f>
        <v/>
      </c>
      <c r="AV74">
        <f>IF($A74="","",IF(MAX(CR74:DX74)=0,"—",INDEX('Beállítások'!$B$6:$B$38,MATCH(MAX(CR74:DX74),CR74:DX74,0))))</f>
        <v/>
      </c>
      <c r="AW74" s="10">
        <f>IF($A74="","",'Beállítások'!$B$94*(TRIM('Ügyfelek'!AI74)="igen")+'Beállítások'!$B$95*(TRIM('Ügyfelek'!AJ74)="igen")+'Beállítások'!$B$96*N('Ügyfelek'!AK74)+'Beállítások'!$B$93*N('Ügyfelek'!AL74))</f>
        <v/>
      </c>
      <c r="AX74" s="25">
        <f>IF(OR($A74="",AQ74=5),"",INDEX('Beállítások'!$D$108:$D$112,AQ74))</f>
        <v/>
      </c>
      <c r="AY74" s="10">
        <f>IF($A74="","",N('Ügyfelek'!U74)*'Beállítások'!$B$98)</f>
        <v/>
      </c>
      <c r="AZ74" s="10">
        <f>IF(OR($A74="",AQ74=5),"",CEILING(ROUND(MAX('Beállítások'!$B$97,AW74*AX74,AY74),2),'Beállítások'!$B$99))</f>
        <v/>
      </c>
      <c r="BA74">
        <f>IF($A74="","",IF(AQ74=5,"Elutasítva",IF(MAX('Beállítások'!$B$97,AW74*AX74,AY74)=AW74*AX74,"Munkaigény × státuszszorzó",IF(MAX('Beállítások'!$B$97,AW74*AX74,AY74)=AY74,"Hirdetési keret arányában","Minimumdíj"))))</f>
        <v/>
      </c>
      <c r="BB74" s="10">
        <f>IF(OR($A74="",'Ügyfelek'!AM74=""),"",'Ügyfelek'!AM74)</f>
        <v/>
      </c>
      <c r="BC74" s="10">
        <f>IF(OR(BB74="",AZ74=""),"",AZ74-BB74)</f>
        <v/>
      </c>
      <c r="BD74" s="18">
        <f>IF(OR(BB74="",AZ74="",BB74=0),"",BC74/BB74)</f>
        <v/>
      </c>
      <c r="BE74">
        <f>IF(OR($A74="",AQ74=5),"",IF(AND(INDEX('Beállítások'!$E$108:$E$112,AQ74)&gt;0,Y74&gt;='Beállítások'!$B$91),"Igen","Nem"))</f>
        <v/>
      </c>
      <c r="BF74" s="10">
        <f>IF(BE74="Igen",CEILING(ROUND(AZ74*(1-'Beállítások'!$B$92),2),'Beállítások'!$B$99),"")</f>
        <v/>
      </c>
      <c r="BG74" s="20">
        <f>IF(BE74="Igen",INDEX('Beállítások'!$E$108:$E$112,AQ74),"")</f>
        <v/>
      </c>
      <c r="BH74" s="10">
        <f>IF(OR(BE74&lt;&gt;"Igen",'Ügyfelek'!AN74=""),"",'Ügyfelek'!AN74*BG74)</f>
        <v/>
      </c>
      <c r="BI74" s="24">
        <f>IF($A74="","",('Ügyfelek'!B74="")+('Ügyfelek'!C74="")+('Ügyfelek'!D74="")+('Ügyfelek'!E74="")+('Ügyfelek'!F74="")+('Ügyfelek'!G74="")+('Ügyfelek'!H74="")+('Ügyfelek'!I74="")+('Ügyfelek'!J74="")+('Ügyfelek'!K74="")+('Ügyfelek'!L74="")+('Ügyfelek'!M74="")+('Ügyfelek'!N74="")+('Ügyfelek'!O74="")+('Ügyfelek'!P74="")+('Ügyfelek'!Q74="")+('Ügyfelek'!R74="")+('Ügyfelek'!S74="")+('Ügyfelek'!T74="")+('Ügyfelek'!U74="")+('Ügyfelek'!V74="")+('Ügyfelek'!W74="")+('Ügyfelek'!X74="")+('Ügyfelek'!Y74="")+('Ügyfelek'!Z74="")+('Ügyfelek'!AA74="")+('Ügyfelek'!AB74="")+('Ügyfelek'!AC74="")+('Ügyfelek'!AD74="")+('Ügyfelek'!AE74="")+('Ügyfelek'!AF74="")+('Ügyfelek'!AG74="")+('Ügyfelek'!AH74=""))</f>
        <v/>
      </c>
      <c r="BK74">
        <f>IF($A74="","",B74+'Beállítások'!$E$6/1000)</f>
        <v/>
      </c>
      <c r="BL74">
        <f>IF($A74="","",C74+'Beállítások'!$E$7/1000)</f>
        <v/>
      </c>
      <c r="BM74">
        <f>IF($A74="","",D74+'Beállítások'!$E$8/1000)</f>
        <v/>
      </c>
      <c r="BN74">
        <f>IF($A74="","",E74+'Beállítások'!$E$9/1000)</f>
        <v/>
      </c>
      <c r="BO74">
        <f>IF($A74="","",F74+'Beállítások'!$E$10/1000)</f>
        <v/>
      </c>
      <c r="BP74">
        <f>IF($A74="","",G74+'Beállítások'!$E$11/1000)</f>
        <v/>
      </c>
      <c r="BQ74">
        <f>IF($A74="","",H74+'Beállítások'!$E$12/1000)</f>
        <v/>
      </c>
      <c r="BR74">
        <f>IF($A74="","",I74+'Beállítások'!$E$13/1000)</f>
        <v/>
      </c>
      <c r="BS74">
        <f>IF($A74="","",J74+'Beállítások'!$E$14/1000)</f>
        <v/>
      </c>
      <c r="BT74">
        <f>IF($A74="","",K74+'Beállítások'!$E$15/1000)</f>
        <v/>
      </c>
      <c r="BU74">
        <f>IF($A74="","",L74+'Beállítások'!$E$16/1000)</f>
        <v/>
      </c>
      <c r="BV74">
        <f>IF($A74="","",M74+'Beállítások'!$E$17/1000)</f>
        <v/>
      </c>
      <c r="BW74">
        <f>IF($A74="","",N74+'Beállítások'!$E$18/1000)</f>
        <v/>
      </c>
      <c r="BX74">
        <f>IF($A74="","",O74+'Beállítások'!$E$19/1000)</f>
        <v/>
      </c>
      <c r="BY74">
        <f>IF($A74="","",P74+'Beállítások'!$E$20/1000)</f>
        <v/>
      </c>
      <c r="BZ74">
        <f>IF($A74="","",Q74+'Beállítások'!$E$21/1000)</f>
        <v/>
      </c>
      <c r="CA74">
        <f>IF($A74="","",R74+'Beállítások'!$E$22/1000)</f>
        <v/>
      </c>
      <c r="CB74">
        <f>IF($A74="","",S74+'Beállítások'!$E$23/1000)</f>
        <v/>
      </c>
      <c r="CC74">
        <f>IF($A74="","",T74+'Beállítások'!$E$24/1000)</f>
        <v/>
      </c>
      <c r="CD74">
        <f>IF($A74="","",U74+'Beállítások'!$E$25/1000)</f>
        <v/>
      </c>
      <c r="CE74">
        <f>IF($A74="","",V74+'Beállítások'!$E$26/1000)</f>
        <v/>
      </c>
      <c r="CF74">
        <f>IF($A74="","",W74+'Beállítások'!$E$27/1000)</f>
        <v/>
      </c>
      <c r="CG74">
        <f>IF($A74="","",X74+'Beállítások'!$E$28/1000)</f>
        <v/>
      </c>
      <c r="CH74">
        <f>IF($A74="","",Y74+'Beállítások'!$E$29/1000)</f>
        <v/>
      </c>
      <c r="CI74">
        <f>IF($A74="","",Z74+'Beállítások'!$E$30/1000)</f>
        <v/>
      </c>
      <c r="CJ74">
        <f>IF($A74="","",AA74+'Beállítások'!$E$31/1000)</f>
        <v/>
      </c>
      <c r="CK74">
        <f>IF($A74="","",AB74+'Beállítások'!$E$32/1000)</f>
        <v/>
      </c>
      <c r="CL74">
        <f>IF($A74="","",AC74+'Beállítások'!$E$33/1000)</f>
        <v/>
      </c>
      <c r="CM74">
        <f>IF($A74="","",AD74+'Beállítások'!$E$34/1000)</f>
        <v/>
      </c>
      <c r="CN74">
        <f>IF($A74="","",AE74+'Beállítások'!$E$35/1000)</f>
        <v/>
      </c>
      <c r="CO74">
        <f>IF($A74="","",AF74+'Beállítások'!$E$36/1000)</f>
        <v/>
      </c>
      <c r="CP74">
        <f>IF($A74="","",AG74+'Beállítások'!$E$37/1000)</f>
        <v/>
      </c>
      <c r="CQ74">
        <f>IF($A74="","",AH74+'Beállítások'!$E$38/1000)</f>
        <v/>
      </c>
      <c r="CR74">
        <f>IF($A74="","",'Beállítások'!$E$6*(10-B74))</f>
        <v/>
      </c>
      <c r="CS74">
        <f>IF($A74="","",'Beállítások'!$E$7*(10-C74))</f>
        <v/>
      </c>
      <c r="CT74">
        <f>IF($A74="","",'Beállítások'!$E$8*(10-D74))</f>
        <v/>
      </c>
      <c r="CU74">
        <f>IF($A74="","",'Beállítások'!$E$9*(10-E74))</f>
        <v/>
      </c>
      <c r="CV74">
        <f>IF($A74="","",'Beállítások'!$E$10*(10-F74))</f>
        <v/>
      </c>
      <c r="CW74">
        <f>IF($A74="","",'Beállítások'!$E$11*(10-G74))</f>
        <v/>
      </c>
      <c r="CX74">
        <f>IF($A74="","",'Beállítások'!$E$12*(10-H74))</f>
        <v/>
      </c>
      <c r="CY74">
        <f>IF($A74="","",'Beállítások'!$E$13*(10-I74))</f>
        <v/>
      </c>
      <c r="CZ74">
        <f>IF($A74="","",'Beállítások'!$E$14*(10-J74))</f>
        <v/>
      </c>
      <c r="DA74">
        <f>IF($A74="","",'Beállítások'!$E$15*(10-K74))</f>
        <v/>
      </c>
      <c r="DB74">
        <f>IF($A74="","",'Beállítások'!$E$16*(10-L74))</f>
        <v/>
      </c>
      <c r="DC74">
        <f>IF($A74="","",'Beállítások'!$E$17*(10-M74))</f>
        <v/>
      </c>
      <c r="DD74">
        <f>IF($A74="","",'Beállítások'!$E$18*(10-N74))</f>
        <v/>
      </c>
      <c r="DE74">
        <f>IF($A74="","",'Beállítások'!$E$19*(10-O74))</f>
        <v/>
      </c>
      <c r="DF74">
        <f>IF($A74="","",'Beállítások'!$E$20*(10-P74))</f>
        <v/>
      </c>
      <c r="DG74">
        <f>IF($A74="","",'Beállítások'!$E$21*(10-Q74))</f>
        <v/>
      </c>
      <c r="DH74">
        <f>IF($A74="","",'Beállítások'!$E$22*(10-R74))</f>
        <v/>
      </c>
      <c r="DI74">
        <f>IF($A74="","",'Beállítások'!$E$23*(10-S74))</f>
        <v/>
      </c>
      <c r="DJ74">
        <f>IF($A74="","",'Beállítások'!$E$24*(10-T74))</f>
        <v/>
      </c>
      <c r="DK74">
        <f>IF($A74="","",'Beállítások'!$E$25*(10-U74))</f>
        <v/>
      </c>
      <c r="DL74">
        <f>IF($A74="","",'Beállítások'!$E$26*(10-V74))</f>
        <v/>
      </c>
      <c r="DM74">
        <f>IF($A74="","",'Beállítások'!$E$27*(10-W74))</f>
        <v/>
      </c>
      <c r="DN74">
        <f>IF($A74="","",'Beállítások'!$E$28*(10-X74))</f>
        <v/>
      </c>
      <c r="DO74">
        <f>IF($A74="","",'Beállítások'!$E$29*(10-Y74))</f>
        <v/>
      </c>
      <c r="DP74">
        <f>IF($A74="","",'Beállítások'!$E$30*(10-Z74))</f>
        <v/>
      </c>
      <c r="DQ74">
        <f>IF($A74="","",'Beállítások'!$E$31*(10-AA74))</f>
        <v/>
      </c>
      <c r="DR74">
        <f>IF($A74="","",'Beállítások'!$E$32*(10-AB74))</f>
        <v/>
      </c>
      <c r="DS74">
        <f>IF($A74="","",'Beállítások'!$E$33*(10-AC74))</f>
        <v/>
      </c>
      <c r="DT74">
        <f>IF($A74="","",'Beállítások'!$E$34*(10-AD74))</f>
        <v/>
      </c>
      <c r="DU74">
        <f>IF($A74="","",'Beállítások'!$E$35*(10-AE74))</f>
        <v/>
      </c>
      <c r="DV74">
        <f>IF($A74="","",'Beállítások'!$E$36*(10-AF74))</f>
        <v/>
      </c>
      <c r="DW74">
        <f>IF($A74="","",'Beállítások'!$E$37*(10-AG74))</f>
        <v/>
      </c>
      <c r="DX74">
        <f>IF($A74="","",'Beállítások'!$E$38*(10-AH74))</f>
        <v/>
      </c>
      <c r="DY74">
        <f>IF($A74="","",AM74-ROW()/100000)</f>
        <v/>
      </c>
    </row>
    <row r="75">
      <c r="A75">
        <f>IF('Ügyfelek'!A75="","",'Ügyfelek'!A75)</f>
        <v/>
      </c>
      <c r="B75">
        <f>IF($A75="","",IF('Ügyfelek'!B75="",'Beállítások'!$B$84,IFERROR(VLOOKUP(TRIM('Ügyfelek'!B75),'Beállítások'!$A$51:$B$59,2,FALSE),'Beállítások'!$B$84)))</f>
        <v/>
      </c>
      <c r="C75">
        <f>IF($A75="","",IF('Ügyfelek'!C75="",'Beállítások'!$B$84,MIN(10,MAX(1,ROUND('Ügyfelek'!C75,0)))))</f>
        <v/>
      </c>
      <c r="D75">
        <f>IF($A75="","",IF('Ügyfelek'!D75="",'Beállítások'!$B$84,MIN(10,MAX(1,ROUND('Ügyfelek'!D75,0)))))</f>
        <v/>
      </c>
      <c r="E75">
        <f>IF($A75="","",IF('Ügyfelek'!E75="",'Beállítások'!$B$84,MIN(10,MAX(1,ROUND('Ügyfelek'!E75,0)))))</f>
        <v/>
      </c>
      <c r="F75">
        <f>IF($A75="","",IF('Ügyfelek'!F75="",'Beállítások'!$B$84,MIN(10,MAX(1,ROUND('Ügyfelek'!F75,0)))))</f>
        <v/>
      </c>
      <c r="G75">
        <f>IF($A75="","",IF('Ügyfelek'!G75="",'Beállítások'!$B$84,MIN(10,MAX(1,ROUND('Ügyfelek'!G75,0)))))</f>
        <v/>
      </c>
      <c r="H75">
        <f>IF($A75="","",IF('Ügyfelek'!H75="",'Beállítások'!$B$84,MIN(10,MAX(1,ROUND('Ügyfelek'!H75,0)))))</f>
        <v/>
      </c>
      <c r="I75">
        <f>IF($A75="","",IF('Ügyfelek'!I75="",'Beállítások'!$B$84,MIN(10,MAX(1,ROUND('Ügyfelek'!I75,0)))))</f>
        <v/>
      </c>
      <c r="J75">
        <f>IF($A75="","",IF('Ügyfelek'!J75="",'Beállítások'!$B$84,MIN(10,MAX(1,ROUND('Ügyfelek'!J75,0)))))</f>
        <v/>
      </c>
      <c r="K75">
        <f>IF($A75="","",IF('Ügyfelek'!K75="",'Beállítások'!$B$84,MIN(10,MAX(1,ROUND('Ügyfelek'!K75,0)))))</f>
        <v/>
      </c>
      <c r="L75">
        <f>IF($A75="","",IF('Ügyfelek'!L75="",'Beállítások'!$B$84,MIN(10,MAX(1,ROUND('Ügyfelek'!L75,0)))))</f>
        <v/>
      </c>
      <c r="M75">
        <f>IF($A75="","",IF('Ügyfelek'!M75="",'Beállítások'!$B$84,MIN(10,MAX(1,ROUND('Ügyfelek'!M75,0)))))</f>
        <v/>
      </c>
      <c r="N75">
        <f>IF($A75="","",IF('Ügyfelek'!N75="",'Beállítások'!$B$84,MIN(10,MAX(1,ROUND('Ügyfelek'!N75,0)))))</f>
        <v/>
      </c>
      <c r="O75">
        <f>IF($A75="","",IF('Ügyfelek'!O75="",'Beállítások'!$B$84,MIN(10,MAX(1,ROUND('Ügyfelek'!O75,0)))))</f>
        <v/>
      </c>
      <c r="P75">
        <f>IF($A75="","",IF('Ügyfelek'!P75="",'Beállítások'!$B$84,MIN(10,MAX(1,ROUND('Ügyfelek'!P75,0)))))</f>
        <v/>
      </c>
      <c r="Q75">
        <f>IF($A75="","",IF('Ügyfelek'!Q75="",'Beállítások'!$B$84,MIN(10,MAX(1,ROUND('Ügyfelek'!Q75,0)))))</f>
        <v/>
      </c>
      <c r="R75">
        <f>IF($A75="","",IF('Ügyfelek'!R75="",'Beállítások'!$B$84,MIN(10,MAX(1,ROUND('Ügyfelek'!R75,0)))))</f>
        <v/>
      </c>
      <c r="S75">
        <f>IF($A75="","",IF('Ügyfelek'!S75="",'Beállítások'!$B$84,MIN(10,MAX(1,ROUND('Ügyfelek'!S75,0)))))</f>
        <v/>
      </c>
      <c r="T75">
        <f>IF($A75="","",IF('Ügyfelek'!T75="",'Beállítások'!$B$84,VLOOKUP(MAX('Ügyfelek'!T75,'Beállítások'!$H$7),'Beállítások'!$H$7:$I$12,2,TRUE)))</f>
        <v/>
      </c>
      <c r="U75">
        <f>IF($A75="","",IF('Ügyfelek'!U75="",'Beállítások'!$B$84,VLOOKUP(MAX('Ügyfelek'!U75,'Beállítások'!$K$7),'Beállítások'!$K$7:$L$12,2,TRUE)))</f>
        <v/>
      </c>
      <c r="V75">
        <f>IF($A75="","",IF('Ügyfelek'!V75="",'Beállítások'!$B$84,MIN(10,MAX(1,ROUND('Ügyfelek'!V75,0)))))</f>
        <v/>
      </c>
      <c r="W75">
        <f>IF($A75="","",IF('Ügyfelek'!W75="",'Beállítások'!$B$84,VLOOKUP(MAX('Ügyfelek'!W75,'Beállítások'!$N$7),'Beállítások'!$N$7:$O$12,2,TRUE)))</f>
        <v/>
      </c>
      <c r="X75">
        <f>IF($A75="","",IF('Ügyfelek'!X75="",'Beállítások'!$B$84,MIN(10,MAX(1,ROUND('Ügyfelek'!X75,0)))))</f>
        <v/>
      </c>
      <c r="Y75">
        <f>IF($A75="","",IF('Ügyfelek'!Y75="",'Beállítások'!$B$84,IFERROR(VLOOKUP(TRIM('Ügyfelek'!Y75),'Beállítások'!$A$63:$B$69,2,FALSE),'Beállítások'!$B$84)))</f>
        <v/>
      </c>
      <c r="Z75">
        <f>IF($A75="","",IF('Ügyfelek'!Z75="",'Beállítások'!$B$84,VLOOKUP(MAX('Ügyfelek'!Z75,'Beállítások'!$Q$7),'Beállítások'!$Q$7:$R$12,2,TRUE)))</f>
        <v/>
      </c>
      <c r="AA75">
        <f>IF($A75="","",IF('Ügyfelek'!AA75="",'Beállítások'!$B$84,VLOOKUP(MAX('Ügyfelek'!AA75,'Beállítások'!$T$7),'Beállítások'!$T$7:$U$12,2,TRUE)))</f>
        <v/>
      </c>
      <c r="AB75">
        <f>IF($A75="","",IF('Ügyfelek'!AB75="",'Beállítások'!$B$84,MIN(10,MAX(1,ROUND('Ügyfelek'!AB75,0)))))</f>
        <v/>
      </c>
      <c r="AC75">
        <f>IF($A75="","",IF('Ügyfelek'!AC75="",'Beállítások'!$B$84,MIN(10,MAX(1,ROUND('Ügyfelek'!AC75,0)))))</f>
        <v/>
      </c>
      <c r="AD75">
        <f>IF($A75="","",IF('Ügyfelek'!AD75="",'Beállítások'!$B$84,MIN(10,MAX(1,ROUND('Ügyfelek'!AD75,0)))))</f>
        <v/>
      </c>
      <c r="AE75">
        <f>IF($A75="","",IF('Ügyfelek'!AE75="",'Beállítások'!$B$84,MIN(10,MAX(1,ROUND('Ügyfelek'!AE75,0)))))</f>
        <v/>
      </c>
      <c r="AF75">
        <f>IF($A75="","",IF('Ügyfelek'!AF75="",'Beállítások'!$B$84,MIN(10,MAX(1,ROUND('Ügyfelek'!AF75,0)))))</f>
        <v/>
      </c>
      <c r="AG75">
        <f>IF($A75="","",IF('Ügyfelek'!AG75="",'Beállítások'!$B$84,MIN(10,MAX(1,ROUND('Ügyfelek'!AG75,0)))))</f>
        <v/>
      </c>
      <c r="AH75">
        <f>IF($A75="","",IF('Ügyfelek'!AH75="",'Beállítások'!$B$84,IFERROR(VLOOKUP(TRIM('Ügyfelek'!AH75),'Beállítások'!$A$73:$B$79,2,FALSE),'Beállítások'!$B$84)))</f>
        <v/>
      </c>
      <c r="AI75" s="23">
        <f>IF($A75="","",ROUND(100*('Beállítások'!$E$6*(B75-1)+'Beállítások'!$E$7*(C75-1))/(9*'Beállítások'!$B$43),1))</f>
        <v/>
      </c>
      <c r="AJ75" s="23">
        <f>IF($A75="","",ROUND(100*('Beállítások'!$E$8*(D75-1)+'Beállítások'!$E$9*(E75-1)+'Beállítások'!$E$10*(F75-1)+'Beállítások'!$E$11*(G75-1)+'Beállítások'!$E$12*(H75-1)+'Beállítások'!$E$13*(I75-1)+'Beállítások'!$E$14*(J75-1)+'Beállítások'!$E$15*(K75-1)+'Beállítások'!$E$16*(L75-1)+'Beállítások'!$E$17*(M75-1)+'Beállítások'!$E$18*(N75-1)+'Beállítások'!$E$19*(O75-1)+'Beállítások'!$E$20*(P75-1)+'Beállítások'!$E$21*(Q75-1)+'Beállítások'!$E$22*(R75-1))/(9*'Beállítások'!$B$44),1))</f>
        <v/>
      </c>
      <c r="AK75" s="23">
        <f>IF($A75="","",ROUND(100*('Beállítások'!$E$23*(S75-1)+'Beállítások'!$E$24*(T75-1)+'Beállítások'!$E$25*(U75-1)+'Beállítások'!$E$26*(V75-1)+'Beállítások'!$E$27*(W75-1)+'Beállítások'!$E$28*(X75-1)+'Beállítások'!$E$29*(Y75-1))/(9*'Beállítások'!$B$45),1))</f>
        <v/>
      </c>
      <c r="AL75" s="23">
        <f>IF($A75="","",ROUND(100*('Beállítások'!$E$30*(Z75-1)+'Beállítások'!$E$31*(AA75-1)+'Beállítások'!$E$32*(AB75-1)+'Beállítások'!$E$33*(AC75-1)+'Beállítások'!$E$34*(AD75-1)+'Beállítások'!$E$35*(AE75-1)+'Beállítások'!$E$36*(AF75-1)+'Beállítások'!$E$37*(AG75-1)+'Beállítások'!$E$38*(AH75-1))/(9*'Beállítások'!$B$46),1))</f>
        <v/>
      </c>
      <c r="AM75" s="23">
        <f>IF($A75="","",ROUND(100*('Beállítások'!$E$6*(B75-1)+'Beállítások'!$E$7*(C75-1)+'Beállítások'!$E$8*(D75-1)+'Beállítások'!$E$9*(E75-1)+'Beállítások'!$E$10*(F75-1)+'Beállítások'!$E$11*(G75-1)+'Beállítások'!$E$12*(H75-1)+'Beállítások'!$E$13*(I75-1)+'Beállítások'!$E$14*(J75-1)+'Beállítások'!$E$15*(K75-1)+'Beállítások'!$E$16*(L75-1)+'Beállítások'!$E$17*(M75-1)+'Beállítások'!$E$18*(N75-1)+'Beállítások'!$E$19*(O75-1)+'Beállítások'!$E$20*(P75-1)+'Beállítások'!$E$21*(Q75-1)+'Beállítások'!$E$22*(R75-1)+'Beállítások'!$E$23*(S75-1)+'Beállítások'!$E$24*(T75-1)+'Beállítások'!$E$25*(U75-1)+'Beállítások'!$E$26*(V75-1)+'Beállítások'!$E$27*(W75-1)+'Beállítások'!$E$28*(X75-1)+'Beállítások'!$E$29*(Y75-1)+'Beállítások'!$E$30*(Z75-1)+'Beállítások'!$E$31*(AA75-1)+'Beállítások'!$E$32*(AB75-1)+'Beállítások'!$E$33*(AC75-1)+'Beállítások'!$E$34*(AD75-1)+'Beállítások'!$E$35*(AE75-1)+'Beállítások'!$E$36*(AF75-1)+'Beállítások'!$E$37*(AG75-1)+'Beállítások'!$E$38*(AH75-1))/(9*'Beállítások'!$E$39),1))</f>
        <v/>
      </c>
      <c r="AN75" s="23">
        <f>IF($A75="","",ROUND(100*('Beállítások'!$E$8*(D75-1)+'Beállítások'!$E$9*(E75-1)+'Beállítások'!$E$10*(F75-1)+'Beállítások'!$E$11*(G75-1)+'Beállítások'!$E$12*(H75-1)+'Beállítások'!$E$13*(I75-1)+'Beállítások'!$E$14*(J75-1)+'Beállítások'!$E$15*(K75-1)+'Beállítások'!$E$16*(L75-1)+'Beállítások'!$E$17*(M75-1)+'Beállítások'!$E$18*(N75-1)+'Beállítások'!$E$19*(O75-1)+'Beállítások'!$E$20*(P75-1)+'Beállítások'!$E$21*(Q75-1)+'Beállítások'!$E$22*(R75-1)+'Beállítások'!$E$23*(S75-1)+'Beállítások'!$E$24*(T75-1)+'Beállítások'!$E$25*(U75-1)+'Beállítások'!$E$26*(V75-1)+'Beállítások'!$E$27*(W75-1)+'Beállítások'!$E$28*(X75-1)+'Beállítások'!$E$29*(Y75-1))/(9*('Beállítások'!$B$44+'Beállítások'!$B$45)),1))</f>
        <v/>
      </c>
      <c r="AO75" s="24">
        <f>IF($A75="","",RANK(AM75,$AM$2:$AM$201))</f>
        <v/>
      </c>
      <c r="AP75">
        <f>IF($A75="","",IF(OR(AND('Ügyfelek'!B75&lt;&gt;"",B75&lt;='Beállítások'!$B$85),AND('Ügyfelek'!C75&lt;&gt;"",C75&lt;='Beállítások'!$B$86)),"Igen","Nem"))</f>
        <v/>
      </c>
      <c r="AQ75" s="24">
        <f>IF($A75="","",IF(AP75="Igen",5,IF(AN75&gt;='Beállítások'!$C$108,1,IF(AN75&gt;='Beállítások'!$C$109,2,IF(AN75&gt;='Beállítások'!$C$110,3,IF(AND(AN75&gt;='Beállítások'!$B$87,AI75&gt;='Beállítások'!$B$88,AL75&gt;='Beállítások'!$B$89),4,5))))))</f>
        <v/>
      </c>
      <c r="AR75">
        <f>IF($A75="","",INDEX('Beállítások'!$B$108:$B$112,AQ75))</f>
        <v/>
      </c>
      <c r="AS75">
        <f>IF($A75="","",IF(AQ75=5,"Elutasítjuk",IF(AND(AQ75=4,COUNTIFS('Eredmény'!$AQ$2:$AQ$201,4,'Eredmény'!$DY$2:$DY$201,"&gt;"&amp;DY75)&gt;='Beállítások'!$B$90),"Várólista (a 4-es hely foglalt)","Elfogadjuk")))</f>
        <v/>
      </c>
      <c r="AT75">
        <f>IF($A75="","",INDEX('Beállítások'!$F$108:$F$112,AQ75))</f>
        <v/>
      </c>
      <c r="AU75">
        <f>IF($A75="","",INDEX('Beállítások'!$B$6:$B$38,MATCH(MAX(BK75:CQ75),BK75:CQ75,0)))</f>
        <v/>
      </c>
      <c r="AV75">
        <f>IF($A75="","",IF(MAX(CR75:DX75)=0,"—",INDEX('Beállítások'!$B$6:$B$38,MATCH(MAX(CR75:DX75),CR75:DX75,0))))</f>
        <v/>
      </c>
      <c r="AW75" s="10">
        <f>IF($A75="","",'Beállítások'!$B$94*(TRIM('Ügyfelek'!AI75)="igen")+'Beállítások'!$B$95*(TRIM('Ügyfelek'!AJ75)="igen")+'Beállítások'!$B$96*N('Ügyfelek'!AK75)+'Beállítások'!$B$93*N('Ügyfelek'!AL75))</f>
        <v/>
      </c>
      <c r="AX75" s="25">
        <f>IF(OR($A75="",AQ75=5),"",INDEX('Beállítások'!$D$108:$D$112,AQ75))</f>
        <v/>
      </c>
      <c r="AY75" s="10">
        <f>IF($A75="","",N('Ügyfelek'!U75)*'Beállítások'!$B$98)</f>
        <v/>
      </c>
      <c r="AZ75" s="10">
        <f>IF(OR($A75="",AQ75=5),"",CEILING(ROUND(MAX('Beállítások'!$B$97,AW75*AX75,AY75),2),'Beállítások'!$B$99))</f>
        <v/>
      </c>
      <c r="BA75">
        <f>IF($A75="","",IF(AQ75=5,"Elutasítva",IF(MAX('Beállítások'!$B$97,AW75*AX75,AY75)=AW75*AX75,"Munkaigény × státuszszorzó",IF(MAX('Beállítások'!$B$97,AW75*AX75,AY75)=AY75,"Hirdetési keret arányában","Minimumdíj"))))</f>
        <v/>
      </c>
      <c r="BB75" s="10">
        <f>IF(OR($A75="",'Ügyfelek'!AM75=""),"",'Ügyfelek'!AM75)</f>
        <v/>
      </c>
      <c r="BC75" s="10">
        <f>IF(OR(BB75="",AZ75=""),"",AZ75-BB75)</f>
        <v/>
      </c>
      <c r="BD75" s="18">
        <f>IF(OR(BB75="",AZ75="",BB75=0),"",BC75/BB75)</f>
        <v/>
      </c>
      <c r="BE75">
        <f>IF(OR($A75="",AQ75=5),"",IF(AND(INDEX('Beállítások'!$E$108:$E$112,AQ75)&gt;0,Y75&gt;='Beállítások'!$B$91),"Igen","Nem"))</f>
        <v/>
      </c>
      <c r="BF75" s="10">
        <f>IF(BE75="Igen",CEILING(ROUND(AZ75*(1-'Beállítások'!$B$92),2),'Beállítások'!$B$99),"")</f>
        <v/>
      </c>
      <c r="BG75" s="20">
        <f>IF(BE75="Igen",INDEX('Beállítások'!$E$108:$E$112,AQ75),"")</f>
        <v/>
      </c>
      <c r="BH75" s="10">
        <f>IF(OR(BE75&lt;&gt;"Igen",'Ügyfelek'!AN75=""),"",'Ügyfelek'!AN75*BG75)</f>
        <v/>
      </c>
      <c r="BI75" s="24">
        <f>IF($A75="","",('Ügyfelek'!B75="")+('Ügyfelek'!C75="")+('Ügyfelek'!D75="")+('Ügyfelek'!E75="")+('Ügyfelek'!F75="")+('Ügyfelek'!G75="")+('Ügyfelek'!H75="")+('Ügyfelek'!I75="")+('Ügyfelek'!J75="")+('Ügyfelek'!K75="")+('Ügyfelek'!L75="")+('Ügyfelek'!M75="")+('Ügyfelek'!N75="")+('Ügyfelek'!O75="")+('Ügyfelek'!P75="")+('Ügyfelek'!Q75="")+('Ügyfelek'!R75="")+('Ügyfelek'!S75="")+('Ügyfelek'!T75="")+('Ügyfelek'!U75="")+('Ügyfelek'!V75="")+('Ügyfelek'!W75="")+('Ügyfelek'!X75="")+('Ügyfelek'!Y75="")+('Ügyfelek'!Z75="")+('Ügyfelek'!AA75="")+('Ügyfelek'!AB75="")+('Ügyfelek'!AC75="")+('Ügyfelek'!AD75="")+('Ügyfelek'!AE75="")+('Ügyfelek'!AF75="")+('Ügyfelek'!AG75="")+('Ügyfelek'!AH75=""))</f>
        <v/>
      </c>
      <c r="BK75">
        <f>IF($A75="","",B75+'Beállítások'!$E$6/1000)</f>
        <v/>
      </c>
      <c r="BL75">
        <f>IF($A75="","",C75+'Beállítások'!$E$7/1000)</f>
        <v/>
      </c>
      <c r="BM75">
        <f>IF($A75="","",D75+'Beállítások'!$E$8/1000)</f>
        <v/>
      </c>
      <c r="BN75">
        <f>IF($A75="","",E75+'Beállítások'!$E$9/1000)</f>
        <v/>
      </c>
      <c r="BO75">
        <f>IF($A75="","",F75+'Beállítások'!$E$10/1000)</f>
        <v/>
      </c>
      <c r="BP75">
        <f>IF($A75="","",G75+'Beállítások'!$E$11/1000)</f>
        <v/>
      </c>
      <c r="BQ75">
        <f>IF($A75="","",H75+'Beállítások'!$E$12/1000)</f>
        <v/>
      </c>
      <c r="BR75">
        <f>IF($A75="","",I75+'Beállítások'!$E$13/1000)</f>
        <v/>
      </c>
      <c r="BS75">
        <f>IF($A75="","",J75+'Beállítások'!$E$14/1000)</f>
        <v/>
      </c>
      <c r="BT75">
        <f>IF($A75="","",K75+'Beállítások'!$E$15/1000)</f>
        <v/>
      </c>
      <c r="BU75">
        <f>IF($A75="","",L75+'Beállítások'!$E$16/1000)</f>
        <v/>
      </c>
      <c r="BV75">
        <f>IF($A75="","",M75+'Beállítások'!$E$17/1000)</f>
        <v/>
      </c>
      <c r="BW75">
        <f>IF($A75="","",N75+'Beállítások'!$E$18/1000)</f>
        <v/>
      </c>
      <c r="BX75">
        <f>IF($A75="","",O75+'Beállítások'!$E$19/1000)</f>
        <v/>
      </c>
      <c r="BY75">
        <f>IF($A75="","",P75+'Beállítások'!$E$20/1000)</f>
        <v/>
      </c>
      <c r="BZ75">
        <f>IF($A75="","",Q75+'Beállítások'!$E$21/1000)</f>
        <v/>
      </c>
      <c r="CA75">
        <f>IF($A75="","",R75+'Beállítások'!$E$22/1000)</f>
        <v/>
      </c>
      <c r="CB75">
        <f>IF($A75="","",S75+'Beállítások'!$E$23/1000)</f>
        <v/>
      </c>
      <c r="CC75">
        <f>IF($A75="","",T75+'Beállítások'!$E$24/1000)</f>
        <v/>
      </c>
      <c r="CD75">
        <f>IF($A75="","",U75+'Beállítások'!$E$25/1000)</f>
        <v/>
      </c>
      <c r="CE75">
        <f>IF($A75="","",V75+'Beállítások'!$E$26/1000)</f>
        <v/>
      </c>
      <c r="CF75">
        <f>IF($A75="","",W75+'Beállítások'!$E$27/1000)</f>
        <v/>
      </c>
      <c r="CG75">
        <f>IF($A75="","",X75+'Beállítások'!$E$28/1000)</f>
        <v/>
      </c>
      <c r="CH75">
        <f>IF($A75="","",Y75+'Beállítások'!$E$29/1000)</f>
        <v/>
      </c>
      <c r="CI75">
        <f>IF($A75="","",Z75+'Beállítások'!$E$30/1000)</f>
        <v/>
      </c>
      <c r="CJ75">
        <f>IF($A75="","",AA75+'Beállítások'!$E$31/1000)</f>
        <v/>
      </c>
      <c r="CK75">
        <f>IF($A75="","",AB75+'Beállítások'!$E$32/1000)</f>
        <v/>
      </c>
      <c r="CL75">
        <f>IF($A75="","",AC75+'Beállítások'!$E$33/1000)</f>
        <v/>
      </c>
      <c r="CM75">
        <f>IF($A75="","",AD75+'Beállítások'!$E$34/1000)</f>
        <v/>
      </c>
      <c r="CN75">
        <f>IF($A75="","",AE75+'Beállítások'!$E$35/1000)</f>
        <v/>
      </c>
      <c r="CO75">
        <f>IF($A75="","",AF75+'Beállítások'!$E$36/1000)</f>
        <v/>
      </c>
      <c r="CP75">
        <f>IF($A75="","",AG75+'Beállítások'!$E$37/1000)</f>
        <v/>
      </c>
      <c r="CQ75">
        <f>IF($A75="","",AH75+'Beállítások'!$E$38/1000)</f>
        <v/>
      </c>
      <c r="CR75">
        <f>IF($A75="","",'Beállítások'!$E$6*(10-B75))</f>
        <v/>
      </c>
      <c r="CS75">
        <f>IF($A75="","",'Beállítások'!$E$7*(10-C75))</f>
        <v/>
      </c>
      <c r="CT75">
        <f>IF($A75="","",'Beállítások'!$E$8*(10-D75))</f>
        <v/>
      </c>
      <c r="CU75">
        <f>IF($A75="","",'Beállítások'!$E$9*(10-E75))</f>
        <v/>
      </c>
      <c r="CV75">
        <f>IF($A75="","",'Beállítások'!$E$10*(10-F75))</f>
        <v/>
      </c>
      <c r="CW75">
        <f>IF($A75="","",'Beállítások'!$E$11*(10-G75))</f>
        <v/>
      </c>
      <c r="CX75">
        <f>IF($A75="","",'Beállítások'!$E$12*(10-H75))</f>
        <v/>
      </c>
      <c r="CY75">
        <f>IF($A75="","",'Beállítások'!$E$13*(10-I75))</f>
        <v/>
      </c>
      <c r="CZ75">
        <f>IF($A75="","",'Beállítások'!$E$14*(10-J75))</f>
        <v/>
      </c>
      <c r="DA75">
        <f>IF($A75="","",'Beállítások'!$E$15*(10-K75))</f>
        <v/>
      </c>
      <c r="DB75">
        <f>IF($A75="","",'Beállítások'!$E$16*(10-L75))</f>
        <v/>
      </c>
      <c r="DC75">
        <f>IF($A75="","",'Beállítások'!$E$17*(10-M75))</f>
        <v/>
      </c>
      <c r="DD75">
        <f>IF($A75="","",'Beállítások'!$E$18*(10-N75))</f>
        <v/>
      </c>
      <c r="DE75">
        <f>IF($A75="","",'Beállítások'!$E$19*(10-O75))</f>
        <v/>
      </c>
      <c r="DF75">
        <f>IF($A75="","",'Beállítások'!$E$20*(10-P75))</f>
        <v/>
      </c>
      <c r="DG75">
        <f>IF($A75="","",'Beállítások'!$E$21*(10-Q75))</f>
        <v/>
      </c>
      <c r="DH75">
        <f>IF($A75="","",'Beállítások'!$E$22*(10-R75))</f>
        <v/>
      </c>
      <c r="DI75">
        <f>IF($A75="","",'Beállítások'!$E$23*(10-S75))</f>
        <v/>
      </c>
      <c r="DJ75">
        <f>IF($A75="","",'Beállítások'!$E$24*(10-T75))</f>
        <v/>
      </c>
      <c r="DK75">
        <f>IF($A75="","",'Beállítások'!$E$25*(10-U75))</f>
        <v/>
      </c>
      <c r="DL75">
        <f>IF($A75="","",'Beállítások'!$E$26*(10-V75))</f>
        <v/>
      </c>
      <c r="DM75">
        <f>IF($A75="","",'Beállítások'!$E$27*(10-W75))</f>
        <v/>
      </c>
      <c r="DN75">
        <f>IF($A75="","",'Beállítások'!$E$28*(10-X75))</f>
        <v/>
      </c>
      <c r="DO75">
        <f>IF($A75="","",'Beállítások'!$E$29*(10-Y75))</f>
        <v/>
      </c>
      <c r="DP75">
        <f>IF($A75="","",'Beállítások'!$E$30*(10-Z75))</f>
        <v/>
      </c>
      <c r="DQ75">
        <f>IF($A75="","",'Beállítások'!$E$31*(10-AA75))</f>
        <v/>
      </c>
      <c r="DR75">
        <f>IF($A75="","",'Beállítások'!$E$32*(10-AB75))</f>
        <v/>
      </c>
      <c r="DS75">
        <f>IF($A75="","",'Beállítások'!$E$33*(10-AC75))</f>
        <v/>
      </c>
      <c r="DT75">
        <f>IF($A75="","",'Beállítások'!$E$34*(10-AD75))</f>
        <v/>
      </c>
      <c r="DU75">
        <f>IF($A75="","",'Beállítások'!$E$35*(10-AE75))</f>
        <v/>
      </c>
      <c r="DV75">
        <f>IF($A75="","",'Beállítások'!$E$36*(10-AF75))</f>
        <v/>
      </c>
      <c r="DW75">
        <f>IF($A75="","",'Beállítások'!$E$37*(10-AG75))</f>
        <v/>
      </c>
      <c r="DX75">
        <f>IF($A75="","",'Beállítások'!$E$38*(10-AH75))</f>
        <v/>
      </c>
      <c r="DY75">
        <f>IF($A75="","",AM75-ROW()/100000)</f>
        <v/>
      </c>
    </row>
    <row r="76">
      <c r="A76">
        <f>IF('Ügyfelek'!A76="","",'Ügyfelek'!A76)</f>
        <v/>
      </c>
      <c r="B76">
        <f>IF($A76="","",IF('Ügyfelek'!B76="",'Beállítások'!$B$84,IFERROR(VLOOKUP(TRIM('Ügyfelek'!B76),'Beállítások'!$A$51:$B$59,2,FALSE),'Beállítások'!$B$84)))</f>
        <v/>
      </c>
      <c r="C76">
        <f>IF($A76="","",IF('Ügyfelek'!C76="",'Beállítások'!$B$84,MIN(10,MAX(1,ROUND('Ügyfelek'!C76,0)))))</f>
        <v/>
      </c>
      <c r="D76">
        <f>IF($A76="","",IF('Ügyfelek'!D76="",'Beállítások'!$B$84,MIN(10,MAX(1,ROUND('Ügyfelek'!D76,0)))))</f>
        <v/>
      </c>
      <c r="E76">
        <f>IF($A76="","",IF('Ügyfelek'!E76="",'Beállítások'!$B$84,MIN(10,MAX(1,ROUND('Ügyfelek'!E76,0)))))</f>
        <v/>
      </c>
      <c r="F76">
        <f>IF($A76="","",IF('Ügyfelek'!F76="",'Beállítások'!$B$84,MIN(10,MAX(1,ROUND('Ügyfelek'!F76,0)))))</f>
        <v/>
      </c>
      <c r="G76">
        <f>IF($A76="","",IF('Ügyfelek'!G76="",'Beállítások'!$B$84,MIN(10,MAX(1,ROUND('Ügyfelek'!G76,0)))))</f>
        <v/>
      </c>
      <c r="H76">
        <f>IF($A76="","",IF('Ügyfelek'!H76="",'Beállítások'!$B$84,MIN(10,MAX(1,ROUND('Ügyfelek'!H76,0)))))</f>
        <v/>
      </c>
      <c r="I76">
        <f>IF($A76="","",IF('Ügyfelek'!I76="",'Beállítások'!$B$84,MIN(10,MAX(1,ROUND('Ügyfelek'!I76,0)))))</f>
        <v/>
      </c>
      <c r="J76">
        <f>IF($A76="","",IF('Ügyfelek'!J76="",'Beállítások'!$B$84,MIN(10,MAX(1,ROUND('Ügyfelek'!J76,0)))))</f>
        <v/>
      </c>
      <c r="K76">
        <f>IF($A76="","",IF('Ügyfelek'!K76="",'Beállítások'!$B$84,MIN(10,MAX(1,ROUND('Ügyfelek'!K76,0)))))</f>
        <v/>
      </c>
      <c r="L76">
        <f>IF($A76="","",IF('Ügyfelek'!L76="",'Beállítások'!$B$84,MIN(10,MAX(1,ROUND('Ügyfelek'!L76,0)))))</f>
        <v/>
      </c>
      <c r="M76">
        <f>IF($A76="","",IF('Ügyfelek'!M76="",'Beállítások'!$B$84,MIN(10,MAX(1,ROUND('Ügyfelek'!M76,0)))))</f>
        <v/>
      </c>
      <c r="N76">
        <f>IF($A76="","",IF('Ügyfelek'!N76="",'Beállítások'!$B$84,MIN(10,MAX(1,ROUND('Ügyfelek'!N76,0)))))</f>
        <v/>
      </c>
      <c r="O76">
        <f>IF($A76="","",IF('Ügyfelek'!O76="",'Beállítások'!$B$84,MIN(10,MAX(1,ROUND('Ügyfelek'!O76,0)))))</f>
        <v/>
      </c>
      <c r="P76">
        <f>IF($A76="","",IF('Ügyfelek'!P76="",'Beállítások'!$B$84,MIN(10,MAX(1,ROUND('Ügyfelek'!P76,0)))))</f>
        <v/>
      </c>
      <c r="Q76">
        <f>IF($A76="","",IF('Ügyfelek'!Q76="",'Beállítások'!$B$84,MIN(10,MAX(1,ROUND('Ügyfelek'!Q76,0)))))</f>
        <v/>
      </c>
      <c r="R76">
        <f>IF($A76="","",IF('Ügyfelek'!R76="",'Beállítások'!$B$84,MIN(10,MAX(1,ROUND('Ügyfelek'!R76,0)))))</f>
        <v/>
      </c>
      <c r="S76">
        <f>IF($A76="","",IF('Ügyfelek'!S76="",'Beállítások'!$B$84,MIN(10,MAX(1,ROUND('Ügyfelek'!S76,0)))))</f>
        <v/>
      </c>
      <c r="T76">
        <f>IF($A76="","",IF('Ügyfelek'!T76="",'Beállítások'!$B$84,VLOOKUP(MAX('Ügyfelek'!T76,'Beállítások'!$H$7),'Beállítások'!$H$7:$I$12,2,TRUE)))</f>
        <v/>
      </c>
      <c r="U76">
        <f>IF($A76="","",IF('Ügyfelek'!U76="",'Beállítások'!$B$84,VLOOKUP(MAX('Ügyfelek'!U76,'Beállítások'!$K$7),'Beállítások'!$K$7:$L$12,2,TRUE)))</f>
        <v/>
      </c>
      <c r="V76">
        <f>IF($A76="","",IF('Ügyfelek'!V76="",'Beállítások'!$B$84,MIN(10,MAX(1,ROUND('Ügyfelek'!V76,0)))))</f>
        <v/>
      </c>
      <c r="W76">
        <f>IF($A76="","",IF('Ügyfelek'!W76="",'Beállítások'!$B$84,VLOOKUP(MAX('Ügyfelek'!W76,'Beállítások'!$N$7),'Beállítások'!$N$7:$O$12,2,TRUE)))</f>
        <v/>
      </c>
      <c r="X76">
        <f>IF($A76="","",IF('Ügyfelek'!X76="",'Beállítások'!$B$84,MIN(10,MAX(1,ROUND('Ügyfelek'!X76,0)))))</f>
        <v/>
      </c>
      <c r="Y76">
        <f>IF($A76="","",IF('Ügyfelek'!Y76="",'Beállítások'!$B$84,IFERROR(VLOOKUP(TRIM('Ügyfelek'!Y76),'Beállítások'!$A$63:$B$69,2,FALSE),'Beállítások'!$B$84)))</f>
        <v/>
      </c>
      <c r="Z76">
        <f>IF($A76="","",IF('Ügyfelek'!Z76="",'Beállítások'!$B$84,VLOOKUP(MAX('Ügyfelek'!Z76,'Beállítások'!$Q$7),'Beállítások'!$Q$7:$R$12,2,TRUE)))</f>
        <v/>
      </c>
      <c r="AA76">
        <f>IF($A76="","",IF('Ügyfelek'!AA76="",'Beállítások'!$B$84,VLOOKUP(MAX('Ügyfelek'!AA76,'Beállítások'!$T$7),'Beállítások'!$T$7:$U$12,2,TRUE)))</f>
        <v/>
      </c>
      <c r="AB76">
        <f>IF($A76="","",IF('Ügyfelek'!AB76="",'Beállítások'!$B$84,MIN(10,MAX(1,ROUND('Ügyfelek'!AB76,0)))))</f>
        <v/>
      </c>
      <c r="AC76">
        <f>IF($A76="","",IF('Ügyfelek'!AC76="",'Beállítások'!$B$84,MIN(10,MAX(1,ROUND('Ügyfelek'!AC76,0)))))</f>
        <v/>
      </c>
      <c r="AD76">
        <f>IF($A76="","",IF('Ügyfelek'!AD76="",'Beállítások'!$B$84,MIN(10,MAX(1,ROUND('Ügyfelek'!AD76,0)))))</f>
        <v/>
      </c>
      <c r="AE76">
        <f>IF($A76="","",IF('Ügyfelek'!AE76="",'Beállítások'!$B$84,MIN(10,MAX(1,ROUND('Ügyfelek'!AE76,0)))))</f>
        <v/>
      </c>
      <c r="AF76">
        <f>IF($A76="","",IF('Ügyfelek'!AF76="",'Beállítások'!$B$84,MIN(10,MAX(1,ROUND('Ügyfelek'!AF76,0)))))</f>
        <v/>
      </c>
      <c r="AG76">
        <f>IF($A76="","",IF('Ügyfelek'!AG76="",'Beállítások'!$B$84,MIN(10,MAX(1,ROUND('Ügyfelek'!AG76,0)))))</f>
        <v/>
      </c>
      <c r="AH76">
        <f>IF($A76="","",IF('Ügyfelek'!AH76="",'Beállítások'!$B$84,IFERROR(VLOOKUP(TRIM('Ügyfelek'!AH76),'Beállítások'!$A$73:$B$79,2,FALSE),'Beállítások'!$B$84)))</f>
        <v/>
      </c>
      <c r="AI76" s="23">
        <f>IF($A76="","",ROUND(100*('Beállítások'!$E$6*(B76-1)+'Beállítások'!$E$7*(C76-1))/(9*'Beállítások'!$B$43),1))</f>
        <v/>
      </c>
      <c r="AJ76" s="23">
        <f>IF($A76="","",ROUND(100*('Beállítások'!$E$8*(D76-1)+'Beállítások'!$E$9*(E76-1)+'Beállítások'!$E$10*(F76-1)+'Beállítások'!$E$11*(G76-1)+'Beállítások'!$E$12*(H76-1)+'Beállítások'!$E$13*(I76-1)+'Beállítások'!$E$14*(J76-1)+'Beállítások'!$E$15*(K76-1)+'Beállítások'!$E$16*(L76-1)+'Beállítások'!$E$17*(M76-1)+'Beállítások'!$E$18*(N76-1)+'Beállítások'!$E$19*(O76-1)+'Beállítások'!$E$20*(P76-1)+'Beállítások'!$E$21*(Q76-1)+'Beállítások'!$E$22*(R76-1))/(9*'Beállítások'!$B$44),1))</f>
        <v/>
      </c>
      <c r="AK76" s="23">
        <f>IF($A76="","",ROUND(100*('Beállítások'!$E$23*(S76-1)+'Beállítások'!$E$24*(T76-1)+'Beállítások'!$E$25*(U76-1)+'Beállítások'!$E$26*(V76-1)+'Beállítások'!$E$27*(W76-1)+'Beállítások'!$E$28*(X76-1)+'Beállítások'!$E$29*(Y76-1))/(9*'Beállítások'!$B$45),1))</f>
        <v/>
      </c>
      <c r="AL76" s="23">
        <f>IF($A76="","",ROUND(100*('Beállítások'!$E$30*(Z76-1)+'Beállítások'!$E$31*(AA76-1)+'Beállítások'!$E$32*(AB76-1)+'Beállítások'!$E$33*(AC76-1)+'Beállítások'!$E$34*(AD76-1)+'Beállítások'!$E$35*(AE76-1)+'Beállítások'!$E$36*(AF76-1)+'Beállítások'!$E$37*(AG76-1)+'Beállítások'!$E$38*(AH76-1))/(9*'Beállítások'!$B$46),1))</f>
        <v/>
      </c>
      <c r="AM76" s="23">
        <f>IF($A76="","",ROUND(100*('Beállítások'!$E$6*(B76-1)+'Beállítások'!$E$7*(C76-1)+'Beállítások'!$E$8*(D76-1)+'Beállítások'!$E$9*(E76-1)+'Beállítások'!$E$10*(F76-1)+'Beállítások'!$E$11*(G76-1)+'Beállítások'!$E$12*(H76-1)+'Beállítások'!$E$13*(I76-1)+'Beállítások'!$E$14*(J76-1)+'Beállítások'!$E$15*(K76-1)+'Beállítások'!$E$16*(L76-1)+'Beállítások'!$E$17*(M76-1)+'Beállítások'!$E$18*(N76-1)+'Beállítások'!$E$19*(O76-1)+'Beállítások'!$E$20*(P76-1)+'Beállítások'!$E$21*(Q76-1)+'Beállítások'!$E$22*(R76-1)+'Beállítások'!$E$23*(S76-1)+'Beállítások'!$E$24*(T76-1)+'Beállítások'!$E$25*(U76-1)+'Beállítások'!$E$26*(V76-1)+'Beállítások'!$E$27*(W76-1)+'Beállítások'!$E$28*(X76-1)+'Beállítások'!$E$29*(Y76-1)+'Beállítások'!$E$30*(Z76-1)+'Beállítások'!$E$31*(AA76-1)+'Beállítások'!$E$32*(AB76-1)+'Beállítások'!$E$33*(AC76-1)+'Beállítások'!$E$34*(AD76-1)+'Beállítások'!$E$35*(AE76-1)+'Beállítások'!$E$36*(AF76-1)+'Beállítások'!$E$37*(AG76-1)+'Beállítások'!$E$38*(AH76-1))/(9*'Beállítások'!$E$39),1))</f>
        <v/>
      </c>
      <c r="AN76" s="23">
        <f>IF($A76="","",ROUND(100*('Beállítások'!$E$8*(D76-1)+'Beállítások'!$E$9*(E76-1)+'Beállítások'!$E$10*(F76-1)+'Beállítások'!$E$11*(G76-1)+'Beállítások'!$E$12*(H76-1)+'Beállítások'!$E$13*(I76-1)+'Beállítások'!$E$14*(J76-1)+'Beállítások'!$E$15*(K76-1)+'Beállítások'!$E$16*(L76-1)+'Beállítások'!$E$17*(M76-1)+'Beállítások'!$E$18*(N76-1)+'Beállítások'!$E$19*(O76-1)+'Beállítások'!$E$20*(P76-1)+'Beállítások'!$E$21*(Q76-1)+'Beállítások'!$E$22*(R76-1)+'Beállítások'!$E$23*(S76-1)+'Beállítások'!$E$24*(T76-1)+'Beállítások'!$E$25*(U76-1)+'Beállítások'!$E$26*(V76-1)+'Beállítások'!$E$27*(W76-1)+'Beállítások'!$E$28*(X76-1)+'Beállítások'!$E$29*(Y76-1))/(9*('Beállítások'!$B$44+'Beállítások'!$B$45)),1))</f>
        <v/>
      </c>
      <c r="AO76" s="24">
        <f>IF($A76="","",RANK(AM76,$AM$2:$AM$201))</f>
        <v/>
      </c>
      <c r="AP76">
        <f>IF($A76="","",IF(OR(AND('Ügyfelek'!B76&lt;&gt;"",B76&lt;='Beállítások'!$B$85),AND('Ügyfelek'!C76&lt;&gt;"",C76&lt;='Beállítások'!$B$86)),"Igen","Nem"))</f>
        <v/>
      </c>
      <c r="AQ76" s="24">
        <f>IF($A76="","",IF(AP76="Igen",5,IF(AN76&gt;='Beállítások'!$C$108,1,IF(AN76&gt;='Beállítások'!$C$109,2,IF(AN76&gt;='Beállítások'!$C$110,3,IF(AND(AN76&gt;='Beállítások'!$B$87,AI76&gt;='Beállítások'!$B$88,AL76&gt;='Beállítások'!$B$89),4,5))))))</f>
        <v/>
      </c>
      <c r="AR76">
        <f>IF($A76="","",INDEX('Beállítások'!$B$108:$B$112,AQ76))</f>
        <v/>
      </c>
      <c r="AS76">
        <f>IF($A76="","",IF(AQ76=5,"Elutasítjuk",IF(AND(AQ76=4,COUNTIFS('Eredmény'!$AQ$2:$AQ$201,4,'Eredmény'!$DY$2:$DY$201,"&gt;"&amp;DY76)&gt;='Beállítások'!$B$90),"Várólista (a 4-es hely foglalt)","Elfogadjuk")))</f>
        <v/>
      </c>
      <c r="AT76">
        <f>IF($A76="","",INDEX('Beállítások'!$F$108:$F$112,AQ76))</f>
        <v/>
      </c>
      <c r="AU76">
        <f>IF($A76="","",INDEX('Beállítások'!$B$6:$B$38,MATCH(MAX(BK76:CQ76),BK76:CQ76,0)))</f>
        <v/>
      </c>
      <c r="AV76">
        <f>IF($A76="","",IF(MAX(CR76:DX76)=0,"—",INDEX('Beállítások'!$B$6:$B$38,MATCH(MAX(CR76:DX76),CR76:DX76,0))))</f>
        <v/>
      </c>
      <c r="AW76" s="10">
        <f>IF($A76="","",'Beállítások'!$B$94*(TRIM('Ügyfelek'!AI76)="igen")+'Beállítások'!$B$95*(TRIM('Ügyfelek'!AJ76)="igen")+'Beállítások'!$B$96*N('Ügyfelek'!AK76)+'Beállítások'!$B$93*N('Ügyfelek'!AL76))</f>
        <v/>
      </c>
      <c r="AX76" s="25">
        <f>IF(OR($A76="",AQ76=5),"",INDEX('Beállítások'!$D$108:$D$112,AQ76))</f>
        <v/>
      </c>
      <c r="AY76" s="10">
        <f>IF($A76="","",N('Ügyfelek'!U76)*'Beállítások'!$B$98)</f>
        <v/>
      </c>
      <c r="AZ76" s="10">
        <f>IF(OR($A76="",AQ76=5),"",CEILING(ROUND(MAX('Beállítások'!$B$97,AW76*AX76,AY76),2),'Beállítások'!$B$99))</f>
        <v/>
      </c>
      <c r="BA76">
        <f>IF($A76="","",IF(AQ76=5,"Elutasítva",IF(MAX('Beállítások'!$B$97,AW76*AX76,AY76)=AW76*AX76,"Munkaigény × státuszszorzó",IF(MAX('Beállítások'!$B$97,AW76*AX76,AY76)=AY76,"Hirdetési keret arányában","Minimumdíj"))))</f>
        <v/>
      </c>
      <c r="BB76" s="10">
        <f>IF(OR($A76="",'Ügyfelek'!AM76=""),"",'Ügyfelek'!AM76)</f>
        <v/>
      </c>
      <c r="BC76" s="10">
        <f>IF(OR(BB76="",AZ76=""),"",AZ76-BB76)</f>
        <v/>
      </c>
      <c r="BD76" s="18">
        <f>IF(OR(BB76="",AZ76="",BB76=0),"",BC76/BB76)</f>
        <v/>
      </c>
      <c r="BE76">
        <f>IF(OR($A76="",AQ76=5),"",IF(AND(INDEX('Beállítások'!$E$108:$E$112,AQ76)&gt;0,Y76&gt;='Beállítások'!$B$91),"Igen","Nem"))</f>
        <v/>
      </c>
      <c r="BF76" s="10">
        <f>IF(BE76="Igen",CEILING(ROUND(AZ76*(1-'Beállítások'!$B$92),2),'Beállítások'!$B$99),"")</f>
        <v/>
      </c>
      <c r="BG76" s="20">
        <f>IF(BE76="Igen",INDEX('Beállítások'!$E$108:$E$112,AQ76),"")</f>
        <v/>
      </c>
      <c r="BH76" s="10">
        <f>IF(OR(BE76&lt;&gt;"Igen",'Ügyfelek'!AN76=""),"",'Ügyfelek'!AN76*BG76)</f>
        <v/>
      </c>
      <c r="BI76" s="24">
        <f>IF($A76="","",('Ügyfelek'!B76="")+('Ügyfelek'!C76="")+('Ügyfelek'!D76="")+('Ügyfelek'!E76="")+('Ügyfelek'!F76="")+('Ügyfelek'!G76="")+('Ügyfelek'!H76="")+('Ügyfelek'!I76="")+('Ügyfelek'!J76="")+('Ügyfelek'!K76="")+('Ügyfelek'!L76="")+('Ügyfelek'!M76="")+('Ügyfelek'!N76="")+('Ügyfelek'!O76="")+('Ügyfelek'!P76="")+('Ügyfelek'!Q76="")+('Ügyfelek'!R76="")+('Ügyfelek'!S76="")+('Ügyfelek'!T76="")+('Ügyfelek'!U76="")+('Ügyfelek'!V76="")+('Ügyfelek'!W76="")+('Ügyfelek'!X76="")+('Ügyfelek'!Y76="")+('Ügyfelek'!Z76="")+('Ügyfelek'!AA76="")+('Ügyfelek'!AB76="")+('Ügyfelek'!AC76="")+('Ügyfelek'!AD76="")+('Ügyfelek'!AE76="")+('Ügyfelek'!AF76="")+('Ügyfelek'!AG76="")+('Ügyfelek'!AH76=""))</f>
        <v/>
      </c>
      <c r="BK76">
        <f>IF($A76="","",B76+'Beállítások'!$E$6/1000)</f>
        <v/>
      </c>
      <c r="BL76">
        <f>IF($A76="","",C76+'Beállítások'!$E$7/1000)</f>
        <v/>
      </c>
      <c r="BM76">
        <f>IF($A76="","",D76+'Beállítások'!$E$8/1000)</f>
        <v/>
      </c>
      <c r="BN76">
        <f>IF($A76="","",E76+'Beállítások'!$E$9/1000)</f>
        <v/>
      </c>
      <c r="BO76">
        <f>IF($A76="","",F76+'Beállítások'!$E$10/1000)</f>
        <v/>
      </c>
      <c r="BP76">
        <f>IF($A76="","",G76+'Beállítások'!$E$11/1000)</f>
        <v/>
      </c>
      <c r="BQ76">
        <f>IF($A76="","",H76+'Beállítások'!$E$12/1000)</f>
        <v/>
      </c>
      <c r="BR76">
        <f>IF($A76="","",I76+'Beállítások'!$E$13/1000)</f>
        <v/>
      </c>
      <c r="BS76">
        <f>IF($A76="","",J76+'Beállítások'!$E$14/1000)</f>
        <v/>
      </c>
      <c r="BT76">
        <f>IF($A76="","",K76+'Beállítások'!$E$15/1000)</f>
        <v/>
      </c>
      <c r="BU76">
        <f>IF($A76="","",L76+'Beállítások'!$E$16/1000)</f>
        <v/>
      </c>
      <c r="BV76">
        <f>IF($A76="","",M76+'Beállítások'!$E$17/1000)</f>
        <v/>
      </c>
      <c r="BW76">
        <f>IF($A76="","",N76+'Beállítások'!$E$18/1000)</f>
        <v/>
      </c>
      <c r="BX76">
        <f>IF($A76="","",O76+'Beállítások'!$E$19/1000)</f>
        <v/>
      </c>
      <c r="BY76">
        <f>IF($A76="","",P76+'Beállítások'!$E$20/1000)</f>
        <v/>
      </c>
      <c r="BZ76">
        <f>IF($A76="","",Q76+'Beállítások'!$E$21/1000)</f>
        <v/>
      </c>
      <c r="CA76">
        <f>IF($A76="","",R76+'Beállítások'!$E$22/1000)</f>
        <v/>
      </c>
      <c r="CB76">
        <f>IF($A76="","",S76+'Beállítások'!$E$23/1000)</f>
        <v/>
      </c>
      <c r="CC76">
        <f>IF($A76="","",T76+'Beállítások'!$E$24/1000)</f>
        <v/>
      </c>
      <c r="CD76">
        <f>IF($A76="","",U76+'Beállítások'!$E$25/1000)</f>
        <v/>
      </c>
      <c r="CE76">
        <f>IF($A76="","",V76+'Beállítások'!$E$26/1000)</f>
        <v/>
      </c>
      <c r="CF76">
        <f>IF($A76="","",W76+'Beállítások'!$E$27/1000)</f>
        <v/>
      </c>
      <c r="CG76">
        <f>IF($A76="","",X76+'Beállítások'!$E$28/1000)</f>
        <v/>
      </c>
      <c r="CH76">
        <f>IF($A76="","",Y76+'Beállítások'!$E$29/1000)</f>
        <v/>
      </c>
      <c r="CI76">
        <f>IF($A76="","",Z76+'Beállítások'!$E$30/1000)</f>
        <v/>
      </c>
      <c r="CJ76">
        <f>IF($A76="","",AA76+'Beállítások'!$E$31/1000)</f>
        <v/>
      </c>
      <c r="CK76">
        <f>IF($A76="","",AB76+'Beállítások'!$E$32/1000)</f>
        <v/>
      </c>
      <c r="CL76">
        <f>IF($A76="","",AC76+'Beállítások'!$E$33/1000)</f>
        <v/>
      </c>
      <c r="CM76">
        <f>IF($A76="","",AD76+'Beállítások'!$E$34/1000)</f>
        <v/>
      </c>
      <c r="CN76">
        <f>IF($A76="","",AE76+'Beállítások'!$E$35/1000)</f>
        <v/>
      </c>
      <c r="CO76">
        <f>IF($A76="","",AF76+'Beállítások'!$E$36/1000)</f>
        <v/>
      </c>
      <c r="CP76">
        <f>IF($A76="","",AG76+'Beállítások'!$E$37/1000)</f>
        <v/>
      </c>
      <c r="CQ76">
        <f>IF($A76="","",AH76+'Beállítások'!$E$38/1000)</f>
        <v/>
      </c>
      <c r="CR76">
        <f>IF($A76="","",'Beállítások'!$E$6*(10-B76))</f>
        <v/>
      </c>
      <c r="CS76">
        <f>IF($A76="","",'Beállítások'!$E$7*(10-C76))</f>
        <v/>
      </c>
      <c r="CT76">
        <f>IF($A76="","",'Beállítások'!$E$8*(10-D76))</f>
        <v/>
      </c>
      <c r="CU76">
        <f>IF($A76="","",'Beállítások'!$E$9*(10-E76))</f>
        <v/>
      </c>
      <c r="CV76">
        <f>IF($A76="","",'Beállítások'!$E$10*(10-F76))</f>
        <v/>
      </c>
      <c r="CW76">
        <f>IF($A76="","",'Beállítások'!$E$11*(10-G76))</f>
        <v/>
      </c>
      <c r="CX76">
        <f>IF($A76="","",'Beállítások'!$E$12*(10-H76))</f>
        <v/>
      </c>
      <c r="CY76">
        <f>IF($A76="","",'Beállítások'!$E$13*(10-I76))</f>
        <v/>
      </c>
      <c r="CZ76">
        <f>IF($A76="","",'Beállítások'!$E$14*(10-J76))</f>
        <v/>
      </c>
      <c r="DA76">
        <f>IF($A76="","",'Beállítások'!$E$15*(10-K76))</f>
        <v/>
      </c>
      <c r="DB76">
        <f>IF($A76="","",'Beállítások'!$E$16*(10-L76))</f>
        <v/>
      </c>
      <c r="DC76">
        <f>IF($A76="","",'Beállítások'!$E$17*(10-M76))</f>
        <v/>
      </c>
      <c r="DD76">
        <f>IF($A76="","",'Beállítások'!$E$18*(10-N76))</f>
        <v/>
      </c>
      <c r="DE76">
        <f>IF($A76="","",'Beállítások'!$E$19*(10-O76))</f>
        <v/>
      </c>
      <c r="DF76">
        <f>IF($A76="","",'Beállítások'!$E$20*(10-P76))</f>
        <v/>
      </c>
      <c r="DG76">
        <f>IF($A76="","",'Beállítások'!$E$21*(10-Q76))</f>
        <v/>
      </c>
      <c r="DH76">
        <f>IF($A76="","",'Beállítások'!$E$22*(10-R76))</f>
        <v/>
      </c>
      <c r="DI76">
        <f>IF($A76="","",'Beállítások'!$E$23*(10-S76))</f>
        <v/>
      </c>
      <c r="DJ76">
        <f>IF($A76="","",'Beállítások'!$E$24*(10-T76))</f>
        <v/>
      </c>
      <c r="DK76">
        <f>IF($A76="","",'Beállítások'!$E$25*(10-U76))</f>
        <v/>
      </c>
      <c r="DL76">
        <f>IF($A76="","",'Beállítások'!$E$26*(10-V76))</f>
        <v/>
      </c>
      <c r="DM76">
        <f>IF($A76="","",'Beállítások'!$E$27*(10-W76))</f>
        <v/>
      </c>
      <c r="DN76">
        <f>IF($A76="","",'Beállítások'!$E$28*(10-X76))</f>
        <v/>
      </c>
      <c r="DO76">
        <f>IF($A76="","",'Beállítások'!$E$29*(10-Y76))</f>
        <v/>
      </c>
      <c r="DP76">
        <f>IF($A76="","",'Beállítások'!$E$30*(10-Z76))</f>
        <v/>
      </c>
      <c r="DQ76">
        <f>IF($A76="","",'Beállítások'!$E$31*(10-AA76))</f>
        <v/>
      </c>
      <c r="DR76">
        <f>IF($A76="","",'Beállítások'!$E$32*(10-AB76))</f>
        <v/>
      </c>
      <c r="DS76">
        <f>IF($A76="","",'Beállítások'!$E$33*(10-AC76))</f>
        <v/>
      </c>
      <c r="DT76">
        <f>IF($A76="","",'Beállítások'!$E$34*(10-AD76))</f>
        <v/>
      </c>
      <c r="DU76">
        <f>IF($A76="","",'Beállítások'!$E$35*(10-AE76))</f>
        <v/>
      </c>
      <c r="DV76">
        <f>IF($A76="","",'Beállítások'!$E$36*(10-AF76))</f>
        <v/>
      </c>
      <c r="DW76">
        <f>IF($A76="","",'Beállítások'!$E$37*(10-AG76))</f>
        <v/>
      </c>
      <c r="DX76">
        <f>IF($A76="","",'Beállítások'!$E$38*(10-AH76))</f>
        <v/>
      </c>
      <c r="DY76">
        <f>IF($A76="","",AM76-ROW()/100000)</f>
        <v/>
      </c>
    </row>
    <row r="77">
      <c r="A77">
        <f>IF('Ügyfelek'!A77="","",'Ügyfelek'!A77)</f>
        <v/>
      </c>
      <c r="B77">
        <f>IF($A77="","",IF('Ügyfelek'!B77="",'Beállítások'!$B$84,IFERROR(VLOOKUP(TRIM('Ügyfelek'!B77),'Beállítások'!$A$51:$B$59,2,FALSE),'Beállítások'!$B$84)))</f>
        <v/>
      </c>
      <c r="C77">
        <f>IF($A77="","",IF('Ügyfelek'!C77="",'Beállítások'!$B$84,MIN(10,MAX(1,ROUND('Ügyfelek'!C77,0)))))</f>
        <v/>
      </c>
      <c r="D77">
        <f>IF($A77="","",IF('Ügyfelek'!D77="",'Beállítások'!$B$84,MIN(10,MAX(1,ROUND('Ügyfelek'!D77,0)))))</f>
        <v/>
      </c>
      <c r="E77">
        <f>IF($A77="","",IF('Ügyfelek'!E77="",'Beállítások'!$B$84,MIN(10,MAX(1,ROUND('Ügyfelek'!E77,0)))))</f>
        <v/>
      </c>
      <c r="F77">
        <f>IF($A77="","",IF('Ügyfelek'!F77="",'Beállítások'!$B$84,MIN(10,MAX(1,ROUND('Ügyfelek'!F77,0)))))</f>
        <v/>
      </c>
      <c r="G77">
        <f>IF($A77="","",IF('Ügyfelek'!G77="",'Beállítások'!$B$84,MIN(10,MAX(1,ROUND('Ügyfelek'!G77,0)))))</f>
        <v/>
      </c>
      <c r="H77">
        <f>IF($A77="","",IF('Ügyfelek'!H77="",'Beállítások'!$B$84,MIN(10,MAX(1,ROUND('Ügyfelek'!H77,0)))))</f>
        <v/>
      </c>
      <c r="I77">
        <f>IF($A77="","",IF('Ügyfelek'!I77="",'Beállítások'!$B$84,MIN(10,MAX(1,ROUND('Ügyfelek'!I77,0)))))</f>
        <v/>
      </c>
      <c r="J77">
        <f>IF($A77="","",IF('Ügyfelek'!J77="",'Beállítások'!$B$84,MIN(10,MAX(1,ROUND('Ügyfelek'!J77,0)))))</f>
        <v/>
      </c>
      <c r="K77">
        <f>IF($A77="","",IF('Ügyfelek'!K77="",'Beállítások'!$B$84,MIN(10,MAX(1,ROUND('Ügyfelek'!K77,0)))))</f>
        <v/>
      </c>
      <c r="L77">
        <f>IF($A77="","",IF('Ügyfelek'!L77="",'Beállítások'!$B$84,MIN(10,MAX(1,ROUND('Ügyfelek'!L77,0)))))</f>
        <v/>
      </c>
      <c r="M77">
        <f>IF($A77="","",IF('Ügyfelek'!M77="",'Beállítások'!$B$84,MIN(10,MAX(1,ROUND('Ügyfelek'!M77,0)))))</f>
        <v/>
      </c>
      <c r="N77">
        <f>IF($A77="","",IF('Ügyfelek'!N77="",'Beállítások'!$B$84,MIN(10,MAX(1,ROUND('Ügyfelek'!N77,0)))))</f>
        <v/>
      </c>
      <c r="O77">
        <f>IF($A77="","",IF('Ügyfelek'!O77="",'Beállítások'!$B$84,MIN(10,MAX(1,ROUND('Ügyfelek'!O77,0)))))</f>
        <v/>
      </c>
      <c r="P77">
        <f>IF($A77="","",IF('Ügyfelek'!P77="",'Beállítások'!$B$84,MIN(10,MAX(1,ROUND('Ügyfelek'!P77,0)))))</f>
        <v/>
      </c>
      <c r="Q77">
        <f>IF($A77="","",IF('Ügyfelek'!Q77="",'Beállítások'!$B$84,MIN(10,MAX(1,ROUND('Ügyfelek'!Q77,0)))))</f>
        <v/>
      </c>
      <c r="R77">
        <f>IF($A77="","",IF('Ügyfelek'!R77="",'Beállítások'!$B$84,MIN(10,MAX(1,ROUND('Ügyfelek'!R77,0)))))</f>
        <v/>
      </c>
      <c r="S77">
        <f>IF($A77="","",IF('Ügyfelek'!S77="",'Beállítások'!$B$84,MIN(10,MAX(1,ROUND('Ügyfelek'!S77,0)))))</f>
        <v/>
      </c>
      <c r="T77">
        <f>IF($A77="","",IF('Ügyfelek'!T77="",'Beállítások'!$B$84,VLOOKUP(MAX('Ügyfelek'!T77,'Beállítások'!$H$7),'Beállítások'!$H$7:$I$12,2,TRUE)))</f>
        <v/>
      </c>
      <c r="U77">
        <f>IF($A77="","",IF('Ügyfelek'!U77="",'Beállítások'!$B$84,VLOOKUP(MAX('Ügyfelek'!U77,'Beállítások'!$K$7),'Beállítások'!$K$7:$L$12,2,TRUE)))</f>
        <v/>
      </c>
      <c r="V77">
        <f>IF($A77="","",IF('Ügyfelek'!V77="",'Beállítások'!$B$84,MIN(10,MAX(1,ROUND('Ügyfelek'!V77,0)))))</f>
        <v/>
      </c>
      <c r="W77">
        <f>IF($A77="","",IF('Ügyfelek'!W77="",'Beállítások'!$B$84,VLOOKUP(MAX('Ügyfelek'!W77,'Beállítások'!$N$7),'Beállítások'!$N$7:$O$12,2,TRUE)))</f>
        <v/>
      </c>
      <c r="X77">
        <f>IF($A77="","",IF('Ügyfelek'!X77="",'Beállítások'!$B$84,MIN(10,MAX(1,ROUND('Ügyfelek'!X77,0)))))</f>
        <v/>
      </c>
      <c r="Y77">
        <f>IF($A77="","",IF('Ügyfelek'!Y77="",'Beállítások'!$B$84,IFERROR(VLOOKUP(TRIM('Ügyfelek'!Y77),'Beállítások'!$A$63:$B$69,2,FALSE),'Beállítások'!$B$84)))</f>
        <v/>
      </c>
      <c r="Z77">
        <f>IF($A77="","",IF('Ügyfelek'!Z77="",'Beállítások'!$B$84,VLOOKUP(MAX('Ügyfelek'!Z77,'Beállítások'!$Q$7),'Beállítások'!$Q$7:$R$12,2,TRUE)))</f>
        <v/>
      </c>
      <c r="AA77">
        <f>IF($A77="","",IF('Ügyfelek'!AA77="",'Beállítások'!$B$84,VLOOKUP(MAX('Ügyfelek'!AA77,'Beállítások'!$T$7),'Beállítások'!$T$7:$U$12,2,TRUE)))</f>
        <v/>
      </c>
      <c r="AB77">
        <f>IF($A77="","",IF('Ügyfelek'!AB77="",'Beállítások'!$B$84,MIN(10,MAX(1,ROUND('Ügyfelek'!AB77,0)))))</f>
        <v/>
      </c>
      <c r="AC77">
        <f>IF($A77="","",IF('Ügyfelek'!AC77="",'Beállítások'!$B$84,MIN(10,MAX(1,ROUND('Ügyfelek'!AC77,0)))))</f>
        <v/>
      </c>
      <c r="AD77">
        <f>IF($A77="","",IF('Ügyfelek'!AD77="",'Beállítások'!$B$84,MIN(10,MAX(1,ROUND('Ügyfelek'!AD77,0)))))</f>
        <v/>
      </c>
      <c r="AE77">
        <f>IF($A77="","",IF('Ügyfelek'!AE77="",'Beállítások'!$B$84,MIN(10,MAX(1,ROUND('Ügyfelek'!AE77,0)))))</f>
        <v/>
      </c>
      <c r="AF77">
        <f>IF($A77="","",IF('Ügyfelek'!AF77="",'Beállítások'!$B$84,MIN(10,MAX(1,ROUND('Ügyfelek'!AF77,0)))))</f>
        <v/>
      </c>
      <c r="AG77">
        <f>IF($A77="","",IF('Ügyfelek'!AG77="",'Beállítások'!$B$84,MIN(10,MAX(1,ROUND('Ügyfelek'!AG77,0)))))</f>
        <v/>
      </c>
      <c r="AH77">
        <f>IF($A77="","",IF('Ügyfelek'!AH77="",'Beállítások'!$B$84,IFERROR(VLOOKUP(TRIM('Ügyfelek'!AH77),'Beállítások'!$A$73:$B$79,2,FALSE),'Beállítások'!$B$84)))</f>
        <v/>
      </c>
      <c r="AI77" s="23">
        <f>IF($A77="","",ROUND(100*('Beállítások'!$E$6*(B77-1)+'Beállítások'!$E$7*(C77-1))/(9*'Beállítások'!$B$43),1))</f>
        <v/>
      </c>
      <c r="AJ77" s="23">
        <f>IF($A77="","",ROUND(100*('Beállítások'!$E$8*(D77-1)+'Beállítások'!$E$9*(E77-1)+'Beállítások'!$E$10*(F77-1)+'Beállítások'!$E$11*(G77-1)+'Beállítások'!$E$12*(H77-1)+'Beállítások'!$E$13*(I77-1)+'Beállítások'!$E$14*(J77-1)+'Beállítások'!$E$15*(K77-1)+'Beállítások'!$E$16*(L77-1)+'Beállítások'!$E$17*(M77-1)+'Beállítások'!$E$18*(N77-1)+'Beállítások'!$E$19*(O77-1)+'Beállítások'!$E$20*(P77-1)+'Beállítások'!$E$21*(Q77-1)+'Beállítások'!$E$22*(R77-1))/(9*'Beállítások'!$B$44),1))</f>
        <v/>
      </c>
      <c r="AK77" s="23">
        <f>IF($A77="","",ROUND(100*('Beállítások'!$E$23*(S77-1)+'Beállítások'!$E$24*(T77-1)+'Beállítások'!$E$25*(U77-1)+'Beállítások'!$E$26*(V77-1)+'Beállítások'!$E$27*(W77-1)+'Beállítások'!$E$28*(X77-1)+'Beállítások'!$E$29*(Y77-1))/(9*'Beállítások'!$B$45),1))</f>
        <v/>
      </c>
      <c r="AL77" s="23">
        <f>IF($A77="","",ROUND(100*('Beállítások'!$E$30*(Z77-1)+'Beállítások'!$E$31*(AA77-1)+'Beállítások'!$E$32*(AB77-1)+'Beállítások'!$E$33*(AC77-1)+'Beállítások'!$E$34*(AD77-1)+'Beállítások'!$E$35*(AE77-1)+'Beállítások'!$E$36*(AF77-1)+'Beállítások'!$E$37*(AG77-1)+'Beállítások'!$E$38*(AH77-1))/(9*'Beállítások'!$B$46),1))</f>
        <v/>
      </c>
      <c r="AM77" s="23">
        <f>IF($A77="","",ROUND(100*('Beállítások'!$E$6*(B77-1)+'Beállítások'!$E$7*(C77-1)+'Beállítások'!$E$8*(D77-1)+'Beállítások'!$E$9*(E77-1)+'Beállítások'!$E$10*(F77-1)+'Beállítások'!$E$11*(G77-1)+'Beállítások'!$E$12*(H77-1)+'Beállítások'!$E$13*(I77-1)+'Beállítások'!$E$14*(J77-1)+'Beállítások'!$E$15*(K77-1)+'Beállítások'!$E$16*(L77-1)+'Beállítások'!$E$17*(M77-1)+'Beállítások'!$E$18*(N77-1)+'Beállítások'!$E$19*(O77-1)+'Beállítások'!$E$20*(P77-1)+'Beállítások'!$E$21*(Q77-1)+'Beállítások'!$E$22*(R77-1)+'Beállítások'!$E$23*(S77-1)+'Beállítások'!$E$24*(T77-1)+'Beállítások'!$E$25*(U77-1)+'Beállítások'!$E$26*(V77-1)+'Beállítások'!$E$27*(W77-1)+'Beállítások'!$E$28*(X77-1)+'Beállítások'!$E$29*(Y77-1)+'Beállítások'!$E$30*(Z77-1)+'Beállítások'!$E$31*(AA77-1)+'Beállítások'!$E$32*(AB77-1)+'Beállítások'!$E$33*(AC77-1)+'Beállítások'!$E$34*(AD77-1)+'Beállítások'!$E$35*(AE77-1)+'Beállítások'!$E$36*(AF77-1)+'Beállítások'!$E$37*(AG77-1)+'Beállítások'!$E$38*(AH77-1))/(9*'Beállítások'!$E$39),1))</f>
        <v/>
      </c>
      <c r="AN77" s="23">
        <f>IF($A77="","",ROUND(100*('Beállítások'!$E$8*(D77-1)+'Beállítások'!$E$9*(E77-1)+'Beállítások'!$E$10*(F77-1)+'Beállítások'!$E$11*(G77-1)+'Beállítások'!$E$12*(H77-1)+'Beállítások'!$E$13*(I77-1)+'Beállítások'!$E$14*(J77-1)+'Beállítások'!$E$15*(K77-1)+'Beállítások'!$E$16*(L77-1)+'Beállítások'!$E$17*(M77-1)+'Beállítások'!$E$18*(N77-1)+'Beállítások'!$E$19*(O77-1)+'Beállítások'!$E$20*(P77-1)+'Beállítások'!$E$21*(Q77-1)+'Beállítások'!$E$22*(R77-1)+'Beállítások'!$E$23*(S77-1)+'Beállítások'!$E$24*(T77-1)+'Beállítások'!$E$25*(U77-1)+'Beállítások'!$E$26*(V77-1)+'Beállítások'!$E$27*(W77-1)+'Beállítások'!$E$28*(X77-1)+'Beállítások'!$E$29*(Y77-1))/(9*('Beállítások'!$B$44+'Beállítások'!$B$45)),1))</f>
        <v/>
      </c>
      <c r="AO77" s="24">
        <f>IF($A77="","",RANK(AM77,$AM$2:$AM$201))</f>
        <v/>
      </c>
      <c r="AP77">
        <f>IF($A77="","",IF(OR(AND('Ügyfelek'!B77&lt;&gt;"",B77&lt;='Beállítások'!$B$85),AND('Ügyfelek'!C77&lt;&gt;"",C77&lt;='Beállítások'!$B$86)),"Igen","Nem"))</f>
        <v/>
      </c>
      <c r="AQ77" s="24">
        <f>IF($A77="","",IF(AP77="Igen",5,IF(AN77&gt;='Beállítások'!$C$108,1,IF(AN77&gt;='Beállítások'!$C$109,2,IF(AN77&gt;='Beállítások'!$C$110,3,IF(AND(AN77&gt;='Beállítások'!$B$87,AI77&gt;='Beállítások'!$B$88,AL77&gt;='Beállítások'!$B$89),4,5))))))</f>
        <v/>
      </c>
      <c r="AR77">
        <f>IF($A77="","",INDEX('Beállítások'!$B$108:$B$112,AQ77))</f>
        <v/>
      </c>
      <c r="AS77">
        <f>IF($A77="","",IF(AQ77=5,"Elutasítjuk",IF(AND(AQ77=4,COUNTIFS('Eredmény'!$AQ$2:$AQ$201,4,'Eredmény'!$DY$2:$DY$201,"&gt;"&amp;DY77)&gt;='Beállítások'!$B$90),"Várólista (a 4-es hely foglalt)","Elfogadjuk")))</f>
        <v/>
      </c>
      <c r="AT77">
        <f>IF($A77="","",INDEX('Beállítások'!$F$108:$F$112,AQ77))</f>
        <v/>
      </c>
      <c r="AU77">
        <f>IF($A77="","",INDEX('Beállítások'!$B$6:$B$38,MATCH(MAX(BK77:CQ77),BK77:CQ77,0)))</f>
        <v/>
      </c>
      <c r="AV77">
        <f>IF($A77="","",IF(MAX(CR77:DX77)=0,"—",INDEX('Beállítások'!$B$6:$B$38,MATCH(MAX(CR77:DX77),CR77:DX77,0))))</f>
        <v/>
      </c>
      <c r="AW77" s="10">
        <f>IF($A77="","",'Beállítások'!$B$94*(TRIM('Ügyfelek'!AI77)="igen")+'Beállítások'!$B$95*(TRIM('Ügyfelek'!AJ77)="igen")+'Beállítások'!$B$96*N('Ügyfelek'!AK77)+'Beállítások'!$B$93*N('Ügyfelek'!AL77))</f>
        <v/>
      </c>
      <c r="AX77" s="25">
        <f>IF(OR($A77="",AQ77=5),"",INDEX('Beállítások'!$D$108:$D$112,AQ77))</f>
        <v/>
      </c>
      <c r="AY77" s="10">
        <f>IF($A77="","",N('Ügyfelek'!U77)*'Beállítások'!$B$98)</f>
        <v/>
      </c>
      <c r="AZ77" s="10">
        <f>IF(OR($A77="",AQ77=5),"",CEILING(ROUND(MAX('Beállítások'!$B$97,AW77*AX77,AY77),2),'Beállítások'!$B$99))</f>
        <v/>
      </c>
      <c r="BA77">
        <f>IF($A77="","",IF(AQ77=5,"Elutasítva",IF(MAX('Beállítások'!$B$97,AW77*AX77,AY77)=AW77*AX77,"Munkaigény × státuszszorzó",IF(MAX('Beállítások'!$B$97,AW77*AX77,AY77)=AY77,"Hirdetési keret arányában","Minimumdíj"))))</f>
        <v/>
      </c>
      <c r="BB77" s="10">
        <f>IF(OR($A77="",'Ügyfelek'!AM77=""),"",'Ügyfelek'!AM77)</f>
        <v/>
      </c>
      <c r="BC77" s="10">
        <f>IF(OR(BB77="",AZ77=""),"",AZ77-BB77)</f>
        <v/>
      </c>
      <c r="BD77" s="18">
        <f>IF(OR(BB77="",AZ77="",BB77=0),"",BC77/BB77)</f>
        <v/>
      </c>
      <c r="BE77">
        <f>IF(OR($A77="",AQ77=5),"",IF(AND(INDEX('Beállítások'!$E$108:$E$112,AQ77)&gt;0,Y77&gt;='Beállítások'!$B$91),"Igen","Nem"))</f>
        <v/>
      </c>
      <c r="BF77" s="10">
        <f>IF(BE77="Igen",CEILING(ROUND(AZ77*(1-'Beállítások'!$B$92),2),'Beállítások'!$B$99),"")</f>
        <v/>
      </c>
      <c r="BG77" s="20">
        <f>IF(BE77="Igen",INDEX('Beállítások'!$E$108:$E$112,AQ77),"")</f>
        <v/>
      </c>
      <c r="BH77" s="10">
        <f>IF(OR(BE77&lt;&gt;"Igen",'Ügyfelek'!AN77=""),"",'Ügyfelek'!AN77*BG77)</f>
        <v/>
      </c>
      <c r="BI77" s="24">
        <f>IF($A77="","",('Ügyfelek'!B77="")+('Ügyfelek'!C77="")+('Ügyfelek'!D77="")+('Ügyfelek'!E77="")+('Ügyfelek'!F77="")+('Ügyfelek'!G77="")+('Ügyfelek'!H77="")+('Ügyfelek'!I77="")+('Ügyfelek'!J77="")+('Ügyfelek'!K77="")+('Ügyfelek'!L77="")+('Ügyfelek'!M77="")+('Ügyfelek'!N77="")+('Ügyfelek'!O77="")+('Ügyfelek'!P77="")+('Ügyfelek'!Q77="")+('Ügyfelek'!R77="")+('Ügyfelek'!S77="")+('Ügyfelek'!T77="")+('Ügyfelek'!U77="")+('Ügyfelek'!V77="")+('Ügyfelek'!W77="")+('Ügyfelek'!X77="")+('Ügyfelek'!Y77="")+('Ügyfelek'!Z77="")+('Ügyfelek'!AA77="")+('Ügyfelek'!AB77="")+('Ügyfelek'!AC77="")+('Ügyfelek'!AD77="")+('Ügyfelek'!AE77="")+('Ügyfelek'!AF77="")+('Ügyfelek'!AG77="")+('Ügyfelek'!AH77=""))</f>
        <v/>
      </c>
      <c r="BK77">
        <f>IF($A77="","",B77+'Beállítások'!$E$6/1000)</f>
        <v/>
      </c>
      <c r="BL77">
        <f>IF($A77="","",C77+'Beállítások'!$E$7/1000)</f>
        <v/>
      </c>
      <c r="BM77">
        <f>IF($A77="","",D77+'Beállítások'!$E$8/1000)</f>
        <v/>
      </c>
      <c r="BN77">
        <f>IF($A77="","",E77+'Beállítások'!$E$9/1000)</f>
        <v/>
      </c>
      <c r="BO77">
        <f>IF($A77="","",F77+'Beállítások'!$E$10/1000)</f>
        <v/>
      </c>
      <c r="BP77">
        <f>IF($A77="","",G77+'Beállítások'!$E$11/1000)</f>
        <v/>
      </c>
      <c r="BQ77">
        <f>IF($A77="","",H77+'Beállítások'!$E$12/1000)</f>
        <v/>
      </c>
      <c r="BR77">
        <f>IF($A77="","",I77+'Beállítások'!$E$13/1000)</f>
        <v/>
      </c>
      <c r="BS77">
        <f>IF($A77="","",J77+'Beállítások'!$E$14/1000)</f>
        <v/>
      </c>
      <c r="BT77">
        <f>IF($A77="","",K77+'Beállítások'!$E$15/1000)</f>
        <v/>
      </c>
      <c r="BU77">
        <f>IF($A77="","",L77+'Beállítások'!$E$16/1000)</f>
        <v/>
      </c>
      <c r="BV77">
        <f>IF($A77="","",M77+'Beállítások'!$E$17/1000)</f>
        <v/>
      </c>
      <c r="BW77">
        <f>IF($A77="","",N77+'Beállítások'!$E$18/1000)</f>
        <v/>
      </c>
      <c r="BX77">
        <f>IF($A77="","",O77+'Beállítások'!$E$19/1000)</f>
        <v/>
      </c>
      <c r="BY77">
        <f>IF($A77="","",P77+'Beállítások'!$E$20/1000)</f>
        <v/>
      </c>
      <c r="BZ77">
        <f>IF($A77="","",Q77+'Beállítások'!$E$21/1000)</f>
        <v/>
      </c>
      <c r="CA77">
        <f>IF($A77="","",R77+'Beállítások'!$E$22/1000)</f>
        <v/>
      </c>
      <c r="CB77">
        <f>IF($A77="","",S77+'Beállítások'!$E$23/1000)</f>
        <v/>
      </c>
      <c r="CC77">
        <f>IF($A77="","",T77+'Beállítások'!$E$24/1000)</f>
        <v/>
      </c>
      <c r="CD77">
        <f>IF($A77="","",U77+'Beállítások'!$E$25/1000)</f>
        <v/>
      </c>
      <c r="CE77">
        <f>IF($A77="","",V77+'Beállítások'!$E$26/1000)</f>
        <v/>
      </c>
      <c r="CF77">
        <f>IF($A77="","",W77+'Beállítások'!$E$27/1000)</f>
        <v/>
      </c>
      <c r="CG77">
        <f>IF($A77="","",X77+'Beállítások'!$E$28/1000)</f>
        <v/>
      </c>
      <c r="CH77">
        <f>IF($A77="","",Y77+'Beállítások'!$E$29/1000)</f>
        <v/>
      </c>
      <c r="CI77">
        <f>IF($A77="","",Z77+'Beállítások'!$E$30/1000)</f>
        <v/>
      </c>
      <c r="CJ77">
        <f>IF($A77="","",AA77+'Beállítások'!$E$31/1000)</f>
        <v/>
      </c>
      <c r="CK77">
        <f>IF($A77="","",AB77+'Beállítások'!$E$32/1000)</f>
        <v/>
      </c>
      <c r="CL77">
        <f>IF($A77="","",AC77+'Beállítások'!$E$33/1000)</f>
        <v/>
      </c>
      <c r="CM77">
        <f>IF($A77="","",AD77+'Beállítások'!$E$34/1000)</f>
        <v/>
      </c>
      <c r="CN77">
        <f>IF($A77="","",AE77+'Beállítások'!$E$35/1000)</f>
        <v/>
      </c>
      <c r="CO77">
        <f>IF($A77="","",AF77+'Beállítások'!$E$36/1000)</f>
        <v/>
      </c>
      <c r="CP77">
        <f>IF($A77="","",AG77+'Beállítások'!$E$37/1000)</f>
        <v/>
      </c>
      <c r="CQ77">
        <f>IF($A77="","",AH77+'Beállítások'!$E$38/1000)</f>
        <v/>
      </c>
      <c r="CR77">
        <f>IF($A77="","",'Beállítások'!$E$6*(10-B77))</f>
        <v/>
      </c>
      <c r="CS77">
        <f>IF($A77="","",'Beállítások'!$E$7*(10-C77))</f>
        <v/>
      </c>
      <c r="CT77">
        <f>IF($A77="","",'Beállítások'!$E$8*(10-D77))</f>
        <v/>
      </c>
      <c r="CU77">
        <f>IF($A77="","",'Beállítások'!$E$9*(10-E77))</f>
        <v/>
      </c>
      <c r="CV77">
        <f>IF($A77="","",'Beállítások'!$E$10*(10-F77))</f>
        <v/>
      </c>
      <c r="CW77">
        <f>IF($A77="","",'Beállítások'!$E$11*(10-G77))</f>
        <v/>
      </c>
      <c r="CX77">
        <f>IF($A77="","",'Beállítások'!$E$12*(10-H77))</f>
        <v/>
      </c>
      <c r="CY77">
        <f>IF($A77="","",'Beállítások'!$E$13*(10-I77))</f>
        <v/>
      </c>
      <c r="CZ77">
        <f>IF($A77="","",'Beállítások'!$E$14*(10-J77))</f>
        <v/>
      </c>
      <c r="DA77">
        <f>IF($A77="","",'Beállítások'!$E$15*(10-K77))</f>
        <v/>
      </c>
      <c r="DB77">
        <f>IF($A77="","",'Beállítások'!$E$16*(10-L77))</f>
        <v/>
      </c>
      <c r="DC77">
        <f>IF($A77="","",'Beállítások'!$E$17*(10-M77))</f>
        <v/>
      </c>
      <c r="DD77">
        <f>IF($A77="","",'Beállítások'!$E$18*(10-N77))</f>
        <v/>
      </c>
      <c r="DE77">
        <f>IF($A77="","",'Beállítások'!$E$19*(10-O77))</f>
        <v/>
      </c>
      <c r="DF77">
        <f>IF($A77="","",'Beállítások'!$E$20*(10-P77))</f>
        <v/>
      </c>
      <c r="DG77">
        <f>IF($A77="","",'Beállítások'!$E$21*(10-Q77))</f>
        <v/>
      </c>
      <c r="DH77">
        <f>IF($A77="","",'Beállítások'!$E$22*(10-R77))</f>
        <v/>
      </c>
      <c r="DI77">
        <f>IF($A77="","",'Beállítások'!$E$23*(10-S77))</f>
        <v/>
      </c>
      <c r="DJ77">
        <f>IF($A77="","",'Beállítások'!$E$24*(10-T77))</f>
        <v/>
      </c>
      <c r="DK77">
        <f>IF($A77="","",'Beállítások'!$E$25*(10-U77))</f>
        <v/>
      </c>
      <c r="DL77">
        <f>IF($A77="","",'Beállítások'!$E$26*(10-V77))</f>
        <v/>
      </c>
      <c r="DM77">
        <f>IF($A77="","",'Beállítások'!$E$27*(10-W77))</f>
        <v/>
      </c>
      <c r="DN77">
        <f>IF($A77="","",'Beállítások'!$E$28*(10-X77))</f>
        <v/>
      </c>
      <c r="DO77">
        <f>IF($A77="","",'Beállítások'!$E$29*(10-Y77))</f>
        <v/>
      </c>
      <c r="DP77">
        <f>IF($A77="","",'Beállítások'!$E$30*(10-Z77))</f>
        <v/>
      </c>
      <c r="DQ77">
        <f>IF($A77="","",'Beállítások'!$E$31*(10-AA77))</f>
        <v/>
      </c>
      <c r="DR77">
        <f>IF($A77="","",'Beállítások'!$E$32*(10-AB77))</f>
        <v/>
      </c>
      <c r="DS77">
        <f>IF($A77="","",'Beállítások'!$E$33*(10-AC77))</f>
        <v/>
      </c>
      <c r="DT77">
        <f>IF($A77="","",'Beállítások'!$E$34*(10-AD77))</f>
        <v/>
      </c>
      <c r="DU77">
        <f>IF($A77="","",'Beállítások'!$E$35*(10-AE77))</f>
        <v/>
      </c>
      <c r="DV77">
        <f>IF($A77="","",'Beállítások'!$E$36*(10-AF77))</f>
        <v/>
      </c>
      <c r="DW77">
        <f>IF($A77="","",'Beállítások'!$E$37*(10-AG77))</f>
        <v/>
      </c>
      <c r="DX77">
        <f>IF($A77="","",'Beállítások'!$E$38*(10-AH77))</f>
        <v/>
      </c>
      <c r="DY77">
        <f>IF($A77="","",AM77-ROW()/100000)</f>
        <v/>
      </c>
    </row>
    <row r="78">
      <c r="A78">
        <f>IF('Ügyfelek'!A78="","",'Ügyfelek'!A78)</f>
        <v/>
      </c>
      <c r="B78">
        <f>IF($A78="","",IF('Ügyfelek'!B78="",'Beállítások'!$B$84,IFERROR(VLOOKUP(TRIM('Ügyfelek'!B78),'Beállítások'!$A$51:$B$59,2,FALSE),'Beállítások'!$B$84)))</f>
        <v/>
      </c>
      <c r="C78">
        <f>IF($A78="","",IF('Ügyfelek'!C78="",'Beállítások'!$B$84,MIN(10,MAX(1,ROUND('Ügyfelek'!C78,0)))))</f>
        <v/>
      </c>
      <c r="D78">
        <f>IF($A78="","",IF('Ügyfelek'!D78="",'Beállítások'!$B$84,MIN(10,MAX(1,ROUND('Ügyfelek'!D78,0)))))</f>
        <v/>
      </c>
      <c r="E78">
        <f>IF($A78="","",IF('Ügyfelek'!E78="",'Beállítások'!$B$84,MIN(10,MAX(1,ROUND('Ügyfelek'!E78,0)))))</f>
        <v/>
      </c>
      <c r="F78">
        <f>IF($A78="","",IF('Ügyfelek'!F78="",'Beállítások'!$B$84,MIN(10,MAX(1,ROUND('Ügyfelek'!F78,0)))))</f>
        <v/>
      </c>
      <c r="G78">
        <f>IF($A78="","",IF('Ügyfelek'!G78="",'Beállítások'!$B$84,MIN(10,MAX(1,ROUND('Ügyfelek'!G78,0)))))</f>
        <v/>
      </c>
      <c r="H78">
        <f>IF($A78="","",IF('Ügyfelek'!H78="",'Beállítások'!$B$84,MIN(10,MAX(1,ROUND('Ügyfelek'!H78,0)))))</f>
        <v/>
      </c>
      <c r="I78">
        <f>IF($A78="","",IF('Ügyfelek'!I78="",'Beállítások'!$B$84,MIN(10,MAX(1,ROUND('Ügyfelek'!I78,0)))))</f>
        <v/>
      </c>
      <c r="J78">
        <f>IF($A78="","",IF('Ügyfelek'!J78="",'Beállítások'!$B$84,MIN(10,MAX(1,ROUND('Ügyfelek'!J78,0)))))</f>
        <v/>
      </c>
      <c r="K78">
        <f>IF($A78="","",IF('Ügyfelek'!K78="",'Beállítások'!$B$84,MIN(10,MAX(1,ROUND('Ügyfelek'!K78,0)))))</f>
        <v/>
      </c>
      <c r="L78">
        <f>IF($A78="","",IF('Ügyfelek'!L78="",'Beállítások'!$B$84,MIN(10,MAX(1,ROUND('Ügyfelek'!L78,0)))))</f>
        <v/>
      </c>
      <c r="M78">
        <f>IF($A78="","",IF('Ügyfelek'!M78="",'Beállítások'!$B$84,MIN(10,MAX(1,ROUND('Ügyfelek'!M78,0)))))</f>
        <v/>
      </c>
      <c r="N78">
        <f>IF($A78="","",IF('Ügyfelek'!N78="",'Beállítások'!$B$84,MIN(10,MAX(1,ROUND('Ügyfelek'!N78,0)))))</f>
        <v/>
      </c>
      <c r="O78">
        <f>IF($A78="","",IF('Ügyfelek'!O78="",'Beállítások'!$B$84,MIN(10,MAX(1,ROUND('Ügyfelek'!O78,0)))))</f>
        <v/>
      </c>
      <c r="P78">
        <f>IF($A78="","",IF('Ügyfelek'!P78="",'Beállítások'!$B$84,MIN(10,MAX(1,ROUND('Ügyfelek'!P78,0)))))</f>
        <v/>
      </c>
      <c r="Q78">
        <f>IF($A78="","",IF('Ügyfelek'!Q78="",'Beállítások'!$B$84,MIN(10,MAX(1,ROUND('Ügyfelek'!Q78,0)))))</f>
        <v/>
      </c>
      <c r="R78">
        <f>IF($A78="","",IF('Ügyfelek'!R78="",'Beállítások'!$B$84,MIN(10,MAX(1,ROUND('Ügyfelek'!R78,0)))))</f>
        <v/>
      </c>
      <c r="S78">
        <f>IF($A78="","",IF('Ügyfelek'!S78="",'Beállítások'!$B$84,MIN(10,MAX(1,ROUND('Ügyfelek'!S78,0)))))</f>
        <v/>
      </c>
      <c r="T78">
        <f>IF($A78="","",IF('Ügyfelek'!T78="",'Beállítások'!$B$84,VLOOKUP(MAX('Ügyfelek'!T78,'Beállítások'!$H$7),'Beállítások'!$H$7:$I$12,2,TRUE)))</f>
        <v/>
      </c>
      <c r="U78">
        <f>IF($A78="","",IF('Ügyfelek'!U78="",'Beállítások'!$B$84,VLOOKUP(MAX('Ügyfelek'!U78,'Beállítások'!$K$7),'Beállítások'!$K$7:$L$12,2,TRUE)))</f>
        <v/>
      </c>
      <c r="V78">
        <f>IF($A78="","",IF('Ügyfelek'!V78="",'Beállítások'!$B$84,MIN(10,MAX(1,ROUND('Ügyfelek'!V78,0)))))</f>
        <v/>
      </c>
      <c r="W78">
        <f>IF($A78="","",IF('Ügyfelek'!W78="",'Beállítások'!$B$84,VLOOKUP(MAX('Ügyfelek'!W78,'Beállítások'!$N$7),'Beállítások'!$N$7:$O$12,2,TRUE)))</f>
        <v/>
      </c>
      <c r="X78">
        <f>IF($A78="","",IF('Ügyfelek'!X78="",'Beállítások'!$B$84,MIN(10,MAX(1,ROUND('Ügyfelek'!X78,0)))))</f>
        <v/>
      </c>
      <c r="Y78">
        <f>IF($A78="","",IF('Ügyfelek'!Y78="",'Beállítások'!$B$84,IFERROR(VLOOKUP(TRIM('Ügyfelek'!Y78),'Beállítások'!$A$63:$B$69,2,FALSE),'Beállítások'!$B$84)))</f>
        <v/>
      </c>
      <c r="Z78">
        <f>IF($A78="","",IF('Ügyfelek'!Z78="",'Beállítások'!$B$84,VLOOKUP(MAX('Ügyfelek'!Z78,'Beállítások'!$Q$7),'Beállítások'!$Q$7:$R$12,2,TRUE)))</f>
        <v/>
      </c>
      <c r="AA78">
        <f>IF($A78="","",IF('Ügyfelek'!AA78="",'Beállítások'!$B$84,VLOOKUP(MAX('Ügyfelek'!AA78,'Beállítások'!$T$7),'Beállítások'!$T$7:$U$12,2,TRUE)))</f>
        <v/>
      </c>
      <c r="AB78">
        <f>IF($A78="","",IF('Ügyfelek'!AB78="",'Beállítások'!$B$84,MIN(10,MAX(1,ROUND('Ügyfelek'!AB78,0)))))</f>
        <v/>
      </c>
      <c r="AC78">
        <f>IF($A78="","",IF('Ügyfelek'!AC78="",'Beállítások'!$B$84,MIN(10,MAX(1,ROUND('Ügyfelek'!AC78,0)))))</f>
        <v/>
      </c>
      <c r="AD78">
        <f>IF($A78="","",IF('Ügyfelek'!AD78="",'Beállítások'!$B$84,MIN(10,MAX(1,ROUND('Ügyfelek'!AD78,0)))))</f>
        <v/>
      </c>
      <c r="AE78">
        <f>IF($A78="","",IF('Ügyfelek'!AE78="",'Beállítások'!$B$84,MIN(10,MAX(1,ROUND('Ügyfelek'!AE78,0)))))</f>
        <v/>
      </c>
      <c r="AF78">
        <f>IF($A78="","",IF('Ügyfelek'!AF78="",'Beállítások'!$B$84,MIN(10,MAX(1,ROUND('Ügyfelek'!AF78,0)))))</f>
        <v/>
      </c>
      <c r="AG78">
        <f>IF($A78="","",IF('Ügyfelek'!AG78="",'Beállítások'!$B$84,MIN(10,MAX(1,ROUND('Ügyfelek'!AG78,0)))))</f>
        <v/>
      </c>
      <c r="AH78">
        <f>IF($A78="","",IF('Ügyfelek'!AH78="",'Beállítások'!$B$84,IFERROR(VLOOKUP(TRIM('Ügyfelek'!AH78),'Beállítások'!$A$73:$B$79,2,FALSE),'Beállítások'!$B$84)))</f>
        <v/>
      </c>
      <c r="AI78" s="23">
        <f>IF($A78="","",ROUND(100*('Beállítások'!$E$6*(B78-1)+'Beállítások'!$E$7*(C78-1))/(9*'Beállítások'!$B$43),1))</f>
        <v/>
      </c>
      <c r="AJ78" s="23">
        <f>IF($A78="","",ROUND(100*('Beállítások'!$E$8*(D78-1)+'Beállítások'!$E$9*(E78-1)+'Beállítások'!$E$10*(F78-1)+'Beállítások'!$E$11*(G78-1)+'Beállítások'!$E$12*(H78-1)+'Beállítások'!$E$13*(I78-1)+'Beállítások'!$E$14*(J78-1)+'Beállítások'!$E$15*(K78-1)+'Beállítások'!$E$16*(L78-1)+'Beállítások'!$E$17*(M78-1)+'Beállítások'!$E$18*(N78-1)+'Beállítások'!$E$19*(O78-1)+'Beállítások'!$E$20*(P78-1)+'Beállítások'!$E$21*(Q78-1)+'Beállítások'!$E$22*(R78-1))/(9*'Beállítások'!$B$44),1))</f>
        <v/>
      </c>
      <c r="AK78" s="23">
        <f>IF($A78="","",ROUND(100*('Beállítások'!$E$23*(S78-1)+'Beállítások'!$E$24*(T78-1)+'Beállítások'!$E$25*(U78-1)+'Beállítások'!$E$26*(V78-1)+'Beállítások'!$E$27*(W78-1)+'Beállítások'!$E$28*(X78-1)+'Beállítások'!$E$29*(Y78-1))/(9*'Beállítások'!$B$45),1))</f>
        <v/>
      </c>
      <c r="AL78" s="23">
        <f>IF($A78="","",ROUND(100*('Beállítások'!$E$30*(Z78-1)+'Beállítások'!$E$31*(AA78-1)+'Beállítások'!$E$32*(AB78-1)+'Beállítások'!$E$33*(AC78-1)+'Beállítások'!$E$34*(AD78-1)+'Beállítások'!$E$35*(AE78-1)+'Beállítások'!$E$36*(AF78-1)+'Beállítások'!$E$37*(AG78-1)+'Beállítások'!$E$38*(AH78-1))/(9*'Beállítások'!$B$46),1))</f>
        <v/>
      </c>
      <c r="AM78" s="23">
        <f>IF($A78="","",ROUND(100*('Beállítások'!$E$6*(B78-1)+'Beállítások'!$E$7*(C78-1)+'Beállítások'!$E$8*(D78-1)+'Beállítások'!$E$9*(E78-1)+'Beállítások'!$E$10*(F78-1)+'Beállítások'!$E$11*(G78-1)+'Beállítások'!$E$12*(H78-1)+'Beállítások'!$E$13*(I78-1)+'Beállítások'!$E$14*(J78-1)+'Beállítások'!$E$15*(K78-1)+'Beállítások'!$E$16*(L78-1)+'Beállítások'!$E$17*(M78-1)+'Beállítások'!$E$18*(N78-1)+'Beállítások'!$E$19*(O78-1)+'Beállítások'!$E$20*(P78-1)+'Beállítások'!$E$21*(Q78-1)+'Beállítások'!$E$22*(R78-1)+'Beállítások'!$E$23*(S78-1)+'Beállítások'!$E$24*(T78-1)+'Beállítások'!$E$25*(U78-1)+'Beállítások'!$E$26*(V78-1)+'Beállítások'!$E$27*(W78-1)+'Beállítások'!$E$28*(X78-1)+'Beállítások'!$E$29*(Y78-1)+'Beállítások'!$E$30*(Z78-1)+'Beállítások'!$E$31*(AA78-1)+'Beállítások'!$E$32*(AB78-1)+'Beállítások'!$E$33*(AC78-1)+'Beállítások'!$E$34*(AD78-1)+'Beállítások'!$E$35*(AE78-1)+'Beállítások'!$E$36*(AF78-1)+'Beállítások'!$E$37*(AG78-1)+'Beállítások'!$E$38*(AH78-1))/(9*'Beállítások'!$E$39),1))</f>
        <v/>
      </c>
      <c r="AN78" s="23">
        <f>IF($A78="","",ROUND(100*('Beállítások'!$E$8*(D78-1)+'Beállítások'!$E$9*(E78-1)+'Beállítások'!$E$10*(F78-1)+'Beállítások'!$E$11*(G78-1)+'Beállítások'!$E$12*(H78-1)+'Beállítások'!$E$13*(I78-1)+'Beállítások'!$E$14*(J78-1)+'Beállítások'!$E$15*(K78-1)+'Beállítások'!$E$16*(L78-1)+'Beállítások'!$E$17*(M78-1)+'Beállítások'!$E$18*(N78-1)+'Beállítások'!$E$19*(O78-1)+'Beállítások'!$E$20*(P78-1)+'Beállítások'!$E$21*(Q78-1)+'Beállítások'!$E$22*(R78-1)+'Beállítások'!$E$23*(S78-1)+'Beállítások'!$E$24*(T78-1)+'Beállítások'!$E$25*(U78-1)+'Beállítások'!$E$26*(V78-1)+'Beállítások'!$E$27*(W78-1)+'Beállítások'!$E$28*(X78-1)+'Beállítások'!$E$29*(Y78-1))/(9*('Beállítások'!$B$44+'Beállítások'!$B$45)),1))</f>
        <v/>
      </c>
      <c r="AO78" s="24">
        <f>IF($A78="","",RANK(AM78,$AM$2:$AM$201))</f>
        <v/>
      </c>
      <c r="AP78">
        <f>IF($A78="","",IF(OR(AND('Ügyfelek'!B78&lt;&gt;"",B78&lt;='Beállítások'!$B$85),AND('Ügyfelek'!C78&lt;&gt;"",C78&lt;='Beállítások'!$B$86)),"Igen","Nem"))</f>
        <v/>
      </c>
      <c r="AQ78" s="24">
        <f>IF($A78="","",IF(AP78="Igen",5,IF(AN78&gt;='Beállítások'!$C$108,1,IF(AN78&gt;='Beállítások'!$C$109,2,IF(AN78&gt;='Beállítások'!$C$110,3,IF(AND(AN78&gt;='Beállítások'!$B$87,AI78&gt;='Beállítások'!$B$88,AL78&gt;='Beállítások'!$B$89),4,5))))))</f>
        <v/>
      </c>
      <c r="AR78">
        <f>IF($A78="","",INDEX('Beállítások'!$B$108:$B$112,AQ78))</f>
        <v/>
      </c>
      <c r="AS78">
        <f>IF($A78="","",IF(AQ78=5,"Elutasítjuk",IF(AND(AQ78=4,COUNTIFS('Eredmény'!$AQ$2:$AQ$201,4,'Eredmény'!$DY$2:$DY$201,"&gt;"&amp;DY78)&gt;='Beállítások'!$B$90),"Várólista (a 4-es hely foglalt)","Elfogadjuk")))</f>
        <v/>
      </c>
      <c r="AT78">
        <f>IF($A78="","",INDEX('Beállítások'!$F$108:$F$112,AQ78))</f>
        <v/>
      </c>
      <c r="AU78">
        <f>IF($A78="","",INDEX('Beállítások'!$B$6:$B$38,MATCH(MAX(BK78:CQ78),BK78:CQ78,0)))</f>
        <v/>
      </c>
      <c r="AV78">
        <f>IF($A78="","",IF(MAX(CR78:DX78)=0,"—",INDEX('Beállítások'!$B$6:$B$38,MATCH(MAX(CR78:DX78),CR78:DX78,0))))</f>
        <v/>
      </c>
      <c r="AW78" s="10">
        <f>IF($A78="","",'Beállítások'!$B$94*(TRIM('Ügyfelek'!AI78)="igen")+'Beállítások'!$B$95*(TRIM('Ügyfelek'!AJ78)="igen")+'Beállítások'!$B$96*N('Ügyfelek'!AK78)+'Beállítások'!$B$93*N('Ügyfelek'!AL78))</f>
        <v/>
      </c>
      <c r="AX78" s="25">
        <f>IF(OR($A78="",AQ78=5),"",INDEX('Beállítások'!$D$108:$D$112,AQ78))</f>
        <v/>
      </c>
      <c r="AY78" s="10">
        <f>IF($A78="","",N('Ügyfelek'!U78)*'Beállítások'!$B$98)</f>
        <v/>
      </c>
      <c r="AZ78" s="10">
        <f>IF(OR($A78="",AQ78=5),"",CEILING(ROUND(MAX('Beállítások'!$B$97,AW78*AX78,AY78),2),'Beállítások'!$B$99))</f>
        <v/>
      </c>
      <c r="BA78">
        <f>IF($A78="","",IF(AQ78=5,"Elutasítva",IF(MAX('Beállítások'!$B$97,AW78*AX78,AY78)=AW78*AX78,"Munkaigény × státuszszorzó",IF(MAX('Beállítások'!$B$97,AW78*AX78,AY78)=AY78,"Hirdetési keret arányában","Minimumdíj"))))</f>
        <v/>
      </c>
      <c r="BB78" s="10">
        <f>IF(OR($A78="",'Ügyfelek'!AM78=""),"",'Ügyfelek'!AM78)</f>
        <v/>
      </c>
      <c r="BC78" s="10">
        <f>IF(OR(BB78="",AZ78=""),"",AZ78-BB78)</f>
        <v/>
      </c>
      <c r="BD78" s="18">
        <f>IF(OR(BB78="",AZ78="",BB78=0),"",BC78/BB78)</f>
        <v/>
      </c>
      <c r="BE78">
        <f>IF(OR($A78="",AQ78=5),"",IF(AND(INDEX('Beállítások'!$E$108:$E$112,AQ78)&gt;0,Y78&gt;='Beállítások'!$B$91),"Igen","Nem"))</f>
        <v/>
      </c>
      <c r="BF78" s="10">
        <f>IF(BE78="Igen",CEILING(ROUND(AZ78*(1-'Beállítások'!$B$92),2),'Beállítások'!$B$99),"")</f>
        <v/>
      </c>
      <c r="BG78" s="20">
        <f>IF(BE78="Igen",INDEX('Beállítások'!$E$108:$E$112,AQ78),"")</f>
        <v/>
      </c>
      <c r="BH78" s="10">
        <f>IF(OR(BE78&lt;&gt;"Igen",'Ügyfelek'!AN78=""),"",'Ügyfelek'!AN78*BG78)</f>
        <v/>
      </c>
      <c r="BI78" s="24">
        <f>IF($A78="","",('Ügyfelek'!B78="")+('Ügyfelek'!C78="")+('Ügyfelek'!D78="")+('Ügyfelek'!E78="")+('Ügyfelek'!F78="")+('Ügyfelek'!G78="")+('Ügyfelek'!H78="")+('Ügyfelek'!I78="")+('Ügyfelek'!J78="")+('Ügyfelek'!K78="")+('Ügyfelek'!L78="")+('Ügyfelek'!M78="")+('Ügyfelek'!N78="")+('Ügyfelek'!O78="")+('Ügyfelek'!P78="")+('Ügyfelek'!Q78="")+('Ügyfelek'!R78="")+('Ügyfelek'!S78="")+('Ügyfelek'!T78="")+('Ügyfelek'!U78="")+('Ügyfelek'!V78="")+('Ügyfelek'!W78="")+('Ügyfelek'!X78="")+('Ügyfelek'!Y78="")+('Ügyfelek'!Z78="")+('Ügyfelek'!AA78="")+('Ügyfelek'!AB78="")+('Ügyfelek'!AC78="")+('Ügyfelek'!AD78="")+('Ügyfelek'!AE78="")+('Ügyfelek'!AF78="")+('Ügyfelek'!AG78="")+('Ügyfelek'!AH78=""))</f>
        <v/>
      </c>
      <c r="BK78">
        <f>IF($A78="","",B78+'Beállítások'!$E$6/1000)</f>
        <v/>
      </c>
      <c r="BL78">
        <f>IF($A78="","",C78+'Beállítások'!$E$7/1000)</f>
        <v/>
      </c>
      <c r="BM78">
        <f>IF($A78="","",D78+'Beállítások'!$E$8/1000)</f>
        <v/>
      </c>
      <c r="BN78">
        <f>IF($A78="","",E78+'Beállítások'!$E$9/1000)</f>
        <v/>
      </c>
      <c r="BO78">
        <f>IF($A78="","",F78+'Beállítások'!$E$10/1000)</f>
        <v/>
      </c>
      <c r="BP78">
        <f>IF($A78="","",G78+'Beállítások'!$E$11/1000)</f>
        <v/>
      </c>
      <c r="BQ78">
        <f>IF($A78="","",H78+'Beállítások'!$E$12/1000)</f>
        <v/>
      </c>
      <c r="BR78">
        <f>IF($A78="","",I78+'Beállítások'!$E$13/1000)</f>
        <v/>
      </c>
      <c r="BS78">
        <f>IF($A78="","",J78+'Beállítások'!$E$14/1000)</f>
        <v/>
      </c>
      <c r="BT78">
        <f>IF($A78="","",K78+'Beállítások'!$E$15/1000)</f>
        <v/>
      </c>
      <c r="BU78">
        <f>IF($A78="","",L78+'Beállítások'!$E$16/1000)</f>
        <v/>
      </c>
      <c r="BV78">
        <f>IF($A78="","",M78+'Beállítások'!$E$17/1000)</f>
        <v/>
      </c>
      <c r="BW78">
        <f>IF($A78="","",N78+'Beállítások'!$E$18/1000)</f>
        <v/>
      </c>
      <c r="BX78">
        <f>IF($A78="","",O78+'Beállítások'!$E$19/1000)</f>
        <v/>
      </c>
      <c r="BY78">
        <f>IF($A78="","",P78+'Beállítások'!$E$20/1000)</f>
        <v/>
      </c>
      <c r="BZ78">
        <f>IF($A78="","",Q78+'Beállítások'!$E$21/1000)</f>
        <v/>
      </c>
      <c r="CA78">
        <f>IF($A78="","",R78+'Beállítások'!$E$22/1000)</f>
        <v/>
      </c>
      <c r="CB78">
        <f>IF($A78="","",S78+'Beállítások'!$E$23/1000)</f>
        <v/>
      </c>
      <c r="CC78">
        <f>IF($A78="","",T78+'Beállítások'!$E$24/1000)</f>
        <v/>
      </c>
      <c r="CD78">
        <f>IF($A78="","",U78+'Beállítások'!$E$25/1000)</f>
        <v/>
      </c>
      <c r="CE78">
        <f>IF($A78="","",V78+'Beállítások'!$E$26/1000)</f>
        <v/>
      </c>
      <c r="CF78">
        <f>IF($A78="","",W78+'Beállítások'!$E$27/1000)</f>
        <v/>
      </c>
      <c r="CG78">
        <f>IF($A78="","",X78+'Beállítások'!$E$28/1000)</f>
        <v/>
      </c>
      <c r="CH78">
        <f>IF($A78="","",Y78+'Beállítások'!$E$29/1000)</f>
        <v/>
      </c>
      <c r="CI78">
        <f>IF($A78="","",Z78+'Beállítások'!$E$30/1000)</f>
        <v/>
      </c>
      <c r="CJ78">
        <f>IF($A78="","",AA78+'Beállítások'!$E$31/1000)</f>
        <v/>
      </c>
      <c r="CK78">
        <f>IF($A78="","",AB78+'Beállítások'!$E$32/1000)</f>
        <v/>
      </c>
      <c r="CL78">
        <f>IF($A78="","",AC78+'Beállítások'!$E$33/1000)</f>
        <v/>
      </c>
      <c r="CM78">
        <f>IF($A78="","",AD78+'Beállítások'!$E$34/1000)</f>
        <v/>
      </c>
      <c r="CN78">
        <f>IF($A78="","",AE78+'Beállítások'!$E$35/1000)</f>
        <v/>
      </c>
      <c r="CO78">
        <f>IF($A78="","",AF78+'Beállítások'!$E$36/1000)</f>
        <v/>
      </c>
      <c r="CP78">
        <f>IF($A78="","",AG78+'Beállítások'!$E$37/1000)</f>
        <v/>
      </c>
      <c r="CQ78">
        <f>IF($A78="","",AH78+'Beállítások'!$E$38/1000)</f>
        <v/>
      </c>
      <c r="CR78">
        <f>IF($A78="","",'Beállítások'!$E$6*(10-B78))</f>
        <v/>
      </c>
      <c r="CS78">
        <f>IF($A78="","",'Beállítások'!$E$7*(10-C78))</f>
        <v/>
      </c>
      <c r="CT78">
        <f>IF($A78="","",'Beállítások'!$E$8*(10-D78))</f>
        <v/>
      </c>
      <c r="CU78">
        <f>IF($A78="","",'Beállítások'!$E$9*(10-E78))</f>
        <v/>
      </c>
      <c r="CV78">
        <f>IF($A78="","",'Beállítások'!$E$10*(10-F78))</f>
        <v/>
      </c>
      <c r="CW78">
        <f>IF($A78="","",'Beállítások'!$E$11*(10-G78))</f>
        <v/>
      </c>
      <c r="CX78">
        <f>IF($A78="","",'Beállítások'!$E$12*(10-H78))</f>
        <v/>
      </c>
      <c r="CY78">
        <f>IF($A78="","",'Beállítások'!$E$13*(10-I78))</f>
        <v/>
      </c>
      <c r="CZ78">
        <f>IF($A78="","",'Beállítások'!$E$14*(10-J78))</f>
        <v/>
      </c>
      <c r="DA78">
        <f>IF($A78="","",'Beállítások'!$E$15*(10-K78))</f>
        <v/>
      </c>
      <c r="DB78">
        <f>IF($A78="","",'Beállítások'!$E$16*(10-L78))</f>
        <v/>
      </c>
      <c r="DC78">
        <f>IF($A78="","",'Beállítások'!$E$17*(10-M78))</f>
        <v/>
      </c>
      <c r="DD78">
        <f>IF($A78="","",'Beállítások'!$E$18*(10-N78))</f>
        <v/>
      </c>
      <c r="DE78">
        <f>IF($A78="","",'Beállítások'!$E$19*(10-O78))</f>
        <v/>
      </c>
      <c r="DF78">
        <f>IF($A78="","",'Beállítások'!$E$20*(10-P78))</f>
        <v/>
      </c>
      <c r="DG78">
        <f>IF($A78="","",'Beállítások'!$E$21*(10-Q78))</f>
        <v/>
      </c>
      <c r="DH78">
        <f>IF($A78="","",'Beállítások'!$E$22*(10-R78))</f>
        <v/>
      </c>
      <c r="DI78">
        <f>IF($A78="","",'Beállítások'!$E$23*(10-S78))</f>
        <v/>
      </c>
      <c r="DJ78">
        <f>IF($A78="","",'Beállítások'!$E$24*(10-T78))</f>
        <v/>
      </c>
      <c r="DK78">
        <f>IF($A78="","",'Beállítások'!$E$25*(10-U78))</f>
        <v/>
      </c>
      <c r="DL78">
        <f>IF($A78="","",'Beállítások'!$E$26*(10-V78))</f>
        <v/>
      </c>
      <c r="DM78">
        <f>IF($A78="","",'Beállítások'!$E$27*(10-W78))</f>
        <v/>
      </c>
      <c r="DN78">
        <f>IF($A78="","",'Beállítások'!$E$28*(10-X78))</f>
        <v/>
      </c>
      <c r="DO78">
        <f>IF($A78="","",'Beállítások'!$E$29*(10-Y78))</f>
        <v/>
      </c>
      <c r="DP78">
        <f>IF($A78="","",'Beállítások'!$E$30*(10-Z78))</f>
        <v/>
      </c>
      <c r="DQ78">
        <f>IF($A78="","",'Beállítások'!$E$31*(10-AA78))</f>
        <v/>
      </c>
      <c r="DR78">
        <f>IF($A78="","",'Beállítások'!$E$32*(10-AB78))</f>
        <v/>
      </c>
      <c r="DS78">
        <f>IF($A78="","",'Beállítások'!$E$33*(10-AC78))</f>
        <v/>
      </c>
      <c r="DT78">
        <f>IF($A78="","",'Beállítások'!$E$34*(10-AD78))</f>
        <v/>
      </c>
      <c r="DU78">
        <f>IF($A78="","",'Beállítások'!$E$35*(10-AE78))</f>
        <v/>
      </c>
      <c r="DV78">
        <f>IF($A78="","",'Beállítások'!$E$36*(10-AF78))</f>
        <v/>
      </c>
      <c r="DW78">
        <f>IF($A78="","",'Beállítások'!$E$37*(10-AG78))</f>
        <v/>
      </c>
      <c r="DX78">
        <f>IF($A78="","",'Beállítások'!$E$38*(10-AH78))</f>
        <v/>
      </c>
      <c r="DY78">
        <f>IF($A78="","",AM78-ROW()/100000)</f>
        <v/>
      </c>
    </row>
    <row r="79">
      <c r="A79">
        <f>IF('Ügyfelek'!A79="","",'Ügyfelek'!A79)</f>
        <v/>
      </c>
      <c r="B79">
        <f>IF($A79="","",IF('Ügyfelek'!B79="",'Beállítások'!$B$84,IFERROR(VLOOKUP(TRIM('Ügyfelek'!B79),'Beállítások'!$A$51:$B$59,2,FALSE),'Beállítások'!$B$84)))</f>
        <v/>
      </c>
      <c r="C79">
        <f>IF($A79="","",IF('Ügyfelek'!C79="",'Beállítások'!$B$84,MIN(10,MAX(1,ROUND('Ügyfelek'!C79,0)))))</f>
        <v/>
      </c>
      <c r="D79">
        <f>IF($A79="","",IF('Ügyfelek'!D79="",'Beállítások'!$B$84,MIN(10,MAX(1,ROUND('Ügyfelek'!D79,0)))))</f>
        <v/>
      </c>
      <c r="E79">
        <f>IF($A79="","",IF('Ügyfelek'!E79="",'Beállítások'!$B$84,MIN(10,MAX(1,ROUND('Ügyfelek'!E79,0)))))</f>
        <v/>
      </c>
      <c r="F79">
        <f>IF($A79="","",IF('Ügyfelek'!F79="",'Beállítások'!$B$84,MIN(10,MAX(1,ROUND('Ügyfelek'!F79,0)))))</f>
        <v/>
      </c>
      <c r="G79">
        <f>IF($A79="","",IF('Ügyfelek'!G79="",'Beállítások'!$B$84,MIN(10,MAX(1,ROUND('Ügyfelek'!G79,0)))))</f>
        <v/>
      </c>
      <c r="H79">
        <f>IF($A79="","",IF('Ügyfelek'!H79="",'Beállítások'!$B$84,MIN(10,MAX(1,ROUND('Ügyfelek'!H79,0)))))</f>
        <v/>
      </c>
      <c r="I79">
        <f>IF($A79="","",IF('Ügyfelek'!I79="",'Beállítások'!$B$84,MIN(10,MAX(1,ROUND('Ügyfelek'!I79,0)))))</f>
        <v/>
      </c>
      <c r="J79">
        <f>IF($A79="","",IF('Ügyfelek'!J79="",'Beállítások'!$B$84,MIN(10,MAX(1,ROUND('Ügyfelek'!J79,0)))))</f>
        <v/>
      </c>
      <c r="K79">
        <f>IF($A79="","",IF('Ügyfelek'!K79="",'Beállítások'!$B$84,MIN(10,MAX(1,ROUND('Ügyfelek'!K79,0)))))</f>
        <v/>
      </c>
      <c r="L79">
        <f>IF($A79="","",IF('Ügyfelek'!L79="",'Beállítások'!$B$84,MIN(10,MAX(1,ROUND('Ügyfelek'!L79,0)))))</f>
        <v/>
      </c>
      <c r="M79">
        <f>IF($A79="","",IF('Ügyfelek'!M79="",'Beállítások'!$B$84,MIN(10,MAX(1,ROUND('Ügyfelek'!M79,0)))))</f>
        <v/>
      </c>
      <c r="N79">
        <f>IF($A79="","",IF('Ügyfelek'!N79="",'Beállítások'!$B$84,MIN(10,MAX(1,ROUND('Ügyfelek'!N79,0)))))</f>
        <v/>
      </c>
      <c r="O79">
        <f>IF($A79="","",IF('Ügyfelek'!O79="",'Beállítások'!$B$84,MIN(10,MAX(1,ROUND('Ügyfelek'!O79,0)))))</f>
        <v/>
      </c>
      <c r="P79">
        <f>IF($A79="","",IF('Ügyfelek'!P79="",'Beállítások'!$B$84,MIN(10,MAX(1,ROUND('Ügyfelek'!P79,0)))))</f>
        <v/>
      </c>
      <c r="Q79">
        <f>IF($A79="","",IF('Ügyfelek'!Q79="",'Beállítások'!$B$84,MIN(10,MAX(1,ROUND('Ügyfelek'!Q79,0)))))</f>
        <v/>
      </c>
      <c r="R79">
        <f>IF($A79="","",IF('Ügyfelek'!R79="",'Beállítások'!$B$84,MIN(10,MAX(1,ROUND('Ügyfelek'!R79,0)))))</f>
        <v/>
      </c>
      <c r="S79">
        <f>IF($A79="","",IF('Ügyfelek'!S79="",'Beállítások'!$B$84,MIN(10,MAX(1,ROUND('Ügyfelek'!S79,0)))))</f>
        <v/>
      </c>
      <c r="T79">
        <f>IF($A79="","",IF('Ügyfelek'!T79="",'Beállítások'!$B$84,VLOOKUP(MAX('Ügyfelek'!T79,'Beállítások'!$H$7),'Beállítások'!$H$7:$I$12,2,TRUE)))</f>
        <v/>
      </c>
      <c r="U79">
        <f>IF($A79="","",IF('Ügyfelek'!U79="",'Beállítások'!$B$84,VLOOKUP(MAX('Ügyfelek'!U79,'Beállítások'!$K$7),'Beállítások'!$K$7:$L$12,2,TRUE)))</f>
        <v/>
      </c>
      <c r="V79">
        <f>IF($A79="","",IF('Ügyfelek'!V79="",'Beállítások'!$B$84,MIN(10,MAX(1,ROUND('Ügyfelek'!V79,0)))))</f>
        <v/>
      </c>
      <c r="W79">
        <f>IF($A79="","",IF('Ügyfelek'!W79="",'Beállítások'!$B$84,VLOOKUP(MAX('Ügyfelek'!W79,'Beállítások'!$N$7),'Beállítások'!$N$7:$O$12,2,TRUE)))</f>
        <v/>
      </c>
      <c r="X79">
        <f>IF($A79="","",IF('Ügyfelek'!X79="",'Beállítások'!$B$84,MIN(10,MAX(1,ROUND('Ügyfelek'!X79,0)))))</f>
        <v/>
      </c>
      <c r="Y79">
        <f>IF($A79="","",IF('Ügyfelek'!Y79="",'Beállítások'!$B$84,IFERROR(VLOOKUP(TRIM('Ügyfelek'!Y79),'Beállítások'!$A$63:$B$69,2,FALSE),'Beállítások'!$B$84)))</f>
        <v/>
      </c>
      <c r="Z79">
        <f>IF($A79="","",IF('Ügyfelek'!Z79="",'Beállítások'!$B$84,VLOOKUP(MAX('Ügyfelek'!Z79,'Beállítások'!$Q$7),'Beállítások'!$Q$7:$R$12,2,TRUE)))</f>
        <v/>
      </c>
      <c r="AA79">
        <f>IF($A79="","",IF('Ügyfelek'!AA79="",'Beállítások'!$B$84,VLOOKUP(MAX('Ügyfelek'!AA79,'Beállítások'!$T$7),'Beállítások'!$T$7:$U$12,2,TRUE)))</f>
        <v/>
      </c>
      <c r="AB79">
        <f>IF($A79="","",IF('Ügyfelek'!AB79="",'Beállítások'!$B$84,MIN(10,MAX(1,ROUND('Ügyfelek'!AB79,0)))))</f>
        <v/>
      </c>
      <c r="AC79">
        <f>IF($A79="","",IF('Ügyfelek'!AC79="",'Beállítások'!$B$84,MIN(10,MAX(1,ROUND('Ügyfelek'!AC79,0)))))</f>
        <v/>
      </c>
      <c r="AD79">
        <f>IF($A79="","",IF('Ügyfelek'!AD79="",'Beállítások'!$B$84,MIN(10,MAX(1,ROUND('Ügyfelek'!AD79,0)))))</f>
        <v/>
      </c>
      <c r="AE79">
        <f>IF($A79="","",IF('Ügyfelek'!AE79="",'Beállítások'!$B$84,MIN(10,MAX(1,ROUND('Ügyfelek'!AE79,0)))))</f>
        <v/>
      </c>
      <c r="AF79">
        <f>IF($A79="","",IF('Ügyfelek'!AF79="",'Beállítások'!$B$84,MIN(10,MAX(1,ROUND('Ügyfelek'!AF79,0)))))</f>
        <v/>
      </c>
      <c r="AG79">
        <f>IF($A79="","",IF('Ügyfelek'!AG79="",'Beállítások'!$B$84,MIN(10,MAX(1,ROUND('Ügyfelek'!AG79,0)))))</f>
        <v/>
      </c>
      <c r="AH79">
        <f>IF($A79="","",IF('Ügyfelek'!AH79="",'Beállítások'!$B$84,IFERROR(VLOOKUP(TRIM('Ügyfelek'!AH79),'Beállítások'!$A$73:$B$79,2,FALSE),'Beállítások'!$B$84)))</f>
        <v/>
      </c>
      <c r="AI79" s="23">
        <f>IF($A79="","",ROUND(100*('Beállítások'!$E$6*(B79-1)+'Beállítások'!$E$7*(C79-1))/(9*'Beállítások'!$B$43),1))</f>
        <v/>
      </c>
      <c r="AJ79" s="23">
        <f>IF($A79="","",ROUND(100*('Beállítások'!$E$8*(D79-1)+'Beállítások'!$E$9*(E79-1)+'Beállítások'!$E$10*(F79-1)+'Beállítások'!$E$11*(G79-1)+'Beállítások'!$E$12*(H79-1)+'Beállítások'!$E$13*(I79-1)+'Beállítások'!$E$14*(J79-1)+'Beállítások'!$E$15*(K79-1)+'Beállítások'!$E$16*(L79-1)+'Beállítások'!$E$17*(M79-1)+'Beállítások'!$E$18*(N79-1)+'Beállítások'!$E$19*(O79-1)+'Beállítások'!$E$20*(P79-1)+'Beállítások'!$E$21*(Q79-1)+'Beállítások'!$E$22*(R79-1))/(9*'Beállítások'!$B$44),1))</f>
        <v/>
      </c>
      <c r="AK79" s="23">
        <f>IF($A79="","",ROUND(100*('Beállítások'!$E$23*(S79-1)+'Beállítások'!$E$24*(T79-1)+'Beállítások'!$E$25*(U79-1)+'Beállítások'!$E$26*(V79-1)+'Beállítások'!$E$27*(W79-1)+'Beállítások'!$E$28*(X79-1)+'Beállítások'!$E$29*(Y79-1))/(9*'Beállítások'!$B$45),1))</f>
        <v/>
      </c>
      <c r="AL79" s="23">
        <f>IF($A79="","",ROUND(100*('Beállítások'!$E$30*(Z79-1)+'Beállítások'!$E$31*(AA79-1)+'Beállítások'!$E$32*(AB79-1)+'Beállítások'!$E$33*(AC79-1)+'Beállítások'!$E$34*(AD79-1)+'Beállítások'!$E$35*(AE79-1)+'Beállítások'!$E$36*(AF79-1)+'Beállítások'!$E$37*(AG79-1)+'Beállítások'!$E$38*(AH79-1))/(9*'Beállítások'!$B$46),1))</f>
        <v/>
      </c>
      <c r="AM79" s="23">
        <f>IF($A79="","",ROUND(100*('Beállítások'!$E$6*(B79-1)+'Beállítások'!$E$7*(C79-1)+'Beállítások'!$E$8*(D79-1)+'Beállítások'!$E$9*(E79-1)+'Beállítások'!$E$10*(F79-1)+'Beállítások'!$E$11*(G79-1)+'Beállítások'!$E$12*(H79-1)+'Beállítások'!$E$13*(I79-1)+'Beállítások'!$E$14*(J79-1)+'Beállítások'!$E$15*(K79-1)+'Beállítások'!$E$16*(L79-1)+'Beállítások'!$E$17*(M79-1)+'Beállítások'!$E$18*(N79-1)+'Beállítások'!$E$19*(O79-1)+'Beállítások'!$E$20*(P79-1)+'Beállítások'!$E$21*(Q79-1)+'Beállítások'!$E$22*(R79-1)+'Beállítások'!$E$23*(S79-1)+'Beállítások'!$E$24*(T79-1)+'Beállítások'!$E$25*(U79-1)+'Beállítások'!$E$26*(V79-1)+'Beállítások'!$E$27*(W79-1)+'Beállítások'!$E$28*(X79-1)+'Beállítások'!$E$29*(Y79-1)+'Beállítások'!$E$30*(Z79-1)+'Beállítások'!$E$31*(AA79-1)+'Beállítások'!$E$32*(AB79-1)+'Beállítások'!$E$33*(AC79-1)+'Beállítások'!$E$34*(AD79-1)+'Beállítások'!$E$35*(AE79-1)+'Beállítások'!$E$36*(AF79-1)+'Beállítások'!$E$37*(AG79-1)+'Beállítások'!$E$38*(AH79-1))/(9*'Beállítások'!$E$39),1))</f>
        <v/>
      </c>
      <c r="AN79" s="23">
        <f>IF($A79="","",ROUND(100*('Beállítások'!$E$8*(D79-1)+'Beállítások'!$E$9*(E79-1)+'Beállítások'!$E$10*(F79-1)+'Beállítások'!$E$11*(G79-1)+'Beállítások'!$E$12*(H79-1)+'Beállítások'!$E$13*(I79-1)+'Beállítások'!$E$14*(J79-1)+'Beállítások'!$E$15*(K79-1)+'Beállítások'!$E$16*(L79-1)+'Beállítások'!$E$17*(M79-1)+'Beállítások'!$E$18*(N79-1)+'Beállítások'!$E$19*(O79-1)+'Beállítások'!$E$20*(P79-1)+'Beállítások'!$E$21*(Q79-1)+'Beállítások'!$E$22*(R79-1)+'Beállítások'!$E$23*(S79-1)+'Beállítások'!$E$24*(T79-1)+'Beállítások'!$E$25*(U79-1)+'Beállítások'!$E$26*(V79-1)+'Beállítások'!$E$27*(W79-1)+'Beállítások'!$E$28*(X79-1)+'Beállítások'!$E$29*(Y79-1))/(9*('Beállítások'!$B$44+'Beállítások'!$B$45)),1))</f>
        <v/>
      </c>
      <c r="AO79" s="24">
        <f>IF($A79="","",RANK(AM79,$AM$2:$AM$201))</f>
        <v/>
      </c>
      <c r="AP79">
        <f>IF($A79="","",IF(OR(AND('Ügyfelek'!B79&lt;&gt;"",B79&lt;='Beállítások'!$B$85),AND('Ügyfelek'!C79&lt;&gt;"",C79&lt;='Beállítások'!$B$86)),"Igen","Nem"))</f>
        <v/>
      </c>
      <c r="AQ79" s="24">
        <f>IF($A79="","",IF(AP79="Igen",5,IF(AN79&gt;='Beállítások'!$C$108,1,IF(AN79&gt;='Beállítások'!$C$109,2,IF(AN79&gt;='Beállítások'!$C$110,3,IF(AND(AN79&gt;='Beállítások'!$B$87,AI79&gt;='Beállítások'!$B$88,AL79&gt;='Beállítások'!$B$89),4,5))))))</f>
        <v/>
      </c>
      <c r="AR79">
        <f>IF($A79="","",INDEX('Beállítások'!$B$108:$B$112,AQ79))</f>
        <v/>
      </c>
      <c r="AS79">
        <f>IF($A79="","",IF(AQ79=5,"Elutasítjuk",IF(AND(AQ79=4,COUNTIFS('Eredmény'!$AQ$2:$AQ$201,4,'Eredmény'!$DY$2:$DY$201,"&gt;"&amp;DY79)&gt;='Beállítások'!$B$90),"Várólista (a 4-es hely foglalt)","Elfogadjuk")))</f>
        <v/>
      </c>
      <c r="AT79">
        <f>IF($A79="","",INDEX('Beállítások'!$F$108:$F$112,AQ79))</f>
        <v/>
      </c>
      <c r="AU79">
        <f>IF($A79="","",INDEX('Beállítások'!$B$6:$B$38,MATCH(MAX(BK79:CQ79),BK79:CQ79,0)))</f>
        <v/>
      </c>
      <c r="AV79">
        <f>IF($A79="","",IF(MAX(CR79:DX79)=0,"—",INDEX('Beállítások'!$B$6:$B$38,MATCH(MAX(CR79:DX79),CR79:DX79,0))))</f>
        <v/>
      </c>
      <c r="AW79" s="10">
        <f>IF($A79="","",'Beállítások'!$B$94*(TRIM('Ügyfelek'!AI79)="igen")+'Beállítások'!$B$95*(TRIM('Ügyfelek'!AJ79)="igen")+'Beállítások'!$B$96*N('Ügyfelek'!AK79)+'Beállítások'!$B$93*N('Ügyfelek'!AL79))</f>
        <v/>
      </c>
      <c r="AX79" s="25">
        <f>IF(OR($A79="",AQ79=5),"",INDEX('Beállítások'!$D$108:$D$112,AQ79))</f>
        <v/>
      </c>
      <c r="AY79" s="10">
        <f>IF($A79="","",N('Ügyfelek'!U79)*'Beállítások'!$B$98)</f>
        <v/>
      </c>
      <c r="AZ79" s="10">
        <f>IF(OR($A79="",AQ79=5),"",CEILING(ROUND(MAX('Beállítások'!$B$97,AW79*AX79,AY79),2),'Beállítások'!$B$99))</f>
        <v/>
      </c>
      <c r="BA79">
        <f>IF($A79="","",IF(AQ79=5,"Elutasítva",IF(MAX('Beállítások'!$B$97,AW79*AX79,AY79)=AW79*AX79,"Munkaigény × státuszszorzó",IF(MAX('Beállítások'!$B$97,AW79*AX79,AY79)=AY79,"Hirdetési keret arányában","Minimumdíj"))))</f>
        <v/>
      </c>
      <c r="BB79" s="10">
        <f>IF(OR($A79="",'Ügyfelek'!AM79=""),"",'Ügyfelek'!AM79)</f>
        <v/>
      </c>
      <c r="BC79" s="10">
        <f>IF(OR(BB79="",AZ79=""),"",AZ79-BB79)</f>
        <v/>
      </c>
      <c r="BD79" s="18">
        <f>IF(OR(BB79="",AZ79="",BB79=0),"",BC79/BB79)</f>
        <v/>
      </c>
      <c r="BE79">
        <f>IF(OR($A79="",AQ79=5),"",IF(AND(INDEX('Beállítások'!$E$108:$E$112,AQ79)&gt;0,Y79&gt;='Beállítások'!$B$91),"Igen","Nem"))</f>
        <v/>
      </c>
      <c r="BF79" s="10">
        <f>IF(BE79="Igen",CEILING(ROUND(AZ79*(1-'Beállítások'!$B$92),2),'Beállítások'!$B$99),"")</f>
        <v/>
      </c>
      <c r="BG79" s="20">
        <f>IF(BE79="Igen",INDEX('Beállítások'!$E$108:$E$112,AQ79),"")</f>
        <v/>
      </c>
      <c r="BH79" s="10">
        <f>IF(OR(BE79&lt;&gt;"Igen",'Ügyfelek'!AN79=""),"",'Ügyfelek'!AN79*BG79)</f>
        <v/>
      </c>
      <c r="BI79" s="24">
        <f>IF($A79="","",('Ügyfelek'!B79="")+('Ügyfelek'!C79="")+('Ügyfelek'!D79="")+('Ügyfelek'!E79="")+('Ügyfelek'!F79="")+('Ügyfelek'!G79="")+('Ügyfelek'!H79="")+('Ügyfelek'!I79="")+('Ügyfelek'!J79="")+('Ügyfelek'!K79="")+('Ügyfelek'!L79="")+('Ügyfelek'!M79="")+('Ügyfelek'!N79="")+('Ügyfelek'!O79="")+('Ügyfelek'!P79="")+('Ügyfelek'!Q79="")+('Ügyfelek'!R79="")+('Ügyfelek'!S79="")+('Ügyfelek'!T79="")+('Ügyfelek'!U79="")+('Ügyfelek'!V79="")+('Ügyfelek'!W79="")+('Ügyfelek'!X79="")+('Ügyfelek'!Y79="")+('Ügyfelek'!Z79="")+('Ügyfelek'!AA79="")+('Ügyfelek'!AB79="")+('Ügyfelek'!AC79="")+('Ügyfelek'!AD79="")+('Ügyfelek'!AE79="")+('Ügyfelek'!AF79="")+('Ügyfelek'!AG79="")+('Ügyfelek'!AH79=""))</f>
        <v/>
      </c>
      <c r="BK79">
        <f>IF($A79="","",B79+'Beállítások'!$E$6/1000)</f>
        <v/>
      </c>
      <c r="BL79">
        <f>IF($A79="","",C79+'Beállítások'!$E$7/1000)</f>
        <v/>
      </c>
      <c r="BM79">
        <f>IF($A79="","",D79+'Beállítások'!$E$8/1000)</f>
        <v/>
      </c>
      <c r="BN79">
        <f>IF($A79="","",E79+'Beállítások'!$E$9/1000)</f>
        <v/>
      </c>
      <c r="BO79">
        <f>IF($A79="","",F79+'Beállítások'!$E$10/1000)</f>
        <v/>
      </c>
      <c r="BP79">
        <f>IF($A79="","",G79+'Beállítások'!$E$11/1000)</f>
        <v/>
      </c>
      <c r="BQ79">
        <f>IF($A79="","",H79+'Beállítások'!$E$12/1000)</f>
        <v/>
      </c>
      <c r="BR79">
        <f>IF($A79="","",I79+'Beállítások'!$E$13/1000)</f>
        <v/>
      </c>
      <c r="BS79">
        <f>IF($A79="","",J79+'Beállítások'!$E$14/1000)</f>
        <v/>
      </c>
      <c r="BT79">
        <f>IF($A79="","",K79+'Beállítások'!$E$15/1000)</f>
        <v/>
      </c>
      <c r="BU79">
        <f>IF($A79="","",L79+'Beállítások'!$E$16/1000)</f>
        <v/>
      </c>
      <c r="BV79">
        <f>IF($A79="","",M79+'Beállítások'!$E$17/1000)</f>
        <v/>
      </c>
      <c r="BW79">
        <f>IF($A79="","",N79+'Beállítások'!$E$18/1000)</f>
        <v/>
      </c>
      <c r="BX79">
        <f>IF($A79="","",O79+'Beállítások'!$E$19/1000)</f>
        <v/>
      </c>
      <c r="BY79">
        <f>IF($A79="","",P79+'Beállítások'!$E$20/1000)</f>
        <v/>
      </c>
      <c r="BZ79">
        <f>IF($A79="","",Q79+'Beállítások'!$E$21/1000)</f>
        <v/>
      </c>
      <c r="CA79">
        <f>IF($A79="","",R79+'Beállítások'!$E$22/1000)</f>
        <v/>
      </c>
      <c r="CB79">
        <f>IF($A79="","",S79+'Beállítások'!$E$23/1000)</f>
        <v/>
      </c>
      <c r="CC79">
        <f>IF($A79="","",T79+'Beállítások'!$E$24/1000)</f>
        <v/>
      </c>
      <c r="CD79">
        <f>IF($A79="","",U79+'Beállítások'!$E$25/1000)</f>
        <v/>
      </c>
      <c r="CE79">
        <f>IF($A79="","",V79+'Beállítások'!$E$26/1000)</f>
        <v/>
      </c>
      <c r="CF79">
        <f>IF($A79="","",W79+'Beállítások'!$E$27/1000)</f>
        <v/>
      </c>
      <c r="CG79">
        <f>IF($A79="","",X79+'Beállítások'!$E$28/1000)</f>
        <v/>
      </c>
      <c r="CH79">
        <f>IF($A79="","",Y79+'Beállítások'!$E$29/1000)</f>
        <v/>
      </c>
      <c r="CI79">
        <f>IF($A79="","",Z79+'Beállítások'!$E$30/1000)</f>
        <v/>
      </c>
      <c r="CJ79">
        <f>IF($A79="","",AA79+'Beállítások'!$E$31/1000)</f>
        <v/>
      </c>
      <c r="CK79">
        <f>IF($A79="","",AB79+'Beállítások'!$E$32/1000)</f>
        <v/>
      </c>
      <c r="CL79">
        <f>IF($A79="","",AC79+'Beállítások'!$E$33/1000)</f>
        <v/>
      </c>
      <c r="CM79">
        <f>IF($A79="","",AD79+'Beállítások'!$E$34/1000)</f>
        <v/>
      </c>
      <c r="CN79">
        <f>IF($A79="","",AE79+'Beállítások'!$E$35/1000)</f>
        <v/>
      </c>
      <c r="CO79">
        <f>IF($A79="","",AF79+'Beállítások'!$E$36/1000)</f>
        <v/>
      </c>
      <c r="CP79">
        <f>IF($A79="","",AG79+'Beállítások'!$E$37/1000)</f>
        <v/>
      </c>
      <c r="CQ79">
        <f>IF($A79="","",AH79+'Beállítások'!$E$38/1000)</f>
        <v/>
      </c>
      <c r="CR79">
        <f>IF($A79="","",'Beállítások'!$E$6*(10-B79))</f>
        <v/>
      </c>
      <c r="CS79">
        <f>IF($A79="","",'Beállítások'!$E$7*(10-C79))</f>
        <v/>
      </c>
      <c r="CT79">
        <f>IF($A79="","",'Beállítások'!$E$8*(10-D79))</f>
        <v/>
      </c>
      <c r="CU79">
        <f>IF($A79="","",'Beállítások'!$E$9*(10-E79))</f>
        <v/>
      </c>
      <c r="CV79">
        <f>IF($A79="","",'Beállítások'!$E$10*(10-F79))</f>
        <v/>
      </c>
      <c r="CW79">
        <f>IF($A79="","",'Beállítások'!$E$11*(10-G79))</f>
        <v/>
      </c>
      <c r="CX79">
        <f>IF($A79="","",'Beállítások'!$E$12*(10-H79))</f>
        <v/>
      </c>
      <c r="CY79">
        <f>IF($A79="","",'Beállítások'!$E$13*(10-I79))</f>
        <v/>
      </c>
      <c r="CZ79">
        <f>IF($A79="","",'Beállítások'!$E$14*(10-J79))</f>
        <v/>
      </c>
      <c r="DA79">
        <f>IF($A79="","",'Beállítások'!$E$15*(10-K79))</f>
        <v/>
      </c>
      <c r="DB79">
        <f>IF($A79="","",'Beállítások'!$E$16*(10-L79))</f>
        <v/>
      </c>
      <c r="DC79">
        <f>IF($A79="","",'Beállítások'!$E$17*(10-M79))</f>
        <v/>
      </c>
      <c r="DD79">
        <f>IF($A79="","",'Beállítások'!$E$18*(10-N79))</f>
        <v/>
      </c>
      <c r="DE79">
        <f>IF($A79="","",'Beállítások'!$E$19*(10-O79))</f>
        <v/>
      </c>
      <c r="DF79">
        <f>IF($A79="","",'Beállítások'!$E$20*(10-P79))</f>
        <v/>
      </c>
      <c r="DG79">
        <f>IF($A79="","",'Beállítások'!$E$21*(10-Q79))</f>
        <v/>
      </c>
      <c r="DH79">
        <f>IF($A79="","",'Beállítások'!$E$22*(10-R79))</f>
        <v/>
      </c>
      <c r="DI79">
        <f>IF($A79="","",'Beállítások'!$E$23*(10-S79))</f>
        <v/>
      </c>
      <c r="DJ79">
        <f>IF($A79="","",'Beállítások'!$E$24*(10-T79))</f>
        <v/>
      </c>
      <c r="DK79">
        <f>IF($A79="","",'Beállítások'!$E$25*(10-U79))</f>
        <v/>
      </c>
      <c r="DL79">
        <f>IF($A79="","",'Beállítások'!$E$26*(10-V79))</f>
        <v/>
      </c>
      <c r="DM79">
        <f>IF($A79="","",'Beállítások'!$E$27*(10-W79))</f>
        <v/>
      </c>
      <c r="DN79">
        <f>IF($A79="","",'Beállítások'!$E$28*(10-X79))</f>
        <v/>
      </c>
      <c r="DO79">
        <f>IF($A79="","",'Beállítások'!$E$29*(10-Y79))</f>
        <v/>
      </c>
      <c r="DP79">
        <f>IF($A79="","",'Beállítások'!$E$30*(10-Z79))</f>
        <v/>
      </c>
      <c r="DQ79">
        <f>IF($A79="","",'Beállítások'!$E$31*(10-AA79))</f>
        <v/>
      </c>
      <c r="DR79">
        <f>IF($A79="","",'Beállítások'!$E$32*(10-AB79))</f>
        <v/>
      </c>
      <c r="DS79">
        <f>IF($A79="","",'Beállítások'!$E$33*(10-AC79))</f>
        <v/>
      </c>
      <c r="DT79">
        <f>IF($A79="","",'Beállítások'!$E$34*(10-AD79))</f>
        <v/>
      </c>
      <c r="DU79">
        <f>IF($A79="","",'Beállítások'!$E$35*(10-AE79))</f>
        <v/>
      </c>
      <c r="DV79">
        <f>IF($A79="","",'Beállítások'!$E$36*(10-AF79))</f>
        <v/>
      </c>
      <c r="DW79">
        <f>IF($A79="","",'Beállítások'!$E$37*(10-AG79))</f>
        <v/>
      </c>
      <c r="DX79">
        <f>IF($A79="","",'Beállítások'!$E$38*(10-AH79))</f>
        <v/>
      </c>
      <c r="DY79">
        <f>IF($A79="","",AM79-ROW()/100000)</f>
        <v/>
      </c>
    </row>
    <row r="80">
      <c r="A80">
        <f>IF('Ügyfelek'!A80="","",'Ügyfelek'!A80)</f>
        <v/>
      </c>
      <c r="B80">
        <f>IF($A80="","",IF('Ügyfelek'!B80="",'Beállítások'!$B$84,IFERROR(VLOOKUP(TRIM('Ügyfelek'!B80),'Beállítások'!$A$51:$B$59,2,FALSE),'Beállítások'!$B$84)))</f>
        <v/>
      </c>
      <c r="C80">
        <f>IF($A80="","",IF('Ügyfelek'!C80="",'Beállítások'!$B$84,MIN(10,MAX(1,ROUND('Ügyfelek'!C80,0)))))</f>
        <v/>
      </c>
      <c r="D80">
        <f>IF($A80="","",IF('Ügyfelek'!D80="",'Beállítások'!$B$84,MIN(10,MAX(1,ROUND('Ügyfelek'!D80,0)))))</f>
        <v/>
      </c>
      <c r="E80">
        <f>IF($A80="","",IF('Ügyfelek'!E80="",'Beállítások'!$B$84,MIN(10,MAX(1,ROUND('Ügyfelek'!E80,0)))))</f>
        <v/>
      </c>
      <c r="F80">
        <f>IF($A80="","",IF('Ügyfelek'!F80="",'Beállítások'!$B$84,MIN(10,MAX(1,ROUND('Ügyfelek'!F80,0)))))</f>
        <v/>
      </c>
      <c r="G80">
        <f>IF($A80="","",IF('Ügyfelek'!G80="",'Beállítások'!$B$84,MIN(10,MAX(1,ROUND('Ügyfelek'!G80,0)))))</f>
        <v/>
      </c>
      <c r="H80">
        <f>IF($A80="","",IF('Ügyfelek'!H80="",'Beállítások'!$B$84,MIN(10,MAX(1,ROUND('Ügyfelek'!H80,0)))))</f>
        <v/>
      </c>
      <c r="I80">
        <f>IF($A80="","",IF('Ügyfelek'!I80="",'Beállítások'!$B$84,MIN(10,MAX(1,ROUND('Ügyfelek'!I80,0)))))</f>
        <v/>
      </c>
      <c r="J80">
        <f>IF($A80="","",IF('Ügyfelek'!J80="",'Beállítások'!$B$84,MIN(10,MAX(1,ROUND('Ügyfelek'!J80,0)))))</f>
        <v/>
      </c>
      <c r="K80">
        <f>IF($A80="","",IF('Ügyfelek'!K80="",'Beállítások'!$B$84,MIN(10,MAX(1,ROUND('Ügyfelek'!K80,0)))))</f>
        <v/>
      </c>
      <c r="L80">
        <f>IF($A80="","",IF('Ügyfelek'!L80="",'Beállítások'!$B$84,MIN(10,MAX(1,ROUND('Ügyfelek'!L80,0)))))</f>
        <v/>
      </c>
      <c r="M80">
        <f>IF($A80="","",IF('Ügyfelek'!M80="",'Beállítások'!$B$84,MIN(10,MAX(1,ROUND('Ügyfelek'!M80,0)))))</f>
        <v/>
      </c>
      <c r="N80">
        <f>IF($A80="","",IF('Ügyfelek'!N80="",'Beállítások'!$B$84,MIN(10,MAX(1,ROUND('Ügyfelek'!N80,0)))))</f>
        <v/>
      </c>
      <c r="O80">
        <f>IF($A80="","",IF('Ügyfelek'!O80="",'Beállítások'!$B$84,MIN(10,MAX(1,ROUND('Ügyfelek'!O80,0)))))</f>
        <v/>
      </c>
      <c r="P80">
        <f>IF($A80="","",IF('Ügyfelek'!P80="",'Beállítások'!$B$84,MIN(10,MAX(1,ROUND('Ügyfelek'!P80,0)))))</f>
        <v/>
      </c>
      <c r="Q80">
        <f>IF($A80="","",IF('Ügyfelek'!Q80="",'Beállítások'!$B$84,MIN(10,MAX(1,ROUND('Ügyfelek'!Q80,0)))))</f>
        <v/>
      </c>
      <c r="R80">
        <f>IF($A80="","",IF('Ügyfelek'!R80="",'Beállítások'!$B$84,MIN(10,MAX(1,ROUND('Ügyfelek'!R80,0)))))</f>
        <v/>
      </c>
      <c r="S80">
        <f>IF($A80="","",IF('Ügyfelek'!S80="",'Beállítások'!$B$84,MIN(10,MAX(1,ROUND('Ügyfelek'!S80,0)))))</f>
        <v/>
      </c>
      <c r="T80">
        <f>IF($A80="","",IF('Ügyfelek'!T80="",'Beállítások'!$B$84,VLOOKUP(MAX('Ügyfelek'!T80,'Beállítások'!$H$7),'Beállítások'!$H$7:$I$12,2,TRUE)))</f>
        <v/>
      </c>
      <c r="U80">
        <f>IF($A80="","",IF('Ügyfelek'!U80="",'Beállítások'!$B$84,VLOOKUP(MAX('Ügyfelek'!U80,'Beállítások'!$K$7),'Beállítások'!$K$7:$L$12,2,TRUE)))</f>
        <v/>
      </c>
      <c r="V80">
        <f>IF($A80="","",IF('Ügyfelek'!V80="",'Beállítások'!$B$84,MIN(10,MAX(1,ROUND('Ügyfelek'!V80,0)))))</f>
        <v/>
      </c>
      <c r="W80">
        <f>IF($A80="","",IF('Ügyfelek'!W80="",'Beállítások'!$B$84,VLOOKUP(MAX('Ügyfelek'!W80,'Beállítások'!$N$7),'Beállítások'!$N$7:$O$12,2,TRUE)))</f>
        <v/>
      </c>
      <c r="X80">
        <f>IF($A80="","",IF('Ügyfelek'!X80="",'Beállítások'!$B$84,MIN(10,MAX(1,ROUND('Ügyfelek'!X80,0)))))</f>
        <v/>
      </c>
      <c r="Y80">
        <f>IF($A80="","",IF('Ügyfelek'!Y80="",'Beállítások'!$B$84,IFERROR(VLOOKUP(TRIM('Ügyfelek'!Y80),'Beállítások'!$A$63:$B$69,2,FALSE),'Beállítások'!$B$84)))</f>
        <v/>
      </c>
      <c r="Z80">
        <f>IF($A80="","",IF('Ügyfelek'!Z80="",'Beállítások'!$B$84,VLOOKUP(MAX('Ügyfelek'!Z80,'Beállítások'!$Q$7),'Beállítások'!$Q$7:$R$12,2,TRUE)))</f>
        <v/>
      </c>
      <c r="AA80">
        <f>IF($A80="","",IF('Ügyfelek'!AA80="",'Beállítások'!$B$84,VLOOKUP(MAX('Ügyfelek'!AA80,'Beállítások'!$T$7),'Beállítások'!$T$7:$U$12,2,TRUE)))</f>
        <v/>
      </c>
      <c r="AB80">
        <f>IF($A80="","",IF('Ügyfelek'!AB80="",'Beállítások'!$B$84,MIN(10,MAX(1,ROUND('Ügyfelek'!AB80,0)))))</f>
        <v/>
      </c>
      <c r="AC80">
        <f>IF($A80="","",IF('Ügyfelek'!AC80="",'Beállítások'!$B$84,MIN(10,MAX(1,ROUND('Ügyfelek'!AC80,0)))))</f>
        <v/>
      </c>
      <c r="AD80">
        <f>IF($A80="","",IF('Ügyfelek'!AD80="",'Beállítások'!$B$84,MIN(10,MAX(1,ROUND('Ügyfelek'!AD80,0)))))</f>
        <v/>
      </c>
      <c r="AE80">
        <f>IF($A80="","",IF('Ügyfelek'!AE80="",'Beállítások'!$B$84,MIN(10,MAX(1,ROUND('Ügyfelek'!AE80,0)))))</f>
        <v/>
      </c>
      <c r="AF80">
        <f>IF($A80="","",IF('Ügyfelek'!AF80="",'Beállítások'!$B$84,MIN(10,MAX(1,ROUND('Ügyfelek'!AF80,0)))))</f>
        <v/>
      </c>
      <c r="AG80">
        <f>IF($A80="","",IF('Ügyfelek'!AG80="",'Beállítások'!$B$84,MIN(10,MAX(1,ROUND('Ügyfelek'!AG80,0)))))</f>
        <v/>
      </c>
      <c r="AH80">
        <f>IF($A80="","",IF('Ügyfelek'!AH80="",'Beállítások'!$B$84,IFERROR(VLOOKUP(TRIM('Ügyfelek'!AH80),'Beállítások'!$A$73:$B$79,2,FALSE),'Beállítások'!$B$84)))</f>
        <v/>
      </c>
      <c r="AI80" s="23">
        <f>IF($A80="","",ROUND(100*('Beállítások'!$E$6*(B80-1)+'Beállítások'!$E$7*(C80-1))/(9*'Beállítások'!$B$43),1))</f>
        <v/>
      </c>
      <c r="AJ80" s="23">
        <f>IF($A80="","",ROUND(100*('Beállítások'!$E$8*(D80-1)+'Beállítások'!$E$9*(E80-1)+'Beállítások'!$E$10*(F80-1)+'Beállítások'!$E$11*(G80-1)+'Beállítások'!$E$12*(H80-1)+'Beállítások'!$E$13*(I80-1)+'Beállítások'!$E$14*(J80-1)+'Beállítások'!$E$15*(K80-1)+'Beállítások'!$E$16*(L80-1)+'Beállítások'!$E$17*(M80-1)+'Beállítások'!$E$18*(N80-1)+'Beállítások'!$E$19*(O80-1)+'Beállítások'!$E$20*(P80-1)+'Beállítások'!$E$21*(Q80-1)+'Beállítások'!$E$22*(R80-1))/(9*'Beállítások'!$B$44),1))</f>
        <v/>
      </c>
      <c r="AK80" s="23">
        <f>IF($A80="","",ROUND(100*('Beállítások'!$E$23*(S80-1)+'Beállítások'!$E$24*(T80-1)+'Beállítások'!$E$25*(U80-1)+'Beállítások'!$E$26*(V80-1)+'Beállítások'!$E$27*(W80-1)+'Beállítások'!$E$28*(X80-1)+'Beállítások'!$E$29*(Y80-1))/(9*'Beállítások'!$B$45),1))</f>
        <v/>
      </c>
      <c r="AL80" s="23">
        <f>IF($A80="","",ROUND(100*('Beállítások'!$E$30*(Z80-1)+'Beállítások'!$E$31*(AA80-1)+'Beállítások'!$E$32*(AB80-1)+'Beállítások'!$E$33*(AC80-1)+'Beállítások'!$E$34*(AD80-1)+'Beállítások'!$E$35*(AE80-1)+'Beállítások'!$E$36*(AF80-1)+'Beállítások'!$E$37*(AG80-1)+'Beállítások'!$E$38*(AH80-1))/(9*'Beállítások'!$B$46),1))</f>
        <v/>
      </c>
      <c r="AM80" s="23">
        <f>IF($A80="","",ROUND(100*('Beállítások'!$E$6*(B80-1)+'Beállítások'!$E$7*(C80-1)+'Beállítások'!$E$8*(D80-1)+'Beállítások'!$E$9*(E80-1)+'Beállítások'!$E$10*(F80-1)+'Beállítások'!$E$11*(G80-1)+'Beállítások'!$E$12*(H80-1)+'Beállítások'!$E$13*(I80-1)+'Beállítások'!$E$14*(J80-1)+'Beállítások'!$E$15*(K80-1)+'Beállítások'!$E$16*(L80-1)+'Beállítások'!$E$17*(M80-1)+'Beállítások'!$E$18*(N80-1)+'Beállítások'!$E$19*(O80-1)+'Beállítások'!$E$20*(P80-1)+'Beállítások'!$E$21*(Q80-1)+'Beállítások'!$E$22*(R80-1)+'Beállítások'!$E$23*(S80-1)+'Beállítások'!$E$24*(T80-1)+'Beállítások'!$E$25*(U80-1)+'Beállítások'!$E$26*(V80-1)+'Beállítások'!$E$27*(W80-1)+'Beállítások'!$E$28*(X80-1)+'Beállítások'!$E$29*(Y80-1)+'Beállítások'!$E$30*(Z80-1)+'Beállítások'!$E$31*(AA80-1)+'Beállítások'!$E$32*(AB80-1)+'Beállítások'!$E$33*(AC80-1)+'Beállítások'!$E$34*(AD80-1)+'Beállítások'!$E$35*(AE80-1)+'Beállítások'!$E$36*(AF80-1)+'Beállítások'!$E$37*(AG80-1)+'Beállítások'!$E$38*(AH80-1))/(9*'Beállítások'!$E$39),1))</f>
        <v/>
      </c>
      <c r="AN80" s="23">
        <f>IF($A80="","",ROUND(100*('Beállítások'!$E$8*(D80-1)+'Beállítások'!$E$9*(E80-1)+'Beállítások'!$E$10*(F80-1)+'Beállítások'!$E$11*(G80-1)+'Beállítások'!$E$12*(H80-1)+'Beállítások'!$E$13*(I80-1)+'Beállítások'!$E$14*(J80-1)+'Beállítások'!$E$15*(K80-1)+'Beállítások'!$E$16*(L80-1)+'Beállítások'!$E$17*(M80-1)+'Beállítások'!$E$18*(N80-1)+'Beállítások'!$E$19*(O80-1)+'Beállítások'!$E$20*(P80-1)+'Beállítások'!$E$21*(Q80-1)+'Beállítások'!$E$22*(R80-1)+'Beállítások'!$E$23*(S80-1)+'Beállítások'!$E$24*(T80-1)+'Beállítások'!$E$25*(U80-1)+'Beállítások'!$E$26*(V80-1)+'Beállítások'!$E$27*(W80-1)+'Beállítások'!$E$28*(X80-1)+'Beállítások'!$E$29*(Y80-1))/(9*('Beállítások'!$B$44+'Beállítások'!$B$45)),1))</f>
        <v/>
      </c>
      <c r="AO80" s="24">
        <f>IF($A80="","",RANK(AM80,$AM$2:$AM$201))</f>
        <v/>
      </c>
      <c r="AP80">
        <f>IF($A80="","",IF(OR(AND('Ügyfelek'!B80&lt;&gt;"",B80&lt;='Beállítások'!$B$85),AND('Ügyfelek'!C80&lt;&gt;"",C80&lt;='Beállítások'!$B$86)),"Igen","Nem"))</f>
        <v/>
      </c>
      <c r="AQ80" s="24">
        <f>IF($A80="","",IF(AP80="Igen",5,IF(AN80&gt;='Beállítások'!$C$108,1,IF(AN80&gt;='Beállítások'!$C$109,2,IF(AN80&gt;='Beállítások'!$C$110,3,IF(AND(AN80&gt;='Beállítások'!$B$87,AI80&gt;='Beállítások'!$B$88,AL80&gt;='Beállítások'!$B$89),4,5))))))</f>
        <v/>
      </c>
      <c r="AR80">
        <f>IF($A80="","",INDEX('Beállítások'!$B$108:$B$112,AQ80))</f>
        <v/>
      </c>
      <c r="AS80">
        <f>IF($A80="","",IF(AQ80=5,"Elutasítjuk",IF(AND(AQ80=4,COUNTIFS('Eredmény'!$AQ$2:$AQ$201,4,'Eredmény'!$DY$2:$DY$201,"&gt;"&amp;DY80)&gt;='Beállítások'!$B$90),"Várólista (a 4-es hely foglalt)","Elfogadjuk")))</f>
        <v/>
      </c>
      <c r="AT80">
        <f>IF($A80="","",INDEX('Beállítások'!$F$108:$F$112,AQ80))</f>
        <v/>
      </c>
      <c r="AU80">
        <f>IF($A80="","",INDEX('Beállítások'!$B$6:$B$38,MATCH(MAX(BK80:CQ80),BK80:CQ80,0)))</f>
        <v/>
      </c>
      <c r="AV80">
        <f>IF($A80="","",IF(MAX(CR80:DX80)=0,"—",INDEX('Beállítások'!$B$6:$B$38,MATCH(MAX(CR80:DX80),CR80:DX80,0))))</f>
        <v/>
      </c>
      <c r="AW80" s="10">
        <f>IF($A80="","",'Beállítások'!$B$94*(TRIM('Ügyfelek'!AI80)="igen")+'Beállítások'!$B$95*(TRIM('Ügyfelek'!AJ80)="igen")+'Beállítások'!$B$96*N('Ügyfelek'!AK80)+'Beállítások'!$B$93*N('Ügyfelek'!AL80))</f>
        <v/>
      </c>
      <c r="AX80" s="25">
        <f>IF(OR($A80="",AQ80=5),"",INDEX('Beállítások'!$D$108:$D$112,AQ80))</f>
        <v/>
      </c>
      <c r="AY80" s="10">
        <f>IF($A80="","",N('Ügyfelek'!U80)*'Beállítások'!$B$98)</f>
        <v/>
      </c>
      <c r="AZ80" s="10">
        <f>IF(OR($A80="",AQ80=5),"",CEILING(ROUND(MAX('Beállítások'!$B$97,AW80*AX80,AY80),2),'Beállítások'!$B$99))</f>
        <v/>
      </c>
      <c r="BA80">
        <f>IF($A80="","",IF(AQ80=5,"Elutasítva",IF(MAX('Beállítások'!$B$97,AW80*AX80,AY80)=AW80*AX80,"Munkaigény × státuszszorzó",IF(MAX('Beállítások'!$B$97,AW80*AX80,AY80)=AY80,"Hirdetési keret arányában","Minimumdíj"))))</f>
        <v/>
      </c>
      <c r="BB80" s="10">
        <f>IF(OR($A80="",'Ügyfelek'!AM80=""),"",'Ügyfelek'!AM80)</f>
        <v/>
      </c>
      <c r="BC80" s="10">
        <f>IF(OR(BB80="",AZ80=""),"",AZ80-BB80)</f>
        <v/>
      </c>
      <c r="BD80" s="18">
        <f>IF(OR(BB80="",AZ80="",BB80=0),"",BC80/BB80)</f>
        <v/>
      </c>
      <c r="BE80">
        <f>IF(OR($A80="",AQ80=5),"",IF(AND(INDEX('Beállítások'!$E$108:$E$112,AQ80)&gt;0,Y80&gt;='Beállítások'!$B$91),"Igen","Nem"))</f>
        <v/>
      </c>
      <c r="BF80" s="10">
        <f>IF(BE80="Igen",CEILING(ROUND(AZ80*(1-'Beállítások'!$B$92),2),'Beállítások'!$B$99),"")</f>
        <v/>
      </c>
      <c r="BG80" s="20">
        <f>IF(BE80="Igen",INDEX('Beállítások'!$E$108:$E$112,AQ80),"")</f>
        <v/>
      </c>
      <c r="BH80" s="10">
        <f>IF(OR(BE80&lt;&gt;"Igen",'Ügyfelek'!AN80=""),"",'Ügyfelek'!AN80*BG80)</f>
        <v/>
      </c>
      <c r="BI80" s="24">
        <f>IF($A80="","",('Ügyfelek'!B80="")+('Ügyfelek'!C80="")+('Ügyfelek'!D80="")+('Ügyfelek'!E80="")+('Ügyfelek'!F80="")+('Ügyfelek'!G80="")+('Ügyfelek'!H80="")+('Ügyfelek'!I80="")+('Ügyfelek'!J80="")+('Ügyfelek'!K80="")+('Ügyfelek'!L80="")+('Ügyfelek'!M80="")+('Ügyfelek'!N80="")+('Ügyfelek'!O80="")+('Ügyfelek'!P80="")+('Ügyfelek'!Q80="")+('Ügyfelek'!R80="")+('Ügyfelek'!S80="")+('Ügyfelek'!T80="")+('Ügyfelek'!U80="")+('Ügyfelek'!V80="")+('Ügyfelek'!W80="")+('Ügyfelek'!X80="")+('Ügyfelek'!Y80="")+('Ügyfelek'!Z80="")+('Ügyfelek'!AA80="")+('Ügyfelek'!AB80="")+('Ügyfelek'!AC80="")+('Ügyfelek'!AD80="")+('Ügyfelek'!AE80="")+('Ügyfelek'!AF80="")+('Ügyfelek'!AG80="")+('Ügyfelek'!AH80=""))</f>
        <v/>
      </c>
      <c r="BK80">
        <f>IF($A80="","",B80+'Beállítások'!$E$6/1000)</f>
        <v/>
      </c>
      <c r="BL80">
        <f>IF($A80="","",C80+'Beállítások'!$E$7/1000)</f>
        <v/>
      </c>
      <c r="BM80">
        <f>IF($A80="","",D80+'Beállítások'!$E$8/1000)</f>
        <v/>
      </c>
      <c r="BN80">
        <f>IF($A80="","",E80+'Beállítások'!$E$9/1000)</f>
        <v/>
      </c>
      <c r="BO80">
        <f>IF($A80="","",F80+'Beállítások'!$E$10/1000)</f>
        <v/>
      </c>
      <c r="BP80">
        <f>IF($A80="","",G80+'Beállítások'!$E$11/1000)</f>
        <v/>
      </c>
      <c r="BQ80">
        <f>IF($A80="","",H80+'Beállítások'!$E$12/1000)</f>
        <v/>
      </c>
      <c r="BR80">
        <f>IF($A80="","",I80+'Beállítások'!$E$13/1000)</f>
        <v/>
      </c>
      <c r="BS80">
        <f>IF($A80="","",J80+'Beállítások'!$E$14/1000)</f>
        <v/>
      </c>
      <c r="BT80">
        <f>IF($A80="","",K80+'Beállítások'!$E$15/1000)</f>
        <v/>
      </c>
      <c r="BU80">
        <f>IF($A80="","",L80+'Beállítások'!$E$16/1000)</f>
        <v/>
      </c>
      <c r="BV80">
        <f>IF($A80="","",M80+'Beállítások'!$E$17/1000)</f>
        <v/>
      </c>
      <c r="BW80">
        <f>IF($A80="","",N80+'Beállítások'!$E$18/1000)</f>
        <v/>
      </c>
      <c r="BX80">
        <f>IF($A80="","",O80+'Beállítások'!$E$19/1000)</f>
        <v/>
      </c>
      <c r="BY80">
        <f>IF($A80="","",P80+'Beállítások'!$E$20/1000)</f>
        <v/>
      </c>
      <c r="BZ80">
        <f>IF($A80="","",Q80+'Beállítások'!$E$21/1000)</f>
        <v/>
      </c>
      <c r="CA80">
        <f>IF($A80="","",R80+'Beállítások'!$E$22/1000)</f>
        <v/>
      </c>
      <c r="CB80">
        <f>IF($A80="","",S80+'Beállítások'!$E$23/1000)</f>
        <v/>
      </c>
      <c r="CC80">
        <f>IF($A80="","",T80+'Beállítások'!$E$24/1000)</f>
        <v/>
      </c>
      <c r="CD80">
        <f>IF($A80="","",U80+'Beállítások'!$E$25/1000)</f>
        <v/>
      </c>
      <c r="CE80">
        <f>IF($A80="","",V80+'Beállítások'!$E$26/1000)</f>
        <v/>
      </c>
      <c r="CF80">
        <f>IF($A80="","",W80+'Beállítások'!$E$27/1000)</f>
        <v/>
      </c>
      <c r="CG80">
        <f>IF($A80="","",X80+'Beállítások'!$E$28/1000)</f>
        <v/>
      </c>
      <c r="CH80">
        <f>IF($A80="","",Y80+'Beállítások'!$E$29/1000)</f>
        <v/>
      </c>
      <c r="CI80">
        <f>IF($A80="","",Z80+'Beállítások'!$E$30/1000)</f>
        <v/>
      </c>
      <c r="CJ80">
        <f>IF($A80="","",AA80+'Beállítások'!$E$31/1000)</f>
        <v/>
      </c>
      <c r="CK80">
        <f>IF($A80="","",AB80+'Beállítások'!$E$32/1000)</f>
        <v/>
      </c>
      <c r="CL80">
        <f>IF($A80="","",AC80+'Beállítások'!$E$33/1000)</f>
        <v/>
      </c>
      <c r="CM80">
        <f>IF($A80="","",AD80+'Beállítások'!$E$34/1000)</f>
        <v/>
      </c>
      <c r="CN80">
        <f>IF($A80="","",AE80+'Beállítások'!$E$35/1000)</f>
        <v/>
      </c>
      <c r="CO80">
        <f>IF($A80="","",AF80+'Beállítások'!$E$36/1000)</f>
        <v/>
      </c>
      <c r="CP80">
        <f>IF($A80="","",AG80+'Beállítások'!$E$37/1000)</f>
        <v/>
      </c>
      <c r="CQ80">
        <f>IF($A80="","",AH80+'Beállítások'!$E$38/1000)</f>
        <v/>
      </c>
      <c r="CR80">
        <f>IF($A80="","",'Beállítások'!$E$6*(10-B80))</f>
        <v/>
      </c>
      <c r="CS80">
        <f>IF($A80="","",'Beállítások'!$E$7*(10-C80))</f>
        <v/>
      </c>
      <c r="CT80">
        <f>IF($A80="","",'Beállítások'!$E$8*(10-D80))</f>
        <v/>
      </c>
      <c r="CU80">
        <f>IF($A80="","",'Beállítások'!$E$9*(10-E80))</f>
        <v/>
      </c>
      <c r="CV80">
        <f>IF($A80="","",'Beállítások'!$E$10*(10-F80))</f>
        <v/>
      </c>
      <c r="CW80">
        <f>IF($A80="","",'Beállítások'!$E$11*(10-G80))</f>
        <v/>
      </c>
      <c r="CX80">
        <f>IF($A80="","",'Beállítások'!$E$12*(10-H80))</f>
        <v/>
      </c>
      <c r="CY80">
        <f>IF($A80="","",'Beállítások'!$E$13*(10-I80))</f>
        <v/>
      </c>
      <c r="CZ80">
        <f>IF($A80="","",'Beállítások'!$E$14*(10-J80))</f>
        <v/>
      </c>
      <c r="DA80">
        <f>IF($A80="","",'Beállítások'!$E$15*(10-K80))</f>
        <v/>
      </c>
      <c r="DB80">
        <f>IF($A80="","",'Beállítások'!$E$16*(10-L80))</f>
        <v/>
      </c>
      <c r="DC80">
        <f>IF($A80="","",'Beállítások'!$E$17*(10-M80))</f>
        <v/>
      </c>
      <c r="DD80">
        <f>IF($A80="","",'Beállítások'!$E$18*(10-N80))</f>
        <v/>
      </c>
      <c r="DE80">
        <f>IF($A80="","",'Beállítások'!$E$19*(10-O80))</f>
        <v/>
      </c>
      <c r="DF80">
        <f>IF($A80="","",'Beállítások'!$E$20*(10-P80))</f>
        <v/>
      </c>
      <c r="DG80">
        <f>IF($A80="","",'Beállítások'!$E$21*(10-Q80))</f>
        <v/>
      </c>
      <c r="DH80">
        <f>IF($A80="","",'Beállítások'!$E$22*(10-R80))</f>
        <v/>
      </c>
      <c r="DI80">
        <f>IF($A80="","",'Beállítások'!$E$23*(10-S80))</f>
        <v/>
      </c>
      <c r="DJ80">
        <f>IF($A80="","",'Beállítások'!$E$24*(10-T80))</f>
        <v/>
      </c>
      <c r="DK80">
        <f>IF($A80="","",'Beállítások'!$E$25*(10-U80))</f>
        <v/>
      </c>
      <c r="DL80">
        <f>IF($A80="","",'Beállítások'!$E$26*(10-V80))</f>
        <v/>
      </c>
      <c r="DM80">
        <f>IF($A80="","",'Beállítások'!$E$27*(10-W80))</f>
        <v/>
      </c>
      <c r="DN80">
        <f>IF($A80="","",'Beállítások'!$E$28*(10-X80))</f>
        <v/>
      </c>
      <c r="DO80">
        <f>IF($A80="","",'Beállítások'!$E$29*(10-Y80))</f>
        <v/>
      </c>
      <c r="DP80">
        <f>IF($A80="","",'Beállítások'!$E$30*(10-Z80))</f>
        <v/>
      </c>
      <c r="DQ80">
        <f>IF($A80="","",'Beállítások'!$E$31*(10-AA80))</f>
        <v/>
      </c>
      <c r="DR80">
        <f>IF($A80="","",'Beállítások'!$E$32*(10-AB80))</f>
        <v/>
      </c>
      <c r="DS80">
        <f>IF($A80="","",'Beállítások'!$E$33*(10-AC80))</f>
        <v/>
      </c>
      <c r="DT80">
        <f>IF($A80="","",'Beállítások'!$E$34*(10-AD80))</f>
        <v/>
      </c>
      <c r="DU80">
        <f>IF($A80="","",'Beállítások'!$E$35*(10-AE80))</f>
        <v/>
      </c>
      <c r="DV80">
        <f>IF($A80="","",'Beállítások'!$E$36*(10-AF80))</f>
        <v/>
      </c>
      <c r="DW80">
        <f>IF($A80="","",'Beállítások'!$E$37*(10-AG80))</f>
        <v/>
      </c>
      <c r="DX80">
        <f>IF($A80="","",'Beállítások'!$E$38*(10-AH80))</f>
        <v/>
      </c>
      <c r="DY80">
        <f>IF($A80="","",AM80-ROW()/100000)</f>
        <v/>
      </c>
    </row>
    <row r="81">
      <c r="A81">
        <f>IF('Ügyfelek'!A81="","",'Ügyfelek'!A81)</f>
        <v/>
      </c>
      <c r="B81">
        <f>IF($A81="","",IF('Ügyfelek'!B81="",'Beállítások'!$B$84,IFERROR(VLOOKUP(TRIM('Ügyfelek'!B81),'Beállítások'!$A$51:$B$59,2,FALSE),'Beállítások'!$B$84)))</f>
        <v/>
      </c>
      <c r="C81">
        <f>IF($A81="","",IF('Ügyfelek'!C81="",'Beállítások'!$B$84,MIN(10,MAX(1,ROUND('Ügyfelek'!C81,0)))))</f>
        <v/>
      </c>
      <c r="D81">
        <f>IF($A81="","",IF('Ügyfelek'!D81="",'Beállítások'!$B$84,MIN(10,MAX(1,ROUND('Ügyfelek'!D81,0)))))</f>
        <v/>
      </c>
      <c r="E81">
        <f>IF($A81="","",IF('Ügyfelek'!E81="",'Beállítások'!$B$84,MIN(10,MAX(1,ROUND('Ügyfelek'!E81,0)))))</f>
        <v/>
      </c>
      <c r="F81">
        <f>IF($A81="","",IF('Ügyfelek'!F81="",'Beállítások'!$B$84,MIN(10,MAX(1,ROUND('Ügyfelek'!F81,0)))))</f>
        <v/>
      </c>
      <c r="G81">
        <f>IF($A81="","",IF('Ügyfelek'!G81="",'Beállítások'!$B$84,MIN(10,MAX(1,ROUND('Ügyfelek'!G81,0)))))</f>
        <v/>
      </c>
      <c r="H81">
        <f>IF($A81="","",IF('Ügyfelek'!H81="",'Beállítások'!$B$84,MIN(10,MAX(1,ROUND('Ügyfelek'!H81,0)))))</f>
        <v/>
      </c>
      <c r="I81">
        <f>IF($A81="","",IF('Ügyfelek'!I81="",'Beállítások'!$B$84,MIN(10,MAX(1,ROUND('Ügyfelek'!I81,0)))))</f>
        <v/>
      </c>
      <c r="J81">
        <f>IF($A81="","",IF('Ügyfelek'!J81="",'Beállítások'!$B$84,MIN(10,MAX(1,ROUND('Ügyfelek'!J81,0)))))</f>
        <v/>
      </c>
      <c r="K81">
        <f>IF($A81="","",IF('Ügyfelek'!K81="",'Beállítások'!$B$84,MIN(10,MAX(1,ROUND('Ügyfelek'!K81,0)))))</f>
        <v/>
      </c>
      <c r="L81">
        <f>IF($A81="","",IF('Ügyfelek'!L81="",'Beállítások'!$B$84,MIN(10,MAX(1,ROUND('Ügyfelek'!L81,0)))))</f>
        <v/>
      </c>
      <c r="M81">
        <f>IF($A81="","",IF('Ügyfelek'!M81="",'Beállítások'!$B$84,MIN(10,MAX(1,ROUND('Ügyfelek'!M81,0)))))</f>
        <v/>
      </c>
      <c r="N81">
        <f>IF($A81="","",IF('Ügyfelek'!N81="",'Beállítások'!$B$84,MIN(10,MAX(1,ROUND('Ügyfelek'!N81,0)))))</f>
        <v/>
      </c>
      <c r="O81">
        <f>IF($A81="","",IF('Ügyfelek'!O81="",'Beállítások'!$B$84,MIN(10,MAX(1,ROUND('Ügyfelek'!O81,0)))))</f>
        <v/>
      </c>
      <c r="P81">
        <f>IF($A81="","",IF('Ügyfelek'!P81="",'Beállítások'!$B$84,MIN(10,MAX(1,ROUND('Ügyfelek'!P81,0)))))</f>
        <v/>
      </c>
      <c r="Q81">
        <f>IF($A81="","",IF('Ügyfelek'!Q81="",'Beállítások'!$B$84,MIN(10,MAX(1,ROUND('Ügyfelek'!Q81,0)))))</f>
        <v/>
      </c>
      <c r="R81">
        <f>IF($A81="","",IF('Ügyfelek'!R81="",'Beállítások'!$B$84,MIN(10,MAX(1,ROUND('Ügyfelek'!R81,0)))))</f>
        <v/>
      </c>
      <c r="S81">
        <f>IF($A81="","",IF('Ügyfelek'!S81="",'Beállítások'!$B$84,MIN(10,MAX(1,ROUND('Ügyfelek'!S81,0)))))</f>
        <v/>
      </c>
      <c r="T81">
        <f>IF($A81="","",IF('Ügyfelek'!T81="",'Beállítások'!$B$84,VLOOKUP(MAX('Ügyfelek'!T81,'Beállítások'!$H$7),'Beállítások'!$H$7:$I$12,2,TRUE)))</f>
        <v/>
      </c>
      <c r="U81">
        <f>IF($A81="","",IF('Ügyfelek'!U81="",'Beállítások'!$B$84,VLOOKUP(MAX('Ügyfelek'!U81,'Beállítások'!$K$7),'Beállítások'!$K$7:$L$12,2,TRUE)))</f>
        <v/>
      </c>
      <c r="V81">
        <f>IF($A81="","",IF('Ügyfelek'!V81="",'Beállítások'!$B$84,MIN(10,MAX(1,ROUND('Ügyfelek'!V81,0)))))</f>
        <v/>
      </c>
      <c r="W81">
        <f>IF($A81="","",IF('Ügyfelek'!W81="",'Beállítások'!$B$84,VLOOKUP(MAX('Ügyfelek'!W81,'Beállítások'!$N$7),'Beállítások'!$N$7:$O$12,2,TRUE)))</f>
        <v/>
      </c>
      <c r="X81">
        <f>IF($A81="","",IF('Ügyfelek'!X81="",'Beállítások'!$B$84,MIN(10,MAX(1,ROUND('Ügyfelek'!X81,0)))))</f>
        <v/>
      </c>
      <c r="Y81">
        <f>IF($A81="","",IF('Ügyfelek'!Y81="",'Beállítások'!$B$84,IFERROR(VLOOKUP(TRIM('Ügyfelek'!Y81),'Beállítások'!$A$63:$B$69,2,FALSE),'Beállítások'!$B$84)))</f>
        <v/>
      </c>
      <c r="Z81">
        <f>IF($A81="","",IF('Ügyfelek'!Z81="",'Beállítások'!$B$84,VLOOKUP(MAX('Ügyfelek'!Z81,'Beállítások'!$Q$7),'Beállítások'!$Q$7:$R$12,2,TRUE)))</f>
        <v/>
      </c>
      <c r="AA81">
        <f>IF($A81="","",IF('Ügyfelek'!AA81="",'Beállítások'!$B$84,VLOOKUP(MAX('Ügyfelek'!AA81,'Beállítások'!$T$7),'Beállítások'!$T$7:$U$12,2,TRUE)))</f>
        <v/>
      </c>
      <c r="AB81">
        <f>IF($A81="","",IF('Ügyfelek'!AB81="",'Beállítások'!$B$84,MIN(10,MAX(1,ROUND('Ügyfelek'!AB81,0)))))</f>
        <v/>
      </c>
      <c r="AC81">
        <f>IF($A81="","",IF('Ügyfelek'!AC81="",'Beállítások'!$B$84,MIN(10,MAX(1,ROUND('Ügyfelek'!AC81,0)))))</f>
        <v/>
      </c>
      <c r="AD81">
        <f>IF($A81="","",IF('Ügyfelek'!AD81="",'Beállítások'!$B$84,MIN(10,MAX(1,ROUND('Ügyfelek'!AD81,0)))))</f>
        <v/>
      </c>
      <c r="AE81">
        <f>IF($A81="","",IF('Ügyfelek'!AE81="",'Beállítások'!$B$84,MIN(10,MAX(1,ROUND('Ügyfelek'!AE81,0)))))</f>
        <v/>
      </c>
      <c r="AF81">
        <f>IF($A81="","",IF('Ügyfelek'!AF81="",'Beállítások'!$B$84,MIN(10,MAX(1,ROUND('Ügyfelek'!AF81,0)))))</f>
        <v/>
      </c>
      <c r="AG81">
        <f>IF($A81="","",IF('Ügyfelek'!AG81="",'Beállítások'!$B$84,MIN(10,MAX(1,ROUND('Ügyfelek'!AG81,0)))))</f>
        <v/>
      </c>
      <c r="AH81">
        <f>IF($A81="","",IF('Ügyfelek'!AH81="",'Beállítások'!$B$84,IFERROR(VLOOKUP(TRIM('Ügyfelek'!AH81),'Beállítások'!$A$73:$B$79,2,FALSE),'Beállítások'!$B$84)))</f>
        <v/>
      </c>
      <c r="AI81" s="23">
        <f>IF($A81="","",ROUND(100*('Beállítások'!$E$6*(B81-1)+'Beállítások'!$E$7*(C81-1))/(9*'Beállítások'!$B$43),1))</f>
        <v/>
      </c>
      <c r="AJ81" s="23">
        <f>IF($A81="","",ROUND(100*('Beállítások'!$E$8*(D81-1)+'Beállítások'!$E$9*(E81-1)+'Beállítások'!$E$10*(F81-1)+'Beállítások'!$E$11*(G81-1)+'Beállítások'!$E$12*(H81-1)+'Beállítások'!$E$13*(I81-1)+'Beállítások'!$E$14*(J81-1)+'Beállítások'!$E$15*(K81-1)+'Beállítások'!$E$16*(L81-1)+'Beállítások'!$E$17*(M81-1)+'Beállítások'!$E$18*(N81-1)+'Beállítások'!$E$19*(O81-1)+'Beállítások'!$E$20*(P81-1)+'Beállítások'!$E$21*(Q81-1)+'Beállítások'!$E$22*(R81-1))/(9*'Beállítások'!$B$44),1))</f>
        <v/>
      </c>
      <c r="AK81" s="23">
        <f>IF($A81="","",ROUND(100*('Beállítások'!$E$23*(S81-1)+'Beállítások'!$E$24*(T81-1)+'Beállítások'!$E$25*(U81-1)+'Beállítások'!$E$26*(V81-1)+'Beállítások'!$E$27*(W81-1)+'Beállítások'!$E$28*(X81-1)+'Beállítások'!$E$29*(Y81-1))/(9*'Beállítások'!$B$45),1))</f>
        <v/>
      </c>
      <c r="AL81" s="23">
        <f>IF($A81="","",ROUND(100*('Beállítások'!$E$30*(Z81-1)+'Beállítások'!$E$31*(AA81-1)+'Beállítások'!$E$32*(AB81-1)+'Beállítások'!$E$33*(AC81-1)+'Beállítások'!$E$34*(AD81-1)+'Beállítások'!$E$35*(AE81-1)+'Beállítások'!$E$36*(AF81-1)+'Beállítások'!$E$37*(AG81-1)+'Beállítások'!$E$38*(AH81-1))/(9*'Beállítások'!$B$46),1))</f>
        <v/>
      </c>
      <c r="AM81" s="23">
        <f>IF($A81="","",ROUND(100*('Beállítások'!$E$6*(B81-1)+'Beállítások'!$E$7*(C81-1)+'Beállítások'!$E$8*(D81-1)+'Beállítások'!$E$9*(E81-1)+'Beállítások'!$E$10*(F81-1)+'Beállítások'!$E$11*(G81-1)+'Beállítások'!$E$12*(H81-1)+'Beállítások'!$E$13*(I81-1)+'Beállítások'!$E$14*(J81-1)+'Beállítások'!$E$15*(K81-1)+'Beállítások'!$E$16*(L81-1)+'Beállítások'!$E$17*(M81-1)+'Beállítások'!$E$18*(N81-1)+'Beállítások'!$E$19*(O81-1)+'Beállítások'!$E$20*(P81-1)+'Beállítások'!$E$21*(Q81-1)+'Beállítások'!$E$22*(R81-1)+'Beállítások'!$E$23*(S81-1)+'Beállítások'!$E$24*(T81-1)+'Beállítások'!$E$25*(U81-1)+'Beállítások'!$E$26*(V81-1)+'Beállítások'!$E$27*(W81-1)+'Beállítások'!$E$28*(X81-1)+'Beállítások'!$E$29*(Y81-1)+'Beállítások'!$E$30*(Z81-1)+'Beállítások'!$E$31*(AA81-1)+'Beállítások'!$E$32*(AB81-1)+'Beállítások'!$E$33*(AC81-1)+'Beállítások'!$E$34*(AD81-1)+'Beállítások'!$E$35*(AE81-1)+'Beállítások'!$E$36*(AF81-1)+'Beállítások'!$E$37*(AG81-1)+'Beállítások'!$E$38*(AH81-1))/(9*'Beállítások'!$E$39),1))</f>
        <v/>
      </c>
      <c r="AN81" s="23">
        <f>IF($A81="","",ROUND(100*('Beállítások'!$E$8*(D81-1)+'Beállítások'!$E$9*(E81-1)+'Beállítások'!$E$10*(F81-1)+'Beállítások'!$E$11*(G81-1)+'Beállítások'!$E$12*(H81-1)+'Beállítások'!$E$13*(I81-1)+'Beállítások'!$E$14*(J81-1)+'Beállítások'!$E$15*(K81-1)+'Beállítások'!$E$16*(L81-1)+'Beállítások'!$E$17*(M81-1)+'Beállítások'!$E$18*(N81-1)+'Beállítások'!$E$19*(O81-1)+'Beállítások'!$E$20*(P81-1)+'Beállítások'!$E$21*(Q81-1)+'Beállítások'!$E$22*(R81-1)+'Beállítások'!$E$23*(S81-1)+'Beállítások'!$E$24*(T81-1)+'Beállítások'!$E$25*(U81-1)+'Beállítások'!$E$26*(V81-1)+'Beállítások'!$E$27*(W81-1)+'Beállítások'!$E$28*(X81-1)+'Beállítások'!$E$29*(Y81-1))/(9*('Beállítások'!$B$44+'Beállítások'!$B$45)),1))</f>
        <v/>
      </c>
      <c r="AO81" s="24">
        <f>IF($A81="","",RANK(AM81,$AM$2:$AM$201))</f>
        <v/>
      </c>
      <c r="AP81">
        <f>IF($A81="","",IF(OR(AND('Ügyfelek'!B81&lt;&gt;"",B81&lt;='Beállítások'!$B$85),AND('Ügyfelek'!C81&lt;&gt;"",C81&lt;='Beállítások'!$B$86)),"Igen","Nem"))</f>
        <v/>
      </c>
      <c r="AQ81" s="24">
        <f>IF($A81="","",IF(AP81="Igen",5,IF(AN81&gt;='Beállítások'!$C$108,1,IF(AN81&gt;='Beállítások'!$C$109,2,IF(AN81&gt;='Beállítások'!$C$110,3,IF(AND(AN81&gt;='Beállítások'!$B$87,AI81&gt;='Beállítások'!$B$88,AL81&gt;='Beállítások'!$B$89),4,5))))))</f>
        <v/>
      </c>
      <c r="AR81">
        <f>IF($A81="","",INDEX('Beállítások'!$B$108:$B$112,AQ81))</f>
        <v/>
      </c>
      <c r="AS81">
        <f>IF($A81="","",IF(AQ81=5,"Elutasítjuk",IF(AND(AQ81=4,COUNTIFS('Eredmény'!$AQ$2:$AQ$201,4,'Eredmény'!$DY$2:$DY$201,"&gt;"&amp;DY81)&gt;='Beállítások'!$B$90),"Várólista (a 4-es hely foglalt)","Elfogadjuk")))</f>
        <v/>
      </c>
      <c r="AT81">
        <f>IF($A81="","",INDEX('Beállítások'!$F$108:$F$112,AQ81))</f>
        <v/>
      </c>
      <c r="AU81">
        <f>IF($A81="","",INDEX('Beállítások'!$B$6:$B$38,MATCH(MAX(BK81:CQ81),BK81:CQ81,0)))</f>
        <v/>
      </c>
      <c r="AV81">
        <f>IF($A81="","",IF(MAX(CR81:DX81)=0,"—",INDEX('Beállítások'!$B$6:$B$38,MATCH(MAX(CR81:DX81),CR81:DX81,0))))</f>
        <v/>
      </c>
      <c r="AW81" s="10">
        <f>IF($A81="","",'Beállítások'!$B$94*(TRIM('Ügyfelek'!AI81)="igen")+'Beállítások'!$B$95*(TRIM('Ügyfelek'!AJ81)="igen")+'Beállítások'!$B$96*N('Ügyfelek'!AK81)+'Beállítások'!$B$93*N('Ügyfelek'!AL81))</f>
        <v/>
      </c>
      <c r="AX81" s="25">
        <f>IF(OR($A81="",AQ81=5),"",INDEX('Beállítások'!$D$108:$D$112,AQ81))</f>
        <v/>
      </c>
      <c r="AY81" s="10">
        <f>IF($A81="","",N('Ügyfelek'!U81)*'Beállítások'!$B$98)</f>
        <v/>
      </c>
      <c r="AZ81" s="10">
        <f>IF(OR($A81="",AQ81=5),"",CEILING(ROUND(MAX('Beállítások'!$B$97,AW81*AX81,AY81),2),'Beállítások'!$B$99))</f>
        <v/>
      </c>
      <c r="BA81">
        <f>IF($A81="","",IF(AQ81=5,"Elutasítva",IF(MAX('Beállítások'!$B$97,AW81*AX81,AY81)=AW81*AX81,"Munkaigény × státuszszorzó",IF(MAX('Beállítások'!$B$97,AW81*AX81,AY81)=AY81,"Hirdetési keret arányában","Minimumdíj"))))</f>
        <v/>
      </c>
      <c r="BB81" s="10">
        <f>IF(OR($A81="",'Ügyfelek'!AM81=""),"",'Ügyfelek'!AM81)</f>
        <v/>
      </c>
      <c r="BC81" s="10">
        <f>IF(OR(BB81="",AZ81=""),"",AZ81-BB81)</f>
        <v/>
      </c>
      <c r="BD81" s="18">
        <f>IF(OR(BB81="",AZ81="",BB81=0),"",BC81/BB81)</f>
        <v/>
      </c>
      <c r="BE81">
        <f>IF(OR($A81="",AQ81=5),"",IF(AND(INDEX('Beállítások'!$E$108:$E$112,AQ81)&gt;0,Y81&gt;='Beállítások'!$B$91),"Igen","Nem"))</f>
        <v/>
      </c>
      <c r="BF81" s="10">
        <f>IF(BE81="Igen",CEILING(ROUND(AZ81*(1-'Beállítások'!$B$92),2),'Beállítások'!$B$99),"")</f>
        <v/>
      </c>
      <c r="BG81" s="20">
        <f>IF(BE81="Igen",INDEX('Beállítások'!$E$108:$E$112,AQ81),"")</f>
        <v/>
      </c>
      <c r="BH81" s="10">
        <f>IF(OR(BE81&lt;&gt;"Igen",'Ügyfelek'!AN81=""),"",'Ügyfelek'!AN81*BG81)</f>
        <v/>
      </c>
      <c r="BI81" s="24">
        <f>IF($A81="","",('Ügyfelek'!B81="")+('Ügyfelek'!C81="")+('Ügyfelek'!D81="")+('Ügyfelek'!E81="")+('Ügyfelek'!F81="")+('Ügyfelek'!G81="")+('Ügyfelek'!H81="")+('Ügyfelek'!I81="")+('Ügyfelek'!J81="")+('Ügyfelek'!K81="")+('Ügyfelek'!L81="")+('Ügyfelek'!M81="")+('Ügyfelek'!N81="")+('Ügyfelek'!O81="")+('Ügyfelek'!P81="")+('Ügyfelek'!Q81="")+('Ügyfelek'!R81="")+('Ügyfelek'!S81="")+('Ügyfelek'!T81="")+('Ügyfelek'!U81="")+('Ügyfelek'!V81="")+('Ügyfelek'!W81="")+('Ügyfelek'!X81="")+('Ügyfelek'!Y81="")+('Ügyfelek'!Z81="")+('Ügyfelek'!AA81="")+('Ügyfelek'!AB81="")+('Ügyfelek'!AC81="")+('Ügyfelek'!AD81="")+('Ügyfelek'!AE81="")+('Ügyfelek'!AF81="")+('Ügyfelek'!AG81="")+('Ügyfelek'!AH81=""))</f>
        <v/>
      </c>
      <c r="BK81">
        <f>IF($A81="","",B81+'Beállítások'!$E$6/1000)</f>
        <v/>
      </c>
      <c r="BL81">
        <f>IF($A81="","",C81+'Beállítások'!$E$7/1000)</f>
        <v/>
      </c>
      <c r="BM81">
        <f>IF($A81="","",D81+'Beállítások'!$E$8/1000)</f>
        <v/>
      </c>
      <c r="BN81">
        <f>IF($A81="","",E81+'Beállítások'!$E$9/1000)</f>
        <v/>
      </c>
      <c r="BO81">
        <f>IF($A81="","",F81+'Beállítások'!$E$10/1000)</f>
        <v/>
      </c>
      <c r="BP81">
        <f>IF($A81="","",G81+'Beállítások'!$E$11/1000)</f>
        <v/>
      </c>
      <c r="BQ81">
        <f>IF($A81="","",H81+'Beállítások'!$E$12/1000)</f>
        <v/>
      </c>
      <c r="BR81">
        <f>IF($A81="","",I81+'Beállítások'!$E$13/1000)</f>
        <v/>
      </c>
      <c r="BS81">
        <f>IF($A81="","",J81+'Beállítások'!$E$14/1000)</f>
        <v/>
      </c>
      <c r="BT81">
        <f>IF($A81="","",K81+'Beállítások'!$E$15/1000)</f>
        <v/>
      </c>
      <c r="BU81">
        <f>IF($A81="","",L81+'Beállítások'!$E$16/1000)</f>
        <v/>
      </c>
      <c r="BV81">
        <f>IF($A81="","",M81+'Beállítások'!$E$17/1000)</f>
        <v/>
      </c>
      <c r="BW81">
        <f>IF($A81="","",N81+'Beállítások'!$E$18/1000)</f>
        <v/>
      </c>
      <c r="BX81">
        <f>IF($A81="","",O81+'Beállítások'!$E$19/1000)</f>
        <v/>
      </c>
      <c r="BY81">
        <f>IF($A81="","",P81+'Beállítások'!$E$20/1000)</f>
        <v/>
      </c>
      <c r="BZ81">
        <f>IF($A81="","",Q81+'Beállítások'!$E$21/1000)</f>
        <v/>
      </c>
      <c r="CA81">
        <f>IF($A81="","",R81+'Beállítások'!$E$22/1000)</f>
        <v/>
      </c>
      <c r="CB81">
        <f>IF($A81="","",S81+'Beállítások'!$E$23/1000)</f>
        <v/>
      </c>
      <c r="CC81">
        <f>IF($A81="","",T81+'Beállítások'!$E$24/1000)</f>
        <v/>
      </c>
      <c r="CD81">
        <f>IF($A81="","",U81+'Beállítások'!$E$25/1000)</f>
        <v/>
      </c>
      <c r="CE81">
        <f>IF($A81="","",V81+'Beállítások'!$E$26/1000)</f>
        <v/>
      </c>
      <c r="CF81">
        <f>IF($A81="","",W81+'Beállítások'!$E$27/1000)</f>
        <v/>
      </c>
      <c r="CG81">
        <f>IF($A81="","",X81+'Beállítások'!$E$28/1000)</f>
        <v/>
      </c>
      <c r="CH81">
        <f>IF($A81="","",Y81+'Beállítások'!$E$29/1000)</f>
        <v/>
      </c>
      <c r="CI81">
        <f>IF($A81="","",Z81+'Beállítások'!$E$30/1000)</f>
        <v/>
      </c>
      <c r="CJ81">
        <f>IF($A81="","",AA81+'Beállítások'!$E$31/1000)</f>
        <v/>
      </c>
      <c r="CK81">
        <f>IF($A81="","",AB81+'Beállítások'!$E$32/1000)</f>
        <v/>
      </c>
      <c r="CL81">
        <f>IF($A81="","",AC81+'Beállítások'!$E$33/1000)</f>
        <v/>
      </c>
      <c r="CM81">
        <f>IF($A81="","",AD81+'Beállítások'!$E$34/1000)</f>
        <v/>
      </c>
      <c r="CN81">
        <f>IF($A81="","",AE81+'Beállítások'!$E$35/1000)</f>
        <v/>
      </c>
      <c r="CO81">
        <f>IF($A81="","",AF81+'Beállítások'!$E$36/1000)</f>
        <v/>
      </c>
      <c r="CP81">
        <f>IF($A81="","",AG81+'Beállítások'!$E$37/1000)</f>
        <v/>
      </c>
      <c r="CQ81">
        <f>IF($A81="","",AH81+'Beállítások'!$E$38/1000)</f>
        <v/>
      </c>
      <c r="CR81">
        <f>IF($A81="","",'Beállítások'!$E$6*(10-B81))</f>
        <v/>
      </c>
      <c r="CS81">
        <f>IF($A81="","",'Beállítások'!$E$7*(10-C81))</f>
        <v/>
      </c>
      <c r="CT81">
        <f>IF($A81="","",'Beállítások'!$E$8*(10-D81))</f>
        <v/>
      </c>
      <c r="CU81">
        <f>IF($A81="","",'Beállítások'!$E$9*(10-E81))</f>
        <v/>
      </c>
      <c r="CV81">
        <f>IF($A81="","",'Beállítások'!$E$10*(10-F81))</f>
        <v/>
      </c>
      <c r="CW81">
        <f>IF($A81="","",'Beállítások'!$E$11*(10-G81))</f>
        <v/>
      </c>
      <c r="CX81">
        <f>IF($A81="","",'Beállítások'!$E$12*(10-H81))</f>
        <v/>
      </c>
      <c r="CY81">
        <f>IF($A81="","",'Beállítások'!$E$13*(10-I81))</f>
        <v/>
      </c>
      <c r="CZ81">
        <f>IF($A81="","",'Beállítások'!$E$14*(10-J81))</f>
        <v/>
      </c>
      <c r="DA81">
        <f>IF($A81="","",'Beállítások'!$E$15*(10-K81))</f>
        <v/>
      </c>
      <c r="DB81">
        <f>IF($A81="","",'Beállítások'!$E$16*(10-L81))</f>
        <v/>
      </c>
      <c r="DC81">
        <f>IF($A81="","",'Beállítások'!$E$17*(10-M81))</f>
        <v/>
      </c>
      <c r="DD81">
        <f>IF($A81="","",'Beállítások'!$E$18*(10-N81))</f>
        <v/>
      </c>
      <c r="DE81">
        <f>IF($A81="","",'Beállítások'!$E$19*(10-O81))</f>
        <v/>
      </c>
      <c r="DF81">
        <f>IF($A81="","",'Beállítások'!$E$20*(10-P81))</f>
        <v/>
      </c>
      <c r="DG81">
        <f>IF($A81="","",'Beállítások'!$E$21*(10-Q81))</f>
        <v/>
      </c>
      <c r="DH81">
        <f>IF($A81="","",'Beállítások'!$E$22*(10-R81))</f>
        <v/>
      </c>
      <c r="DI81">
        <f>IF($A81="","",'Beállítások'!$E$23*(10-S81))</f>
        <v/>
      </c>
      <c r="DJ81">
        <f>IF($A81="","",'Beállítások'!$E$24*(10-T81))</f>
        <v/>
      </c>
      <c r="DK81">
        <f>IF($A81="","",'Beállítások'!$E$25*(10-U81))</f>
        <v/>
      </c>
      <c r="DL81">
        <f>IF($A81="","",'Beállítások'!$E$26*(10-V81))</f>
        <v/>
      </c>
      <c r="DM81">
        <f>IF($A81="","",'Beállítások'!$E$27*(10-W81))</f>
        <v/>
      </c>
      <c r="DN81">
        <f>IF($A81="","",'Beállítások'!$E$28*(10-X81))</f>
        <v/>
      </c>
      <c r="DO81">
        <f>IF($A81="","",'Beállítások'!$E$29*(10-Y81))</f>
        <v/>
      </c>
      <c r="DP81">
        <f>IF($A81="","",'Beállítások'!$E$30*(10-Z81))</f>
        <v/>
      </c>
      <c r="DQ81">
        <f>IF($A81="","",'Beállítások'!$E$31*(10-AA81))</f>
        <v/>
      </c>
      <c r="DR81">
        <f>IF($A81="","",'Beállítások'!$E$32*(10-AB81))</f>
        <v/>
      </c>
      <c r="DS81">
        <f>IF($A81="","",'Beállítások'!$E$33*(10-AC81))</f>
        <v/>
      </c>
      <c r="DT81">
        <f>IF($A81="","",'Beállítások'!$E$34*(10-AD81))</f>
        <v/>
      </c>
      <c r="DU81">
        <f>IF($A81="","",'Beállítások'!$E$35*(10-AE81))</f>
        <v/>
      </c>
      <c r="DV81">
        <f>IF($A81="","",'Beállítások'!$E$36*(10-AF81))</f>
        <v/>
      </c>
      <c r="DW81">
        <f>IF($A81="","",'Beállítások'!$E$37*(10-AG81))</f>
        <v/>
      </c>
      <c r="DX81">
        <f>IF($A81="","",'Beállítások'!$E$38*(10-AH81))</f>
        <v/>
      </c>
      <c r="DY81">
        <f>IF($A81="","",AM81-ROW()/100000)</f>
        <v/>
      </c>
    </row>
    <row r="82">
      <c r="A82">
        <f>IF('Ügyfelek'!A82="","",'Ügyfelek'!A82)</f>
        <v/>
      </c>
      <c r="B82">
        <f>IF($A82="","",IF('Ügyfelek'!B82="",'Beállítások'!$B$84,IFERROR(VLOOKUP(TRIM('Ügyfelek'!B82),'Beállítások'!$A$51:$B$59,2,FALSE),'Beállítások'!$B$84)))</f>
        <v/>
      </c>
      <c r="C82">
        <f>IF($A82="","",IF('Ügyfelek'!C82="",'Beállítások'!$B$84,MIN(10,MAX(1,ROUND('Ügyfelek'!C82,0)))))</f>
        <v/>
      </c>
      <c r="D82">
        <f>IF($A82="","",IF('Ügyfelek'!D82="",'Beállítások'!$B$84,MIN(10,MAX(1,ROUND('Ügyfelek'!D82,0)))))</f>
        <v/>
      </c>
      <c r="E82">
        <f>IF($A82="","",IF('Ügyfelek'!E82="",'Beállítások'!$B$84,MIN(10,MAX(1,ROUND('Ügyfelek'!E82,0)))))</f>
        <v/>
      </c>
      <c r="F82">
        <f>IF($A82="","",IF('Ügyfelek'!F82="",'Beállítások'!$B$84,MIN(10,MAX(1,ROUND('Ügyfelek'!F82,0)))))</f>
        <v/>
      </c>
      <c r="G82">
        <f>IF($A82="","",IF('Ügyfelek'!G82="",'Beállítások'!$B$84,MIN(10,MAX(1,ROUND('Ügyfelek'!G82,0)))))</f>
        <v/>
      </c>
      <c r="H82">
        <f>IF($A82="","",IF('Ügyfelek'!H82="",'Beállítások'!$B$84,MIN(10,MAX(1,ROUND('Ügyfelek'!H82,0)))))</f>
        <v/>
      </c>
      <c r="I82">
        <f>IF($A82="","",IF('Ügyfelek'!I82="",'Beállítások'!$B$84,MIN(10,MAX(1,ROUND('Ügyfelek'!I82,0)))))</f>
        <v/>
      </c>
      <c r="J82">
        <f>IF($A82="","",IF('Ügyfelek'!J82="",'Beállítások'!$B$84,MIN(10,MAX(1,ROUND('Ügyfelek'!J82,0)))))</f>
        <v/>
      </c>
      <c r="K82">
        <f>IF($A82="","",IF('Ügyfelek'!K82="",'Beállítások'!$B$84,MIN(10,MAX(1,ROUND('Ügyfelek'!K82,0)))))</f>
        <v/>
      </c>
      <c r="L82">
        <f>IF($A82="","",IF('Ügyfelek'!L82="",'Beállítások'!$B$84,MIN(10,MAX(1,ROUND('Ügyfelek'!L82,0)))))</f>
        <v/>
      </c>
      <c r="M82">
        <f>IF($A82="","",IF('Ügyfelek'!M82="",'Beállítások'!$B$84,MIN(10,MAX(1,ROUND('Ügyfelek'!M82,0)))))</f>
        <v/>
      </c>
      <c r="N82">
        <f>IF($A82="","",IF('Ügyfelek'!N82="",'Beállítások'!$B$84,MIN(10,MAX(1,ROUND('Ügyfelek'!N82,0)))))</f>
        <v/>
      </c>
      <c r="O82">
        <f>IF($A82="","",IF('Ügyfelek'!O82="",'Beállítások'!$B$84,MIN(10,MAX(1,ROUND('Ügyfelek'!O82,0)))))</f>
        <v/>
      </c>
      <c r="P82">
        <f>IF($A82="","",IF('Ügyfelek'!P82="",'Beállítások'!$B$84,MIN(10,MAX(1,ROUND('Ügyfelek'!P82,0)))))</f>
        <v/>
      </c>
      <c r="Q82">
        <f>IF($A82="","",IF('Ügyfelek'!Q82="",'Beállítások'!$B$84,MIN(10,MAX(1,ROUND('Ügyfelek'!Q82,0)))))</f>
        <v/>
      </c>
      <c r="R82">
        <f>IF($A82="","",IF('Ügyfelek'!R82="",'Beállítások'!$B$84,MIN(10,MAX(1,ROUND('Ügyfelek'!R82,0)))))</f>
        <v/>
      </c>
      <c r="S82">
        <f>IF($A82="","",IF('Ügyfelek'!S82="",'Beállítások'!$B$84,MIN(10,MAX(1,ROUND('Ügyfelek'!S82,0)))))</f>
        <v/>
      </c>
      <c r="T82">
        <f>IF($A82="","",IF('Ügyfelek'!T82="",'Beállítások'!$B$84,VLOOKUP(MAX('Ügyfelek'!T82,'Beállítások'!$H$7),'Beállítások'!$H$7:$I$12,2,TRUE)))</f>
        <v/>
      </c>
      <c r="U82">
        <f>IF($A82="","",IF('Ügyfelek'!U82="",'Beállítások'!$B$84,VLOOKUP(MAX('Ügyfelek'!U82,'Beállítások'!$K$7),'Beállítások'!$K$7:$L$12,2,TRUE)))</f>
        <v/>
      </c>
      <c r="V82">
        <f>IF($A82="","",IF('Ügyfelek'!V82="",'Beállítások'!$B$84,MIN(10,MAX(1,ROUND('Ügyfelek'!V82,0)))))</f>
        <v/>
      </c>
      <c r="W82">
        <f>IF($A82="","",IF('Ügyfelek'!W82="",'Beállítások'!$B$84,VLOOKUP(MAX('Ügyfelek'!W82,'Beállítások'!$N$7),'Beállítások'!$N$7:$O$12,2,TRUE)))</f>
        <v/>
      </c>
      <c r="X82">
        <f>IF($A82="","",IF('Ügyfelek'!X82="",'Beállítások'!$B$84,MIN(10,MAX(1,ROUND('Ügyfelek'!X82,0)))))</f>
        <v/>
      </c>
      <c r="Y82">
        <f>IF($A82="","",IF('Ügyfelek'!Y82="",'Beállítások'!$B$84,IFERROR(VLOOKUP(TRIM('Ügyfelek'!Y82),'Beállítások'!$A$63:$B$69,2,FALSE),'Beállítások'!$B$84)))</f>
        <v/>
      </c>
      <c r="Z82">
        <f>IF($A82="","",IF('Ügyfelek'!Z82="",'Beállítások'!$B$84,VLOOKUP(MAX('Ügyfelek'!Z82,'Beállítások'!$Q$7),'Beállítások'!$Q$7:$R$12,2,TRUE)))</f>
        <v/>
      </c>
      <c r="AA82">
        <f>IF($A82="","",IF('Ügyfelek'!AA82="",'Beállítások'!$B$84,VLOOKUP(MAX('Ügyfelek'!AA82,'Beállítások'!$T$7),'Beállítások'!$T$7:$U$12,2,TRUE)))</f>
        <v/>
      </c>
      <c r="AB82">
        <f>IF($A82="","",IF('Ügyfelek'!AB82="",'Beállítások'!$B$84,MIN(10,MAX(1,ROUND('Ügyfelek'!AB82,0)))))</f>
        <v/>
      </c>
      <c r="AC82">
        <f>IF($A82="","",IF('Ügyfelek'!AC82="",'Beállítások'!$B$84,MIN(10,MAX(1,ROUND('Ügyfelek'!AC82,0)))))</f>
        <v/>
      </c>
      <c r="AD82">
        <f>IF($A82="","",IF('Ügyfelek'!AD82="",'Beállítások'!$B$84,MIN(10,MAX(1,ROUND('Ügyfelek'!AD82,0)))))</f>
        <v/>
      </c>
      <c r="AE82">
        <f>IF($A82="","",IF('Ügyfelek'!AE82="",'Beállítások'!$B$84,MIN(10,MAX(1,ROUND('Ügyfelek'!AE82,0)))))</f>
        <v/>
      </c>
      <c r="AF82">
        <f>IF($A82="","",IF('Ügyfelek'!AF82="",'Beállítások'!$B$84,MIN(10,MAX(1,ROUND('Ügyfelek'!AF82,0)))))</f>
        <v/>
      </c>
      <c r="AG82">
        <f>IF($A82="","",IF('Ügyfelek'!AG82="",'Beállítások'!$B$84,MIN(10,MAX(1,ROUND('Ügyfelek'!AG82,0)))))</f>
        <v/>
      </c>
      <c r="AH82">
        <f>IF($A82="","",IF('Ügyfelek'!AH82="",'Beállítások'!$B$84,IFERROR(VLOOKUP(TRIM('Ügyfelek'!AH82),'Beállítások'!$A$73:$B$79,2,FALSE),'Beállítások'!$B$84)))</f>
        <v/>
      </c>
      <c r="AI82" s="23">
        <f>IF($A82="","",ROUND(100*('Beállítások'!$E$6*(B82-1)+'Beállítások'!$E$7*(C82-1))/(9*'Beállítások'!$B$43),1))</f>
        <v/>
      </c>
      <c r="AJ82" s="23">
        <f>IF($A82="","",ROUND(100*('Beállítások'!$E$8*(D82-1)+'Beállítások'!$E$9*(E82-1)+'Beállítások'!$E$10*(F82-1)+'Beállítások'!$E$11*(G82-1)+'Beállítások'!$E$12*(H82-1)+'Beállítások'!$E$13*(I82-1)+'Beállítások'!$E$14*(J82-1)+'Beállítások'!$E$15*(K82-1)+'Beállítások'!$E$16*(L82-1)+'Beállítások'!$E$17*(M82-1)+'Beállítások'!$E$18*(N82-1)+'Beállítások'!$E$19*(O82-1)+'Beállítások'!$E$20*(P82-1)+'Beállítások'!$E$21*(Q82-1)+'Beállítások'!$E$22*(R82-1))/(9*'Beállítások'!$B$44),1))</f>
        <v/>
      </c>
      <c r="AK82" s="23">
        <f>IF($A82="","",ROUND(100*('Beállítások'!$E$23*(S82-1)+'Beállítások'!$E$24*(T82-1)+'Beállítások'!$E$25*(U82-1)+'Beállítások'!$E$26*(V82-1)+'Beállítások'!$E$27*(W82-1)+'Beállítások'!$E$28*(X82-1)+'Beállítások'!$E$29*(Y82-1))/(9*'Beállítások'!$B$45),1))</f>
        <v/>
      </c>
      <c r="AL82" s="23">
        <f>IF($A82="","",ROUND(100*('Beállítások'!$E$30*(Z82-1)+'Beállítások'!$E$31*(AA82-1)+'Beállítások'!$E$32*(AB82-1)+'Beállítások'!$E$33*(AC82-1)+'Beállítások'!$E$34*(AD82-1)+'Beállítások'!$E$35*(AE82-1)+'Beállítások'!$E$36*(AF82-1)+'Beállítások'!$E$37*(AG82-1)+'Beállítások'!$E$38*(AH82-1))/(9*'Beállítások'!$B$46),1))</f>
        <v/>
      </c>
      <c r="AM82" s="23">
        <f>IF($A82="","",ROUND(100*('Beállítások'!$E$6*(B82-1)+'Beállítások'!$E$7*(C82-1)+'Beállítások'!$E$8*(D82-1)+'Beállítások'!$E$9*(E82-1)+'Beállítások'!$E$10*(F82-1)+'Beállítások'!$E$11*(G82-1)+'Beállítások'!$E$12*(H82-1)+'Beállítások'!$E$13*(I82-1)+'Beállítások'!$E$14*(J82-1)+'Beállítások'!$E$15*(K82-1)+'Beállítások'!$E$16*(L82-1)+'Beállítások'!$E$17*(M82-1)+'Beállítások'!$E$18*(N82-1)+'Beállítások'!$E$19*(O82-1)+'Beállítások'!$E$20*(P82-1)+'Beállítások'!$E$21*(Q82-1)+'Beállítások'!$E$22*(R82-1)+'Beállítások'!$E$23*(S82-1)+'Beállítások'!$E$24*(T82-1)+'Beállítások'!$E$25*(U82-1)+'Beállítások'!$E$26*(V82-1)+'Beállítások'!$E$27*(W82-1)+'Beállítások'!$E$28*(X82-1)+'Beállítások'!$E$29*(Y82-1)+'Beállítások'!$E$30*(Z82-1)+'Beállítások'!$E$31*(AA82-1)+'Beállítások'!$E$32*(AB82-1)+'Beállítások'!$E$33*(AC82-1)+'Beállítások'!$E$34*(AD82-1)+'Beállítások'!$E$35*(AE82-1)+'Beállítások'!$E$36*(AF82-1)+'Beállítások'!$E$37*(AG82-1)+'Beállítások'!$E$38*(AH82-1))/(9*'Beállítások'!$E$39),1))</f>
        <v/>
      </c>
      <c r="AN82" s="23">
        <f>IF($A82="","",ROUND(100*('Beállítások'!$E$8*(D82-1)+'Beállítások'!$E$9*(E82-1)+'Beállítások'!$E$10*(F82-1)+'Beállítások'!$E$11*(G82-1)+'Beállítások'!$E$12*(H82-1)+'Beállítások'!$E$13*(I82-1)+'Beállítások'!$E$14*(J82-1)+'Beállítások'!$E$15*(K82-1)+'Beállítások'!$E$16*(L82-1)+'Beállítások'!$E$17*(M82-1)+'Beállítások'!$E$18*(N82-1)+'Beállítások'!$E$19*(O82-1)+'Beállítások'!$E$20*(P82-1)+'Beállítások'!$E$21*(Q82-1)+'Beállítások'!$E$22*(R82-1)+'Beállítások'!$E$23*(S82-1)+'Beállítások'!$E$24*(T82-1)+'Beállítások'!$E$25*(U82-1)+'Beállítások'!$E$26*(V82-1)+'Beállítások'!$E$27*(W82-1)+'Beállítások'!$E$28*(X82-1)+'Beállítások'!$E$29*(Y82-1))/(9*('Beállítások'!$B$44+'Beállítások'!$B$45)),1))</f>
        <v/>
      </c>
      <c r="AO82" s="24">
        <f>IF($A82="","",RANK(AM82,$AM$2:$AM$201))</f>
        <v/>
      </c>
      <c r="AP82">
        <f>IF($A82="","",IF(OR(AND('Ügyfelek'!B82&lt;&gt;"",B82&lt;='Beállítások'!$B$85),AND('Ügyfelek'!C82&lt;&gt;"",C82&lt;='Beállítások'!$B$86)),"Igen","Nem"))</f>
        <v/>
      </c>
      <c r="AQ82" s="24">
        <f>IF($A82="","",IF(AP82="Igen",5,IF(AN82&gt;='Beállítások'!$C$108,1,IF(AN82&gt;='Beállítások'!$C$109,2,IF(AN82&gt;='Beállítások'!$C$110,3,IF(AND(AN82&gt;='Beállítások'!$B$87,AI82&gt;='Beállítások'!$B$88,AL82&gt;='Beállítások'!$B$89),4,5))))))</f>
        <v/>
      </c>
      <c r="AR82">
        <f>IF($A82="","",INDEX('Beállítások'!$B$108:$B$112,AQ82))</f>
        <v/>
      </c>
      <c r="AS82">
        <f>IF($A82="","",IF(AQ82=5,"Elutasítjuk",IF(AND(AQ82=4,COUNTIFS('Eredmény'!$AQ$2:$AQ$201,4,'Eredmény'!$DY$2:$DY$201,"&gt;"&amp;DY82)&gt;='Beállítások'!$B$90),"Várólista (a 4-es hely foglalt)","Elfogadjuk")))</f>
        <v/>
      </c>
      <c r="AT82">
        <f>IF($A82="","",INDEX('Beállítások'!$F$108:$F$112,AQ82))</f>
        <v/>
      </c>
      <c r="AU82">
        <f>IF($A82="","",INDEX('Beállítások'!$B$6:$B$38,MATCH(MAX(BK82:CQ82),BK82:CQ82,0)))</f>
        <v/>
      </c>
      <c r="AV82">
        <f>IF($A82="","",IF(MAX(CR82:DX82)=0,"—",INDEX('Beállítások'!$B$6:$B$38,MATCH(MAX(CR82:DX82),CR82:DX82,0))))</f>
        <v/>
      </c>
      <c r="AW82" s="10">
        <f>IF($A82="","",'Beállítások'!$B$94*(TRIM('Ügyfelek'!AI82)="igen")+'Beállítások'!$B$95*(TRIM('Ügyfelek'!AJ82)="igen")+'Beállítások'!$B$96*N('Ügyfelek'!AK82)+'Beállítások'!$B$93*N('Ügyfelek'!AL82))</f>
        <v/>
      </c>
      <c r="AX82" s="25">
        <f>IF(OR($A82="",AQ82=5),"",INDEX('Beállítások'!$D$108:$D$112,AQ82))</f>
        <v/>
      </c>
      <c r="AY82" s="10">
        <f>IF($A82="","",N('Ügyfelek'!U82)*'Beállítások'!$B$98)</f>
        <v/>
      </c>
      <c r="AZ82" s="10">
        <f>IF(OR($A82="",AQ82=5),"",CEILING(ROUND(MAX('Beállítások'!$B$97,AW82*AX82,AY82),2),'Beállítások'!$B$99))</f>
        <v/>
      </c>
      <c r="BA82">
        <f>IF($A82="","",IF(AQ82=5,"Elutasítva",IF(MAX('Beállítások'!$B$97,AW82*AX82,AY82)=AW82*AX82,"Munkaigény × státuszszorzó",IF(MAX('Beállítások'!$B$97,AW82*AX82,AY82)=AY82,"Hirdetési keret arányában","Minimumdíj"))))</f>
        <v/>
      </c>
      <c r="BB82" s="10">
        <f>IF(OR($A82="",'Ügyfelek'!AM82=""),"",'Ügyfelek'!AM82)</f>
        <v/>
      </c>
      <c r="BC82" s="10">
        <f>IF(OR(BB82="",AZ82=""),"",AZ82-BB82)</f>
        <v/>
      </c>
      <c r="BD82" s="18">
        <f>IF(OR(BB82="",AZ82="",BB82=0),"",BC82/BB82)</f>
        <v/>
      </c>
      <c r="BE82">
        <f>IF(OR($A82="",AQ82=5),"",IF(AND(INDEX('Beállítások'!$E$108:$E$112,AQ82)&gt;0,Y82&gt;='Beállítások'!$B$91),"Igen","Nem"))</f>
        <v/>
      </c>
      <c r="BF82" s="10">
        <f>IF(BE82="Igen",CEILING(ROUND(AZ82*(1-'Beállítások'!$B$92),2),'Beállítások'!$B$99),"")</f>
        <v/>
      </c>
      <c r="BG82" s="20">
        <f>IF(BE82="Igen",INDEX('Beállítások'!$E$108:$E$112,AQ82),"")</f>
        <v/>
      </c>
      <c r="BH82" s="10">
        <f>IF(OR(BE82&lt;&gt;"Igen",'Ügyfelek'!AN82=""),"",'Ügyfelek'!AN82*BG82)</f>
        <v/>
      </c>
      <c r="BI82" s="24">
        <f>IF($A82="","",('Ügyfelek'!B82="")+('Ügyfelek'!C82="")+('Ügyfelek'!D82="")+('Ügyfelek'!E82="")+('Ügyfelek'!F82="")+('Ügyfelek'!G82="")+('Ügyfelek'!H82="")+('Ügyfelek'!I82="")+('Ügyfelek'!J82="")+('Ügyfelek'!K82="")+('Ügyfelek'!L82="")+('Ügyfelek'!M82="")+('Ügyfelek'!N82="")+('Ügyfelek'!O82="")+('Ügyfelek'!P82="")+('Ügyfelek'!Q82="")+('Ügyfelek'!R82="")+('Ügyfelek'!S82="")+('Ügyfelek'!T82="")+('Ügyfelek'!U82="")+('Ügyfelek'!V82="")+('Ügyfelek'!W82="")+('Ügyfelek'!X82="")+('Ügyfelek'!Y82="")+('Ügyfelek'!Z82="")+('Ügyfelek'!AA82="")+('Ügyfelek'!AB82="")+('Ügyfelek'!AC82="")+('Ügyfelek'!AD82="")+('Ügyfelek'!AE82="")+('Ügyfelek'!AF82="")+('Ügyfelek'!AG82="")+('Ügyfelek'!AH82=""))</f>
        <v/>
      </c>
      <c r="BK82">
        <f>IF($A82="","",B82+'Beállítások'!$E$6/1000)</f>
        <v/>
      </c>
      <c r="BL82">
        <f>IF($A82="","",C82+'Beállítások'!$E$7/1000)</f>
        <v/>
      </c>
      <c r="BM82">
        <f>IF($A82="","",D82+'Beállítások'!$E$8/1000)</f>
        <v/>
      </c>
      <c r="BN82">
        <f>IF($A82="","",E82+'Beállítások'!$E$9/1000)</f>
        <v/>
      </c>
      <c r="BO82">
        <f>IF($A82="","",F82+'Beállítások'!$E$10/1000)</f>
        <v/>
      </c>
      <c r="BP82">
        <f>IF($A82="","",G82+'Beállítások'!$E$11/1000)</f>
        <v/>
      </c>
      <c r="BQ82">
        <f>IF($A82="","",H82+'Beállítások'!$E$12/1000)</f>
        <v/>
      </c>
      <c r="BR82">
        <f>IF($A82="","",I82+'Beállítások'!$E$13/1000)</f>
        <v/>
      </c>
      <c r="BS82">
        <f>IF($A82="","",J82+'Beállítások'!$E$14/1000)</f>
        <v/>
      </c>
      <c r="BT82">
        <f>IF($A82="","",K82+'Beállítások'!$E$15/1000)</f>
        <v/>
      </c>
      <c r="BU82">
        <f>IF($A82="","",L82+'Beállítások'!$E$16/1000)</f>
        <v/>
      </c>
      <c r="BV82">
        <f>IF($A82="","",M82+'Beállítások'!$E$17/1000)</f>
        <v/>
      </c>
      <c r="BW82">
        <f>IF($A82="","",N82+'Beállítások'!$E$18/1000)</f>
        <v/>
      </c>
      <c r="BX82">
        <f>IF($A82="","",O82+'Beállítások'!$E$19/1000)</f>
        <v/>
      </c>
      <c r="BY82">
        <f>IF($A82="","",P82+'Beállítások'!$E$20/1000)</f>
        <v/>
      </c>
      <c r="BZ82">
        <f>IF($A82="","",Q82+'Beállítások'!$E$21/1000)</f>
        <v/>
      </c>
      <c r="CA82">
        <f>IF($A82="","",R82+'Beállítások'!$E$22/1000)</f>
        <v/>
      </c>
      <c r="CB82">
        <f>IF($A82="","",S82+'Beállítások'!$E$23/1000)</f>
        <v/>
      </c>
      <c r="CC82">
        <f>IF($A82="","",T82+'Beállítások'!$E$24/1000)</f>
        <v/>
      </c>
      <c r="CD82">
        <f>IF($A82="","",U82+'Beállítások'!$E$25/1000)</f>
        <v/>
      </c>
      <c r="CE82">
        <f>IF($A82="","",V82+'Beállítások'!$E$26/1000)</f>
        <v/>
      </c>
      <c r="CF82">
        <f>IF($A82="","",W82+'Beállítások'!$E$27/1000)</f>
        <v/>
      </c>
      <c r="CG82">
        <f>IF($A82="","",X82+'Beállítások'!$E$28/1000)</f>
        <v/>
      </c>
      <c r="CH82">
        <f>IF($A82="","",Y82+'Beállítások'!$E$29/1000)</f>
        <v/>
      </c>
      <c r="CI82">
        <f>IF($A82="","",Z82+'Beállítások'!$E$30/1000)</f>
        <v/>
      </c>
      <c r="CJ82">
        <f>IF($A82="","",AA82+'Beállítások'!$E$31/1000)</f>
        <v/>
      </c>
      <c r="CK82">
        <f>IF($A82="","",AB82+'Beállítások'!$E$32/1000)</f>
        <v/>
      </c>
      <c r="CL82">
        <f>IF($A82="","",AC82+'Beállítások'!$E$33/1000)</f>
        <v/>
      </c>
      <c r="CM82">
        <f>IF($A82="","",AD82+'Beállítások'!$E$34/1000)</f>
        <v/>
      </c>
      <c r="CN82">
        <f>IF($A82="","",AE82+'Beállítások'!$E$35/1000)</f>
        <v/>
      </c>
      <c r="CO82">
        <f>IF($A82="","",AF82+'Beállítások'!$E$36/1000)</f>
        <v/>
      </c>
      <c r="CP82">
        <f>IF($A82="","",AG82+'Beállítások'!$E$37/1000)</f>
        <v/>
      </c>
      <c r="CQ82">
        <f>IF($A82="","",AH82+'Beállítások'!$E$38/1000)</f>
        <v/>
      </c>
      <c r="CR82">
        <f>IF($A82="","",'Beállítások'!$E$6*(10-B82))</f>
        <v/>
      </c>
      <c r="CS82">
        <f>IF($A82="","",'Beállítások'!$E$7*(10-C82))</f>
        <v/>
      </c>
      <c r="CT82">
        <f>IF($A82="","",'Beállítások'!$E$8*(10-D82))</f>
        <v/>
      </c>
      <c r="CU82">
        <f>IF($A82="","",'Beállítások'!$E$9*(10-E82))</f>
        <v/>
      </c>
      <c r="CV82">
        <f>IF($A82="","",'Beállítások'!$E$10*(10-F82))</f>
        <v/>
      </c>
      <c r="CW82">
        <f>IF($A82="","",'Beállítások'!$E$11*(10-G82))</f>
        <v/>
      </c>
      <c r="CX82">
        <f>IF($A82="","",'Beállítások'!$E$12*(10-H82))</f>
        <v/>
      </c>
      <c r="CY82">
        <f>IF($A82="","",'Beállítások'!$E$13*(10-I82))</f>
        <v/>
      </c>
      <c r="CZ82">
        <f>IF($A82="","",'Beállítások'!$E$14*(10-J82))</f>
        <v/>
      </c>
      <c r="DA82">
        <f>IF($A82="","",'Beállítások'!$E$15*(10-K82))</f>
        <v/>
      </c>
      <c r="DB82">
        <f>IF($A82="","",'Beállítások'!$E$16*(10-L82))</f>
        <v/>
      </c>
      <c r="DC82">
        <f>IF($A82="","",'Beállítások'!$E$17*(10-M82))</f>
        <v/>
      </c>
      <c r="DD82">
        <f>IF($A82="","",'Beállítások'!$E$18*(10-N82))</f>
        <v/>
      </c>
      <c r="DE82">
        <f>IF($A82="","",'Beállítások'!$E$19*(10-O82))</f>
        <v/>
      </c>
      <c r="DF82">
        <f>IF($A82="","",'Beállítások'!$E$20*(10-P82))</f>
        <v/>
      </c>
      <c r="DG82">
        <f>IF($A82="","",'Beállítások'!$E$21*(10-Q82))</f>
        <v/>
      </c>
      <c r="DH82">
        <f>IF($A82="","",'Beállítások'!$E$22*(10-R82))</f>
        <v/>
      </c>
      <c r="DI82">
        <f>IF($A82="","",'Beállítások'!$E$23*(10-S82))</f>
        <v/>
      </c>
      <c r="DJ82">
        <f>IF($A82="","",'Beállítások'!$E$24*(10-T82))</f>
        <v/>
      </c>
      <c r="DK82">
        <f>IF($A82="","",'Beállítások'!$E$25*(10-U82))</f>
        <v/>
      </c>
      <c r="DL82">
        <f>IF($A82="","",'Beállítások'!$E$26*(10-V82))</f>
        <v/>
      </c>
      <c r="DM82">
        <f>IF($A82="","",'Beállítások'!$E$27*(10-W82))</f>
        <v/>
      </c>
      <c r="DN82">
        <f>IF($A82="","",'Beállítások'!$E$28*(10-X82))</f>
        <v/>
      </c>
      <c r="DO82">
        <f>IF($A82="","",'Beállítások'!$E$29*(10-Y82))</f>
        <v/>
      </c>
      <c r="DP82">
        <f>IF($A82="","",'Beállítások'!$E$30*(10-Z82))</f>
        <v/>
      </c>
      <c r="DQ82">
        <f>IF($A82="","",'Beállítások'!$E$31*(10-AA82))</f>
        <v/>
      </c>
      <c r="DR82">
        <f>IF($A82="","",'Beállítások'!$E$32*(10-AB82))</f>
        <v/>
      </c>
      <c r="DS82">
        <f>IF($A82="","",'Beállítások'!$E$33*(10-AC82))</f>
        <v/>
      </c>
      <c r="DT82">
        <f>IF($A82="","",'Beállítások'!$E$34*(10-AD82))</f>
        <v/>
      </c>
      <c r="DU82">
        <f>IF($A82="","",'Beállítások'!$E$35*(10-AE82))</f>
        <v/>
      </c>
      <c r="DV82">
        <f>IF($A82="","",'Beállítások'!$E$36*(10-AF82))</f>
        <v/>
      </c>
      <c r="DW82">
        <f>IF($A82="","",'Beállítások'!$E$37*(10-AG82))</f>
        <v/>
      </c>
      <c r="DX82">
        <f>IF($A82="","",'Beállítások'!$E$38*(10-AH82))</f>
        <v/>
      </c>
      <c r="DY82">
        <f>IF($A82="","",AM82-ROW()/100000)</f>
        <v/>
      </c>
    </row>
    <row r="83">
      <c r="A83">
        <f>IF('Ügyfelek'!A83="","",'Ügyfelek'!A83)</f>
        <v/>
      </c>
      <c r="B83">
        <f>IF($A83="","",IF('Ügyfelek'!B83="",'Beállítások'!$B$84,IFERROR(VLOOKUP(TRIM('Ügyfelek'!B83),'Beállítások'!$A$51:$B$59,2,FALSE),'Beállítások'!$B$84)))</f>
        <v/>
      </c>
      <c r="C83">
        <f>IF($A83="","",IF('Ügyfelek'!C83="",'Beállítások'!$B$84,MIN(10,MAX(1,ROUND('Ügyfelek'!C83,0)))))</f>
        <v/>
      </c>
      <c r="D83">
        <f>IF($A83="","",IF('Ügyfelek'!D83="",'Beállítások'!$B$84,MIN(10,MAX(1,ROUND('Ügyfelek'!D83,0)))))</f>
        <v/>
      </c>
      <c r="E83">
        <f>IF($A83="","",IF('Ügyfelek'!E83="",'Beállítások'!$B$84,MIN(10,MAX(1,ROUND('Ügyfelek'!E83,0)))))</f>
        <v/>
      </c>
      <c r="F83">
        <f>IF($A83="","",IF('Ügyfelek'!F83="",'Beállítások'!$B$84,MIN(10,MAX(1,ROUND('Ügyfelek'!F83,0)))))</f>
        <v/>
      </c>
      <c r="G83">
        <f>IF($A83="","",IF('Ügyfelek'!G83="",'Beállítások'!$B$84,MIN(10,MAX(1,ROUND('Ügyfelek'!G83,0)))))</f>
        <v/>
      </c>
      <c r="H83">
        <f>IF($A83="","",IF('Ügyfelek'!H83="",'Beállítások'!$B$84,MIN(10,MAX(1,ROUND('Ügyfelek'!H83,0)))))</f>
        <v/>
      </c>
      <c r="I83">
        <f>IF($A83="","",IF('Ügyfelek'!I83="",'Beállítások'!$B$84,MIN(10,MAX(1,ROUND('Ügyfelek'!I83,0)))))</f>
        <v/>
      </c>
      <c r="J83">
        <f>IF($A83="","",IF('Ügyfelek'!J83="",'Beállítások'!$B$84,MIN(10,MAX(1,ROUND('Ügyfelek'!J83,0)))))</f>
        <v/>
      </c>
      <c r="K83">
        <f>IF($A83="","",IF('Ügyfelek'!K83="",'Beállítások'!$B$84,MIN(10,MAX(1,ROUND('Ügyfelek'!K83,0)))))</f>
        <v/>
      </c>
      <c r="L83">
        <f>IF($A83="","",IF('Ügyfelek'!L83="",'Beállítások'!$B$84,MIN(10,MAX(1,ROUND('Ügyfelek'!L83,0)))))</f>
        <v/>
      </c>
      <c r="M83">
        <f>IF($A83="","",IF('Ügyfelek'!M83="",'Beállítások'!$B$84,MIN(10,MAX(1,ROUND('Ügyfelek'!M83,0)))))</f>
        <v/>
      </c>
      <c r="N83">
        <f>IF($A83="","",IF('Ügyfelek'!N83="",'Beállítások'!$B$84,MIN(10,MAX(1,ROUND('Ügyfelek'!N83,0)))))</f>
        <v/>
      </c>
      <c r="O83">
        <f>IF($A83="","",IF('Ügyfelek'!O83="",'Beállítások'!$B$84,MIN(10,MAX(1,ROUND('Ügyfelek'!O83,0)))))</f>
        <v/>
      </c>
      <c r="P83">
        <f>IF($A83="","",IF('Ügyfelek'!P83="",'Beállítások'!$B$84,MIN(10,MAX(1,ROUND('Ügyfelek'!P83,0)))))</f>
        <v/>
      </c>
      <c r="Q83">
        <f>IF($A83="","",IF('Ügyfelek'!Q83="",'Beállítások'!$B$84,MIN(10,MAX(1,ROUND('Ügyfelek'!Q83,0)))))</f>
        <v/>
      </c>
      <c r="R83">
        <f>IF($A83="","",IF('Ügyfelek'!R83="",'Beállítások'!$B$84,MIN(10,MAX(1,ROUND('Ügyfelek'!R83,0)))))</f>
        <v/>
      </c>
      <c r="S83">
        <f>IF($A83="","",IF('Ügyfelek'!S83="",'Beállítások'!$B$84,MIN(10,MAX(1,ROUND('Ügyfelek'!S83,0)))))</f>
        <v/>
      </c>
      <c r="T83">
        <f>IF($A83="","",IF('Ügyfelek'!T83="",'Beállítások'!$B$84,VLOOKUP(MAX('Ügyfelek'!T83,'Beállítások'!$H$7),'Beállítások'!$H$7:$I$12,2,TRUE)))</f>
        <v/>
      </c>
      <c r="U83">
        <f>IF($A83="","",IF('Ügyfelek'!U83="",'Beállítások'!$B$84,VLOOKUP(MAX('Ügyfelek'!U83,'Beállítások'!$K$7),'Beállítások'!$K$7:$L$12,2,TRUE)))</f>
        <v/>
      </c>
      <c r="V83">
        <f>IF($A83="","",IF('Ügyfelek'!V83="",'Beállítások'!$B$84,MIN(10,MAX(1,ROUND('Ügyfelek'!V83,0)))))</f>
        <v/>
      </c>
      <c r="W83">
        <f>IF($A83="","",IF('Ügyfelek'!W83="",'Beállítások'!$B$84,VLOOKUP(MAX('Ügyfelek'!W83,'Beállítások'!$N$7),'Beállítások'!$N$7:$O$12,2,TRUE)))</f>
        <v/>
      </c>
      <c r="X83">
        <f>IF($A83="","",IF('Ügyfelek'!X83="",'Beállítások'!$B$84,MIN(10,MAX(1,ROUND('Ügyfelek'!X83,0)))))</f>
        <v/>
      </c>
      <c r="Y83">
        <f>IF($A83="","",IF('Ügyfelek'!Y83="",'Beállítások'!$B$84,IFERROR(VLOOKUP(TRIM('Ügyfelek'!Y83),'Beállítások'!$A$63:$B$69,2,FALSE),'Beállítások'!$B$84)))</f>
        <v/>
      </c>
      <c r="Z83">
        <f>IF($A83="","",IF('Ügyfelek'!Z83="",'Beállítások'!$B$84,VLOOKUP(MAX('Ügyfelek'!Z83,'Beállítások'!$Q$7),'Beállítások'!$Q$7:$R$12,2,TRUE)))</f>
        <v/>
      </c>
      <c r="AA83">
        <f>IF($A83="","",IF('Ügyfelek'!AA83="",'Beállítások'!$B$84,VLOOKUP(MAX('Ügyfelek'!AA83,'Beállítások'!$T$7),'Beállítások'!$T$7:$U$12,2,TRUE)))</f>
        <v/>
      </c>
      <c r="AB83">
        <f>IF($A83="","",IF('Ügyfelek'!AB83="",'Beállítások'!$B$84,MIN(10,MAX(1,ROUND('Ügyfelek'!AB83,0)))))</f>
        <v/>
      </c>
      <c r="AC83">
        <f>IF($A83="","",IF('Ügyfelek'!AC83="",'Beállítások'!$B$84,MIN(10,MAX(1,ROUND('Ügyfelek'!AC83,0)))))</f>
        <v/>
      </c>
      <c r="AD83">
        <f>IF($A83="","",IF('Ügyfelek'!AD83="",'Beállítások'!$B$84,MIN(10,MAX(1,ROUND('Ügyfelek'!AD83,0)))))</f>
        <v/>
      </c>
      <c r="AE83">
        <f>IF($A83="","",IF('Ügyfelek'!AE83="",'Beállítások'!$B$84,MIN(10,MAX(1,ROUND('Ügyfelek'!AE83,0)))))</f>
        <v/>
      </c>
      <c r="AF83">
        <f>IF($A83="","",IF('Ügyfelek'!AF83="",'Beállítások'!$B$84,MIN(10,MAX(1,ROUND('Ügyfelek'!AF83,0)))))</f>
        <v/>
      </c>
      <c r="AG83">
        <f>IF($A83="","",IF('Ügyfelek'!AG83="",'Beállítások'!$B$84,MIN(10,MAX(1,ROUND('Ügyfelek'!AG83,0)))))</f>
        <v/>
      </c>
      <c r="AH83">
        <f>IF($A83="","",IF('Ügyfelek'!AH83="",'Beállítások'!$B$84,IFERROR(VLOOKUP(TRIM('Ügyfelek'!AH83),'Beállítások'!$A$73:$B$79,2,FALSE),'Beállítások'!$B$84)))</f>
        <v/>
      </c>
      <c r="AI83" s="23">
        <f>IF($A83="","",ROUND(100*('Beállítások'!$E$6*(B83-1)+'Beállítások'!$E$7*(C83-1))/(9*'Beállítások'!$B$43),1))</f>
        <v/>
      </c>
      <c r="AJ83" s="23">
        <f>IF($A83="","",ROUND(100*('Beállítások'!$E$8*(D83-1)+'Beállítások'!$E$9*(E83-1)+'Beállítások'!$E$10*(F83-1)+'Beállítások'!$E$11*(G83-1)+'Beállítások'!$E$12*(H83-1)+'Beállítások'!$E$13*(I83-1)+'Beállítások'!$E$14*(J83-1)+'Beállítások'!$E$15*(K83-1)+'Beállítások'!$E$16*(L83-1)+'Beállítások'!$E$17*(M83-1)+'Beállítások'!$E$18*(N83-1)+'Beállítások'!$E$19*(O83-1)+'Beállítások'!$E$20*(P83-1)+'Beállítások'!$E$21*(Q83-1)+'Beállítások'!$E$22*(R83-1))/(9*'Beállítások'!$B$44),1))</f>
        <v/>
      </c>
      <c r="AK83" s="23">
        <f>IF($A83="","",ROUND(100*('Beállítások'!$E$23*(S83-1)+'Beállítások'!$E$24*(T83-1)+'Beállítások'!$E$25*(U83-1)+'Beállítások'!$E$26*(V83-1)+'Beállítások'!$E$27*(W83-1)+'Beállítások'!$E$28*(X83-1)+'Beállítások'!$E$29*(Y83-1))/(9*'Beállítások'!$B$45),1))</f>
        <v/>
      </c>
      <c r="AL83" s="23">
        <f>IF($A83="","",ROUND(100*('Beállítások'!$E$30*(Z83-1)+'Beállítások'!$E$31*(AA83-1)+'Beállítások'!$E$32*(AB83-1)+'Beállítások'!$E$33*(AC83-1)+'Beállítások'!$E$34*(AD83-1)+'Beállítások'!$E$35*(AE83-1)+'Beállítások'!$E$36*(AF83-1)+'Beállítások'!$E$37*(AG83-1)+'Beállítások'!$E$38*(AH83-1))/(9*'Beállítások'!$B$46),1))</f>
        <v/>
      </c>
      <c r="AM83" s="23">
        <f>IF($A83="","",ROUND(100*('Beállítások'!$E$6*(B83-1)+'Beállítások'!$E$7*(C83-1)+'Beállítások'!$E$8*(D83-1)+'Beállítások'!$E$9*(E83-1)+'Beállítások'!$E$10*(F83-1)+'Beállítások'!$E$11*(G83-1)+'Beállítások'!$E$12*(H83-1)+'Beállítások'!$E$13*(I83-1)+'Beállítások'!$E$14*(J83-1)+'Beállítások'!$E$15*(K83-1)+'Beállítások'!$E$16*(L83-1)+'Beállítások'!$E$17*(M83-1)+'Beállítások'!$E$18*(N83-1)+'Beállítások'!$E$19*(O83-1)+'Beállítások'!$E$20*(P83-1)+'Beállítások'!$E$21*(Q83-1)+'Beállítások'!$E$22*(R83-1)+'Beállítások'!$E$23*(S83-1)+'Beállítások'!$E$24*(T83-1)+'Beállítások'!$E$25*(U83-1)+'Beállítások'!$E$26*(V83-1)+'Beállítások'!$E$27*(W83-1)+'Beállítások'!$E$28*(X83-1)+'Beállítások'!$E$29*(Y83-1)+'Beállítások'!$E$30*(Z83-1)+'Beállítások'!$E$31*(AA83-1)+'Beállítások'!$E$32*(AB83-1)+'Beállítások'!$E$33*(AC83-1)+'Beállítások'!$E$34*(AD83-1)+'Beállítások'!$E$35*(AE83-1)+'Beállítások'!$E$36*(AF83-1)+'Beállítások'!$E$37*(AG83-1)+'Beállítások'!$E$38*(AH83-1))/(9*'Beállítások'!$E$39),1))</f>
        <v/>
      </c>
      <c r="AN83" s="23">
        <f>IF($A83="","",ROUND(100*('Beállítások'!$E$8*(D83-1)+'Beállítások'!$E$9*(E83-1)+'Beállítások'!$E$10*(F83-1)+'Beállítások'!$E$11*(G83-1)+'Beállítások'!$E$12*(H83-1)+'Beállítások'!$E$13*(I83-1)+'Beállítások'!$E$14*(J83-1)+'Beállítások'!$E$15*(K83-1)+'Beállítások'!$E$16*(L83-1)+'Beállítások'!$E$17*(M83-1)+'Beállítások'!$E$18*(N83-1)+'Beállítások'!$E$19*(O83-1)+'Beállítások'!$E$20*(P83-1)+'Beállítások'!$E$21*(Q83-1)+'Beállítások'!$E$22*(R83-1)+'Beállítások'!$E$23*(S83-1)+'Beállítások'!$E$24*(T83-1)+'Beállítások'!$E$25*(U83-1)+'Beállítások'!$E$26*(V83-1)+'Beállítások'!$E$27*(W83-1)+'Beállítások'!$E$28*(X83-1)+'Beállítások'!$E$29*(Y83-1))/(9*('Beállítások'!$B$44+'Beállítások'!$B$45)),1))</f>
        <v/>
      </c>
      <c r="AO83" s="24">
        <f>IF($A83="","",RANK(AM83,$AM$2:$AM$201))</f>
        <v/>
      </c>
      <c r="AP83">
        <f>IF($A83="","",IF(OR(AND('Ügyfelek'!B83&lt;&gt;"",B83&lt;='Beállítások'!$B$85),AND('Ügyfelek'!C83&lt;&gt;"",C83&lt;='Beállítások'!$B$86)),"Igen","Nem"))</f>
        <v/>
      </c>
      <c r="AQ83" s="24">
        <f>IF($A83="","",IF(AP83="Igen",5,IF(AN83&gt;='Beállítások'!$C$108,1,IF(AN83&gt;='Beállítások'!$C$109,2,IF(AN83&gt;='Beállítások'!$C$110,3,IF(AND(AN83&gt;='Beállítások'!$B$87,AI83&gt;='Beállítások'!$B$88,AL83&gt;='Beállítások'!$B$89),4,5))))))</f>
        <v/>
      </c>
      <c r="AR83">
        <f>IF($A83="","",INDEX('Beállítások'!$B$108:$B$112,AQ83))</f>
        <v/>
      </c>
      <c r="AS83">
        <f>IF($A83="","",IF(AQ83=5,"Elutasítjuk",IF(AND(AQ83=4,COUNTIFS('Eredmény'!$AQ$2:$AQ$201,4,'Eredmény'!$DY$2:$DY$201,"&gt;"&amp;DY83)&gt;='Beállítások'!$B$90),"Várólista (a 4-es hely foglalt)","Elfogadjuk")))</f>
        <v/>
      </c>
      <c r="AT83">
        <f>IF($A83="","",INDEX('Beállítások'!$F$108:$F$112,AQ83))</f>
        <v/>
      </c>
      <c r="AU83">
        <f>IF($A83="","",INDEX('Beállítások'!$B$6:$B$38,MATCH(MAX(BK83:CQ83),BK83:CQ83,0)))</f>
        <v/>
      </c>
      <c r="AV83">
        <f>IF($A83="","",IF(MAX(CR83:DX83)=0,"—",INDEX('Beállítások'!$B$6:$B$38,MATCH(MAX(CR83:DX83),CR83:DX83,0))))</f>
        <v/>
      </c>
      <c r="AW83" s="10">
        <f>IF($A83="","",'Beállítások'!$B$94*(TRIM('Ügyfelek'!AI83)="igen")+'Beállítások'!$B$95*(TRIM('Ügyfelek'!AJ83)="igen")+'Beállítások'!$B$96*N('Ügyfelek'!AK83)+'Beállítások'!$B$93*N('Ügyfelek'!AL83))</f>
        <v/>
      </c>
      <c r="AX83" s="25">
        <f>IF(OR($A83="",AQ83=5),"",INDEX('Beállítások'!$D$108:$D$112,AQ83))</f>
        <v/>
      </c>
      <c r="AY83" s="10">
        <f>IF($A83="","",N('Ügyfelek'!U83)*'Beállítások'!$B$98)</f>
        <v/>
      </c>
      <c r="AZ83" s="10">
        <f>IF(OR($A83="",AQ83=5),"",CEILING(ROUND(MAX('Beállítások'!$B$97,AW83*AX83,AY83),2),'Beállítások'!$B$99))</f>
        <v/>
      </c>
      <c r="BA83">
        <f>IF($A83="","",IF(AQ83=5,"Elutasítva",IF(MAX('Beállítások'!$B$97,AW83*AX83,AY83)=AW83*AX83,"Munkaigény × státuszszorzó",IF(MAX('Beállítások'!$B$97,AW83*AX83,AY83)=AY83,"Hirdetési keret arányában","Minimumdíj"))))</f>
        <v/>
      </c>
      <c r="BB83" s="10">
        <f>IF(OR($A83="",'Ügyfelek'!AM83=""),"",'Ügyfelek'!AM83)</f>
        <v/>
      </c>
      <c r="BC83" s="10">
        <f>IF(OR(BB83="",AZ83=""),"",AZ83-BB83)</f>
        <v/>
      </c>
      <c r="BD83" s="18">
        <f>IF(OR(BB83="",AZ83="",BB83=0),"",BC83/BB83)</f>
        <v/>
      </c>
      <c r="BE83">
        <f>IF(OR($A83="",AQ83=5),"",IF(AND(INDEX('Beállítások'!$E$108:$E$112,AQ83)&gt;0,Y83&gt;='Beállítások'!$B$91),"Igen","Nem"))</f>
        <v/>
      </c>
      <c r="BF83" s="10">
        <f>IF(BE83="Igen",CEILING(ROUND(AZ83*(1-'Beállítások'!$B$92),2),'Beállítások'!$B$99),"")</f>
        <v/>
      </c>
      <c r="BG83" s="20">
        <f>IF(BE83="Igen",INDEX('Beállítások'!$E$108:$E$112,AQ83),"")</f>
        <v/>
      </c>
      <c r="BH83" s="10">
        <f>IF(OR(BE83&lt;&gt;"Igen",'Ügyfelek'!AN83=""),"",'Ügyfelek'!AN83*BG83)</f>
        <v/>
      </c>
      <c r="BI83" s="24">
        <f>IF($A83="","",('Ügyfelek'!B83="")+('Ügyfelek'!C83="")+('Ügyfelek'!D83="")+('Ügyfelek'!E83="")+('Ügyfelek'!F83="")+('Ügyfelek'!G83="")+('Ügyfelek'!H83="")+('Ügyfelek'!I83="")+('Ügyfelek'!J83="")+('Ügyfelek'!K83="")+('Ügyfelek'!L83="")+('Ügyfelek'!M83="")+('Ügyfelek'!N83="")+('Ügyfelek'!O83="")+('Ügyfelek'!P83="")+('Ügyfelek'!Q83="")+('Ügyfelek'!R83="")+('Ügyfelek'!S83="")+('Ügyfelek'!T83="")+('Ügyfelek'!U83="")+('Ügyfelek'!V83="")+('Ügyfelek'!W83="")+('Ügyfelek'!X83="")+('Ügyfelek'!Y83="")+('Ügyfelek'!Z83="")+('Ügyfelek'!AA83="")+('Ügyfelek'!AB83="")+('Ügyfelek'!AC83="")+('Ügyfelek'!AD83="")+('Ügyfelek'!AE83="")+('Ügyfelek'!AF83="")+('Ügyfelek'!AG83="")+('Ügyfelek'!AH83=""))</f>
        <v/>
      </c>
      <c r="BK83">
        <f>IF($A83="","",B83+'Beállítások'!$E$6/1000)</f>
        <v/>
      </c>
      <c r="BL83">
        <f>IF($A83="","",C83+'Beállítások'!$E$7/1000)</f>
        <v/>
      </c>
      <c r="BM83">
        <f>IF($A83="","",D83+'Beállítások'!$E$8/1000)</f>
        <v/>
      </c>
      <c r="BN83">
        <f>IF($A83="","",E83+'Beállítások'!$E$9/1000)</f>
        <v/>
      </c>
      <c r="BO83">
        <f>IF($A83="","",F83+'Beállítások'!$E$10/1000)</f>
        <v/>
      </c>
      <c r="BP83">
        <f>IF($A83="","",G83+'Beállítások'!$E$11/1000)</f>
        <v/>
      </c>
      <c r="BQ83">
        <f>IF($A83="","",H83+'Beállítások'!$E$12/1000)</f>
        <v/>
      </c>
      <c r="BR83">
        <f>IF($A83="","",I83+'Beállítások'!$E$13/1000)</f>
        <v/>
      </c>
      <c r="BS83">
        <f>IF($A83="","",J83+'Beállítások'!$E$14/1000)</f>
        <v/>
      </c>
      <c r="BT83">
        <f>IF($A83="","",K83+'Beállítások'!$E$15/1000)</f>
        <v/>
      </c>
      <c r="BU83">
        <f>IF($A83="","",L83+'Beállítások'!$E$16/1000)</f>
        <v/>
      </c>
      <c r="BV83">
        <f>IF($A83="","",M83+'Beállítások'!$E$17/1000)</f>
        <v/>
      </c>
      <c r="BW83">
        <f>IF($A83="","",N83+'Beállítások'!$E$18/1000)</f>
        <v/>
      </c>
      <c r="BX83">
        <f>IF($A83="","",O83+'Beállítások'!$E$19/1000)</f>
        <v/>
      </c>
      <c r="BY83">
        <f>IF($A83="","",P83+'Beállítások'!$E$20/1000)</f>
        <v/>
      </c>
      <c r="BZ83">
        <f>IF($A83="","",Q83+'Beállítások'!$E$21/1000)</f>
        <v/>
      </c>
      <c r="CA83">
        <f>IF($A83="","",R83+'Beállítások'!$E$22/1000)</f>
        <v/>
      </c>
      <c r="CB83">
        <f>IF($A83="","",S83+'Beállítások'!$E$23/1000)</f>
        <v/>
      </c>
      <c r="CC83">
        <f>IF($A83="","",T83+'Beállítások'!$E$24/1000)</f>
        <v/>
      </c>
      <c r="CD83">
        <f>IF($A83="","",U83+'Beállítások'!$E$25/1000)</f>
        <v/>
      </c>
      <c r="CE83">
        <f>IF($A83="","",V83+'Beállítások'!$E$26/1000)</f>
        <v/>
      </c>
      <c r="CF83">
        <f>IF($A83="","",W83+'Beállítások'!$E$27/1000)</f>
        <v/>
      </c>
      <c r="CG83">
        <f>IF($A83="","",X83+'Beállítások'!$E$28/1000)</f>
        <v/>
      </c>
      <c r="CH83">
        <f>IF($A83="","",Y83+'Beállítások'!$E$29/1000)</f>
        <v/>
      </c>
      <c r="CI83">
        <f>IF($A83="","",Z83+'Beállítások'!$E$30/1000)</f>
        <v/>
      </c>
      <c r="CJ83">
        <f>IF($A83="","",AA83+'Beállítások'!$E$31/1000)</f>
        <v/>
      </c>
      <c r="CK83">
        <f>IF($A83="","",AB83+'Beállítások'!$E$32/1000)</f>
        <v/>
      </c>
      <c r="CL83">
        <f>IF($A83="","",AC83+'Beállítások'!$E$33/1000)</f>
        <v/>
      </c>
      <c r="CM83">
        <f>IF($A83="","",AD83+'Beállítások'!$E$34/1000)</f>
        <v/>
      </c>
      <c r="CN83">
        <f>IF($A83="","",AE83+'Beállítások'!$E$35/1000)</f>
        <v/>
      </c>
      <c r="CO83">
        <f>IF($A83="","",AF83+'Beállítások'!$E$36/1000)</f>
        <v/>
      </c>
      <c r="CP83">
        <f>IF($A83="","",AG83+'Beállítások'!$E$37/1000)</f>
        <v/>
      </c>
      <c r="CQ83">
        <f>IF($A83="","",AH83+'Beállítások'!$E$38/1000)</f>
        <v/>
      </c>
      <c r="CR83">
        <f>IF($A83="","",'Beállítások'!$E$6*(10-B83))</f>
        <v/>
      </c>
      <c r="CS83">
        <f>IF($A83="","",'Beállítások'!$E$7*(10-C83))</f>
        <v/>
      </c>
      <c r="CT83">
        <f>IF($A83="","",'Beállítások'!$E$8*(10-D83))</f>
        <v/>
      </c>
      <c r="CU83">
        <f>IF($A83="","",'Beállítások'!$E$9*(10-E83))</f>
        <v/>
      </c>
      <c r="CV83">
        <f>IF($A83="","",'Beállítások'!$E$10*(10-F83))</f>
        <v/>
      </c>
      <c r="CW83">
        <f>IF($A83="","",'Beállítások'!$E$11*(10-G83))</f>
        <v/>
      </c>
      <c r="CX83">
        <f>IF($A83="","",'Beállítások'!$E$12*(10-H83))</f>
        <v/>
      </c>
      <c r="CY83">
        <f>IF($A83="","",'Beállítások'!$E$13*(10-I83))</f>
        <v/>
      </c>
      <c r="CZ83">
        <f>IF($A83="","",'Beállítások'!$E$14*(10-J83))</f>
        <v/>
      </c>
      <c r="DA83">
        <f>IF($A83="","",'Beállítások'!$E$15*(10-K83))</f>
        <v/>
      </c>
      <c r="DB83">
        <f>IF($A83="","",'Beállítások'!$E$16*(10-L83))</f>
        <v/>
      </c>
      <c r="DC83">
        <f>IF($A83="","",'Beállítások'!$E$17*(10-M83))</f>
        <v/>
      </c>
      <c r="DD83">
        <f>IF($A83="","",'Beállítások'!$E$18*(10-N83))</f>
        <v/>
      </c>
      <c r="DE83">
        <f>IF($A83="","",'Beállítások'!$E$19*(10-O83))</f>
        <v/>
      </c>
      <c r="DF83">
        <f>IF($A83="","",'Beállítások'!$E$20*(10-P83))</f>
        <v/>
      </c>
      <c r="DG83">
        <f>IF($A83="","",'Beállítások'!$E$21*(10-Q83))</f>
        <v/>
      </c>
      <c r="DH83">
        <f>IF($A83="","",'Beállítások'!$E$22*(10-R83))</f>
        <v/>
      </c>
      <c r="DI83">
        <f>IF($A83="","",'Beállítások'!$E$23*(10-S83))</f>
        <v/>
      </c>
      <c r="DJ83">
        <f>IF($A83="","",'Beállítások'!$E$24*(10-T83))</f>
        <v/>
      </c>
      <c r="DK83">
        <f>IF($A83="","",'Beállítások'!$E$25*(10-U83))</f>
        <v/>
      </c>
      <c r="DL83">
        <f>IF($A83="","",'Beállítások'!$E$26*(10-V83))</f>
        <v/>
      </c>
      <c r="DM83">
        <f>IF($A83="","",'Beállítások'!$E$27*(10-W83))</f>
        <v/>
      </c>
      <c r="DN83">
        <f>IF($A83="","",'Beállítások'!$E$28*(10-X83))</f>
        <v/>
      </c>
      <c r="DO83">
        <f>IF($A83="","",'Beállítások'!$E$29*(10-Y83))</f>
        <v/>
      </c>
      <c r="DP83">
        <f>IF($A83="","",'Beállítások'!$E$30*(10-Z83))</f>
        <v/>
      </c>
      <c r="DQ83">
        <f>IF($A83="","",'Beállítások'!$E$31*(10-AA83))</f>
        <v/>
      </c>
      <c r="DR83">
        <f>IF($A83="","",'Beállítások'!$E$32*(10-AB83))</f>
        <v/>
      </c>
      <c r="DS83">
        <f>IF($A83="","",'Beállítások'!$E$33*(10-AC83))</f>
        <v/>
      </c>
      <c r="DT83">
        <f>IF($A83="","",'Beállítások'!$E$34*(10-AD83))</f>
        <v/>
      </c>
      <c r="DU83">
        <f>IF($A83="","",'Beállítások'!$E$35*(10-AE83))</f>
        <v/>
      </c>
      <c r="DV83">
        <f>IF($A83="","",'Beállítások'!$E$36*(10-AF83))</f>
        <v/>
      </c>
      <c r="DW83">
        <f>IF($A83="","",'Beállítások'!$E$37*(10-AG83))</f>
        <v/>
      </c>
      <c r="DX83">
        <f>IF($A83="","",'Beállítások'!$E$38*(10-AH83))</f>
        <v/>
      </c>
      <c r="DY83">
        <f>IF($A83="","",AM83-ROW()/100000)</f>
        <v/>
      </c>
    </row>
    <row r="84">
      <c r="A84">
        <f>IF('Ügyfelek'!A84="","",'Ügyfelek'!A84)</f>
        <v/>
      </c>
      <c r="B84">
        <f>IF($A84="","",IF('Ügyfelek'!B84="",'Beállítások'!$B$84,IFERROR(VLOOKUP(TRIM('Ügyfelek'!B84),'Beállítások'!$A$51:$B$59,2,FALSE),'Beállítások'!$B$84)))</f>
        <v/>
      </c>
      <c r="C84">
        <f>IF($A84="","",IF('Ügyfelek'!C84="",'Beállítások'!$B$84,MIN(10,MAX(1,ROUND('Ügyfelek'!C84,0)))))</f>
        <v/>
      </c>
      <c r="D84">
        <f>IF($A84="","",IF('Ügyfelek'!D84="",'Beállítások'!$B$84,MIN(10,MAX(1,ROUND('Ügyfelek'!D84,0)))))</f>
        <v/>
      </c>
      <c r="E84">
        <f>IF($A84="","",IF('Ügyfelek'!E84="",'Beállítások'!$B$84,MIN(10,MAX(1,ROUND('Ügyfelek'!E84,0)))))</f>
        <v/>
      </c>
      <c r="F84">
        <f>IF($A84="","",IF('Ügyfelek'!F84="",'Beállítások'!$B$84,MIN(10,MAX(1,ROUND('Ügyfelek'!F84,0)))))</f>
        <v/>
      </c>
      <c r="G84">
        <f>IF($A84="","",IF('Ügyfelek'!G84="",'Beállítások'!$B$84,MIN(10,MAX(1,ROUND('Ügyfelek'!G84,0)))))</f>
        <v/>
      </c>
      <c r="H84">
        <f>IF($A84="","",IF('Ügyfelek'!H84="",'Beállítások'!$B$84,MIN(10,MAX(1,ROUND('Ügyfelek'!H84,0)))))</f>
        <v/>
      </c>
      <c r="I84">
        <f>IF($A84="","",IF('Ügyfelek'!I84="",'Beállítások'!$B$84,MIN(10,MAX(1,ROUND('Ügyfelek'!I84,0)))))</f>
        <v/>
      </c>
      <c r="J84">
        <f>IF($A84="","",IF('Ügyfelek'!J84="",'Beállítások'!$B$84,MIN(10,MAX(1,ROUND('Ügyfelek'!J84,0)))))</f>
        <v/>
      </c>
      <c r="K84">
        <f>IF($A84="","",IF('Ügyfelek'!K84="",'Beállítások'!$B$84,MIN(10,MAX(1,ROUND('Ügyfelek'!K84,0)))))</f>
        <v/>
      </c>
      <c r="L84">
        <f>IF($A84="","",IF('Ügyfelek'!L84="",'Beállítások'!$B$84,MIN(10,MAX(1,ROUND('Ügyfelek'!L84,0)))))</f>
        <v/>
      </c>
      <c r="M84">
        <f>IF($A84="","",IF('Ügyfelek'!M84="",'Beállítások'!$B$84,MIN(10,MAX(1,ROUND('Ügyfelek'!M84,0)))))</f>
        <v/>
      </c>
      <c r="N84">
        <f>IF($A84="","",IF('Ügyfelek'!N84="",'Beállítások'!$B$84,MIN(10,MAX(1,ROUND('Ügyfelek'!N84,0)))))</f>
        <v/>
      </c>
      <c r="O84">
        <f>IF($A84="","",IF('Ügyfelek'!O84="",'Beállítások'!$B$84,MIN(10,MAX(1,ROUND('Ügyfelek'!O84,0)))))</f>
        <v/>
      </c>
      <c r="P84">
        <f>IF($A84="","",IF('Ügyfelek'!P84="",'Beállítások'!$B$84,MIN(10,MAX(1,ROUND('Ügyfelek'!P84,0)))))</f>
        <v/>
      </c>
      <c r="Q84">
        <f>IF($A84="","",IF('Ügyfelek'!Q84="",'Beállítások'!$B$84,MIN(10,MAX(1,ROUND('Ügyfelek'!Q84,0)))))</f>
        <v/>
      </c>
      <c r="R84">
        <f>IF($A84="","",IF('Ügyfelek'!R84="",'Beállítások'!$B$84,MIN(10,MAX(1,ROUND('Ügyfelek'!R84,0)))))</f>
        <v/>
      </c>
      <c r="S84">
        <f>IF($A84="","",IF('Ügyfelek'!S84="",'Beállítások'!$B$84,MIN(10,MAX(1,ROUND('Ügyfelek'!S84,0)))))</f>
        <v/>
      </c>
      <c r="T84">
        <f>IF($A84="","",IF('Ügyfelek'!T84="",'Beállítások'!$B$84,VLOOKUP(MAX('Ügyfelek'!T84,'Beállítások'!$H$7),'Beállítások'!$H$7:$I$12,2,TRUE)))</f>
        <v/>
      </c>
      <c r="U84">
        <f>IF($A84="","",IF('Ügyfelek'!U84="",'Beállítások'!$B$84,VLOOKUP(MAX('Ügyfelek'!U84,'Beállítások'!$K$7),'Beállítások'!$K$7:$L$12,2,TRUE)))</f>
        <v/>
      </c>
      <c r="V84">
        <f>IF($A84="","",IF('Ügyfelek'!V84="",'Beállítások'!$B$84,MIN(10,MAX(1,ROUND('Ügyfelek'!V84,0)))))</f>
        <v/>
      </c>
      <c r="W84">
        <f>IF($A84="","",IF('Ügyfelek'!W84="",'Beállítások'!$B$84,VLOOKUP(MAX('Ügyfelek'!W84,'Beállítások'!$N$7),'Beállítások'!$N$7:$O$12,2,TRUE)))</f>
        <v/>
      </c>
      <c r="X84">
        <f>IF($A84="","",IF('Ügyfelek'!X84="",'Beállítások'!$B$84,MIN(10,MAX(1,ROUND('Ügyfelek'!X84,0)))))</f>
        <v/>
      </c>
      <c r="Y84">
        <f>IF($A84="","",IF('Ügyfelek'!Y84="",'Beállítások'!$B$84,IFERROR(VLOOKUP(TRIM('Ügyfelek'!Y84),'Beállítások'!$A$63:$B$69,2,FALSE),'Beállítások'!$B$84)))</f>
        <v/>
      </c>
      <c r="Z84">
        <f>IF($A84="","",IF('Ügyfelek'!Z84="",'Beállítások'!$B$84,VLOOKUP(MAX('Ügyfelek'!Z84,'Beállítások'!$Q$7),'Beállítások'!$Q$7:$R$12,2,TRUE)))</f>
        <v/>
      </c>
      <c r="AA84">
        <f>IF($A84="","",IF('Ügyfelek'!AA84="",'Beállítások'!$B$84,VLOOKUP(MAX('Ügyfelek'!AA84,'Beállítások'!$T$7),'Beállítások'!$T$7:$U$12,2,TRUE)))</f>
        <v/>
      </c>
      <c r="AB84">
        <f>IF($A84="","",IF('Ügyfelek'!AB84="",'Beállítások'!$B$84,MIN(10,MAX(1,ROUND('Ügyfelek'!AB84,0)))))</f>
        <v/>
      </c>
      <c r="AC84">
        <f>IF($A84="","",IF('Ügyfelek'!AC84="",'Beállítások'!$B$84,MIN(10,MAX(1,ROUND('Ügyfelek'!AC84,0)))))</f>
        <v/>
      </c>
      <c r="AD84">
        <f>IF($A84="","",IF('Ügyfelek'!AD84="",'Beállítások'!$B$84,MIN(10,MAX(1,ROUND('Ügyfelek'!AD84,0)))))</f>
        <v/>
      </c>
      <c r="AE84">
        <f>IF($A84="","",IF('Ügyfelek'!AE84="",'Beállítások'!$B$84,MIN(10,MAX(1,ROUND('Ügyfelek'!AE84,0)))))</f>
        <v/>
      </c>
      <c r="AF84">
        <f>IF($A84="","",IF('Ügyfelek'!AF84="",'Beállítások'!$B$84,MIN(10,MAX(1,ROUND('Ügyfelek'!AF84,0)))))</f>
        <v/>
      </c>
      <c r="AG84">
        <f>IF($A84="","",IF('Ügyfelek'!AG84="",'Beállítások'!$B$84,MIN(10,MAX(1,ROUND('Ügyfelek'!AG84,0)))))</f>
        <v/>
      </c>
      <c r="AH84">
        <f>IF($A84="","",IF('Ügyfelek'!AH84="",'Beállítások'!$B$84,IFERROR(VLOOKUP(TRIM('Ügyfelek'!AH84),'Beállítások'!$A$73:$B$79,2,FALSE),'Beállítások'!$B$84)))</f>
        <v/>
      </c>
      <c r="AI84" s="23">
        <f>IF($A84="","",ROUND(100*('Beállítások'!$E$6*(B84-1)+'Beállítások'!$E$7*(C84-1))/(9*'Beállítások'!$B$43),1))</f>
        <v/>
      </c>
      <c r="AJ84" s="23">
        <f>IF($A84="","",ROUND(100*('Beállítások'!$E$8*(D84-1)+'Beállítások'!$E$9*(E84-1)+'Beállítások'!$E$10*(F84-1)+'Beállítások'!$E$11*(G84-1)+'Beállítások'!$E$12*(H84-1)+'Beállítások'!$E$13*(I84-1)+'Beállítások'!$E$14*(J84-1)+'Beállítások'!$E$15*(K84-1)+'Beállítások'!$E$16*(L84-1)+'Beállítások'!$E$17*(M84-1)+'Beállítások'!$E$18*(N84-1)+'Beállítások'!$E$19*(O84-1)+'Beállítások'!$E$20*(P84-1)+'Beállítások'!$E$21*(Q84-1)+'Beállítások'!$E$22*(R84-1))/(9*'Beállítások'!$B$44),1))</f>
        <v/>
      </c>
      <c r="AK84" s="23">
        <f>IF($A84="","",ROUND(100*('Beállítások'!$E$23*(S84-1)+'Beállítások'!$E$24*(T84-1)+'Beállítások'!$E$25*(U84-1)+'Beállítások'!$E$26*(V84-1)+'Beállítások'!$E$27*(W84-1)+'Beállítások'!$E$28*(X84-1)+'Beállítások'!$E$29*(Y84-1))/(9*'Beállítások'!$B$45),1))</f>
        <v/>
      </c>
      <c r="AL84" s="23">
        <f>IF($A84="","",ROUND(100*('Beállítások'!$E$30*(Z84-1)+'Beállítások'!$E$31*(AA84-1)+'Beállítások'!$E$32*(AB84-1)+'Beállítások'!$E$33*(AC84-1)+'Beállítások'!$E$34*(AD84-1)+'Beállítások'!$E$35*(AE84-1)+'Beállítások'!$E$36*(AF84-1)+'Beállítások'!$E$37*(AG84-1)+'Beállítások'!$E$38*(AH84-1))/(9*'Beállítások'!$B$46),1))</f>
        <v/>
      </c>
      <c r="AM84" s="23">
        <f>IF($A84="","",ROUND(100*('Beállítások'!$E$6*(B84-1)+'Beállítások'!$E$7*(C84-1)+'Beállítások'!$E$8*(D84-1)+'Beállítások'!$E$9*(E84-1)+'Beállítások'!$E$10*(F84-1)+'Beállítások'!$E$11*(G84-1)+'Beállítások'!$E$12*(H84-1)+'Beállítások'!$E$13*(I84-1)+'Beállítások'!$E$14*(J84-1)+'Beállítások'!$E$15*(K84-1)+'Beállítások'!$E$16*(L84-1)+'Beállítások'!$E$17*(M84-1)+'Beállítások'!$E$18*(N84-1)+'Beállítások'!$E$19*(O84-1)+'Beállítások'!$E$20*(P84-1)+'Beállítások'!$E$21*(Q84-1)+'Beállítások'!$E$22*(R84-1)+'Beállítások'!$E$23*(S84-1)+'Beállítások'!$E$24*(T84-1)+'Beállítások'!$E$25*(U84-1)+'Beállítások'!$E$26*(V84-1)+'Beállítások'!$E$27*(W84-1)+'Beállítások'!$E$28*(X84-1)+'Beállítások'!$E$29*(Y84-1)+'Beállítások'!$E$30*(Z84-1)+'Beállítások'!$E$31*(AA84-1)+'Beállítások'!$E$32*(AB84-1)+'Beállítások'!$E$33*(AC84-1)+'Beállítások'!$E$34*(AD84-1)+'Beállítások'!$E$35*(AE84-1)+'Beállítások'!$E$36*(AF84-1)+'Beállítások'!$E$37*(AG84-1)+'Beállítások'!$E$38*(AH84-1))/(9*'Beállítások'!$E$39),1))</f>
        <v/>
      </c>
      <c r="AN84" s="23">
        <f>IF($A84="","",ROUND(100*('Beállítások'!$E$8*(D84-1)+'Beállítások'!$E$9*(E84-1)+'Beállítások'!$E$10*(F84-1)+'Beállítások'!$E$11*(G84-1)+'Beállítások'!$E$12*(H84-1)+'Beállítások'!$E$13*(I84-1)+'Beállítások'!$E$14*(J84-1)+'Beállítások'!$E$15*(K84-1)+'Beállítások'!$E$16*(L84-1)+'Beállítások'!$E$17*(M84-1)+'Beállítások'!$E$18*(N84-1)+'Beállítások'!$E$19*(O84-1)+'Beállítások'!$E$20*(P84-1)+'Beállítások'!$E$21*(Q84-1)+'Beállítások'!$E$22*(R84-1)+'Beállítások'!$E$23*(S84-1)+'Beállítások'!$E$24*(T84-1)+'Beállítások'!$E$25*(U84-1)+'Beállítások'!$E$26*(V84-1)+'Beállítások'!$E$27*(W84-1)+'Beállítások'!$E$28*(X84-1)+'Beállítások'!$E$29*(Y84-1))/(9*('Beállítások'!$B$44+'Beállítások'!$B$45)),1))</f>
        <v/>
      </c>
      <c r="AO84" s="24">
        <f>IF($A84="","",RANK(AM84,$AM$2:$AM$201))</f>
        <v/>
      </c>
      <c r="AP84">
        <f>IF($A84="","",IF(OR(AND('Ügyfelek'!B84&lt;&gt;"",B84&lt;='Beállítások'!$B$85),AND('Ügyfelek'!C84&lt;&gt;"",C84&lt;='Beállítások'!$B$86)),"Igen","Nem"))</f>
        <v/>
      </c>
      <c r="AQ84" s="24">
        <f>IF($A84="","",IF(AP84="Igen",5,IF(AN84&gt;='Beállítások'!$C$108,1,IF(AN84&gt;='Beállítások'!$C$109,2,IF(AN84&gt;='Beállítások'!$C$110,3,IF(AND(AN84&gt;='Beállítások'!$B$87,AI84&gt;='Beállítások'!$B$88,AL84&gt;='Beállítások'!$B$89),4,5))))))</f>
        <v/>
      </c>
      <c r="AR84">
        <f>IF($A84="","",INDEX('Beállítások'!$B$108:$B$112,AQ84))</f>
        <v/>
      </c>
      <c r="AS84">
        <f>IF($A84="","",IF(AQ84=5,"Elutasítjuk",IF(AND(AQ84=4,COUNTIFS('Eredmény'!$AQ$2:$AQ$201,4,'Eredmény'!$DY$2:$DY$201,"&gt;"&amp;DY84)&gt;='Beállítások'!$B$90),"Várólista (a 4-es hely foglalt)","Elfogadjuk")))</f>
        <v/>
      </c>
      <c r="AT84">
        <f>IF($A84="","",INDEX('Beállítások'!$F$108:$F$112,AQ84))</f>
        <v/>
      </c>
      <c r="AU84">
        <f>IF($A84="","",INDEX('Beállítások'!$B$6:$B$38,MATCH(MAX(BK84:CQ84),BK84:CQ84,0)))</f>
        <v/>
      </c>
      <c r="AV84">
        <f>IF($A84="","",IF(MAX(CR84:DX84)=0,"—",INDEX('Beállítások'!$B$6:$B$38,MATCH(MAX(CR84:DX84),CR84:DX84,0))))</f>
        <v/>
      </c>
      <c r="AW84" s="10">
        <f>IF($A84="","",'Beállítások'!$B$94*(TRIM('Ügyfelek'!AI84)="igen")+'Beállítások'!$B$95*(TRIM('Ügyfelek'!AJ84)="igen")+'Beállítások'!$B$96*N('Ügyfelek'!AK84)+'Beállítások'!$B$93*N('Ügyfelek'!AL84))</f>
        <v/>
      </c>
      <c r="AX84" s="25">
        <f>IF(OR($A84="",AQ84=5),"",INDEX('Beállítások'!$D$108:$D$112,AQ84))</f>
        <v/>
      </c>
      <c r="AY84" s="10">
        <f>IF($A84="","",N('Ügyfelek'!U84)*'Beállítások'!$B$98)</f>
        <v/>
      </c>
      <c r="AZ84" s="10">
        <f>IF(OR($A84="",AQ84=5),"",CEILING(ROUND(MAX('Beállítások'!$B$97,AW84*AX84,AY84),2),'Beállítások'!$B$99))</f>
        <v/>
      </c>
      <c r="BA84">
        <f>IF($A84="","",IF(AQ84=5,"Elutasítva",IF(MAX('Beállítások'!$B$97,AW84*AX84,AY84)=AW84*AX84,"Munkaigény × státuszszorzó",IF(MAX('Beállítások'!$B$97,AW84*AX84,AY84)=AY84,"Hirdetési keret arányában","Minimumdíj"))))</f>
        <v/>
      </c>
      <c r="BB84" s="10">
        <f>IF(OR($A84="",'Ügyfelek'!AM84=""),"",'Ügyfelek'!AM84)</f>
        <v/>
      </c>
      <c r="BC84" s="10">
        <f>IF(OR(BB84="",AZ84=""),"",AZ84-BB84)</f>
        <v/>
      </c>
      <c r="BD84" s="18">
        <f>IF(OR(BB84="",AZ84="",BB84=0),"",BC84/BB84)</f>
        <v/>
      </c>
      <c r="BE84">
        <f>IF(OR($A84="",AQ84=5),"",IF(AND(INDEX('Beállítások'!$E$108:$E$112,AQ84)&gt;0,Y84&gt;='Beállítások'!$B$91),"Igen","Nem"))</f>
        <v/>
      </c>
      <c r="BF84" s="10">
        <f>IF(BE84="Igen",CEILING(ROUND(AZ84*(1-'Beállítások'!$B$92),2),'Beállítások'!$B$99),"")</f>
        <v/>
      </c>
      <c r="BG84" s="20">
        <f>IF(BE84="Igen",INDEX('Beállítások'!$E$108:$E$112,AQ84),"")</f>
        <v/>
      </c>
      <c r="BH84" s="10">
        <f>IF(OR(BE84&lt;&gt;"Igen",'Ügyfelek'!AN84=""),"",'Ügyfelek'!AN84*BG84)</f>
        <v/>
      </c>
      <c r="BI84" s="24">
        <f>IF($A84="","",('Ügyfelek'!B84="")+('Ügyfelek'!C84="")+('Ügyfelek'!D84="")+('Ügyfelek'!E84="")+('Ügyfelek'!F84="")+('Ügyfelek'!G84="")+('Ügyfelek'!H84="")+('Ügyfelek'!I84="")+('Ügyfelek'!J84="")+('Ügyfelek'!K84="")+('Ügyfelek'!L84="")+('Ügyfelek'!M84="")+('Ügyfelek'!N84="")+('Ügyfelek'!O84="")+('Ügyfelek'!P84="")+('Ügyfelek'!Q84="")+('Ügyfelek'!R84="")+('Ügyfelek'!S84="")+('Ügyfelek'!T84="")+('Ügyfelek'!U84="")+('Ügyfelek'!V84="")+('Ügyfelek'!W84="")+('Ügyfelek'!X84="")+('Ügyfelek'!Y84="")+('Ügyfelek'!Z84="")+('Ügyfelek'!AA84="")+('Ügyfelek'!AB84="")+('Ügyfelek'!AC84="")+('Ügyfelek'!AD84="")+('Ügyfelek'!AE84="")+('Ügyfelek'!AF84="")+('Ügyfelek'!AG84="")+('Ügyfelek'!AH84=""))</f>
        <v/>
      </c>
      <c r="BK84">
        <f>IF($A84="","",B84+'Beállítások'!$E$6/1000)</f>
        <v/>
      </c>
      <c r="BL84">
        <f>IF($A84="","",C84+'Beállítások'!$E$7/1000)</f>
        <v/>
      </c>
      <c r="BM84">
        <f>IF($A84="","",D84+'Beállítások'!$E$8/1000)</f>
        <v/>
      </c>
      <c r="BN84">
        <f>IF($A84="","",E84+'Beállítások'!$E$9/1000)</f>
        <v/>
      </c>
      <c r="BO84">
        <f>IF($A84="","",F84+'Beállítások'!$E$10/1000)</f>
        <v/>
      </c>
      <c r="BP84">
        <f>IF($A84="","",G84+'Beállítások'!$E$11/1000)</f>
        <v/>
      </c>
      <c r="BQ84">
        <f>IF($A84="","",H84+'Beállítások'!$E$12/1000)</f>
        <v/>
      </c>
      <c r="BR84">
        <f>IF($A84="","",I84+'Beállítások'!$E$13/1000)</f>
        <v/>
      </c>
      <c r="BS84">
        <f>IF($A84="","",J84+'Beállítások'!$E$14/1000)</f>
        <v/>
      </c>
      <c r="BT84">
        <f>IF($A84="","",K84+'Beállítások'!$E$15/1000)</f>
        <v/>
      </c>
      <c r="BU84">
        <f>IF($A84="","",L84+'Beállítások'!$E$16/1000)</f>
        <v/>
      </c>
      <c r="BV84">
        <f>IF($A84="","",M84+'Beállítások'!$E$17/1000)</f>
        <v/>
      </c>
      <c r="BW84">
        <f>IF($A84="","",N84+'Beállítások'!$E$18/1000)</f>
        <v/>
      </c>
      <c r="BX84">
        <f>IF($A84="","",O84+'Beállítások'!$E$19/1000)</f>
        <v/>
      </c>
      <c r="BY84">
        <f>IF($A84="","",P84+'Beállítások'!$E$20/1000)</f>
        <v/>
      </c>
      <c r="BZ84">
        <f>IF($A84="","",Q84+'Beállítások'!$E$21/1000)</f>
        <v/>
      </c>
      <c r="CA84">
        <f>IF($A84="","",R84+'Beállítások'!$E$22/1000)</f>
        <v/>
      </c>
      <c r="CB84">
        <f>IF($A84="","",S84+'Beállítások'!$E$23/1000)</f>
        <v/>
      </c>
      <c r="CC84">
        <f>IF($A84="","",T84+'Beállítások'!$E$24/1000)</f>
        <v/>
      </c>
      <c r="CD84">
        <f>IF($A84="","",U84+'Beállítások'!$E$25/1000)</f>
        <v/>
      </c>
      <c r="CE84">
        <f>IF($A84="","",V84+'Beállítások'!$E$26/1000)</f>
        <v/>
      </c>
      <c r="CF84">
        <f>IF($A84="","",W84+'Beállítások'!$E$27/1000)</f>
        <v/>
      </c>
      <c r="CG84">
        <f>IF($A84="","",X84+'Beállítások'!$E$28/1000)</f>
        <v/>
      </c>
      <c r="CH84">
        <f>IF($A84="","",Y84+'Beállítások'!$E$29/1000)</f>
        <v/>
      </c>
      <c r="CI84">
        <f>IF($A84="","",Z84+'Beállítások'!$E$30/1000)</f>
        <v/>
      </c>
      <c r="CJ84">
        <f>IF($A84="","",AA84+'Beállítások'!$E$31/1000)</f>
        <v/>
      </c>
      <c r="CK84">
        <f>IF($A84="","",AB84+'Beállítások'!$E$32/1000)</f>
        <v/>
      </c>
      <c r="CL84">
        <f>IF($A84="","",AC84+'Beállítások'!$E$33/1000)</f>
        <v/>
      </c>
      <c r="CM84">
        <f>IF($A84="","",AD84+'Beállítások'!$E$34/1000)</f>
        <v/>
      </c>
      <c r="CN84">
        <f>IF($A84="","",AE84+'Beállítások'!$E$35/1000)</f>
        <v/>
      </c>
      <c r="CO84">
        <f>IF($A84="","",AF84+'Beállítások'!$E$36/1000)</f>
        <v/>
      </c>
      <c r="CP84">
        <f>IF($A84="","",AG84+'Beállítások'!$E$37/1000)</f>
        <v/>
      </c>
      <c r="CQ84">
        <f>IF($A84="","",AH84+'Beállítások'!$E$38/1000)</f>
        <v/>
      </c>
      <c r="CR84">
        <f>IF($A84="","",'Beállítások'!$E$6*(10-B84))</f>
        <v/>
      </c>
      <c r="CS84">
        <f>IF($A84="","",'Beállítások'!$E$7*(10-C84))</f>
        <v/>
      </c>
      <c r="CT84">
        <f>IF($A84="","",'Beállítások'!$E$8*(10-D84))</f>
        <v/>
      </c>
      <c r="CU84">
        <f>IF($A84="","",'Beállítások'!$E$9*(10-E84))</f>
        <v/>
      </c>
      <c r="CV84">
        <f>IF($A84="","",'Beállítások'!$E$10*(10-F84))</f>
        <v/>
      </c>
      <c r="CW84">
        <f>IF($A84="","",'Beállítások'!$E$11*(10-G84))</f>
        <v/>
      </c>
      <c r="CX84">
        <f>IF($A84="","",'Beállítások'!$E$12*(10-H84))</f>
        <v/>
      </c>
      <c r="CY84">
        <f>IF($A84="","",'Beállítások'!$E$13*(10-I84))</f>
        <v/>
      </c>
      <c r="CZ84">
        <f>IF($A84="","",'Beállítások'!$E$14*(10-J84))</f>
        <v/>
      </c>
      <c r="DA84">
        <f>IF($A84="","",'Beállítások'!$E$15*(10-K84))</f>
        <v/>
      </c>
      <c r="DB84">
        <f>IF($A84="","",'Beállítások'!$E$16*(10-L84))</f>
        <v/>
      </c>
      <c r="DC84">
        <f>IF($A84="","",'Beállítások'!$E$17*(10-M84))</f>
        <v/>
      </c>
      <c r="DD84">
        <f>IF($A84="","",'Beállítások'!$E$18*(10-N84))</f>
        <v/>
      </c>
      <c r="DE84">
        <f>IF($A84="","",'Beállítások'!$E$19*(10-O84))</f>
        <v/>
      </c>
      <c r="DF84">
        <f>IF($A84="","",'Beállítások'!$E$20*(10-P84))</f>
        <v/>
      </c>
      <c r="DG84">
        <f>IF($A84="","",'Beállítások'!$E$21*(10-Q84))</f>
        <v/>
      </c>
      <c r="DH84">
        <f>IF($A84="","",'Beállítások'!$E$22*(10-R84))</f>
        <v/>
      </c>
      <c r="DI84">
        <f>IF($A84="","",'Beállítások'!$E$23*(10-S84))</f>
        <v/>
      </c>
      <c r="DJ84">
        <f>IF($A84="","",'Beállítások'!$E$24*(10-T84))</f>
        <v/>
      </c>
      <c r="DK84">
        <f>IF($A84="","",'Beállítások'!$E$25*(10-U84))</f>
        <v/>
      </c>
      <c r="DL84">
        <f>IF($A84="","",'Beállítások'!$E$26*(10-V84))</f>
        <v/>
      </c>
      <c r="DM84">
        <f>IF($A84="","",'Beállítások'!$E$27*(10-W84))</f>
        <v/>
      </c>
      <c r="DN84">
        <f>IF($A84="","",'Beállítások'!$E$28*(10-X84))</f>
        <v/>
      </c>
      <c r="DO84">
        <f>IF($A84="","",'Beállítások'!$E$29*(10-Y84))</f>
        <v/>
      </c>
      <c r="DP84">
        <f>IF($A84="","",'Beállítások'!$E$30*(10-Z84))</f>
        <v/>
      </c>
      <c r="DQ84">
        <f>IF($A84="","",'Beállítások'!$E$31*(10-AA84))</f>
        <v/>
      </c>
      <c r="DR84">
        <f>IF($A84="","",'Beállítások'!$E$32*(10-AB84))</f>
        <v/>
      </c>
      <c r="DS84">
        <f>IF($A84="","",'Beállítások'!$E$33*(10-AC84))</f>
        <v/>
      </c>
      <c r="DT84">
        <f>IF($A84="","",'Beállítások'!$E$34*(10-AD84))</f>
        <v/>
      </c>
      <c r="DU84">
        <f>IF($A84="","",'Beállítások'!$E$35*(10-AE84))</f>
        <v/>
      </c>
      <c r="DV84">
        <f>IF($A84="","",'Beállítások'!$E$36*(10-AF84))</f>
        <v/>
      </c>
      <c r="DW84">
        <f>IF($A84="","",'Beállítások'!$E$37*(10-AG84))</f>
        <v/>
      </c>
      <c r="DX84">
        <f>IF($A84="","",'Beállítások'!$E$38*(10-AH84))</f>
        <v/>
      </c>
      <c r="DY84">
        <f>IF($A84="","",AM84-ROW()/100000)</f>
        <v/>
      </c>
    </row>
    <row r="85">
      <c r="A85">
        <f>IF('Ügyfelek'!A85="","",'Ügyfelek'!A85)</f>
        <v/>
      </c>
      <c r="B85">
        <f>IF($A85="","",IF('Ügyfelek'!B85="",'Beállítások'!$B$84,IFERROR(VLOOKUP(TRIM('Ügyfelek'!B85),'Beállítások'!$A$51:$B$59,2,FALSE),'Beállítások'!$B$84)))</f>
        <v/>
      </c>
      <c r="C85">
        <f>IF($A85="","",IF('Ügyfelek'!C85="",'Beállítások'!$B$84,MIN(10,MAX(1,ROUND('Ügyfelek'!C85,0)))))</f>
        <v/>
      </c>
      <c r="D85">
        <f>IF($A85="","",IF('Ügyfelek'!D85="",'Beállítások'!$B$84,MIN(10,MAX(1,ROUND('Ügyfelek'!D85,0)))))</f>
        <v/>
      </c>
      <c r="E85">
        <f>IF($A85="","",IF('Ügyfelek'!E85="",'Beállítások'!$B$84,MIN(10,MAX(1,ROUND('Ügyfelek'!E85,0)))))</f>
        <v/>
      </c>
      <c r="F85">
        <f>IF($A85="","",IF('Ügyfelek'!F85="",'Beállítások'!$B$84,MIN(10,MAX(1,ROUND('Ügyfelek'!F85,0)))))</f>
        <v/>
      </c>
      <c r="G85">
        <f>IF($A85="","",IF('Ügyfelek'!G85="",'Beállítások'!$B$84,MIN(10,MAX(1,ROUND('Ügyfelek'!G85,0)))))</f>
        <v/>
      </c>
      <c r="H85">
        <f>IF($A85="","",IF('Ügyfelek'!H85="",'Beállítások'!$B$84,MIN(10,MAX(1,ROUND('Ügyfelek'!H85,0)))))</f>
        <v/>
      </c>
      <c r="I85">
        <f>IF($A85="","",IF('Ügyfelek'!I85="",'Beállítások'!$B$84,MIN(10,MAX(1,ROUND('Ügyfelek'!I85,0)))))</f>
        <v/>
      </c>
      <c r="J85">
        <f>IF($A85="","",IF('Ügyfelek'!J85="",'Beállítások'!$B$84,MIN(10,MAX(1,ROUND('Ügyfelek'!J85,0)))))</f>
        <v/>
      </c>
      <c r="K85">
        <f>IF($A85="","",IF('Ügyfelek'!K85="",'Beállítások'!$B$84,MIN(10,MAX(1,ROUND('Ügyfelek'!K85,0)))))</f>
        <v/>
      </c>
      <c r="L85">
        <f>IF($A85="","",IF('Ügyfelek'!L85="",'Beállítások'!$B$84,MIN(10,MAX(1,ROUND('Ügyfelek'!L85,0)))))</f>
        <v/>
      </c>
      <c r="M85">
        <f>IF($A85="","",IF('Ügyfelek'!M85="",'Beállítások'!$B$84,MIN(10,MAX(1,ROUND('Ügyfelek'!M85,0)))))</f>
        <v/>
      </c>
      <c r="N85">
        <f>IF($A85="","",IF('Ügyfelek'!N85="",'Beállítások'!$B$84,MIN(10,MAX(1,ROUND('Ügyfelek'!N85,0)))))</f>
        <v/>
      </c>
      <c r="O85">
        <f>IF($A85="","",IF('Ügyfelek'!O85="",'Beállítások'!$B$84,MIN(10,MAX(1,ROUND('Ügyfelek'!O85,0)))))</f>
        <v/>
      </c>
      <c r="P85">
        <f>IF($A85="","",IF('Ügyfelek'!P85="",'Beállítások'!$B$84,MIN(10,MAX(1,ROUND('Ügyfelek'!P85,0)))))</f>
        <v/>
      </c>
      <c r="Q85">
        <f>IF($A85="","",IF('Ügyfelek'!Q85="",'Beállítások'!$B$84,MIN(10,MAX(1,ROUND('Ügyfelek'!Q85,0)))))</f>
        <v/>
      </c>
      <c r="R85">
        <f>IF($A85="","",IF('Ügyfelek'!R85="",'Beállítások'!$B$84,MIN(10,MAX(1,ROUND('Ügyfelek'!R85,0)))))</f>
        <v/>
      </c>
      <c r="S85">
        <f>IF($A85="","",IF('Ügyfelek'!S85="",'Beállítások'!$B$84,MIN(10,MAX(1,ROUND('Ügyfelek'!S85,0)))))</f>
        <v/>
      </c>
      <c r="T85">
        <f>IF($A85="","",IF('Ügyfelek'!T85="",'Beállítások'!$B$84,VLOOKUP(MAX('Ügyfelek'!T85,'Beállítások'!$H$7),'Beállítások'!$H$7:$I$12,2,TRUE)))</f>
        <v/>
      </c>
      <c r="U85">
        <f>IF($A85="","",IF('Ügyfelek'!U85="",'Beállítások'!$B$84,VLOOKUP(MAX('Ügyfelek'!U85,'Beállítások'!$K$7),'Beállítások'!$K$7:$L$12,2,TRUE)))</f>
        <v/>
      </c>
      <c r="V85">
        <f>IF($A85="","",IF('Ügyfelek'!V85="",'Beállítások'!$B$84,MIN(10,MAX(1,ROUND('Ügyfelek'!V85,0)))))</f>
        <v/>
      </c>
      <c r="W85">
        <f>IF($A85="","",IF('Ügyfelek'!W85="",'Beállítások'!$B$84,VLOOKUP(MAX('Ügyfelek'!W85,'Beállítások'!$N$7),'Beállítások'!$N$7:$O$12,2,TRUE)))</f>
        <v/>
      </c>
      <c r="X85">
        <f>IF($A85="","",IF('Ügyfelek'!X85="",'Beállítások'!$B$84,MIN(10,MAX(1,ROUND('Ügyfelek'!X85,0)))))</f>
        <v/>
      </c>
      <c r="Y85">
        <f>IF($A85="","",IF('Ügyfelek'!Y85="",'Beállítások'!$B$84,IFERROR(VLOOKUP(TRIM('Ügyfelek'!Y85),'Beállítások'!$A$63:$B$69,2,FALSE),'Beállítások'!$B$84)))</f>
        <v/>
      </c>
      <c r="Z85">
        <f>IF($A85="","",IF('Ügyfelek'!Z85="",'Beállítások'!$B$84,VLOOKUP(MAX('Ügyfelek'!Z85,'Beállítások'!$Q$7),'Beállítások'!$Q$7:$R$12,2,TRUE)))</f>
        <v/>
      </c>
      <c r="AA85">
        <f>IF($A85="","",IF('Ügyfelek'!AA85="",'Beállítások'!$B$84,VLOOKUP(MAX('Ügyfelek'!AA85,'Beállítások'!$T$7),'Beállítások'!$T$7:$U$12,2,TRUE)))</f>
        <v/>
      </c>
      <c r="AB85">
        <f>IF($A85="","",IF('Ügyfelek'!AB85="",'Beállítások'!$B$84,MIN(10,MAX(1,ROUND('Ügyfelek'!AB85,0)))))</f>
        <v/>
      </c>
      <c r="AC85">
        <f>IF($A85="","",IF('Ügyfelek'!AC85="",'Beállítások'!$B$84,MIN(10,MAX(1,ROUND('Ügyfelek'!AC85,0)))))</f>
        <v/>
      </c>
      <c r="AD85">
        <f>IF($A85="","",IF('Ügyfelek'!AD85="",'Beállítások'!$B$84,MIN(10,MAX(1,ROUND('Ügyfelek'!AD85,0)))))</f>
        <v/>
      </c>
      <c r="AE85">
        <f>IF($A85="","",IF('Ügyfelek'!AE85="",'Beállítások'!$B$84,MIN(10,MAX(1,ROUND('Ügyfelek'!AE85,0)))))</f>
        <v/>
      </c>
      <c r="AF85">
        <f>IF($A85="","",IF('Ügyfelek'!AF85="",'Beállítások'!$B$84,MIN(10,MAX(1,ROUND('Ügyfelek'!AF85,0)))))</f>
        <v/>
      </c>
      <c r="AG85">
        <f>IF($A85="","",IF('Ügyfelek'!AG85="",'Beállítások'!$B$84,MIN(10,MAX(1,ROUND('Ügyfelek'!AG85,0)))))</f>
        <v/>
      </c>
      <c r="AH85">
        <f>IF($A85="","",IF('Ügyfelek'!AH85="",'Beállítások'!$B$84,IFERROR(VLOOKUP(TRIM('Ügyfelek'!AH85),'Beállítások'!$A$73:$B$79,2,FALSE),'Beállítások'!$B$84)))</f>
        <v/>
      </c>
      <c r="AI85" s="23">
        <f>IF($A85="","",ROUND(100*('Beállítások'!$E$6*(B85-1)+'Beállítások'!$E$7*(C85-1))/(9*'Beállítások'!$B$43),1))</f>
        <v/>
      </c>
      <c r="AJ85" s="23">
        <f>IF($A85="","",ROUND(100*('Beállítások'!$E$8*(D85-1)+'Beállítások'!$E$9*(E85-1)+'Beállítások'!$E$10*(F85-1)+'Beállítások'!$E$11*(G85-1)+'Beállítások'!$E$12*(H85-1)+'Beállítások'!$E$13*(I85-1)+'Beállítások'!$E$14*(J85-1)+'Beállítások'!$E$15*(K85-1)+'Beállítások'!$E$16*(L85-1)+'Beállítások'!$E$17*(M85-1)+'Beállítások'!$E$18*(N85-1)+'Beállítások'!$E$19*(O85-1)+'Beállítások'!$E$20*(P85-1)+'Beállítások'!$E$21*(Q85-1)+'Beállítások'!$E$22*(R85-1))/(9*'Beállítások'!$B$44),1))</f>
        <v/>
      </c>
      <c r="AK85" s="23">
        <f>IF($A85="","",ROUND(100*('Beállítások'!$E$23*(S85-1)+'Beállítások'!$E$24*(T85-1)+'Beállítások'!$E$25*(U85-1)+'Beállítások'!$E$26*(V85-1)+'Beállítások'!$E$27*(W85-1)+'Beállítások'!$E$28*(X85-1)+'Beállítások'!$E$29*(Y85-1))/(9*'Beállítások'!$B$45),1))</f>
        <v/>
      </c>
      <c r="AL85" s="23">
        <f>IF($A85="","",ROUND(100*('Beállítások'!$E$30*(Z85-1)+'Beállítások'!$E$31*(AA85-1)+'Beállítások'!$E$32*(AB85-1)+'Beállítások'!$E$33*(AC85-1)+'Beállítások'!$E$34*(AD85-1)+'Beállítások'!$E$35*(AE85-1)+'Beállítások'!$E$36*(AF85-1)+'Beállítások'!$E$37*(AG85-1)+'Beállítások'!$E$38*(AH85-1))/(9*'Beállítások'!$B$46),1))</f>
        <v/>
      </c>
      <c r="AM85" s="23">
        <f>IF($A85="","",ROUND(100*('Beállítások'!$E$6*(B85-1)+'Beállítások'!$E$7*(C85-1)+'Beállítások'!$E$8*(D85-1)+'Beállítások'!$E$9*(E85-1)+'Beállítások'!$E$10*(F85-1)+'Beállítások'!$E$11*(G85-1)+'Beállítások'!$E$12*(H85-1)+'Beállítások'!$E$13*(I85-1)+'Beállítások'!$E$14*(J85-1)+'Beállítások'!$E$15*(K85-1)+'Beállítások'!$E$16*(L85-1)+'Beállítások'!$E$17*(M85-1)+'Beállítások'!$E$18*(N85-1)+'Beállítások'!$E$19*(O85-1)+'Beállítások'!$E$20*(P85-1)+'Beállítások'!$E$21*(Q85-1)+'Beállítások'!$E$22*(R85-1)+'Beállítások'!$E$23*(S85-1)+'Beállítások'!$E$24*(T85-1)+'Beállítások'!$E$25*(U85-1)+'Beállítások'!$E$26*(V85-1)+'Beállítások'!$E$27*(W85-1)+'Beállítások'!$E$28*(X85-1)+'Beállítások'!$E$29*(Y85-1)+'Beállítások'!$E$30*(Z85-1)+'Beállítások'!$E$31*(AA85-1)+'Beállítások'!$E$32*(AB85-1)+'Beállítások'!$E$33*(AC85-1)+'Beállítások'!$E$34*(AD85-1)+'Beállítások'!$E$35*(AE85-1)+'Beállítások'!$E$36*(AF85-1)+'Beállítások'!$E$37*(AG85-1)+'Beállítások'!$E$38*(AH85-1))/(9*'Beállítások'!$E$39),1))</f>
        <v/>
      </c>
      <c r="AN85" s="23">
        <f>IF($A85="","",ROUND(100*('Beállítások'!$E$8*(D85-1)+'Beállítások'!$E$9*(E85-1)+'Beállítások'!$E$10*(F85-1)+'Beállítások'!$E$11*(G85-1)+'Beállítások'!$E$12*(H85-1)+'Beállítások'!$E$13*(I85-1)+'Beállítások'!$E$14*(J85-1)+'Beállítások'!$E$15*(K85-1)+'Beállítások'!$E$16*(L85-1)+'Beállítások'!$E$17*(M85-1)+'Beállítások'!$E$18*(N85-1)+'Beállítások'!$E$19*(O85-1)+'Beállítások'!$E$20*(P85-1)+'Beállítások'!$E$21*(Q85-1)+'Beállítások'!$E$22*(R85-1)+'Beállítások'!$E$23*(S85-1)+'Beállítások'!$E$24*(T85-1)+'Beállítások'!$E$25*(U85-1)+'Beállítások'!$E$26*(V85-1)+'Beállítások'!$E$27*(W85-1)+'Beállítások'!$E$28*(X85-1)+'Beállítások'!$E$29*(Y85-1))/(9*('Beállítások'!$B$44+'Beállítások'!$B$45)),1))</f>
        <v/>
      </c>
      <c r="AO85" s="24">
        <f>IF($A85="","",RANK(AM85,$AM$2:$AM$201))</f>
        <v/>
      </c>
      <c r="AP85">
        <f>IF($A85="","",IF(OR(AND('Ügyfelek'!B85&lt;&gt;"",B85&lt;='Beállítások'!$B$85),AND('Ügyfelek'!C85&lt;&gt;"",C85&lt;='Beállítások'!$B$86)),"Igen","Nem"))</f>
        <v/>
      </c>
      <c r="AQ85" s="24">
        <f>IF($A85="","",IF(AP85="Igen",5,IF(AN85&gt;='Beállítások'!$C$108,1,IF(AN85&gt;='Beállítások'!$C$109,2,IF(AN85&gt;='Beállítások'!$C$110,3,IF(AND(AN85&gt;='Beállítások'!$B$87,AI85&gt;='Beállítások'!$B$88,AL85&gt;='Beállítások'!$B$89),4,5))))))</f>
        <v/>
      </c>
      <c r="AR85">
        <f>IF($A85="","",INDEX('Beállítások'!$B$108:$B$112,AQ85))</f>
        <v/>
      </c>
      <c r="AS85">
        <f>IF($A85="","",IF(AQ85=5,"Elutasítjuk",IF(AND(AQ85=4,COUNTIFS('Eredmény'!$AQ$2:$AQ$201,4,'Eredmény'!$DY$2:$DY$201,"&gt;"&amp;DY85)&gt;='Beállítások'!$B$90),"Várólista (a 4-es hely foglalt)","Elfogadjuk")))</f>
        <v/>
      </c>
      <c r="AT85">
        <f>IF($A85="","",INDEX('Beállítások'!$F$108:$F$112,AQ85))</f>
        <v/>
      </c>
      <c r="AU85">
        <f>IF($A85="","",INDEX('Beállítások'!$B$6:$B$38,MATCH(MAX(BK85:CQ85),BK85:CQ85,0)))</f>
        <v/>
      </c>
      <c r="AV85">
        <f>IF($A85="","",IF(MAX(CR85:DX85)=0,"—",INDEX('Beállítások'!$B$6:$B$38,MATCH(MAX(CR85:DX85),CR85:DX85,0))))</f>
        <v/>
      </c>
      <c r="AW85" s="10">
        <f>IF($A85="","",'Beállítások'!$B$94*(TRIM('Ügyfelek'!AI85)="igen")+'Beállítások'!$B$95*(TRIM('Ügyfelek'!AJ85)="igen")+'Beállítások'!$B$96*N('Ügyfelek'!AK85)+'Beállítások'!$B$93*N('Ügyfelek'!AL85))</f>
        <v/>
      </c>
      <c r="AX85" s="25">
        <f>IF(OR($A85="",AQ85=5),"",INDEX('Beállítások'!$D$108:$D$112,AQ85))</f>
        <v/>
      </c>
      <c r="AY85" s="10">
        <f>IF($A85="","",N('Ügyfelek'!U85)*'Beállítások'!$B$98)</f>
        <v/>
      </c>
      <c r="AZ85" s="10">
        <f>IF(OR($A85="",AQ85=5),"",CEILING(ROUND(MAX('Beállítások'!$B$97,AW85*AX85,AY85),2),'Beállítások'!$B$99))</f>
        <v/>
      </c>
      <c r="BA85">
        <f>IF($A85="","",IF(AQ85=5,"Elutasítva",IF(MAX('Beállítások'!$B$97,AW85*AX85,AY85)=AW85*AX85,"Munkaigény × státuszszorzó",IF(MAX('Beállítások'!$B$97,AW85*AX85,AY85)=AY85,"Hirdetési keret arányában","Minimumdíj"))))</f>
        <v/>
      </c>
      <c r="BB85" s="10">
        <f>IF(OR($A85="",'Ügyfelek'!AM85=""),"",'Ügyfelek'!AM85)</f>
        <v/>
      </c>
      <c r="BC85" s="10">
        <f>IF(OR(BB85="",AZ85=""),"",AZ85-BB85)</f>
        <v/>
      </c>
      <c r="BD85" s="18">
        <f>IF(OR(BB85="",AZ85="",BB85=0),"",BC85/BB85)</f>
        <v/>
      </c>
      <c r="BE85">
        <f>IF(OR($A85="",AQ85=5),"",IF(AND(INDEX('Beállítások'!$E$108:$E$112,AQ85)&gt;0,Y85&gt;='Beállítások'!$B$91),"Igen","Nem"))</f>
        <v/>
      </c>
      <c r="BF85" s="10">
        <f>IF(BE85="Igen",CEILING(ROUND(AZ85*(1-'Beállítások'!$B$92),2),'Beállítások'!$B$99),"")</f>
        <v/>
      </c>
      <c r="BG85" s="20">
        <f>IF(BE85="Igen",INDEX('Beállítások'!$E$108:$E$112,AQ85),"")</f>
        <v/>
      </c>
      <c r="BH85" s="10">
        <f>IF(OR(BE85&lt;&gt;"Igen",'Ügyfelek'!AN85=""),"",'Ügyfelek'!AN85*BG85)</f>
        <v/>
      </c>
      <c r="BI85" s="24">
        <f>IF($A85="","",('Ügyfelek'!B85="")+('Ügyfelek'!C85="")+('Ügyfelek'!D85="")+('Ügyfelek'!E85="")+('Ügyfelek'!F85="")+('Ügyfelek'!G85="")+('Ügyfelek'!H85="")+('Ügyfelek'!I85="")+('Ügyfelek'!J85="")+('Ügyfelek'!K85="")+('Ügyfelek'!L85="")+('Ügyfelek'!M85="")+('Ügyfelek'!N85="")+('Ügyfelek'!O85="")+('Ügyfelek'!P85="")+('Ügyfelek'!Q85="")+('Ügyfelek'!R85="")+('Ügyfelek'!S85="")+('Ügyfelek'!T85="")+('Ügyfelek'!U85="")+('Ügyfelek'!V85="")+('Ügyfelek'!W85="")+('Ügyfelek'!X85="")+('Ügyfelek'!Y85="")+('Ügyfelek'!Z85="")+('Ügyfelek'!AA85="")+('Ügyfelek'!AB85="")+('Ügyfelek'!AC85="")+('Ügyfelek'!AD85="")+('Ügyfelek'!AE85="")+('Ügyfelek'!AF85="")+('Ügyfelek'!AG85="")+('Ügyfelek'!AH85=""))</f>
        <v/>
      </c>
      <c r="BK85">
        <f>IF($A85="","",B85+'Beállítások'!$E$6/1000)</f>
        <v/>
      </c>
      <c r="BL85">
        <f>IF($A85="","",C85+'Beállítások'!$E$7/1000)</f>
        <v/>
      </c>
      <c r="BM85">
        <f>IF($A85="","",D85+'Beállítások'!$E$8/1000)</f>
        <v/>
      </c>
      <c r="BN85">
        <f>IF($A85="","",E85+'Beállítások'!$E$9/1000)</f>
        <v/>
      </c>
      <c r="BO85">
        <f>IF($A85="","",F85+'Beállítások'!$E$10/1000)</f>
        <v/>
      </c>
      <c r="BP85">
        <f>IF($A85="","",G85+'Beállítások'!$E$11/1000)</f>
        <v/>
      </c>
      <c r="BQ85">
        <f>IF($A85="","",H85+'Beállítások'!$E$12/1000)</f>
        <v/>
      </c>
      <c r="BR85">
        <f>IF($A85="","",I85+'Beállítások'!$E$13/1000)</f>
        <v/>
      </c>
      <c r="BS85">
        <f>IF($A85="","",J85+'Beállítások'!$E$14/1000)</f>
        <v/>
      </c>
      <c r="BT85">
        <f>IF($A85="","",K85+'Beállítások'!$E$15/1000)</f>
        <v/>
      </c>
      <c r="BU85">
        <f>IF($A85="","",L85+'Beállítások'!$E$16/1000)</f>
        <v/>
      </c>
      <c r="BV85">
        <f>IF($A85="","",M85+'Beállítások'!$E$17/1000)</f>
        <v/>
      </c>
      <c r="BW85">
        <f>IF($A85="","",N85+'Beállítások'!$E$18/1000)</f>
        <v/>
      </c>
      <c r="BX85">
        <f>IF($A85="","",O85+'Beállítások'!$E$19/1000)</f>
        <v/>
      </c>
      <c r="BY85">
        <f>IF($A85="","",P85+'Beállítások'!$E$20/1000)</f>
        <v/>
      </c>
      <c r="BZ85">
        <f>IF($A85="","",Q85+'Beállítások'!$E$21/1000)</f>
        <v/>
      </c>
      <c r="CA85">
        <f>IF($A85="","",R85+'Beállítások'!$E$22/1000)</f>
        <v/>
      </c>
      <c r="CB85">
        <f>IF($A85="","",S85+'Beállítások'!$E$23/1000)</f>
        <v/>
      </c>
      <c r="CC85">
        <f>IF($A85="","",T85+'Beállítások'!$E$24/1000)</f>
        <v/>
      </c>
      <c r="CD85">
        <f>IF($A85="","",U85+'Beállítások'!$E$25/1000)</f>
        <v/>
      </c>
      <c r="CE85">
        <f>IF($A85="","",V85+'Beállítások'!$E$26/1000)</f>
        <v/>
      </c>
      <c r="CF85">
        <f>IF($A85="","",W85+'Beállítások'!$E$27/1000)</f>
        <v/>
      </c>
      <c r="CG85">
        <f>IF($A85="","",X85+'Beállítások'!$E$28/1000)</f>
        <v/>
      </c>
      <c r="CH85">
        <f>IF($A85="","",Y85+'Beállítások'!$E$29/1000)</f>
        <v/>
      </c>
      <c r="CI85">
        <f>IF($A85="","",Z85+'Beállítások'!$E$30/1000)</f>
        <v/>
      </c>
      <c r="CJ85">
        <f>IF($A85="","",AA85+'Beállítások'!$E$31/1000)</f>
        <v/>
      </c>
      <c r="CK85">
        <f>IF($A85="","",AB85+'Beállítások'!$E$32/1000)</f>
        <v/>
      </c>
      <c r="CL85">
        <f>IF($A85="","",AC85+'Beállítások'!$E$33/1000)</f>
        <v/>
      </c>
      <c r="CM85">
        <f>IF($A85="","",AD85+'Beállítások'!$E$34/1000)</f>
        <v/>
      </c>
      <c r="CN85">
        <f>IF($A85="","",AE85+'Beállítások'!$E$35/1000)</f>
        <v/>
      </c>
      <c r="CO85">
        <f>IF($A85="","",AF85+'Beállítások'!$E$36/1000)</f>
        <v/>
      </c>
      <c r="CP85">
        <f>IF($A85="","",AG85+'Beállítások'!$E$37/1000)</f>
        <v/>
      </c>
      <c r="CQ85">
        <f>IF($A85="","",AH85+'Beállítások'!$E$38/1000)</f>
        <v/>
      </c>
      <c r="CR85">
        <f>IF($A85="","",'Beállítások'!$E$6*(10-B85))</f>
        <v/>
      </c>
      <c r="CS85">
        <f>IF($A85="","",'Beállítások'!$E$7*(10-C85))</f>
        <v/>
      </c>
      <c r="CT85">
        <f>IF($A85="","",'Beállítások'!$E$8*(10-D85))</f>
        <v/>
      </c>
      <c r="CU85">
        <f>IF($A85="","",'Beállítások'!$E$9*(10-E85))</f>
        <v/>
      </c>
      <c r="CV85">
        <f>IF($A85="","",'Beállítások'!$E$10*(10-F85))</f>
        <v/>
      </c>
      <c r="CW85">
        <f>IF($A85="","",'Beállítások'!$E$11*(10-G85))</f>
        <v/>
      </c>
      <c r="CX85">
        <f>IF($A85="","",'Beállítások'!$E$12*(10-H85))</f>
        <v/>
      </c>
      <c r="CY85">
        <f>IF($A85="","",'Beállítások'!$E$13*(10-I85))</f>
        <v/>
      </c>
      <c r="CZ85">
        <f>IF($A85="","",'Beállítások'!$E$14*(10-J85))</f>
        <v/>
      </c>
      <c r="DA85">
        <f>IF($A85="","",'Beállítások'!$E$15*(10-K85))</f>
        <v/>
      </c>
      <c r="DB85">
        <f>IF($A85="","",'Beállítások'!$E$16*(10-L85))</f>
        <v/>
      </c>
      <c r="DC85">
        <f>IF($A85="","",'Beállítások'!$E$17*(10-M85))</f>
        <v/>
      </c>
      <c r="DD85">
        <f>IF($A85="","",'Beállítások'!$E$18*(10-N85))</f>
        <v/>
      </c>
      <c r="DE85">
        <f>IF($A85="","",'Beállítások'!$E$19*(10-O85))</f>
        <v/>
      </c>
      <c r="DF85">
        <f>IF($A85="","",'Beállítások'!$E$20*(10-P85))</f>
        <v/>
      </c>
      <c r="DG85">
        <f>IF($A85="","",'Beállítások'!$E$21*(10-Q85))</f>
        <v/>
      </c>
      <c r="DH85">
        <f>IF($A85="","",'Beállítások'!$E$22*(10-R85))</f>
        <v/>
      </c>
      <c r="DI85">
        <f>IF($A85="","",'Beállítások'!$E$23*(10-S85))</f>
        <v/>
      </c>
      <c r="DJ85">
        <f>IF($A85="","",'Beállítások'!$E$24*(10-T85))</f>
        <v/>
      </c>
      <c r="DK85">
        <f>IF($A85="","",'Beállítások'!$E$25*(10-U85))</f>
        <v/>
      </c>
      <c r="DL85">
        <f>IF($A85="","",'Beállítások'!$E$26*(10-V85))</f>
        <v/>
      </c>
      <c r="DM85">
        <f>IF($A85="","",'Beállítások'!$E$27*(10-W85))</f>
        <v/>
      </c>
      <c r="DN85">
        <f>IF($A85="","",'Beállítások'!$E$28*(10-X85))</f>
        <v/>
      </c>
      <c r="DO85">
        <f>IF($A85="","",'Beállítások'!$E$29*(10-Y85))</f>
        <v/>
      </c>
      <c r="DP85">
        <f>IF($A85="","",'Beállítások'!$E$30*(10-Z85))</f>
        <v/>
      </c>
      <c r="DQ85">
        <f>IF($A85="","",'Beállítások'!$E$31*(10-AA85))</f>
        <v/>
      </c>
      <c r="DR85">
        <f>IF($A85="","",'Beállítások'!$E$32*(10-AB85))</f>
        <v/>
      </c>
      <c r="DS85">
        <f>IF($A85="","",'Beállítások'!$E$33*(10-AC85))</f>
        <v/>
      </c>
      <c r="DT85">
        <f>IF($A85="","",'Beállítások'!$E$34*(10-AD85))</f>
        <v/>
      </c>
      <c r="DU85">
        <f>IF($A85="","",'Beállítások'!$E$35*(10-AE85))</f>
        <v/>
      </c>
      <c r="DV85">
        <f>IF($A85="","",'Beállítások'!$E$36*(10-AF85))</f>
        <v/>
      </c>
      <c r="DW85">
        <f>IF($A85="","",'Beállítások'!$E$37*(10-AG85))</f>
        <v/>
      </c>
      <c r="DX85">
        <f>IF($A85="","",'Beállítások'!$E$38*(10-AH85))</f>
        <v/>
      </c>
      <c r="DY85">
        <f>IF($A85="","",AM85-ROW()/100000)</f>
        <v/>
      </c>
    </row>
    <row r="86">
      <c r="A86">
        <f>IF('Ügyfelek'!A86="","",'Ügyfelek'!A86)</f>
        <v/>
      </c>
      <c r="B86">
        <f>IF($A86="","",IF('Ügyfelek'!B86="",'Beállítások'!$B$84,IFERROR(VLOOKUP(TRIM('Ügyfelek'!B86),'Beállítások'!$A$51:$B$59,2,FALSE),'Beállítások'!$B$84)))</f>
        <v/>
      </c>
      <c r="C86">
        <f>IF($A86="","",IF('Ügyfelek'!C86="",'Beállítások'!$B$84,MIN(10,MAX(1,ROUND('Ügyfelek'!C86,0)))))</f>
        <v/>
      </c>
      <c r="D86">
        <f>IF($A86="","",IF('Ügyfelek'!D86="",'Beállítások'!$B$84,MIN(10,MAX(1,ROUND('Ügyfelek'!D86,0)))))</f>
        <v/>
      </c>
      <c r="E86">
        <f>IF($A86="","",IF('Ügyfelek'!E86="",'Beállítások'!$B$84,MIN(10,MAX(1,ROUND('Ügyfelek'!E86,0)))))</f>
        <v/>
      </c>
      <c r="F86">
        <f>IF($A86="","",IF('Ügyfelek'!F86="",'Beállítások'!$B$84,MIN(10,MAX(1,ROUND('Ügyfelek'!F86,0)))))</f>
        <v/>
      </c>
      <c r="G86">
        <f>IF($A86="","",IF('Ügyfelek'!G86="",'Beállítások'!$B$84,MIN(10,MAX(1,ROUND('Ügyfelek'!G86,0)))))</f>
        <v/>
      </c>
      <c r="H86">
        <f>IF($A86="","",IF('Ügyfelek'!H86="",'Beállítások'!$B$84,MIN(10,MAX(1,ROUND('Ügyfelek'!H86,0)))))</f>
        <v/>
      </c>
      <c r="I86">
        <f>IF($A86="","",IF('Ügyfelek'!I86="",'Beállítások'!$B$84,MIN(10,MAX(1,ROUND('Ügyfelek'!I86,0)))))</f>
        <v/>
      </c>
      <c r="J86">
        <f>IF($A86="","",IF('Ügyfelek'!J86="",'Beállítások'!$B$84,MIN(10,MAX(1,ROUND('Ügyfelek'!J86,0)))))</f>
        <v/>
      </c>
      <c r="K86">
        <f>IF($A86="","",IF('Ügyfelek'!K86="",'Beállítások'!$B$84,MIN(10,MAX(1,ROUND('Ügyfelek'!K86,0)))))</f>
        <v/>
      </c>
      <c r="L86">
        <f>IF($A86="","",IF('Ügyfelek'!L86="",'Beállítások'!$B$84,MIN(10,MAX(1,ROUND('Ügyfelek'!L86,0)))))</f>
        <v/>
      </c>
      <c r="M86">
        <f>IF($A86="","",IF('Ügyfelek'!M86="",'Beállítások'!$B$84,MIN(10,MAX(1,ROUND('Ügyfelek'!M86,0)))))</f>
        <v/>
      </c>
      <c r="N86">
        <f>IF($A86="","",IF('Ügyfelek'!N86="",'Beállítások'!$B$84,MIN(10,MAX(1,ROUND('Ügyfelek'!N86,0)))))</f>
        <v/>
      </c>
      <c r="O86">
        <f>IF($A86="","",IF('Ügyfelek'!O86="",'Beállítások'!$B$84,MIN(10,MAX(1,ROUND('Ügyfelek'!O86,0)))))</f>
        <v/>
      </c>
      <c r="P86">
        <f>IF($A86="","",IF('Ügyfelek'!P86="",'Beállítások'!$B$84,MIN(10,MAX(1,ROUND('Ügyfelek'!P86,0)))))</f>
        <v/>
      </c>
      <c r="Q86">
        <f>IF($A86="","",IF('Ügyfelek'!Q86="",'Beállítások'!$B$84,MIN(10,MAX(1,ROUND('Ügyfelek'!Q86,0)))))</f>
        <v/>
      </c>
      <c r="R86">
        <f>IF($A86="","",IF('Ügyfelek'!R86="",'Beállítások'!$B$84,MIN(10,MAX(1,ROUND('Ügyfelek'!R86,0)))))</f>
        <v/>
      </c>
      <c r="S86">
        <f>IF($A86="","",IF('Ügyfelek'!S86="",'Beállítások'!$B$84,MIN(10,MAX(1,ROUND('Ügyfelek'!S86,0)))))</f>
        <v/>
      </c>
      <c r="T86">
        <f>IF($A86="","",IF('Ügyfelek'!T86="",'Beállítások'!$B$84,VLOOKUP(MAX('Ügyfelek'!T86,'Beállítások'!$H$7),'Beállítások'!$H$7:$I$12,2,TRUE)))</f>
        <v/>
      </c>
      <c r="U86">
        <f>IF($A86="","",IF('Ügyfelek'!U86="",'Beállítások'!$B$84,VLOOKUP(MAX('Ügyfelek'!U86,'Beállítások'!$K$7),'Beállítások'!$K$7:$L$12,2,TRUE)))</f>
        <v/>
      </c>
      <c r="V86">
        <f>IF($A86="","",IF('Ügyfelek'!V86="",'Beállítások'!$B$84,MIN(10,MAX(1,ROUND('Ügyfelek'!V86,0)))))</f>
        <v/>
      </c>
      <c r="W86">
        <f>IF($A86="","",IF('Ügyfelek'!W86="",'Beállítások'!$B$84,VLOOKUP(MAX('Ügyfelek'!W86,'Beállítások'!$N$7),'Beállítások'!$N$7:$O$12,2,TRUE)))</f>
        <v/>
      </c>
      <c r="X86">
        <f>IF($A86="","",IF('Ügyfelek'!X86="",'Beállítások'!$B$84,MIN(10,MAX(1,ROUND('Ügyfelek'!X86,0)))))</f>
        <v/>
      </c>
      <c r="Y86">
        <f>IF($A86="","",IF('Ügyfelek'!Y86="",'Beállítások'!$B$84,IFERROR(VLOOKUP(TRIM('Ügyfelek'!Y86),'Beállítások'!$A$63:$B$69,2,FALSE),'Beállítások'!$B$84)))</f>
        <v/>
      </c>
      <c r="Z86">
        <f>IF($A86="","",IF('Ügyfelek'!Z86="",'Beállítások'!$B$84,VLOOKUP(MAX('Ügyfelek'!Z86,'Beállítások'!$Q$7),'Beállítások'!$Q$7:$R$12,2,TRUE)))</f>
        <v/>
      </c>
      <c r="AA86">
        <f>IF($A86="","",IF('Ügyfelek'!AA86="",'Beállítások'!$B$84,VLOOKUP(MAX('Ügyfelek'!AA86,'Beállítások'!$T$7),'Beállítások'!$T$7:$U$12,2,TRUE)))</f>
        <v/>
      </c>
      <c r="AB86">
        <f>IF($A86="","",IF('Ügyfelek'!AB86="",'Beállítások'!$B$84,MIN(10,MAX(1,ROUND('Ügyfelek'!AB86,0)))))</f>
        <v/>
      </c>
      <c r="AC86">
        <f>IF($A86="","",IF('Ügyfelek'!AC86="",'Beállítások'!$B$84,MIN(10,MAX(1,ROUND('Ügyfelek'!AC86,0)))))</f>
        <v/>
      </c>
      <c r="AD86">
        <f>IF($A86="","",IF('Ügyfelek'!AD86="",'Beállítások'!$B$84,MIN(10,MAX(1,ROUND('Ügyfelek'!AD86,0)))))</f>
        <v/>
      </c>
      <c r="AE86">
        <f>IF($A86="","",IF('Ügyfelek'!AE86="",'Beállítások'!$B$84,MIN(10,MAX(1,ROUND('Ügyfelek'!AE86,0)))))</f>
        <v/>
      </c>
      <c r="AF86">
        <f>IF($A86="","",IF('Ügyfelek'!AF86="",'Beállítások'!$B$84,MIN(10,MAX(1,ROUND('Ügyfelek'!AF86,0)))))</f>
        <v/>
      </c>
      <c r="AG86">
        <f>IF($A86="","",IF('Ügyfelek'!AG86="",'Beállítások'!$B$84,MIN(10,MAX(1,ROUND('Ügyfelek'!AG86,0)))))</f>
        <v/>
      </c>
      <c r="AH86">
        <f>IF($A86="","",IF('Ügyfelek'!AH86="",'Beállítások'!$B$84,IFERROR(VLOOKUP(TRIM('Ügyfelek'!AH86),'Beállítások'!$A$73:$B$79,2,FALSE),'Beállítások'!$B$84)))</f>
        <v/>
      </c>
      <c r="AI86" s="23">
        <f>IF($A86="","",ROUND(100*('Beállítások'!$E$6*(B86-1)+'Beállítások'!$E$7*(C86-1))/(9*'Beállítások'!$B$43),1))</f>
        <v/>
      </c>
      <c r="AJ86" s="23">
        <f>IF($A86="","",ROUND(100*('Beállítások'!$E$8*(D86-1)+'Beállítások'!$E$9*(E86-1)+'Beállítások'!$E$10*(F86-1)+'Beállítások'!$E$11*(G86-1)+'Beállítások'!$E$12*(H86-1)+'Beállítások'!$E$13*(I86-1)+'Beállítások'!$E$14*(J86-1)+'Beállítások'!$E$15*(K86-1)+'Beállítások'!$E$16*(L86-1)+'Beállítások'!$E$17*(M86-1)+'Beállítások'!$E$18*(N86-1)+'Beállítások'!$E$19*(O86-1)+'Beállítások'!$E$20*(P86-1)+'Beállítások'!$E$21*(Q86-1)+'Beállítások'!$E$22*(R86-1))/(9*'Beállítások'!$B$44),1))</f>
        <v/>
      </c>
      <c r="AK86" s="23">
        <f>IF($A86="","",ROUND(100*('Beállítások'!$E$23*(S86-1)+'Beállítások'!$E$24*(T86-1)+'Beállítások'!$E$25*(U86-1)+'Beállítások'!$E$26*(V86-1)+'Beállítások'!$E$27*(W86-1)+'Beállítások'!$E$28*(X86-1)+'Beállítások'!$E$29*(Y86-1))/(9*'Beállítások'!$B$45),1))</f>
        <v/>
      </c>
      <c r="AL86" s="23">
        <f>IF($A86="","",ROUND(100*('Beállítások'!$E$30*(Z86-1)+'Beállítások'!$E$31*(AA86-1)+'Beállítások'!$E$32*(AB86-1)+'Beállítások'!$E$33*(AC86-1)+'Beállítások'!$E$34*(AD86-1)+'Beállítások'!$E$35*(AE86-1)+'Beállítások'!$E$36*(AF86-1)+'Beállítások'!$E$37*(AG86-1)+'Beállítások'!$E$38*(AH86-1))/(9*'Beállítások'!$B$46),1))</f>
        <v/>
      </c>
      <c r="AM86" s="23">
        <f>IF($A86="","",ROUND(100*('Beállítások'!$E$6*(B86-1)+'Beállítások'!$E$7*(C86-1)+'Beállítások'!$E$8*(D86-1)+'Beállítások'!$E$9*(E86-1)+'Beállítások'!$E$10*(F86-1)+'Beállítások'!$E$11*(G86-1)+'Beállítások'!$E$12*(H86-1)+'Beállítások'!$E$13*(I86-1)+'Beállítások'!$E$14*(J86-1)+'Beállítások'!$E$15*(K86-1)+'Beállítások'!$E$16*(L86-1)+'Beállítások'!$E$17*(M86-1)+'Beállítások'!$E$18*(N86-1)+'Beállítások'!$E$19*(O86-1)+'Beállítások'!$E$20*(P86-1)+'Beállítások'!$E$21*(Q86-1)+'Beállítások'!$E$22*(R86-1)+'Beállítások'!$E$23*(S86-1)+'Beállítások'!$E$24*(T86-1)+'Beállítások'!$E$25*(U86-1)+'Beállítások'!$E$26*(V86-1)+'Beállítások'!$E$27*(W86-1)+'Beállítások'!$E$28*(X86-1)+'Beállítások'!$E$29*(Y86-1)+'Beállítások'!$E$30*(Z86-1)+'Beállítások'!$E$31*(AA86-1)+'Beállítások'!$E$32*(AB86-1)+'Beállítások'!$E$33*(AC86-1)+'Beállítások'!$E$34*(AD86-1)+'Beállítások'!$E$35*(AE86-1)+'Beállítások'!$E$36*(AF86-1)+'Beállítások'!$E$37*(AG86-1)+'Beállítások'!$E$38*(AH86-1))/(9*'Beállítások'!$E$39),1))</f>
        <v/>
      </c>
      <c r="AN86" s="23">
        <f>IF($A86="","",ROUND(100*('Beállítások'!$E$8*(D86-1)+'Beállítások'!$E$9*(E86-1)+'Beállítások'!$E$10*(F86-1)+'Beállítások'!$E$11*(G86-1)+'Beállítások'!$E$12*(H86-1)+'Beállítások'!$E$13*(I86-1)+'Beállítások'!$E$14*(J86-1)+'Beállítások'!$E$15*(K86-1)+'Beállítások'!$E$16*(L86-1)+'Beállítások'!$E$17*(M86-1)+'Beállítások'!$E$18*(N86-1)+'Beállítások'!$E$19*(O86-1)+'Beállítások'!$E$20*(P86-1)+'Beállítások'!$E$21*(Q86-1)+'Beállítások'!$E$22*(R86-1)+'Beállítások'!$E$23*(S86-1)+'Beállítások'!$E$24*(T86-1)+'Beállítások'!$E$25*(U86-1)+'Beállítások'!$E$26*(V86-1)+'Beállítások'!$E$27*(W86-1)+'Beállítások'!$E$28*(X86-1)+'Beállítások'!$E$29*(Y86-1))/(9*('Beállítások'!$B$44+'Beállítások'!$B$45)),1))</f>
        <v/>
      </c>
      <c r="AO86" s="24">
        <f>IF($A86="","",RANK(AM86,$AM$2:$AM$201))</f>
        <v/>
      </c>
      <c r="AP86">
        <f>IF($A86="","",IF(OR(AND('Ügyfelek'!B86&lt;&gt;"",B86&lt;='Beállítások'!$B$85),AND('Ügyfelek'!C86&lt;&gt;"",C86&lt;='Beállítások'!$B$86)),"Igen","Nem"))</f>
        <v/>
      </c>
      <c r="AQ86" s="24">
        <f>IF($A86="","",IF(AP86="Igen",5,IF(AN86&gt;='Beállítások'!$C$108,1,IF(AN86&gt;='Beállítások'!$C$109,2,IF(AN86&gt;='Beállítások'!$C$110,3,IF(AND(AN86&gt;='Beállítások'!$B$87,AI86&gt;='Beállítások'!$B$88,AL86&gt;='Beállítások'!$B$89),4,5))))))</f>
        <v/>
      </c>
      <c r="AR86">
        <f>IF($A86="","",INDEX('Beállítások'!$B$108:$B$112,AQ86))</f>
        <v/>
      </c>
      <c r="AS86">
        <f>IF($A86="","",IF(AQ86=5,"Elutasítjuk",IF(AND(AQ86=4,COUNTIFS('Eredmény'!$AQ$2:$AQ$201,4,'Eredmény'!$DY$2:$DY$201,"&gt;"&amp;DY86)&gt;='Beállítások'!$B$90),"Várólista (a 4-es hely foglalt)","Elfogadjuk")))</f>
        <v/>
      </c>
      <c r="AT86">
        <f>IF($A86="","",INDEX('Beállítások'!$F$108:$F$112,AQ86))</f>
        <v/>
      </c>
      <c r="AU86">
        <f>IF($A86="","",INDEX('Beállítások'!$B$6:$B$38,MATCH(MAX(BK86:CQ86),BK86:CQ86,0)))</f>
        <v/>
      </c>
      <c r="AV86">
        <f>IF($A86="","",IF(MAX(CR86:DX86)=0,"—",INDEX('Beállítások'!$B$6:$B$38,MATCH(MAX(CR86:DX86),CR86:DX86,0))))</f>
        <v/>
      </c>
      <c r="AW86" s="10">
        <f>IF($A86="","",'Beállítások'!$B$94*(TRIM('Ügyfelek'!AI86)="igen")+'Beállítások'!$B$95*(TRIM('Ügyfelek'!AJ86)="igen")+'Beállítások'!$B$96*N('Ügyfelek'!AK86)+'Beállítások'!$B$93*N('Ügyfelek'!AL86))</f>
        <v/>
      </c>
      <c r="AX86" s="25">
        <f>IF(OR($A86="",AQ86=5),"",INDEX('Beállítások'!$D$108:$D$112,AQ86))</f>
        <v/>
      </c>
      <c r="AY86" s="10">
        <f>IF($A86="","",N('Ügyfelek'!U86)*'Beállítások'!$B$98)</f>
        <v/>
      </c>
      <c r="AZ86" s="10">
        <f>IF(OR($A86="",AQ86=5),"",CEILING(ROUND(MAX('Beállítások'!$B$97,AW86*AX86,AY86),2),'Beállítások'!$B$99))</f>
        <v/>
      </c>
      <c r="BA86">
        <f>IF($A86="","",IF(AQ86=5,"Elutasítva",IF(MAX('Beállítások'!$B$97,AW86*AX86,AY86)=AW86*AX86,"Munkaigény × státuszszorzó",IF(MAX('Beállítások'!$B$97,AW86*AX86,AY86)=AY86,"Hirdetési keret arányában","Minimumdíj"))))</f>
        <v/>
      </c>
      <c r="BB86" s="10">
        <f>IF(OR($A86="",'Ügyfelek'!AM86=""),"",'Ügyfelek'!AM86)</f>
        <v/>
      </c>
      <c r="BC86" s="10">
        <f>IF(OR(BB86="",AZ86=""),"",AZ86-BB86)</f>
        <v/>
      </c>
      <c r="BD86" s="18">
        <f>IF(OR(BB86="",AZ86="",BB86=0),"",BC86/BB86)</f>
        <v/>
      </c>
      <c r="BE86">
        <f>IF(OR($A86="",AQ86=5),"",IF(AND(INDEX('Beállítások'!$E$108:$E$112,AQ86)&gt;0,Y86&gt;='Beállítások'!$B$91),"Igen","Nem"))</f>
        <v/>
      </c>
      <c r="BF86" s="10">
        <f>IF(BE86="Igen",CEILING(ROUND(AZ86*(1-'Beállítások'!$B$92),2),'Beállítások'!$B$99),"")</f>
        <v/>
      </c>
      <c r="BG86" s="20">
        <f>IF(BE86="Igen",INDEX('Beállítások'!$E$108:$E$112,AQ86),"")</f>
        <v/>
      </c>
      <c r="BH86" s="10">
        <f>IF(OR(BE86&lt;&gt;"Igen",'Ügyfelek'!AN86=""),"",'Ügyfelek'!AN86*BG86)</f>
        <v/>
      </c>
      <c r="BI86" s="24">
        <f>IF($A86="","",('Ügyfelek'!B86="")+('Ügyfelek'!C86="")+('Ügyfelek'!D86="")+('Ügyfelek'!E86="")+('Ügyfelek'!F86="")+('Ügyfelek'!G86="")+('Ügyfelek'!H86="")+('Ügyfelek'!I86="")+('Ügyfelek'!J86="")+('Ügyfelek'!K86="")+('Ügyfelek'!L86="")+('Ügyfelek'!M86="")+('Ügyfelek'!N86="")+('Ügyfelek'!O86="")+('Ügyfelek'!P86="")+('Ügyfelek'!Q86="")+('Ügyfelek'!R86="")+('Ügyfelek'!S86="")+('Ügyfelek'!T86="")+('Ügyfelek'!U86="")+('Ügyfelek'!V86="")+('Ügyfelek'!W86="")+('Ügyfelek'!X86="")+('Ügyfelek'!Y86="")+('Ügyfelek'!Z86="")+('Ügyfelek'!AA86="")+('Ügyfelek'!AB86="")+('Ügyfelek'!AC86="")+('Ügyfelek'!AD86="")+('Ügyfelek'!AE86="")+('Ügyfelek'!AF86="")+('Ügyfelek'!AG86="")+('Ügyfelek'!AH86=""))</f>
        <v/>
      </c>
      <c r="BK86">
        <f>IF($A86="","",B86+'Beállítások'!$E$6/1000)</f>
        <v/>
      </c>
      <c r="BL86">
        <f>IF($A86="","",C86+'Beállítások'!$E$7/1000)</f>
        <v/>
      </c>
      <c r="BM86">
        <f>IF($A86="","",D86+'Beállítások'!$E$8/1000)</f>
        <v/>
      </c>
      <c r="BN86">
        <f>IF($A86="","",E86+'Beállítások'!$E$9/1000)</f>
        <v/>
      </c>
      <c r="BO86">
        <f>IF($A86="","",F86+'Beállítások'!$E$10/1000)</f>
        <v/>
      </c>
      <c r="BP86">
        <f>IF($A86="","",G86+'Beállítások'!$E$11/1000)</f>
        <v/>
      </c>
      <c r="BQ86">
        <f>IF($A86="","",H86+'Beállítások'!$E$12/1000)</f>
        <v/>
      </c>
      <c r="BR86">
        <f>IF($A86="","",I86+'Beállítások'!$E$13/1000)</f>
        <v/>
      </c>
      <c r="BS86">
        <f>IF($A86="","",J86+'Beállítások'!$E$14/1000)</f>
        <v/>
      </c>
      <c r="BT86">
        <f>IF($A86="","",K86+'Beállítások'!$E$15/1000)</f>
        <v/>
      </c>
      <c r="BU86">
        <f>IF($A86="","",L86+'Beállítások'!$E$16/1000)</f>
        <v/>
      </c>
      <c r="BV86">
        <f>IF($A86="","",M86+'Beállítások'!$E$17/1000)</f>
        <v/>
      </c>
      <c r="BW86">
        <f>IF($A86="","",N86+'Beállítások'!$E$18/1000)</f>
        <v/>
      </c>
      <c r="BX86">
        <f>IF($A86="","",O86+'Beállítások'!$E$19/1000)</f>
        <v/>
      </c>
      <c r="BY86">
        <f>IF($A86="","",P86+'Beállítások'!$E$20/1000)</f>
        <v/>
      </c>
      <c r="BZ86">
        <f>IF($A86="","",Q86+'Beállítások'!$E$21/1000)</f>
        <v/>
      </c>
      <c r="CA86">
        <f>IF($A86="","",R86+'Beállítások'!$E$22/1000)</f>
        <v/>
      </c>
      <c r="CB86">
        <f>IF($A86="","",S86+'Beállítások'!$E$23/1000)</f>
        <v/>
      </c>
      <c r="CC86">
        <f>IF($A86="","",T86+'Beállítások'!$E$24/1000)</f>
        <v/>
      </c>
      <c r="CD86">
        <f>IF($A86="","",U86+'Beállítások'!$E$25/1000)</f>
        <v/>
      </c>
      <c r="CE86">
        <f>IF($A86="","",V86+'Beállítások'!$E$26/1000)</f>
        <v/>
      </c>
      <c r="CF86">
        <f>IF($A86="","",W86+'Beállítások'!$E$27/1000)</f>
        <v/>
      </c>
      <c r="CG86">
        <f>IF($A86="","",X86+'Beállítások'!$E$28/1000)</f>
        <v/>
      </c>
      <c r="CH86">
        <f>IF($A86="","",Y86+'Beállítások'!$E$29/1000)</f>
        <v/>
      </c>
      <c r="CI86">
        <f>IF($A86="","",Z86+'Beállítások'!$E$30/1000)</f>
        <v/>
      </c>
      <c r="CJ86">
        <f>IF($A86="","",AA86+'Beállítások'!$E$31/1000)</f>
        <v/>
      </c>
      <c r="CK86">
        <f>IF($A86="","",AB86+'Beállítások'!$E$32/1000)</f>
        <v/>
      </c>
      <c r="CL86">
        <f>IF($A86="","",AC86+'Beállítások'!$E$33/1000)</f>
        <v/>
      </c>
      <c r="CM86">
        <f>IF($A86="","",AD86+'Beállítások'!$E$34/1000)</f>
        <v/>
      </c>
      <c r="CN86">
        <f>IF($A86="","",AE86+'Beállítások'!$E$35/1000)</f>
        <v/>
      </c>
      <c r="CO86">
        <f>IF($A86="","",AF86+'Beállítások'!$E$36/1000)</f>
        <v/>
      </c>
      <c r="CP86">
        <f>IF($A86="","",AG86+'Beállítások'!$E$37/1000)</f>
        <v/>
      </c>
      <c r="CQ86">
        <f>IF($A86="","",AH86+'Beállítások'!$E$38/1000)</f>
        <v/>
      </c>
      <c r="CR86">
        <f>IF($A86="","",'Beállítások'!$E$6*(10-B86))</f>
        <v/>
      </c>
      <c r="CS86">
        <f>IF($A86="","",'Beállítások'!$E$7*(10-C86))</f>
        <v/>
      </c>
      <c r="CT86">
        <f>IF($A86="","",'Beállítások'!$E$8*(10-D86))</f>
        <v/>
      </c>
      <c r="CU86">
        <f>IF($A86="","",'Beállítások'!$E$9*(10-E86))</f>
        <v/>
      </c>
      <c r="CV86">
        <f>IF($A86="","",'Beállítások'!$E$10*(10-F86))</f>
        <v/>
      </c>
      <c r="CW86">
        <f>IF($A86="","",'Beállítások'!$E$11*(10-G86))</f>
        <v/>
      </c>
      <c r="CX86">
        <f>IF($A86="","",'Beállítások'!$E$12*(10-H86))</f>
        <v/>
      </c>
      <c r="CY86">
        <f>IF($A86="","",'Beállítások'!$E$13*(10-I86))</f>
        <v/>
      </c>
      <c r="CZ86">
        <f>IF($A86="","",'Beállítások'!$E$14*(10-J86))</f>
        <v/>
      </c>
      <c r="DA86">
        <f>IF($A86="","",'Beállítások'!$E$15*(10-K86))</f>
        <v/>
      </c>
      <c r="DB86">
        <f>IF($A86="","",'Beállítások'!$E$16*(10-L86))</f>
        <v/>
      </c>
      <c r="DC86">
        <f>IF($A86="","",'Beállítások'!$E$17*(10-M86))</f>
        <v/>
      </c>
      <c r="DD86">
        <f>IF($A86="","",'Beállítások'!$E$18*(10-N86))</f>
        <v/>
      </c>
      <c r="DE86">
        <f>IF($A86="","",'Beállítások'!$E$19*(10-O86))</f>
        <v/>
      </c>
      <c r="DF86">
        <f>IF($A86="","",'Beállítások'!$E$20*(10-P86))</f>
        <v/>
      </c>
      <c r="DG86">
        <f>IF($A86="","",'Beállítások'!$E$21*(10-Q86))</f>
        <v/>
      </c>
      <c r="DH86">
        <f>IF($A86="","",'Beállítások'!$E$22*(10-R86))</f>
        <v/>
      </c>
      <c r="DI86">
        <f>IF($A86="","",'Beállítások'!$E$23*(10-S86))</f>
        <v/>
      </c>
      <c r="DJ86">
        <f>IF($A86="","",'Beállítások'!$E$24*(10-T86))</f>
        <v/>
      </c>
      <c r="DK86">
        <f>IF($A86="","",'Beállítások'!$E$25*(10-U86))</f>
        <v/>
      </c>
      <c r="DL86">
        <f>IF($A86="","",'Beállítások'!$E$26*(10-V86))</f>
        <v/>
      </c>
      <c r="DM86">
        <f>IF($A86="","",'Beállítások'!$E$27*(10-W86))</f>
        <v/>
      </c>
      <c r="DN86">
        <f>IF($A86="","",'Beállítások'!$E$28*(10-X86))</f>
        <v/>
      </c>
      <c r="DO86">
        <f>IF($A86="","",'Beállítások'!$E$29*(10-Y86))</f>
        <v/>
      </c>
      <c r="DP86">
        <f>IF($A86="","",'Beállítások'!$E$30*(10-Z86))</f>
        <v/>
      </c>
      <c r="DQ86">
        <f>IF($A86="","",'Beállítások'!$E$31*(10-AA86))</f>
        <v/>
      </c>
      <c r="DR86">
        <f>IF($A86="","",'Beállítások'!$E$32*(10-AB86))</f>
        <v/>
      </c>
      <c r="DS86">
        <f>IF($A86="","",'Beállítások'!$E$33*(10-AC86))</f>
        <v/>
      </c>
      <c r="DT86">
        <f>IF($A86="","",'Beállítások'!$E$34*(10-AD86))</f>
        <v/>
      </c>
      <c r="DU86">
        <f>IF($A86="","",'Beállítások'!$E$35*(10-AE86))</f>
        <v/>
      </c>
      <c r="DV86">
        <f>IF($A86="","",'Beállítások'!$E$36*(10-AF86))</f>
        <v/>
      </c>
      <c r="DW86">
        <f>IF($A86="","",'Beállítások'!$E$37*(10-AG86))</f>
        <v/>
      </c>
      <c r="DX86">
        <f>IF($A86="","",'Beállítások'!$E$38*(10-AH86))</f>
        <v/>
      </c>
      <c r="DY86">
        <f>IF($A86="","",AM86-ROW()/100000)</f>
        <v/>
      </c>
    </row>
    <row r="87">
      <c r="A87">
        <f>IF('Ügyfelek'!A87="","",'Ügyfelek'!A87)</f>
        <v/>
      </c>
      <c r="B87">
        <f>IF($A87="","",IF('Ügyfelek'!B87="",'Beállítások'!$B$84,IFERROR(VLOOKUP(TRIM('Ügyfelek'!B87),'Beállítások'!$A$51:$B$59,2,FALSE),'Beállítások'!$B$84)))</f>
        <v/>
      </c>
      <c r="C87">
        <f>IF($A87="","",IF('Ügyfelek'!C87="",'Beállítások'!$B$84,MIN(10,MAX(1,ROUND('Ügyfelek'!C87,0)))))</f>
        <v/>
      </c>
      <c r="D87">
        <f>IF($A87="","",IF('Ügyfelek'!D87="",'Beállítások'!$B$84,MIN(10,MAX(1,ROUND('Ügyfelek'!D87,0)))))</f>
        <v/>
      </c>
      <c r="E87">
        <f>IF($A87="","",IF('Ügyfelek'!E87="",'Beállítások'!$B$84,MIN(10,MAX(1,ROUND('Ügyfelek'!E87,0)))))</f>
        <v/>
      </c>
      <c r="F87">
        <f>IF($A87="","",IF('Ügyfelek'!F87="",'Beállítások'!$B$84,MIN(10,MAX(1,ROUND('Ügyfelek'!F87,0)))))</f>
        <v/>
      </c>
      <c r="G87">
        <f>IF($A87="","",IF('Ügyfelek'!G87="",'Beállítások'!$B$84,MIN(10,MAX(1,ROUND('Ügyfelek'!G87,0)))))</f>
        <v/>
      </c>
      <c r="H87">
        <f>IF($A87="","",IF('Ügyfelek'!H87="",'Beállítások'!$B$84,MIN(10,MAX(1,ROUND('Ügyfelek'!H87,0)))))</f>
        <v/>
      </c>
      <c r="I87">
        <f>IF($A87="","",IF('Ügyfelek'!I87="",'Beállítások'!$B$84,MIN(10,MAX(1,ROUND('Ügyfelek'!I87,0)))))</f>
        <v/>
      </c>
      <c r="J87">
        <f>IF($A87="","",IF('Ügyfelek'!J87="",'Beállítások'!$B$84,MIN(10,MAX(1,ROUND('Ügyfelek'!J87,0)))))</f>
        <v/>
      </c>
      <c r="K87">
        <f>IF($A87="","",IF('Ügyfelek'!K87="",'Beállítások'!$B$84,MIN(10,MAX(1,ROUND('Ügyfelek'!K87,0)))))</f>
        <v/>
      </c>
      <c r="L87">
        <f>IF($A87="","",IF('Ügyfelek'!L87="",'Beállítások'!$B$84,MIN(10,MAX(1,ROUND('Ügyfelek'!L87,0)))))</f>
        <v/>
      </c>
      <c r="M87">
        <f>IF($A87="","",IF('Ügyfelek'!M87="",'Beállítások'!$B$84,MIN(10,MAX(1,ROUND('Ügyfelek'!M87,0)))))</f>
        <v/>
      </c>
      <c r="N87">
        <f>IF($A87="","",IF('Ügyfelek'!N87="",'Beállítások'!$B$84,MIN(10,MAX(1,ROUND('Ügyfelek'!N87,0)))))</f>
        <v/>
      </c>
      <c r="O87">
        <f>IF($A87="","",IF('Ügyfelek'!O87="",'Beállítások'!$B$84,MIN(10,MAX(1,ROUND('Ügyfelek'!O87,0)))))</f>
        <v/>
      </c>
      <c r="P87">
        <f>IF($A87="","",IF('Ügyfelek'!P87="",'Beállítások'!$B$84,MIN(10,MAX(1,ROUND('Ügyfelek'!P87,0)))))</f>
        <v/>
      </c>
      <c r="Q87">
        <f>IF($A87="","",IF('Ügyfelek'!Q87="",'Beállítások'!$B$84,MIN(10,MAX(1,ROUND('Ügyfelek'!Q87,0)))))</f>
        <v/>
      </c>
      <c r="R87">
        <f>IF($A87="","",IF('Ügyfelek'!R87="",'Beállítások'!$B$84,MIN(10,MAX(1,ROUND('Ügyfelek'!R87,0)))))</f>
        <v/>
      </c>
      <c r="S87">
        <f>IF($A87="","",IF('Ügyfelek'!S87="",'Beállítások'!$B$84,MIN(10,MAX(1,ROUND('Ügyfelek'!S87,0)))))</f>
        <v/>
      </c>
      <c r="T87">
        <f>IF($A87="","",IF('Ügyfelek'!T87="",'Beállítások'!$B$84,VLOOKUP(MAX('Ügyfelek'!T87,'Beállítások'!$H$7),'Beállítások'!$H$7:$I$12,2,TRUE)))</f>
        <v/>
      </c>
      <c r="U87">
        <f>IF($A87="","",IF('Ügyfelek'!U87="",'Beállítások'!$B$84,VLOOKUP(MAX('Ügyfelek'!U87,'Beállítások'!$K$7),'Beállítások'!$K$7:$L$12,2,TRUE)))</f>
        <v/>
      </c>
      <c r="V87">
        <f>IF($A87="","",IF('Ügyfelek'!V87="",'Beállítások'!$B$84,MIN(10,MAX(1,ROUND('Ügyfelek'!V87,0)))))</f>
        <v/>
      </c>
      <c r="W87">
        <f>IF($A87="","",IF('Ügyfelek'!W87="",'Beállítások'!$B$84,VLOOKUP(MAX('Ügyfelek'!W87,'Beállítások'!$N$7),'Beállítások'!$N$7:$O$12,2,TRUE)))</f>
        <v/>
      </c>
      <c r="X87">
        <f>IF($A87="","",IF('Ügyfelek'!X87="",'Beállítások'!$B$84,MIN(10,MAX(1,ROUND('Ügyfelek'!X87,0)))))</f>
        <v/>
      </c>
      <c r="Y87">
        <f>IF($A87="","",IF('Ügyfelek'!Y87="",'Beállítások'!$B$84,IFERROR(VLOOKUP(TRIM('Ügyfelek'!Y87),'Beállítások'!$A$63:$B$69,2,FALSE),'Beállítások'!$B$84)))</f>
        <v/>
      </c>
      <c r="Z87">
        <f>IF($A87="","",IF('Ügyfelek'!Z87="",'Beállítások'!$B$84,VLOOKUP(MAX('Ügyfelek'!Z87,'Beállítások'!$Q$7),'Beállítások'!$Q$7:$R$12,2,TRUE)))</f>
        <v/>
      </c>
      <c r="AA87">
        <f>IF($A87="","",IF('Ügyfelek'!AA87="",'Beállítások'!$B$84,VLOOKUP(MAX('Ügyfelek'!AA87,'Beállítások'!$T$7),'Beállítások'!$T$7:$U$12,2,TRUE)))</f>
        <v/>
      </c>
      <c r="AB87">
        <f>IF($A87="","",IF('Ügyfelek'!AB87="",'Beállítások'!$B$84,MIN(10,MAX(1,ROUND('Ügyfelek'!AB87,0)))))</f>
        <v/>
      </c>
      <c r="AC87">
        <f>IF($A87="","",IF('Ügyfelek'!AC87="",'Beállítások'!$B$84,MIN(10,MAX(1,ROUND('Ügyfelek'!AC87,0)))))</f>
        <v/>
      </c>
      <c r="AD87">
        <f>IF($A87="","",IF('Ügyfelek'!AD87="",'Beállítások'!$B$84,MIN(10,MAX(1,ROUND('Ügyfelek'!AD87,0)))))</f>
        <v/>
      </c>
      <c r="AE87">
        <f>IF($A87="","",IF('Ügyfelek'!AE87="",'Beállítások'!$B$84,MIN(10,MAX(1,ROUND('Ügyfelek'!AE87,0)))))</f>
        <v/>
      </c>
      <c r="AF87">
        <f>IF($A87="","",IF('Ügyfelek'!AF87="",'Beállítások'!$B$84,MIN(10,MAX(1,ROUND('Ügyfelek'!AF87,0)))))</f>
        <v/>
      </c>
      <c r="AG87">
        <f>IF($A87="","",IF('Ügyfelek'!AG87="",'Beállítások'!$B$84,MIN(10,MAX(1,ROUND('Ügyfelek'!AG87,0)))))</f>
        <v/>
      </c>
      <c r="AH87">
        <f>IF($A87="","",IF('Ügyfelek'!AH87="",'Beállítások'!$B$84,IFERROR(VLOOKUP(TRIM('Ügyfelek'!AH87),'Beállítások'!$A$73:$B$79,2,FALSE),'Beállítások'!$B$84)))</f>
        <v/>
      </c>
      <c r="AI87" s="23">
        <f>IF($A87="","",ROUND(100*('Beállítások'!$E$6*(B87-1)+'Beállítások'!$E$7*(C87-1))/(9*'Beállítások'!$B$43),1))</f>
        <v/>
      </c>
      <c r="AJ87" s="23">
        <f>IF($A87="","",ROUND(100*('Beállítások'!$E$8*(D87-1)+'Beállítások'!$E$9*(E87-1)+'Beállítások'!$E$10*(F87-1)+'Beállítások'!$E$11*(G87-1)+'Beállítások'!$E$12*(H87-1)+'Beállítások'!$E$13*(I87-1)+'Beállítások'!$E$14*(J87-1)+'Beállítások'!$E$15*(K87-1)+'Beállítások'!$E$16*(L87-1)+'Beállítások'!$E$17*(M87-1)+'Beállítások'!$E$18*(N87-1)+'Beállítások'!$E$19*(O87-1)+'Beállítások'!$E$20*(P87-1)+'Beállítások'!$E$21*(Q87-1)+'Beállítások'!$E$22*(R87-1))/(9*'Beállítások'!$B$44),1))</f>
        <v/>
      </c>
      <c r="AK87" s="23">
        <f>IF($A87="","",ROUND(100*('Beállítások'!$E$23*(S87-1)+'Beállítások'!$E$24*(T87-1)+'Beállítások'!$E$25*(U87-1)+'Beállítások'!$E$26*(V87-1)+'Beállítások'!$E$27*(W87-1)+'Beállítások'!$E$28*(X87-1)+'Beállítások'!$E$29*(Y87-1))/(9*'Beállítások'!$B$45),1))</f>
        <v/>
      </c>
      <c r="AL87" s="23">
        <f>IF($A87="","",ROUND(100*('Beállítások'!$E$30*(Z87-1)+'Beállítások'!$E$31*(AA87-1)+'Beállítások'!$E$32*(AB87-1)+'Beállítások'!$E$33*(AC87-1)+'Beállítások'!$E$34*(AD87-1)+'Beállítások'!$E$35*(AE87-1)+'Beállítások'!$E$36*(AF87-1)+'Beállítások'!$E$37*(AG87-1)+'Beállítások'!$E$38*(AH87-1))/(9*'Beállítások'!$B$46),1))</f>
        <v/>
      </c>
      <c r="AM87" s="23">
        <f>IF($A87="","",ROUND(100*('Beállítások'!$E$6*(B87-1)+'Beállítások'!$E$7*(C87-1)+'Beállítások'!$E$8*(D87-1)+'Beállítások'!$E$9*(E87-1)+'Beállítások'!$E$10*(F87-1)+'Beállítások'!$E$11*(G87-1)+'Beállítások'!$E$12*(H87-1)+'Beállítások'!$E$13*(I87-1)+'Beállítások'!$E$14*(J87-1)+'Beállítások'!$E$15*(K87-1)+'Beállítások'!$E$16*(L87-1)+'Beállítások'!$E$17*(M87-1)+'Beállítások'!$E$18*(N87-1)+'Beállítások'!$E$19*(O87-1)+'Beállítások'!$E$20*(P87-1)+'Beállítások'!$E$21*(Q87-1)+'Beállítások'!$E$22*(R87-1)+'Beállítások'!$E$23*(S87-1)+'Beállítások'!$E$24*(T87-1)+'Beállítások'!$E$25*(U87-1)+'Beállítások'!$E$26*(V87-1)+'Beállítások'!$E$27*(W87-1)+'Beállítások'!$E$28*(X87-1)+'Beállítások'!$E$29*(Y87-1)+'Beállítások'!$E$30*(Z87-1)+'Beállítások'!$E$31*(AA87-1)+'Beállítások'!$E$32*(AB87-1)+'Beállítások'!$E$33*(AC87-1)+'Beállítások'!$E$34*(AD87-1)+'Beállítások'!$E$35*(AE87-1)+'Beállítások'!$E$36*(AF87-1)+'Beállítások'!$E$37*(AG87-1)+'Beállítások'!$E$38*(AH87-1))/(9*'Beállítások'!$E$39),1))</f>
        <v/>
      </c>
      <c r="AN87" s="23">
        <f>IF($A87="","",ROUND(100*('Beállítások'!$E$8*(D87-1)+'Beállítások'!$E$9*(E87-1)+'Beállítások'!$E$10*(F87-1)+'Beállítások'!$E$11*(G87-1)+'Beállítások'!$E$12*(H87-1)+'Beállítások'!$E$13*(I87-1)+'Beállítások'!$E$14*(J87-1)+'Beállítások'!$E$15*(K87-1)+'Beállítások'!$E$16*(L87-1)+'Beállítások'!$E$17*(M87-1)+'Beállítások'!$E$18*(N87-1)+'Beállítások'!$E$19*(O87-1)+'Beállítások'!$E$20*(P87-1)+'Beállítások'!$E$21*(Q87-1)+'Beállítások'!$E$22*(R87-1)+'Beállítások'!$E$23*(S87-1)+'Beállítások'!$E$24*(T87-1)+'Beállítások'!$E$25*(U87-1)+'Beállítások'!$E$26*(V87-1)+'Beállítások'!$E$27*(W87-1)+'Beállítások'!$E$28*(X87-1)+'Beállítások'!$E$29*(Y87-1))/(9*('Beállítások'!$B$44+'Beállítások'!$B$45)),1))</f>
        <v/>
      </c>
      <c r="AO87" s="24">
        <f>IF($A87="","",RANK(AM87,$AM$2:$AM$201))</f>
        <v/>
      </c>
      <c r="AP87">
        <f>IF($A87="","",IF(OR(AND('Ügyfelek'!B87&lt;&gt;"",B87&lt;='Beállítások'!$B$85),AND('Ügyfelek'!C87&lt;&gt;"",C87&lt;='Beállítások'!$B$86)),"Igen","Nem"))</f>
        <v/>
      </c>
      <c r="AQ87" s="24">
        <f>IF($A87="","",IF(AP87="Igen",5,IF(AN87&gt;='Beállítások'!$C$108,1,IF(AN87&gt;='Beállítások'!$C$109,2,IF(AN87&gt;='Beállítások'!$C$110,3,IF(AND(AN87&gt;='Beállítások'!$B$87,AI87&gt;='Beállítások'!$B$88,AL87&gt;='Beállítások'!$B$89),4,5))))))</f>
        <v/>
      </c>
      <c r="AR87">
        <f>IF($A87="","",INDEX('Beállítások'!$B$108:$B$112,AQ87))</f>
        <v/>
      </c>
      <c r="AS87">
        <f>IF($A87="","",IF(AQ87=5,"Elutasítjuk",IF(AND(AQ87=4,COUNTIFS('Eredmény'!$AQ$2:$AQ$201,4,'Eredmény'!$DY$2:$DY$201,"&gt;"&amp;DY87)&gt;='Beállítások'!$B$90),"Várólista (a 4-es hely foglalt)","Elfogadjuk")))</f>
        <v/>
      </c>
      <c r="AT87">
        <f>IF($A87="","",INDEX('Beállítások'!$F$108:$F$112,AQ87))</f>
        <v/>
      </c>
      <c r="AU87">
        <f>IF($A87="","",INDEX('Beállítások'!$B$6:$B$38,MATCH(MAX(BK87:CQ87),BK87:CQ87,0)))</f>
        <v/>
      </c>
      <c r="AV87">
        <f>IF($A87="","",IF(MAX(CR87:DX87)=0,"—",INDEX('Beállítások'!$B$6:$B$38,MATCH(MAX(CR87:DX87),CR87:DX87,0))))</f>
        <v/>
      </c>
      <c r="AW87" s="10">
        <f>IF($A87="","",'Beállítások'!$B$94*(TRIM('Ügyfelek'!AI87)="igen")+'Beállítások'!$B$95*(TRIM('Ügyfelek'!AJ87)="igen")+'Beállítások'!$B$96*N('Ügyfelek'!AK87)+'Beállítások'!$B$93*N('Ügyfelek'!AL87))</f>
        <v/>
      </c>
      <c r="AX87" s="25">
        <f>IF(OR($A87="",AQ87=5),"",INDEX('Beállítások'!$D$108:$D$112,AQ87))</f>
        <v/>
      </c>
      <c r="AY87" s="10">
        <f>IF($A87="","",N('Ügyfelek'!U87)*'Beállítások'!$B$98)</f>
        <v/>
      </c>
      <c r="AZ87" s="10">
        <f>IF(OR($A87="",AQ87=5),"",CEILING(ROUND(MAX('Beállítások'!$B$97,AW87*AX87,AY87),2),'Beállítások'!$B$99))</f>
        <v/>
      </c>
      <c r="BA87">
        <f>IF($A87="","",IF(AQ87=5,"Elutasítva",IF(MAX('Beállítások'!$B$97,AW87*AX87,AY87)=AW87*AX87,"Munkaigény × státuszszorzó",IF(MAX('Beállítások'!$B$97,AW87*AX87,AY87)=AY87,"Hirdetési keret arányában","Minimumdíj"))))</f>
        <v/>
      </c>
      <c r="BB87" s="10">
        <f>IF(OR($A87="",'Ügyfelek'!AM87=""),"",'Ügyfelek'!AM87)</f>
        <v/>
      </c>
      <c r="BC87" s="10">
        <f>IF(OR(BB87="",AZ87=""),"",AZ87-BB87)</f>
        <v/>
      </c>
      <c r="BD87" s="18">
        <f>IF(OR(BB87="",AZ87="",BB87=0),"",BC87/BB87)</f>
        <v/>
      </c>
      <c r="BE87">
        <f>IF(OR($A87="",AQ87=5),"",IF(AND(INDEX('Beállítások'!$E$108:$E$112,AQ87)&gt;0,Y87&gt;='Beállítások'!$B$91),"Igen","Nem"))</f>
        <v/>
      </c>
      <c r="BF87" s="10">
        <f>IF(BE87="Igen",CEILING(ROUND(AZ87*(1-'Beállítások'!$B$92),2),'Beállítások'!$B$99),"")</f>
        <v/>
      </c>
      <c r="BG87" s="20">
        <f>IF(BE87="Igen",INDEX('Beállítások'!$E$108:$E$112,AQ87),"")</f>
        <v/>
      </c>
      <c r="BH87" s="10">
        <f>IF(OR(BE87&lt;&gt;"Igen",'Ügyfelek'!AN87=""),"",'Ügyfelek'!AN87*BG87)</f>
        <v/>
      </c>
      <c r="BI87" s="24">
        <f>IF($A87="","",('Ügyfelek'!B87="")+('Ügyfelek'!C87="")+('Ügyfelek'!D87="")+('Ügyfelek'!E87="")+('Ügyfelek'!F87="")+('Ügyfelek'!G87="")+('Ügyfelek'!H87="")+('Ügyfelek'!I87="")+('Ügyfelek'!J87="")+('Ügyfelek'!K87="")+('Ügyfelek'!L87="")+('Ügyfelek'!M87="")+('Ügyfelek'!N87="")+('Ügyfelek'!O87="")+('Ügyfelek'!P87="")+('Ügyfelek'!Q87="")+('Ügyfelek'!R87="")+('Ügyfelek'!S87="")+('Ügyfelek'!T87="")+('Ügyfelek'!U87="")+('Ügyfelek'!V87="")+('Ügyfelek'!W87="")+('Ügyfelek'!X87="")+('Ügyfelek'!Y87="")+('Ügyfelek'!Z87="")+('Ügyfelek'!AA87="")+('Ügyfelek'!AB87="")+('Ügyfelek'!AC87="")+('Ügyfelek'!AD87="")+('Ügyfelek'!AE87="")+('Ügyfelek'!AF87="")+('Ügyfelek'!AG87="")+('Ügyfelek'!AH87=""))</f>
        <v/>
      </c>
      <c r="BK87">
        <f>IF($A87="","",B87+'Beállítások'!$E$6/1000)</f>
        <v/>
      </c>
      <c r="BL87">
        <f>IF($A87="","",C87+'Beállítások'!$E$7/1000)</f>
        <v/>
      </c>
      <c r="BM87">
        <f>IF($A87="","",D87+'Beállítások'!$E$8/1000)</f>
        <v/>
      </c>
      <c r="BN87">
        <f>IF($A87="","",E87+'Beállítások'!$E$9/1000)</f>
        <v/>
      </c>
      <c r="BO87">
        <f>IF($A87="","",F87+'Beállítások'!$E$10/1000)</f>
        <v/>
      </c>
      <c r="BP87">
        <f>IF($A87="","",G87+'Beállítások'!$E$11/1000)</f>
        <v/>
      </c>
      <c r="BQ87">
        <f>IF($A87="","",H87+'Beállítások'!$E$12/1000)</f>
        <v/>
      </c>
      <c r="BR87">
        <f>IF($A87="","",I87+'Beállítások'!$E$13/1000)</f>
        <v/>
      </c>
      <c r="BS87">
        <f>IF($A87="","",J87+'Beállítások'!$E$14/1000)</f>
        <v/>
      </c>
      <c r="BT87">
        <f>IF($A87="","",K87+'Beállítások'!$E$15/1000)</f>
        <v/>
      </c>
      <c r="BU87">
        <f>IF($A87="","",L87+'Beállítások'!$E$16/1000)</f>
        <v/>
      </c>
      <c r="BV87">
        <f>IF($A87="","",M87+'Beállítások'!$E$17/1000)</f>
        <v/>
      </c>
      <c r="BW87">
        <f>IF($A87="","",N87+'Beállítások'!$E$18/1000)</f>
        <v/>
      </c>
      <c r="BX87">
        <f>IF($A87="","",O87+'Beállítások'!$E$19/1000)</f>
        <v/>
      </c>
      <c r="BY87">
        <f>IF($A87="","",P87+'Beállítások'!$E$20/1000)</f>
        <v/>
      </c>
      <c r="BZ87">
        <f>IF($A87="","",Q87+'Beállítások'!$E$21/1000)</f>
        <v/>
      </c>
      <c r="CA87">
        <f>IF($A87="","",R87+'Beállítások'!$E$22/1000)</f>
        <v/>
      </c>
      <c r="CB87">
        <f>IF($A87="","",S87+'Beállítások'!$E$23/1000)</f>
        <v/>
      </c>
      <c r="CC87">
        <f>IF($A87="","",T87+'Beállítások'!$E$24/1000)</f>
        <v/>
      </c>
      <c r="CD87">
        <f>IF($A87="","",U87+'Beállítások'!$E$25/1000)</f>
        <v/>
      </c>
      <c r="CE87">
        <f>IF($A87="","",V87+'Beállítások'!$E$26/1000)</f>
        <v/>
      </c>
      <c r="CF87">
        <f>IF($A87="","",W87+'Beállítások'!$E$27/1000)</f>
        <v/>
      </c>
      <c r="CG87">
        <f>IF($A87="","",X87+'Beállítások'!$E$28/1000)</f>
        <v/>
      </c>
      <c r="CH87">
        <f>IF($A87="","",Y87+'Beállítások'!$E$29/1000)</f>
        <v/>
      </c>
      <c r="CI87">
        <f>IF($A87="","",Z87+'Beállítások'!$E$30/1000)</f>
        <v/>
      </c>
      <c r="CJ87">
        <f>IF($A87="","",AA87+'Beállítások'!$E$31/1000)</f>
        <v/>
      </c>
      <c r="CK87">
        <f>IF($A87="","",AB87+'Beállítások'!$E$32/1000)</f>
        <v/>
      </c>
      <c r="CL87">
        <f>IF($A87="","",AC87+'Beállítások'!$E$33/1000)</f>
        <v/>
      </c>
      <c r="CM87">
        <f>IF($A87="","",AD87+'Beállítások'!$E$34/1000)</f>
        <v/>
      </c>
      <c r="CN87">
        <f>IF($A87="","",AE87+'Beállítások'!$E$35/1000)</f>
        <v/>
      </c>
      <c r="CO87">
        <f>IF($A87="","",AF87+'Beállítások'!$E$36/1000)</f>
        <v/>
      </c>
      <c r="CP87">
        <f>IF($A87="","",AG87+'Beállítások'!$E$37/1000)</f>
        <v/>
      </c>
      <c r="CQ87">
        <f>IF($A87="","",AH87+'Beállítások'!$E$38/1000)</f>
        <v/>
      </c>
      <c r="CR87">
        <f>IF($A87="","",'Beállítások'!$E$6*(10-B87))</f>
        <v/>
      </c>
      <c r="CS87">
        <f>IF($A87="","",'Beállítások'!$E$7*(10-C87))</f>
        <v/>
      </c>
      <c r="CT87">
        <f>IF($A87="","",'Beállítások'!$E$8*(10-D87))</f>
        <v/>
      </c>
      <c r="CU87">
        <f>IF($A87="","",'Beállítások'!$E$9*(10-E87))</f>
        <v/>
      </c>
      <c r="CV87">
        <f>IF($A87="","",'Beállítások'!$E$10*(10-F87))</f>
        <v/>
      </c>
      <c r="CW87">
        <f>IF($A87="","",'Beállítások'!$E$11*(10-G87))</f>
        <v/>
      </c>
      <c r="CX87">
        <f>IF($A87="","",'Beállítások'!$E$12*(10-H87))</f>
        <v/>
      </c>
      <c r="CY87">
        <f>IF($A87="","",'Beállítások'!$E$13*(10-I87))</f>
        <v/>
      </c>
      <c r="CZ87">
        <f>IF($A87="","",'Beállítások'!$E$14*(10-J87))</f>
        <v/>
      </c>
      <c r="DA87">
        <f>IF($A87="","",'Beállítások'!$E$15*(10-K87))</f>
        <v/>
      </c>
      <c r="DB87">
        <f>IF($A87="","",'Beállítások'!$E$16*(10-L87))</f>
        <v/>
      </c>
      <c r="DC87">
        <f>IF($A87="","",'Beállítások'!$E$17*(10-M87))</f>
        <v/>
      </c>
      <c r="DD87">
        <f>IF($A87="","",'Beállítások'!$E$18*(10-N87))</f>
        <v/>
      </c>
      <c r="DE87">
        <f>IF($A87="","",'Beállítások'!$E$19*(10-O87))</f>
        <v/>
      </c>
      <c r="DF87">
        <f>IF($A87="","",'Beállítások'!$E$20*(10-P87))</f>
        <v/>
      </c>
      <c r="DG87">
        <f>IF($A87="","",'Beállítások'!$E$21*(10-Q87))</f>
        <v/>
      </c>
      <c r="DH87">
        <f>IF($A87="","",'Beállítások'!$E$22*(10-R87))</f>
        <v/>
      </c>
      <c r="DI87">
        <f>IF($A87="","",'Beállítások'!$E$23*(10-S87))</f>
        <v/>
      </c>
      <c r="DJ87">
        <f>IF($A87="","",'Beállítások'!$E$24*(10-T87))</f>
        <v/>
      </c>
      <c r="DK87">
        <f>IF($A87="","",'Beállítások'!$E$25*(10-U87))</f>
        <v/>
      </c>
      <c r="DL87">
        <f>IF($A87="","",'Beállítások'!$E$26*(10-V87))</f>
        <v/>
      </c>
      <c r="DM87">
        <f>IF($A87="","",'Beállítások'!$E$27*(10-W87))</f>
        <v/>
      </c>
      <c r="DN87">
        <f>IF($A87="","",'Beállítások'!$E$28*(10-X87))</f>
        <v/>
      </c>
      <c r="DO87">
        <f>IF($A87="","",'Beállítások'!$E$29*(10-Y87))</f>
        <v/>
      </c>
      <c r="DP87">
        <f>IF($A87="","",'Beállítások'!$E$30*(10-Z87))</f>
        <v/>
      </c>
      <c r="DQ87">
        <f>IF($A87="","",'Beállítások'!$E$31*(10-AA87))</f>
        <v/>
      </c>
      <c r="DR87">
        <f>IF($A87="","",'Beállítások'!$E$32*(10-AB87))</f>
        <v/>
      </c>
      <c r="DS87">
        <f>IF($A87="","",'Beállítások'!$E$33*(10-AC87))</f>
        <v/>
      </c>
      <c r="DT87">
        <f>IF($A87="","",'Beállítások'!$E$34*(10-AD87))</f>
        <v/>
      </c>
      <c r="DU87">
        <f>IF($A87="","",'Beállítások'!$E$35*(10-AE87))</f>
        <v/>
      </c>
      <c r="DV87">
        <f>IF($A87="","",'Beállítások'!$E$36*(10-AF87))</f>
        <v/>
      </c>
      <c r="DW87">
        <f>IF($A87="","",'Beállítások'!$E$37*(10-AG87))</f>
        <v/>
      </c>
      <c r="DX87">
        <f>IF($A87="","",'Beállítások'!$E$38*(10-AH87))</f>
        <v/>
      </c>
      <c r="DY87">
        <f>IF($A87="","",AM87-ROW()/100000)</f>
        <v/>
      </c>
    </row>
    <row r="88">
      <c r="A88">
        <f>IF('Ügyfelek'!A88="","",'Ügyfelek'!A88)</f>
        <v/>
      </c>
      <c r="B88">
        <f>IF($A88="","",IF('Ügyfelek'!B88="",'Beállítások'!$B$84,IFERROR(VLOOKUP(TRIM('Ügyfelek'!B88),'Beállítások'!$A$51:$B$59,2,FALSE),'Beállítások'!$B$84)))</f>
        <v/>
      </c>
      <c r="C88">
        <f>IF($A88="","",IF('Ügyfelek'!C88="",'Beállítások'!$B$84,MIN(10,MAX(1,ROUND('Ügyfelek'!C88,0)))))</f>
        <v/>
      </c>
      <c r="D88">
        <f>IF($A88="","",IF('Ügyfelek'!D88="",'Beállítások'!$B$84,MIN(10,MAX(1,ROUND('Ügyfelek'!D88,0)))))</f>
        <v/>
      </c>
      <c r="E88">
        <f>IF($A88="","",IF('Ügyfelek'!E88="",'Beállítások'!$B$84,MIN(10,MAX(1,ROUND('Ügyfelek'!E88,0)))))</f>
        <v/>
      </c>
      <c r="F88">
        <f>IF($A88="","",IF('Ügyfelek'!F88="",'Beállítások'!$B$84,MIN(10,MAX(1,ROUND('Ügyfelek'!F88,0)))))</f>
        <v/>
      </c>
      <c r="G88">
        <f>IF($A88="","",IF('Ügyfelek'!G88="",'Beállítások'!$B$84,MIN(10,MAX(1,ROUND('Ügyfelek'!G88,0)))))</f>
        <v/>
      </c>
      <c r="H88">
        <f>IF($A88="","",IF('Ügyfelek'!H88="",'Beállítások'!$B$84,MIN(10,MAX(1,ROUND('Ügyfelek'!H88,0)))))</f>
        <v/>
      </c>
      <c r="I88">
        <f>IF($A88="","",IF('Ügyfelek'!I88="",'Beállítások'!$B$84,MIN(10,MAX(1,ROUND('Ügyfelek'!I88,0)))))</f>
        <v/>
      </c>
      <c r="J88">
        <f>IF($A88="","",IF('Ügyfelek'!J88="",'Beállítások'!$B$84,MIN(10,MAX(1,ROUND('Ügyfelek'!J88,0)))))</f>
        <v/>
      </c>
      <c r="K88">
        <f>IF($A88="","",IF('Ügyfelek'!K88="",'Beállítások'!$B$84,MIN(10,MAX(1,ROUND('Ügyfelek'!K88,0)))))</f>
        <v/>
      </c>
      <c r="L88">
        <f>IF($A88="","",IF('Ügyfelek'!L88="",'Beállítások'!$B$84,MIN(10,MAX(1,ROUND('Ügyfelek'!L88,0)))))</f>
        <v/>
      </c>
      <c r="M88">
        <f>IF($A88="","",IF('Ügyfelek'!M88="",'Beállítások'!$B$84,MIN(10,MAX(1,ROUND('Ügyfelek'!M88,0)))))</f>
        <v/>
      </c>
      <c r="N88">
        <f>IF($A88="","",IF('Ügyfelek'!N88="",'Beállítások'!$B$84,MIN(10,MAX(1,ROUND('Ügyfelek'!N88,0)))))</f>
        <v/>
      </c>
      <c r="O88">
        <f>IF($A88="","",IF('Ügyfelek'!O88="",'Beállítások'!$B$84,MIN(10,MAX(1,ROUND('Ügyfelek'!O88,0)))))</f>
        <v/>
      </c>
      <c r="P88">
        <f>IF($A88="","",IF('Ügyfelek'!P88="",'Beállítások'!$B$84,MIN(10,MAX(1,ROUND('Ügyfelek'!P88,0)))))</f>
        <v/>
      </c>
      <c r="Q88">
        <f>IF($A88="","",IF('Ügyfelek'!Q88="",'Beállítások'!$B$84,MIN(10,MAX(1,ROUND('Ügyfelek'!Q88,0)))))</f>
        <v/>
      </c>
      <c r="R88">
        <f>IF($A88="","",IF('Ügyfelek'!R88="",'Beállítások'!$B$84,MIN(10,MAX(1,ROUND('Ügyfelek'!R88,0)))))</f>
        <v/>
      </c>
      <c r="S88">
        <f>IF($A88="","",IF('Ügyfelek'!S88="",'Beállítások'!$B$84,MIN(10,MAX(1,ROUND('Ügyfelek'!S88,0)))))</f>
        <v/>
      </c>
      <c r="T88">
        <f>IF($A88="","",IF('Ügyfelek'!T88="",'Beállítások'!$B$84,VLOOKUP(MAX('Ügyfelek'!T88,'Beállítások'!$H$7),'Beállítások'!$H$7:$I$12,2,TRUE)))</f>
        <v/>
      </c>
      <c r="U88">
        <f>IF($A88="","",IF('Ügyfelek'!U88="",'Beállítások'!$B$84,VLOOKUP(MAX('Ügyfelek'!U88,'Beállítások'!$K$7),'Beállítások'!$K$7:$L$12,2,TRUE)))</f>
        <v/>
      </c>
      <c r="V88">
        <f>IF($A88="","",IF('Ügyfelek'!V88="",'Beállítások'!$B$84,MIN(10,MAX(1,ROUND('Ügyfelek'!V88,0)))))</f>
        <v/>
      </c>
      <c r="W88">
        <f>IF($A88="","",IF('Ügyfelek'!W88="",'Beállítások'!$B$84,VLOOKUP(MAX('Ügyfelek'!W88,'Beállítások'!$N$7),'Beállítások'!$N$7:$O$12,2,TRUE)))</f>
        <v/>
      </c>
      <c r="X88">
        <f>IF($A88="","",IF('Ügyfelek'!X88="",'Beállítások'!$B$84,MIN(10,MAX(1,ROUND('Ügyfelek'!X88,0)))))</f>
        <v/>
      </c>
      <c r="Y88">
        <f>IF($A88="","",IF('Ügyfelek'!Y88="",'Beállítások'!$B$84,IFERROR(VLOOKUP(TRIM('Ügyfelek'!Y88),'Beállítások'!$A$63:$B$69,2,FALSE),'Beállítások'!$B$84)))</f>
        <v/>
      </c>
      <c r="Z88">
        <f>IF($A88="","",IF('Ügyfelek'!Z88="",'Beállítások'!$B$84,VLOOKUP(MAX('Ügyfelek'!Z88,'Beállítások'!$Q$7),'Beállítások'!$Q$7:$R$12,2,TRUE)))</f>
        <v/>
      </c>
      <c r="AA88">
        <f>IF($A88="","",IF('Ügyfelek'!AA88="",'Beállítások'!$B$84,VLOOKUP(MAX('Ügyfelek'!AA88,'Beállítások'!$T$7),'Beállítások'!$T$7:$U$12,2,TRUE)))</f>
        <v/>
      </c>
      <c r="AB88">
        <f>IF($A88="","",IF('Ügyfelek'!AB88="",'Beállítások'!$B$84,MIN(10,MAX(1,ROUND('Ügyfelek'!AB88,0)))))</f>
        <v/>
      </c>
      <c r="AC88">
        <f>IF($A88="","",IF('Ügyfelek'!AC88="",'Beállítások'!$B$84,MIN(10,MAX(1,ROUND('Ügyfelek'!AC88,0)))))</f>
        <v/>
      </c>
      <c r="AD88">
        <f>IF($A88="","",IF('Ügyfelek'!AD88="",'Beállítások'!$B$84,MIN(10,MAX(1,ROUND('Ügyfelek'!AD88,0)))))</f>
        <v/>
      </c>
      <c r="AE88">
        <f>IF($A88="","",IF('Ügyfelek'!AE88="",'Beállítások'!$B$84,MIN(10,MAX(1,ROUND('Ügyfelek'!AE88,0)))))</f>
        <v/>
      </c>
      <c r="AF88">
        <f>IF($A88="","",IF('Ügyfelek'!AF88="",'Beállítások'!$B$84,MIN(10,MAX(1,ROUND('Ügyfelek'!AF88,0)))))</f>
        <v/>
      </c>
      <c r="AG88">
        <f>IF($A88="","",IF('Ügyfelek'!AG88="",'Beállítások'!$B$84,MIN(10,MAX(1,ROUND('Ügyfelek'!AG88,0)))))</f>
        <v/>
      </c>
      <c r="AH88">
        <f>IF($A88="","",IF('Ügyfelek'!AH88="",'Beállítások'!$B$84,IFERROR(VLOOKUP(TRIM('Ügyfelek'!AH88),'Beállítások'!$A$73:$B$79,2,FALSE),'Beállítások'!$B$84)))</f>
        <v/>
      </c>
      <c r="AI88" s="23">
        <f>IF($A88="","",ROUND(100*('Beállítások'!$E$6*(B88-1)+'Beállítások'!$E$7*(C88-1))/(9*'Beállítások'!$B$43),1))</f>
        <v/>
      </c>
      <c r="AJ88" s="23">
        <f>IF($A88="","",ROUND(100*('Beállítások'!$E$8*(D88-1)+'Beállítások'!$E$9*(E88-1)+'Beállítások'!$E$10*(F88-1)+'Beállítások'!$E$11*(G88-1)+'Beállítások'!$E$12*(H88-1)+'Beállítások'!$E$13*(I88-1)+'Beállítások'!$E$14*(J88-1)+'Beállítások'!$E$15*(K88-1)+'Beállítások'!$E$16*(L88-1)+'Beállítások'!$E$17*(M88-1)+'Beállítások'!$E$18*(N88-1)+'Beállítások'!$E$19*(O88-1)+'Beállítások'!$E$20*(P88-1)+'Beállítások'!$E$21*(Q88-1)+'Beállítások'!$E$22*(R88-1))/(9*'Beállítások'!$B$44),1))</f>
        <v/>
      </c>
      <c r="AK88" s="23">
        <f>IF($A88="","",ROUND(100*('Beállítások'!$E$23*(S88-1)+'Beállítások'!$E$24*(T88-1)+'Beállítások'!$E$25*(U88-1)+'Beállítások'!$E$26*(V88-1)+'Beállítások'!$E$27*(W88-1)+'Beállítások'!$E$28*(X88-1)+'Beállítások'!$E$29*(Y88-1))/(9*'Beállítások'!$B$45),1))</f>
        <v/>
      </c>
      <c r="AL88" s="23">
        <f>IF($A88="","",ROUND(100*('Beállítások'!$E$30*(Z88-1)+'Beállítások'!$E$31*(AA88-1)+'Beállítások'!$E$32*(AB88-1)+'Beállítások'!$E$33*(AC88-1)+'Beállítások'!$E$34*(AD88-1)+'Beállítások'!$E$35*(AE88-1)+'Beállítások'!$E$36*(AF88-1)+'Beállítások'!$E$37*(AG88-1)+'Beállítások'!$E$38*(AH88-1))/(9*'Beállítások'!$B$46),1))</f>
        <v/>
      </c>
      <c r="AM88" s="23">
        <f>IF($A88="","",ROUND(100*('Beállítások'!$E$6*(B88-1)+'Beállítások'!$E$7*(C88-1)+'Beállítások'!$E$8*(D88-1)+'Beállítások'!$E$9*(E88-1)+'Beállítások'!$E$10*(F88-1)+'Beállítások'!$E$11*(G88-1)+'Beállítások'!$E$12*(H88-1)+'Beállítások'!$E$13*(I88-1)+'Beállítások'!$E$14*(J88-1)+'Beállítások'!$E$15*(K88-1)+'Beállítások'!$E$16*(L88-1)+'Beállítások'!$E$17*(M88-1)+'Beállítások'!$E$18*(N88-1)+'Beállítások'!$E$19*(O88-1)+'Beállítások'!$E$20*(P88-1)+'Beállítások'!$E$21*(Q88-1)+'Beállítások'!$E$22*(R88-1)+'Beállítások'!$E$23*(S88-1)+'Beállítások'!$E$24*(T88-1)+'Beállítások'!$E$25*(U88-1)+'Beállítások'!$E$26*(V88-1)+'Beállítások'!$E$27*(W88-1)+'Beállítások'!$E$28*(X88-1)+'Beállítások'!$E$29*(Y88-1)+'Beállítások'!$E$30*(Z88-1)+'Beállítások'!$E$31*(AA88-1)+'Beállítások'!$E$32*(AB88-1)+'Beállítások'!$E$33*(AC88-1)+'Beállítások'!$E$34*(AD88-1)+'Beállítások'!$E$35*(AE88-1)+'Beállítások'!$E$36*(AF88-1)+'Beállítások'!$E$37*(AG88-1)+'Beállítások'!$E$38*(AH88-1))/(9*'Beállítások'!$E$39),1))</f>
        <v/>
      </c>
      <c r="AN88" s="23">
        <f>IF($A88="","",ROUND(100*('Beállítások'!$E$8*(D88-1)+'Beállítások'!$E$9*(E88-1)+'Beállítások'!$E$10*(F88-1)+'Beállítások'!$E$11*(G88-1)+'Beállítások'!$E$12*(H88-1)+'Beállítások'!$E$13*(I88-1)+'Beállítások'!$E$14*(J88-1)+'Beállítások'!$E$15*(K88-1)+'Beállítások'!$E$16*(L88-1)+'Beállítások'!$E$17*(M88-1)+'Beállítások'!$E$18*(N88-1)+'Beállítások'!$E$19*(O88-1)+'Beállítások'!$E$20*(P88-1)+'Beállítások'!$E$21*(Q88-1)+'Beállítások'!$E$22*(R88-1)+'Beállítások'!$E$23*(S88-1)+'Beállítások'!$E$24*(T88-1)+'Beállítások'!$E$25*(U88-1)+'Beállítások'!$E$26*(V88-1)+'Beállítások'!$E$27*(W88-1)+'Beállítások'!$E$28*(X88-1)+'Beállítások'!$E$29*(Y88-1))/(9*('Beállítások'!$B$44+'Beállítások'!$B$45)),1))</f>
        <v/>
      </c>
      <c r="AO88" s="24">
        <f>IF($A88="","",RANK(AM88,$AM$2:$AM$201))</f>
        <v/>
      </c>
      <c r="AP88">
        <f>IF($A88="","",IF(OR(AND('Ügyfelek'!B88&lt;&gt;"",B88&lt;='Beállítások'!$B$85),AND('Ügyfelek'!C88&lt;&gt;"",C88&lt;='Beállítások'!$B$86)),"Igen","Nem"))</f>
        <v/>
      </c>
      <c r="AQ88" s="24">
        <f>IF($A88="","",IF(AP88="Igen",5,IF(AN88&gt;='Beállítások'!$C$108,1,IF(AN88&gt;='Beállítások'!$C$109,2,IF(AN88&gt;='Beállítások'!$C$110,3,IF(AND(AN88&gt;='Beállítások'!$B$87,AI88&gt;='Beállítások'!$B$88,AL88&gt;='Beállítások'!$B$89),4,5))))))</f>
        <v/>
      </c>
      <c r="AR88">
        <f>IF($A88="","",INDEX('Beállítások'!$B$108:$B$112,AQ88))</f>
        <v/>
      </c>
      <c r="AS88">
        <f>IF($A88="","",IF(AQ88=5,"Elutasítjuk",IF(AND(AQ88=4,COUNTIFS('Eredmény'!$AQ$2:$AQ$201,4,'Eredmény'!$DY$2:$DY$201,"&gt;"&amp;DY88)&gt;='Beállítások'!$B$90),"Várólista (a 4-es hely foglalt)","Elfogadjuk")))</f>
        <v/>
      </c>
      <c r="AT88">
        <f>IF($A88="","",INDEX('Beállítások'!$F$108:$F$112,AQ88))</f>
        <v/>
      </c>
      <c r="AU88">
        <f>IF($A88="","",INDEX('Beállítások'!$B$6:$B$38,MATCH(MAX(BK88:CQ88),BK88:CQ88,0)))</f>
        <v/>
      </c>
      <c r="AV88">
        <f>IF($A88="","",IF(MAX(CR88:DX88)=0,"—",INDEX('Beállítások'!$B$6:$B$38,MATCH(MAX(CR88:DX88),CR88:DX88,0))))</f>
        <v/>
      </c>
      <c r="AW88" s="10">
        <f>IF($A88="","",'Beállítások'!$B$94*(TRIM('Ügyfelek'!AI88)="igen")+'Beállítások'!$B$95*(TRIM('Ügyfelek'!AJ88)="igen")+'Beállítások'!$B$96*N('Ügyfelek'!AK88)+'Beállítások'!$B$93*N('Ügyfelek'!AL88))</f>
        <v/>
      </c>
      <c r="AX88" s="25">
        <f>IF(OR($A88="",AQ88=5),"",INDEX('Beállítások'!$D$108:$D$112,AQ88))</f>
        <v/>
      </c>
      <c r="AY88" s="10">
        <f>IF($A88="","",N('Ügyfelek'!U88)*'Beállítások'!$B$98)</f>
        <v/>
      </c>
      <c r="AZ88" s="10">
        <f>IF(OR($A88="",AQ88=5),"",CEILING(ROUND(MAX('Beállítások'!$B$97,AW88*AX88,AY88),2),'Beállítások'!$B$99))</f>
        <v/>
      </c>
      <c r="BA88">
        <f>IF($A88="","",IF(AQ88=5,"Elutasítva",IF(MAX('Beállítások'!$B$97,AW88*AX88,AY88)=AW88*AX88,"Munkaigény × státuszszorzó",IF(MAX('Beállítások'!$B$97,AW88*AX88,AY88)=AY88,"Hirdetési keret arányában","Minimumdíj"))))</f>
        <v/>
      </c>
      <c r="BB88" s="10">
        <f>IF(OR($A88="",'Ügyfelek'!AM88=""),"",'Ügyfelek'!AM88)</f>
        <v/>
      </c>
      <c r="BC88" s="10">
        <f>IF(OR(BB88="",AZ88=""),"",AZ88-BB88)</f>
        <v/>
      </c>
      <c r="BD88" s="18">
        <f>IF(OR(BB88="",AZ88="",BB88=0),"",BC88/BB88)</f>
        <v/>
      </c>
      <c r="BE88">
        <f>IF(OR($A88="",AQ88=5),"",IF(AND(INDEX('Beállítások'!$E$108:$E$112,AQ88)&gt;0,Y88&gt;='Beállítások'!$B$91),"Igen","Nem"))</f>
        <v/>
      </c>
      <c r="BF88" s="10">
        <f>IF(BE88="Igen",CEILING(ROUND(AZ88*(1-'Beállítások'!$B$92),2),'Beállítások'!$B$99),"")</f>
        <v/>
      </c>
      <c r="BG88" s="20">
        <f>IF(BE88="Igen",INDEX('Beállítások'!$E$108:$E$112,AQ88),"")</f>
        <v/>
      </c>
      <c r="BH88" s="10">
        <f>IF(OR(BE88&lt;&gt;"Igen",'Ügyfelek'!AN88=""),"",'Ügyfelek'!AN88*BG88)</f>
        <v/>
      </c>
      <c r="BI88" s="24">
        <f>IF($A88="","",('Ügyfelek'!B88="")+('Ügyfelek'!C88="")+('Ügyfelek'!D88="")+('Ügyfelek'!E88="")+('Ügyfelek'!F88="")+('Ügyfelek'!G88="")+('Ügyfelek'!H88="")+('Ügyfelek'!I88="")+('Ügyfelek'!J88="")+('Ügyfelek'!K88="")+('Ügyfelek'!L88="")+('Ügyfelek'!M88="")+('Ügyfelek'!N88="")+('Ügyfelek'!O88="")+('Ügyfelek'!P88="")+('Ügyfelek'!Q88="")+('Ügyfelek'!R88="")+('Ügyfelek'!S88="")+('Ügyfelek'!T88="")+('Ügyfelek'!U88="")+('Ügyfelek'!V88="")+('Ügyfelek'!W88="")+('Ügyfelek'!X88="")+('Ügyfelek'!Y88="")+('Ügyfelek'!Z88="")+('Ügyfelek'!AA88="")+('Ügyfelek'!AB88="")+('Ügyfelek'!AC88="")+('Ügyfelek'!AD88="")+('Ügyfelek'!AE88="")+('Ügyfelek'!AF88="")+('Ügyfelek'!AG88="")+('Ügyfelek'!AH88=""))</f>
        <v/>
      </c>
      <c r="BK88">
        <f>IF($A88="","",B88+'Beállítások'!$E$6/1000)</f>
        <v/>
      </c>
      <c r="BL88">
        <f>IF($A88="","",C88+'Beállítások'!$E$7/1000)</f>
        <v/>
      </c>
      <c r="BM88">
        <f>IF($A88="","",D88+'Beállítások'!$E$8/1000)</f>
        <v/>
      </c>
      <c r="BN88">
        <f>IF($A88="","",E88+'Beállítások'!$E$9/1000)</f>
        <v/>
      </c>
      <c r="BO88">
        <f>IF($A88="","",F88+'Beállítások'!$E$10/1000)</f>
        <v/>
      </c>
      <c r="BP88">
        <f>IF($A88="","",G88+'Beállítások'!$E$11/1000)</f>
        <v/>
      </c>
      <c r="BQ88">
        <f>IF($A88="","",H88+'Beállítások'!$E$12/1000)</f>
        <v/>
      </c>
      <c r="BR88">
        <f>IF($A88="","",I88+'Beállítások'!$E$13/1000)</f>
        <v/>
      </c>
      <c r="BS88">
        <f>IF($A88="","",J88+'Beállítások'!$E$14/1000)</f>
        <v/>
      </c>
      <c r="BT88">
        <f>IF($A88="","",K88+'Beállítások'!$E$15/1000)</f>
        <v/>
      </c>
      <c r="BU88">
        <f>IF($A88="","",L88+'Beállítások'!$E$16/1000)</f>
        <v/>
      </c>
      <c r="BV88">
        <f>IF($A88="","",M88+'Beállítások'!$E$17/1000)</f>
        <v/>
      </c>
      <c r="BW88">
        <f>IF($A88="","",N88+'Beállítások'!$E$18/1000)</f>
        <v/>
      </c>
      <c r="BX88">
        <f>IF($A88="","",O88+'Beállítások'!$E$19/1000)</f>
        <v/>
      </c>
      <c r="BY88">
        <f>IF($A88="","",P88+'Beállítások'!$E$20/1000)</f>
        <v/>
      </c>
      <c r="BZ88">
        <f>IF($A88="","",Q88+'Beállítások'!$E$21/1000)</f>
        <v/>
      </c>
      <c r="CA88">
        <f>IF($A88="","",R88+'Beállítások'!$E$22/1000)</f>
        <v/>
      </c>
      <c r="CB88">
        <f>IF($A88="","",S88+'Beállítások'!$E$23/1000)</f>
        <v/>
      </c>
      <c r="CC88">
        <f>IF($A88="","",T88+'Beállítások'!$E$24/1000)</f>
        <v/>
      </c>
      <c r="CD88">
        <f>IF($A88="","",U88+'Beállítások'!$E$25/1000)</f>
        <v/>
      </c>
      <c r="CE88">
        <f>IF($A88="","",V88+'Beállítások'!$E$26/1000)</f>
        <v/>
      </c>
      <c r="CF88">
        <f>IF($A88="","",W88+'Beállítások'!$E$27/1000)</f>
        <v/>
      </c>
      <c r="CG88">
        <f>IF($A88="","",X88+'Beállítások'!$E$28/1000)</f>
        <v/>
      </c>
      <c r="CH88">
        <f>IF($A88="","",Y88+'Beállítások'!$E$29/1000)</f>
        <v/>
      </c>
      <c r="CI88">
        <f>IF($A88="","",Z88+'Beállítások'!$E$30/1000)</f>
        <v/>
      </c>
      <c r="CJ88">
        <f>IF($A88="","",AA88+'Beállítások'!$E$31/1000)</f>
        <v/>
      </c>
      <c r="CK88">
        <f>IF($A88="","",AB88+'Beállítások'!$E$32/1000)</f>
        <v/>
      </c>
      <c r="CL88">
        <f>IF($A88="","",AC88+'Beállítások'!$E$33/1000)</f>
        <v/>
      </c>
      <c r="CM88">
        <f>IF($A88="","",AD88+'Beállítások'!$E$34/1000)</f>
        <v/>
      </c>
      <c r="CN88">
        <f>IF($A88="","",AE88+'Beállítások'!$E$35/1000)</f>
        <v/>
      </c>
      <c r="CO88">
        <f>IF($A88="","",AF88+'Beállítások'!$E$36/1000)</f>
        <v/>
      </c>
      <c r="CP88">
        <f>IF($A88="","",AG88+'Beállítások'!$E$37/1000)</f>
        <v/>
      </c>
      <c r="CQ88">
        <f>IF($A88="","",AH88+'Beállítások'!$E$38/1000)</f>
        <v/>
      </c>
      <c r="CR88">
        <f>IF($A88="","",'Beállítások'!$E$6*(10-B88))</f>
        <v/>
      </c>
      <c r="CS88">
        <f>IF($A88="","",'Beállítások'!$E$7*(10-C88))</f>
        <v/>
      </c>
      <c r="CT88">
        <f>IF($A88="","",'Beállítások'!$E$8*(10-D88))</f>
        <v/>
      </c>
      <c r="CU88">
        <f>IF($A88="","",'Beállítások'!$E$9*(10-E88))</f>
        <v/>
      </c>
      <c r="CV88">
        <f>IF($A88="","",'Beállítások'!$E$10*(10-F88))</f>
        <v/>
      </c>
      <c r="CW88">
        <f>IF($A88="","",'Beállítások'!$E$11*(10-G88))</f>
        <v/>
      </c>
      <c r="CX88">
        <f>IF($A88="","",'Beállítások'!$E$12*(10-H88))</f>
        <v/>
      </c>
      <c r="CY88">
        <f>IF($A88="","",'Beállítások'!$E$13*(10-I88))</f>
        <v/>
      </c>
      <c r="CZ88">
        <f>IF($A88="","",'Beállítások'!$E$14*(10-J88))</f>
        <v/>
      </c>
      <c r="DA88">
        <f>IF($A88="","",'Beállítások'!$E$15*(10-K88))</f>
        <v/>
      </c>
      <c r="DB88">
        <f>IF($A88="","",'Beállítások'!$E$16*(10-L88))</f>
        <v/>
      </c>
      <c r="DC88">
        <f>IF($A88="","",'Beállítások'!$E$17*(10-M88))</f>
        <v/>
      </c>
      <c r="DD88">
        <f>IF($A88="","",'Beállítások'!$E$18*(10-N88))</f>
        <v/>
      </c>
      <c r="DE88">
        <f>IF($A88="","",'Beállítások'!$E$19*(10-O88))</f>
        <v/>
      </c>
      <c r="DF88">
        <f>IF($A88="","",'Beállítások'!$E$20*(10-P88))</f>
        <v/>
      </c>
      <c r="DG88">
        <f>IF($A88="","",'Beállítások'!$E$21*(10-Q88))</f>
        <v/>
      </c>
      <c r="DH88">
        <f>IF($A88="","",'Beállítások'!$E$22*(10-R88))</f>
        <v/>
      </c>
      <c r="DI88">
        <f>IF($A88="","",'Beállítások'!$E$23*(10-S88))</f>
        <v/>
      </c>
      <c r="DJ88">
        <f>IF($A88="","",'Beállítások'!$E$24*(10-T88))</f>
        <v/>
      </c>
      <c r="DK88">
        <f>IF($A88="","",'Beállítások'!$E$25*(10-U88))</f>
        <v/>
      </c>
      <c r="DL88">
        <f>IF($A88="","",'Beállítások'!$E$26*(10-V88))</f>
        <v/>
      </c>
      <c r="DM88">
        <f>IF($A88="","",'Beállítások'!$E$27*(10-W88))</f>
        <v/>
      </c>
      <c r="DN88">
        <f>IF($A88="","",'Beállítások'!$E$28*(10-X88))</f>
        <v/>
      </c>
      <c r="DO88">
        <f>IF($A88="","",'Beállítások'!$E$29*(10-Y88))</f>
        <v/>
      </c>
      <c r="DP88">
        <f>IF($A88="","",'Beállítások'!$E$30*(10-Z88))</f>
        <v/>
      </c>
      <c r="DQ88">
        <f>IF($A88="","",'Beállítások'!$E$31*(10-AA88))</f>
        <v/>
      </c>
      <c r="DR88">
        <f>IF($A88="","",'Beállítások'!$E$32*(10-AB88))</f>
        <v/>
      </c>
      <c r="DS88">
        <f>IF($A88="","",'Beállítások'!$E$33*(10-AC88))</f>
        <v/>
      </c>
      <c r="DT88">
        <f>IF($A88="","",'Beállítások'!$E$34*(10-AD88))</f>
        <v/>
      </c>
      <c r="DU88">
        <f>IF($A88="","",'Beállítások'!$E$35*(10-AE88))</f>
        <v/>
      </c>
      <c r="DV88">
        <f>IF($A88="","",'Beállítások'!$E$36*(10-AF88))</f>
        <v/>
      </c>
      <c r="DW88">
        <f>IF($A88="","",'Beállítások'!$E$37*(10-AG88))</f>
        <v/>
      </c>
      <c r="DX88">
        <f>IF($A88="","",'Beállítások'!$E$38*(10-AH88))</f>
        <v/>
      </c>
      <c r="DY88">
        <f>IF($A88="","",AM88-ROW()/100000)</f>
        <v/>
      </c>
    </row>
    <row r="89">
      <c r="A89">
        <f>IF('Ügyfelek'!A89="","",'Ügyfelek'!A89)</f>
        <v/>
      </c>
      <c r="B89">
        <f>IF($A89="","",IF('Ügyfelek'!B89="",'Beállítások'!$B$84,IFERROR(VLOOKUP(TRIM('Ügyfelek'!B89),'Beállítások'!$A$51:$B$59,2,FALSE),'Beállítások'!$B$84)))</f>
        <v/>
      </c>
      <c r="C89">
        <f>IF($A89="","",IF('Ügyfelek'!C89="",'Beállítások'!$B$84,MIN(10,MAX(1,ROUND('Ügyfelek'!C89,0)))))</f>
        <v/>
      </c>
      <c r="D89">
        <f>IF($A89="","",IF('Ügyfelek'!D89="",'Beállítások'!$B$84,MIN(10,MAX(1,ROUND('Ügyfelek'!D89,0)))))</f>
        <v/>
      </c>
      <c r="E89">
        <f>IF($A89="","",IF('Ügyfelek'!E89="",'Beállítások'!$B$84,MIN(10,MAX(1,ROUND('Ügyfelek'!E89,0)))))</f>
        <v/>
      </c>
      <c r="F89">
        <f>IF($A89="","",IF('Ügyfelek'!F89="",'Beállítások'!$B$84,MIN(10,MAX(1,ROUND('Ügyfelek'!F89,0)))))</f>
        <v/>
      </c>
      <c r="G89">
        <f>IF($A89="","",IF('Ügyfelek'!G89="",'Beállítások'!$B$84,MIN(10,MAX(1,ROUND('Ügyfelek'!G89,0)))))</f>
        <v/>
      </c>
      <c r="H89">
        <f>IF($A89="","",IF('Ügyfelek'!H89="",'Beállítások'!$B$84,MIN(10,MAX(1,ROUND('Ügyfelek'!H89,0)))))</f>
        <v/>
      </c>
      <c r="I89">
        <f>IF($A89="","",IF('Ügyfelek'!I89="",'Beállítások'!$B$84,MIN(10,MAX(1,ROUND('Ügyfelek'!I89,0)))))</f>
        <v/>
      </c>
      <c r="J89">
        <f>IF($A89="","",IF('Ügyfelek'!J89="",'Beállítások'!$B$84,MIN(10,MAX(1,ROUND('Ügyfelek'!J89,0)))))</f>
        <v/>
      </c>
      <c r="K89">
        <f>IF($A89="","",IF('Ügyfelek'!K89="",'Beállítások'!$B$84,MIN(10,MAX(1,ROUND('Ügyfelek'!K89,0)))))</f>
        <v/>
      </c>
      <c r="L89">
        <f>IF($A89="","",IF('Ügyfelek'!L89="",'Beállítások'!$B$84,MIN(10,MAX(1,ROUND('Ügyfelek'!L89,0)))))</f>
        <v/>
      </c>
      <c r="M89">
        <f>IF($A89="","",IF('Ügyfelek'!M89="",'Beállítások'!$B$84,MIN(10,MAX(1,ROUND('Ügyfelek'!M89,0)))))</f>
        <v/>
      </c>
      <c r="N89">
        <f>IF($A89="","",IF('Ügyfelek'!N89="",'Beállítások'!$B$84,MIN(10,MAX(1,ROUND('Ügyfelek'!N89,0)))))</f>
        <v/>
      </c>
      <c r="O89">
        <f>IF($A89="","",IF('Ügyfelek'!O89="",'Beállítások'!$B$84,MIN(10,MAX(1,ROUND('Ügyfelek'!O89,0)))))</f>
        <v/>
      </c>
      <c r="P89">
        <f>IF($A89="","",IF('Ügyfelek'!P89="",'Beállítások'!$B$84,MIN(10,MAX(1,ROUND('Ügyfelek'!P89,0)))))</f>
        <v/>
      </c>
      <c r="Q89">
        <f>IF($A89="","",IF('Ügyfelek'!Q89="",'Beállítások'!$B$84,MIN(10,MAX(1,ROUND('Ügyfelek'!Q89,0)))))</f>
        <v/>
      </c>
      <c r="R89">
        <f>IF($A89="","",IF('Ügyfelek'!R89="",'Beállítások'!$B$84,MIN(10,MAX(1,ROUND('Ügyfelek'!R89,0)))))</f>
        <v/>
      </c>
      <c r="S89">
        <f>IF($A89="","",IF('Ügyfelek'!S89="",'Beállítások'!$B$84,MIN(10,MAX(1,ROUND('Ügyfelek'!S89,0)))))</f>
        <v/>
      </c>
      <c r="T89">
        <f>IF($A89="","",IF('Ügyfelek'!T89="",'Beállítások'!$B$84,VLOOKUP(MAX('Ügyfelek'!T89,'Beállítások'!$H$7),'Beállítások'!$H$7:$I$12,2,TRUE)))</f>
        <v/>
      </c>
      <c r="U89">
        <f>IF($A89="","",IF('Ügyfelek'!U89="",'Beállítások'!$B$84,VLOOKUP(MAX('Ügyfelek'!U89,'Beállítások'!$K$7),'Beállítások'!$K$7:$L$12,2,TRUE)))</f>
        <v/>
      </c>
      <c r="V89">
        <f>IF($A89="","",IF('Ügyfelek'!V89="",'Beállítások'!$B$84,MIN(10,MAX(1,ROUND('Ügyfelek'!V89,0)))))</f>
        <v/>
      </c>
      <c r="W89">
        <f>IF($A89="","",IF('Ügyfelek'!W89="",'Beállítások'!$B$84,VLOOKUP(MAX('Ügyfelek'!W89,'Beállítások'!$N$7),'Beállítások'!$N$7:$O$12,2,TRUE)))</f>
        <v/>
      </c>
      <c r="X89">
        <f>IF($A89="","",IF('Ügyfelek'!X89="",'Beállítások'!$B$84,MIN(10,MAX(1,ROUND('Ügyfelek'!X89,0)))))</f>
        <v/>
      </c>
      <c r="Y89">
        <f>IF($A89="","",IF('Ügyfelek'!Y89="",'Beállítások'!$B$84,IFERROR(VLOOKUP(TRIM('Ügyfelek'!Y89),'Beállítások'!$A$63:$B$69,2,FALSE),'Beállítások'!$B$84)))</f>
        <v/>
      </c>
      <c r="Z89">
        <f>IF($A89="","",IF('Ügyfelek'!Z89="",'Beállítások'!$B$84,VLOOKUP(MAX('Ügyfelek'!Z89,'Beállítások'!$Q$7),'Beállítások'!$Q$7:$R$12,2,TRUE)))</f>
        <v/>
      </c>
      <c r="AA89">
        <f>IF($A89="","",IF('Ügyfelek'!AA89="",'Beállítások'!$B$84,VLOOKUP(MAX('Ügyfelek'!AA89,'Beállítások'!$T$7),'Beállítások'!$T$7:$U$12,2,TRUE)))</f>
        <v/>
      </c>
      <c r="AB89">
        <f>IF($A89="","",IF('Ügyfelek'!AB89="",'Beállítások'!$B$84,MIN(10,MAX(1,ROUND('Ügyfelek'!AB89,0)))))</f>
        <v/>
      </c>
      <c r="AC89">
        <f>IF($A89="","",IF('Ügyfelek'!AC89="",'Beállítások'!$B$84,MIN(10,MAX(1,ROUND('Ügyfelek'!AC89,0)))))</f>
        <v/>
      </c>
      <c r="AD89">
        <f>IF($A89="","",IF('Ügyfelek'!AD89="",'Beállítások'!$B$84,MIN(10,MAX(1,ROUND('Ügyfelek'!AD89,0)))))</f>
        <v/>
      </c>
      <c r="AE89">
        <f>IF($A89="","",IF('Ügyfelek'!AE89="",'Beállítások'!$B$84,MIN(10,MAX(1,ROUND('Ügyfelek'!AE89,0)))))</f>
        <v/>
      </c>
      <c r="AF89">
        <f>IF($A89="","",IF('Ügyfelek'!AF89="",'Beállítások'!$B$84,MIN(10,MAX(1,ROUND('Ügyfelek'!AF89,0)))))</f>
        <v/>
      </c>
      <c r="AG89">
        <f>IF($A89="","",IF('Ügyfelek'!AG89="",'Beállítások'!$B$84,MIN(10,MAX(1,ROUND('Ügyfelek'!AG89,0)))))</f>
        <v/>
      </c>
      <c r="AH89">
        <f>IF($A89="","",IF('Ügyfelek'!AH89="",'Beállítások'!$B$84,IFERROR(VLOOKUP(TRIM('Ügyfelek'!AH89),'Beállítások'!$A$73:$B$79,2,FALSE),'Beállítások'!$B$84)))</f>
        <v/>
      </c>
      <c r="AI89" s="23">
        <f>IF($A89="","",ROUND(100*('Beállítások'!$E$6*(B89-1)+'Beállítások'!$E$7*(C89-1))/(9*'Beállítások'!$B$43),1))</f>
        <v/>
      </c>
      <c r="AJ89" s="23">
        <f>IF($A89="","",ROUND(100*('Beállítások'!$E$8*(D89-1)+'Beállítások'!$E$9*(E89-1)+'Beállítások'!$E$10*(F89-1)+'Beállítások'!$E$11*(G89-1)+'Beállítások'!$E$12*(H89-1)+'Beállítások'!$E$13*(I89-1)+'Beállítások'!$E$14*(J89-1)+'Beállítások'!$E$15*(K89-1)+'Beállítások'!$E$16*(L89-1)+'Beállítások'!$E$17*(M89-1)+'Beállítások'!$E$18*(N89-1)+'Beállítások'!$E$19*(O89-1)+'Beállítások'!$E$20*(P89-1)+'Beállítások'!$E$21*(Q89-1)+'Beállítások'!$E$22*(R89-1))/(9*'Beállítások'!$B$44),1))</f>
        <v/>
      </c>
      <c r="AK89" s="23">
        <f>IF($A89="","",ROUND(100*('Beállítások'!$E$23*(S89-1)+'Beállítások'!$E$24*(T89-1)+'Beállítások'!$E$25*(U89-1)+'Beállítások'!$E$26*(V89-1)+'Beállítások'!$E$27*(W89-1)+'Beállítások'!$E$28*(X89-1)+'Beállítások'!$E$29*(Y89-1))/(9*'Beállítások'!$B$45),1))</f>
        <v/>
      </c>
      <c r="AL89" s="23">
        <f>IF($A89="","",ROUND(100*('Beállítások'!$E$30*(Z89-1)+'Beállítások'!$E$31*(AA89-1)+'Beállítások'!$E$32*(AB89-1)+'Beállítások'!$E$33*(AC89-1)+'Beállítások'!$E$34*(AD89-1)+'Beállítások'!$E$35*(AE89-1)+'Beállítások'!$E$36*(AF89-1)+'Beállítások'!$E$37*(AG89-1)+'Beállítások'!$E$38*(AH89-1))/(9*'Beállítások'!$B$46),1))</f>
        <v/>
      </c>
      <c r="AM89" s="23">
        <f>IF($A89="","",ROUND(100*('Beállítások'!$E$6*(B89-1)+'Beállítások'!$E$7*(C89-1)+'Beállítások'!$E$8*(D89-1)+'Beállítások'!$E$9*(E89-1)+'Beállítások'!$E$10*(F89-1)+'Beállítások'!$E$11*(G89-1)+'Beállítások'!$E$12*(H89-1)+'Beállítások'!$E$13*(I89-1)+'Beállítások'!$E$14*(J89-1)+'Beállítások'!$E$15*(K89-1)+'Beállítások'!$E$16*(L89-1)+'Beállítások'!$E$17*(M89-1)+'Beállítások'!$E$18*(N89-1)+'Beállítások'!$E$19*(O89-1)+'Beállítások'!$E$20*(P89-1)+'Beállítások'!$E$21*(Q89-1)+'Beállítások'!$E$22*(R89-1)+'Beállítások'!$E$23*(S89-1)+'Beállítások'!$E$24*(T89-1)+'Beállítások'!$E$25*(U89-1)+'Beállítások'!$E$26*(V89-1)+'Beállítások'!$E$27*(W89-1)+'Beállítások'!$E$28*(X89-1)+'Beállítások'!$E$29*(Y89-1)+'Beállítások'!$E$30*(Z89-1)+'Beállítások'!$E$31*(AA89-1)+'Beállítások'!$E$32*(AB89-1)+'Beállítások'!$E$33*(AC89-1)+'Beállítások'!$E$34*(AD89-1)+'Beállítások'!$E$35*(AE89-1)+'Beállítások'!$E$36*(AF89-1)+'Beállítások'!$E$37*(AG89-1)+'Beállítások'!$E$38*(AH89-1))/(9*'Beállítások'!$E$39),1))</f>
        <v/>
      </c>
      <c r="AN89" s="23">
        <f>IF($A89="","",ROUND(100*('Beállítások'!$E$8*(D89-1)+'Beállítások'!$E$9*(E89-1)+'Beállítások'!$E$10*(F89-1)+'Beállítások'!$E$11*(G89-1)+'Beállítások'!$E$12*(H89-1)+'Beállítások'!$E$13*(I89-1)+'Beállítások'!$E$14*(J89-1)+'Beállítások'!$E$15*(K89-1)+'Beállítások'!$E$16*(L89-1)+'Beállítások'!$E$17*(M89-1)+'Beállítások'!$E$18*(N89-1)+'Beállítások'!$E$19*(O89-1)+'Beállítások'!$E$20*(P89-1)+'Beállítások'!$E$21*(Q89-1)+'Beállítások'!$E$22*(R89-1)+'Beállítások'!$E$23*(S89-1)+'Beállítások'!$E$24*(T89-1)+'Beállítások'!$E$25*(U89-1)+'Beállítások'!$E$26*(V89-1)+'Beállítások'!$E$27*(W89-1)+'Beállítások'!$E$28*(X89-1)+'Beállítások'!$E$29*(Y89-1))/(9*('Beállítások'!$B$44+'Beállítások'!$B$45)),1))</f>
        <v/>
      </c>
      <c r="AO89" s="24">
        <f>IF($A89="","",RANK(AM89,$AM$2:$AM$201))</f>
        <v/>
      </c>
      <c r="AP89">
        <f>IF($A89="","",IF(OR(AND('Ügyfelek'!B89&lt;&gt;"",B89&lt;='Beállítások'!$B$85),AND('Ügyfelek'!C89&lt;&gt;"",C89&lt;='Beállítások'!$B$86)),"Igen","Nem"))</f>
        <v/>
      </c>
      <c r="AQ89" s="24">
        <f>IF($A89="","",IF(AP89="Igen",5,IF(AN89&gt;='Beállítások'!$C$108,1,IF(AN89&gt;='Beállítások'!$C$109,2,IF(AN89&gt;='Beállítások'!$C$110,3,IF(AND(AN89&gt;='Beállítások'!$B$87,AI89&gt;='Beállítások'!$B$88,AL89&gt;='Beállítások'!$B$89),4,5))))))</f>
        <v/>
      </c>
      <c r="AR89">
        <f>IF($A89="","",INDEX('Beállítások'!$B$108:$B$112,AQ89))</f>
        <v/>
      </c>
      <c r="AS89">
        <f>IF($A89="","",IF(AQ89=5,"Elutasítjuk",IF(AND(AQ89=4,COUNTIFS('Eredmény'!$AQ$2:$AQ$201,4,'Eredmény'!$DY$2:$DY$201,"&gt;"&amp;DY89)&gt;='Beállítások'!$B$90),"Várólista (a 4-es hely foglalt)","Elfogadjuk")))</f>
        <v/>
      </c>
      <c r="AT89">
        <f>IF($A89="","",INDEX('Beállítások'!$F$108:$F$112,AQ89))</f>
        <v/>
      </c>
      <c r="AU89">
        <f>IF($A89="","",INDEX('Beállítások'!$B$6:$B$38,MATCH(MAX(BK89:CQ89),BK89:CQ89,0)))</f>
        <v/>
      </c>
      <c r="AV89">
        <f>IF($A89="","",IF(MAX(CR89:DX89)=0,"—",INDEX('Beállítások'!$B$6:$B$38,MATCH(MAX(CR89:DX89),CR89:DX89,0))))</f>
        <v/>
      </c>
      <c r="AW89" s="10">
        <f>IF($A89="","",'Beállítások'!$B$94*(TRIM('Ügyfelek'!AI89)="igen")+'Beállítások'!$B$95*(TRIM('Ügyfelek'!AJ89)="igen")+'Beállítások'!$B$96*N('Ügyfelek'!AK89)+'Beállítások'!$B$93*N('Ügyfelek'!AL89))</f>
        <v/>
      </c>
      <c r="AX89" s="25">
        <f>IF(OR($A89="",AQ89=5),"",INDEX('Beállítások'!$D$108:$D$112,AQ89))</f>
        <v/>
      </c>
      <c r="AY89" s="10">
        <f>IF($A89="","",N('Ügyfelek'!U89)*'Beállítások'!$B$98)</f>
        <v/>
      </c>
      <c r="AZ89" s="10">
        <f>IF(OR($A89="",AQ89=5),"",CEILING(ROUND(MAX('Beállítások'!$B$97,AW89*AX89,AY89),2),'Beállítások'!$B$99))</f>
        <v/>
      </c>
      <c r="BA89">
        <f>IF($A89="","",IF(AQ89=5,"Elutasítva",IF(MAX('Beállítások'!$B$97,AW89*AX89,AY89)=AW89*AX89,"Munkaigény × státuszszorzó",IF(MAX('Beállítások'!$B$97,AW89*AX89,AY89)=AY89,"Hirdetési keret arányában","Minimumdíj"))))</f>
        <v/>
      </c>
      <c r="BB89" s="10">
        <f>IF(OR($A89="",'Ügyfelek'!AM89=""),"",'Ügyfelek'!AM89)</f>
        <v/>
      </c>
      <c r="BC89" s="10">
        <f>IF(OR(BB89="",AZ89=""),"",AZ89-BB89)</f>
        <v/>
      </c>
      <c r="BD89" s="18">
        <f>IF(OR(BB89="",AZ89="",BB89=0),"",BC89/BB89)</f>
        <v/>
      </c>
      <c r="BE89">
        <f>IF(OR($A89="",AQ89=5),"",IF(AND(INDEX('Beállítások'!$E$108:$E$112,AQ89)&gt;0,Y89&gt;='Beállítások'!$B$91),"Igen","Nem"))</f>
        <v/>
      </c>
      <c r="BF89" s="10">
        <f>IF(BE89="Igen",CEILING(ROUND(AZ89*(1-'Beállítások'!$B$92),2),'Beállítások'!$B$99),"")</f>
        <v/>
      </c>
      <c r="BG89" s="20">
        <f>IF(BE89="Igen",INDEX('Beállítások'!$E$108:$E$112,AQ89),"")</f>
        <v/>
      </c>
      <c r="BH89" s="10">
        <f>IF(OR(BE89&lt;&gt;"Igen",'Ügyfelek'!AN89=""),"",'Ügyfelek'!AN89*BG89)</f>
        <v/>
      </c>
      <c r="BI89" s="24">
        <f>IF($A89="","",('Ügyfelek'!B89="")+('Ügyfelek'!C89="")+('Ügyfelek'!D89="")+('Ügyfelek'!E89="")+('Ügyfelek'!F89="")+('Ügyfelek'!G89="")+('Ügyfelek'!H89="")+('Ügyfelek'!I89="")+('Ügyfelek'!J89="")+('Ügyfelek'!K89="")+('Ügyfelek'!L89="")+('Ügyfelek'!M89="")+('Ügyfelek'!N89="")+('Ügyfelek'!O89="")+('Ügyfelek'!P89="")+('Ügyfelek'!Q89="")+('Ügyfelek'!R89="")+('Ügyfelek'!S89="")+('Ügyfelek'!T89="")+('Ügyfelek'!U89="")+('Ügyfelek'!V89="")+('Ügyfelek'!W89="")+('Ügyfelek'!X89="")+('Ügyfelek'!Y89="")+('Ügyfelek'!Z89="")+('Ügyfelek'!AA89="")+('Ügyfelek'!AB89="")+('Ügyfelek'!AC89="")+('Ügyfelek'!AD89="")+('Ügyfelek'!AE89="")+('Ügyfelek'!AF89="")+('Ügyfelek'!AG89="")+('Ügyfelek'!AH89=""))</f>
        <v/>
      </c>
      <c r="BK89">
        <f>IF($A89="","",B89+'Beállítások'!$E$6/1000)</f>
        <v/>
      </c>
      <c r="BL89">
        <f>IF($A89="","",C89+'Beállítások'!$E$7/1000)</f>
        <v/>
      </c>
      <c r="BM89">
        <f>IF($A89="","",D89+'Beállítások'!$E$8/1000)</f>
        <v/>
      </c>
      <c r="BN89">
        <f>IF($A89="","",E89+'Beállítások'!$E$9/1000)</f>
        <v/>
      </c>
      <c r="BO89">
        <f>IF($A89="","",F89+'Beállítások'!$E$10/1000)</f>
        <v/>
      </c>
      <c r="BP89">
        <f>IF($A89="","",G89+'Beállítások'!$E$11/1000)</f>
        <v/>
      </c>
      <c r="BQ89">
        <f>IF($A89="","",H89+'Beállítások'!$E$12/1000)</f>
        <v/>
      </c>
      <c r="BR89">
        <f>IF($A89="","",I89+'Beállítások'!$E$13/1000)</f>
        <v/>
      </c>
      <c r="BS89">
        <f>IF($A89="","",J89+'Beállítások'!$E$14/1000)</f>
        <v/>
      </c>
      <c r="BT89">
        <f>IF($A89="","",K89+'Beállítások'!$E$15/1000)</f>
        <v/>
      </c>
      <c r="BU89">
        <f>IF($A89="","",L89+'Beállítások'!$E$16/1000)</f>
        <v/>
      </c>
      <c r="BV89">
        <f>IF($A89="","",M89+'Beállítások'!$E$17/1000)</f>
        <v/>
      </c>
      <c r="BW89">
        <f>IF($A89="","",N89+'Beállítások'!$E$18/1000)</f>
        <v/>
      </c>
      <c r="BX89">
        <f>IF($A89="","",O89+'Beállítások'!$E$19/1000)</f>
        <v/>
      </c>
      <c r="BY89">
        <f>IF($A89="","",P89+'Beállítások'!$E$20/1000)</f>
        <v/>
      </c>
      <c r="BZ89">
        <f>IF($A89="","",Q89+'Beállítások'!$E$21/1000)</f>
        <v/>
      </c>
      <c r="CA89">
        <f>IF($A89="","",R89+'Beállítások'!$E$22/1000)</f>
        <v/>
      </c>
      <c r="CB89">
        <f>IF($A89="","",S89+'Beállítások'!$E$23/1000)</f>
        <v/>
      </c>
      <c r="CC89">
        <f>IF($A89="","",T89+'Beállítások'!$E$24/1000)</f>
        <v/>
      </c>
      <c r="CD89">
        <f>IF($A89="","",U89+'Beállítások'!$E$25/1000)</f>
        <v/>
      </c>
      <c r="CE89">
        <f>IF($A89="","",V89+'Beállítások'!$E$26/1000)</f>
        <v/>
      </c>
      <c r="CF89">
        <f>IF($A89="","",W89+'Beállítások'!$E$27/1000)</f>
        <v/>
      </c>
      <c r="CG89">
        <f>IF($A89="","",X89+'Beállítások'!$E$28/1000)</f>
        <v/>
      </c>
      <c r="CH89">
        <f>IF($A89="","",Y89+'Beállítások'!$E$29/1000)</f>
        <v/>
      </c>
      <c r="CI89">
        <f>IF($A89="","",Z89+'Beállítások'!$E$30/1000)</f>
        <v/>
      </c>
      <c r="CJ89">
        <f>IF($A89="","",AA89+'Beállítások'!$E$31/1000)</f>
        <v/>
      </c>
      <c r="CK89">
        <f>IF($A89="","",AB89+'Beállítások'!$E$32/1000)</f>
        <v/>
      </c>
      <c r="CL89">
        <f>IF($A89="","",AC89+'Beállítások'!$E$33/1000)</f>
        <v/>
      </c>
      <c r="CM89">
        <f>IF($A89="","",AD89+'Beállítások'!$E$34/1000)</f>
        <v/>
      </c>
      <c r="CN89">
        <f>IF($A89="","",AE89+'Beállítások'!$E$35/1000)</f>
        <v/>
      </c>
      <c r="CO89">
        <f>IF($A89="","",AF89+'Beállítások'!$E$36/1000)</f>
        <v/>
      </c>
      <c r="CP89">
        <f>IF($A89="","",AG89+'Beállítások'!$E$37/1000)</f>
        <v/>
      </c>
      <c r="CQ89">
        <f>IF($A89="","",AH89+'Beállítások'!$E$38/1000)</f>
        <v/>
      </c>
      <c r="CR89">
        <f>IF($A89="","",'Beállítások'!$E$6*(10-B89))</f>
        <v/>
      </c>
      <c r="CS89">
        <f>IF($A89="","",'Beállítások'!$E$7*(10-C89))</f>
        <v/>
      </c>
      <c r="CT89">
        <f>IF($A89="","",'Beállítások'!$E$8*(10-D89))</f>
        <v/>
      </c>
      <c r="CU89">
        <f>IF($A89="","",'Beállítások'!$E$9*(10-E89))</f>
        <v/>
      </c>
      <c r="CV89">
        <f>IF($A89="","",'Beállítások'!$E$10*(10-F89))</f>
        <v/>
      </c>
      <c r="CW89">
        <f>IF($A89="","",'Beállítások'!$E$11*(10-G89))</f>
        <v/>
      </c>
      <c r="CX89">
        <f>IF($A89="","",'Beállítások'!$E$12*(10-H89))</f>
        <v/>
      </c>
      <c r="CY89">
        <f>IF($A89="","",'Beállítások'!$E$13*(10-I89))</f>
        <v/>
      </c>
      <c r="CZ89">
        <f>IF($A89="","",'Beállítások'!$E$14*(10-J89))</f>
        <v/>
      </c>
      <c r="DA89">
        <f>IF($A89="","",'Beállítások'!$E$15*(10-K89))</f>
        <v/>
      </c>
      <c r="DB89">
        <f>IF($A89="","",'Beállítások'!$E$16*(10-L89))</f>
        <v/>
      </c>
      <c r="DC89">
        <f>IF($A89="","",'Beállítások'!$E$17*(10-M89))</f>
        <v/>
      </c>
      <c r="DD89">
        <f>IF($A89="","",'Beállítások'!$E$18*(10-N89))</f>
        <v/>
      </c>
      <c r="DE89">
        <f>IF($A89="","",'Beállítások'!$E$19*(10-O89))</f>
        <v/>
      </c>
      <c r="DF89">
        <f>IF($A89="","",'Beállítások'!$E$20*(10-P89))</f>
        <v/>
      </c>
      <c r="DG89">
        <f>IF($A89="","",'Beállítások'!$E$21*(10-Q89))</f>
        <v/>
      </c>
      <c r="DH89">
        <f>IF($A89="","",'Beállítások'!$E$22*(10-R89))</f>
        <v/>
      </c>
      <c r="DI89">
        <f>IF($A89="","",'Beállítások'!$E$23*(10-S89))</f>
        <v/>
      </c>
      <c r="DJ89">
        <f>IF($A89="","",'Beállítások'!$E$24*(10-T89))</f>
        <v/>
      </c>
      <c r="DK89">
        <f>IF($A89="","",'Beállítások'!$E$25*(10-U89))</f>
        <v/>
      </c>
      <c r="DL89">
        <f>IF($A89="","",'Beállítások'!$E$26*(10-V89))</f>
        <v/>
      </c>
      <c r="DM89">
        <f>IF($A89="","",'Beállítások'!$E$27*(10-W89))</f>
        <v/>
      </c>
      <c r="DN89">
        <f>IF($A89="","",'Beállítások'!$E$28*(10-X89))</f>
        <v/>
      </c>
      <c r="DO89">
        <f>IF($A89="","",'Beállítások'!$E$29*(10-Y89))</f>
        <v/>
      </c>
      <c r="DP89">
        <f>IF($A89="","",'Beállítások'!$E$30*(10-Z89))</f>
        <v/>
      </c>
      <c r="DQ89">
        <f>IF($A89="","",'Beállítások'!$E$31*(10-AA89))</f>
        <v/>
      </c>
      <c r="DR89">
        <f>IF($A89="","",'Beállítások'!$E$32*(10-AB89))</f>
        <v/>
      </c>
      <c r="DS89">
        <f>IF($A89="","",'Beállítások'!$E$33*(10-AC89))</f>
        <v/>
      </c>
      <c r="DT89">
        <f>IF($A89="","",'Beállítások'!$E$34*(10-AD89))</f>
        <v/>
      </c>
      <c r="DU89">
        <f>IF($A89="","",'Beállítások'!$E$35*(10-AE89))</f>
        <v/>
      </c>
      <c r="DV89">
        <f>IF($A89="","",'Beállítások'!$E$36*(10-AF89))</f>
        <v/>
      </c>
      <c r="DW89">
        <f>IF($A89="","",'Beállítások'!$E$37*(10-AG89))</f>
        <v/>
      </c>
      <c r="DX89">
        <f>IF($A89="","",'Beállítások'!$E$38*(10-AH89))</f>
        <v/>
      </c>
      <c r="DY89">
        <f>IF($A89="","",AM89-ROW()/100000)</f>
        <v/>
      </c>
    </row>
    <row r="90">
      <c r="A90">
        <f>IF('Ügyfelek'!A90="","",'Ügyfelek'!A90)</f>
        <v/>
      </c>
      <c r="B90">
        <f>IF($A90="","",IF('Ügyfelek'!B90="",'Beállítások'!$B$84,IFERROR(VLOOKUP(TRIM('Ügyfelek'!B90),'Beállítások'!$A$51:$B$59,2,FALSE),'Beállítások'!$B$84)))</f>
        <v/>
      </c>
      <c r="C90">
        <f>IF($A90="","",IF('Ügyfelek'!C90="",'Beállítások'!$B$84,MIN(10,MAX(1,ROUND('Ügyfelek'!C90,0)))))</f>
        <v/>
      </c>
      <c r="D90">
        <f>IF($A90="","",IF('Ügyfelek'!D90="",'Beállítások'!$B$84,MIN(10,MAX(1,ROUND('Ügyfelek'!D90,0)))))</f>
        <v/>
      </c>
      <c r="E90">
        <f>IF($A90="","",IF('Ügyfelek'!E90="",'Beállítások'!$B$84,MIN(10,MAX(1,ROUND('Ügyfelek'!E90,0)))))</f>
        <v/>
      </c>
      <c r="F90">
        <f>IF($A90="","",IF('Ügyfelek'!F90="",'Beállítások'!$B$84,MIN(10,MAX(1,ROUND('Ügyfelek'!F90,0)))))</f>
        <v/>
      </c>
      <c r="G90">
        <f>IF($A90="","",IF('Ügyfelek'!G90="",'Beállítások'!$B$84,MIN(10,MAX(1,ROUND('Ügyfelek'!G90,0)))))</f>
        <v/>
      </c>
      <c r="H90">
        <f>IF($A90="","",IF('Ügyfelek'!H90="",'Beállítások'!$B$84,MIN(10,MAX(1,ROUND('Ügyfelek'!H90,0)))))</f>
        <v/>
      </c>
      <c r="I90">
        <f>IF($A90="","",IF('Ügyfelek'!I90="",'Beállítások'!$B$84,MIN(10,MAX(1,ROUND('Ügyfelek'!I90,0)))))</f>
        <v/>
      </c>
      <c r="J90">
        <f>IF($A90="","",IF('Ügyfelek'!J90="",'Beállítások'!$B$84,MIN(10,MAX(1,ROUND('Ügyfelek'!J90,0)))))</f>
        <v/>
      </c>
      <c r="K90">
        <f>IF($A90="","",IF('Ügyfelek'!K90="",'Beállítások'!$B$84,MIN(10,MAX(1,ROUND('Ügyfelek'!K90,0)))))</f>
        <v/>
      </c>
      <c r="L90">
        <f>IF($A90="","",IF('Ügyfelek'!L90="",'Beállítások'!$B$84,MIN(10,MAX(1,ROUND('Ügyfelek'!L90,0)))))</f>
        <v/>
      </c>
      <c r="M90">
        <f>IF($A90="","",IF('Ügyfelek'!M90="",'Beállítások'!$B$84,MIN(10,MAX(1,ROUND('Ügyfelek'!M90,0)))))</f>
        <v/>
      </c>
      <c r="N90">
        <f>IF($A90="","",IF('Ügyfelek'!N90="",'Beállítások'!$B$84,MIN(10,MAX(1,ROUND('Ügyfelek'!N90,0)))))</f>
        <v/>
      </c>
      <c r="O90">
        <f>IF($A90="","",IF('Ügyfelek'!O90="",'Beállítások'!$B$84,MIN(10,MAX(1,ROUND('Ügyfelek'!O90,0)))))</f>
        <v/>
      </c>
      <c r="P90">
        <f>IF($A90="","",IF('Ügyfelek'!P90="",'Beállítások'!$B$84,MIN(10,MAX(1,ROUND('Ügyfelek'!P90,0)))))</f>
        <v/>
      </c>
      <c r="Q90">
        <f>IF($A90="","",IF('Ügyfelek'!Q90="",'Beállítások'!$B$84,MIN(10,MAX(1,ROUND('Ügyfelek'!Q90,0)))))</f>
        <v/>
      </c>
      <c r="R90">
        <f>IF($A90="","",IF('Ügyfelek'!R90="",'Beállítások'!$B$84,MIN(10,MAX(1,ROUND('Ügyfelek'!R90,0)))))</f>
        <v/>
      </c>
      <c r="S90">
        <f>IF($A90="","",IF('Ügyfelek'!S90="",'Beállítások'!$B$84,MIN(10,MAX(1,ROUND('Ügyfelek'!S90,0)))))</f>
        <v/>
      </c>
      <c r="T90">
        <f>IF($A90="","",IF('Ügyfelek'!T90="",'Beállítások'!$B$84,VLOOKUP(MAX('Ügyfelek'!T90,'Beállítások'!$H$7),'Beállítások'!$H$7:$I$12,2,TRUE)))</f>
        <v/>
      </c>
      <c r="U90">
        <f>IF($A90="","",IF('Ügyfelek'!U90="",'Beállítások'!$B$84,VLOOKUP(MAX('Ügyfelek'!U90,'Beállítások'!$K$7),'Beállítások'!$K$7:$L$12,2,TRUE)))</f>
        <v/>
      </c>
      <c r="V90">
        <f>IF($A90="","",IF('Ügyfelek'!V90="",'Beállítások'!$B$84,MIN(10,MAX(1,ROUND('Ügyfelek'!V90,0)))))</f>
        <v/>
      </c>
      <c r="W90">
        <f>IF($A90="","",IF('Ügyfelek'!W90="",'Beállítások'!$B$84,VLOOKUP(MAX('Ügyfelek'!W90,'Beállítások'!$N$7),'Beállítások'!$N$7:$O$12,2,TRUE)))</f>
        <v/>
      </c>
      <c r="X90">
        <f>IF($A90="","",IF('Ügyfelek'!X90="",'Beállítások'!$B$84,MIN(10,MAX(1,ROUND('Ügyfelek'!X90,0)))))</f>
        <v/>
      </c>
      <c r="Y90">
        <f>IF($A90="","",IF('Ügyfelek'!Y90="",'Beállítások'!$B$84,IFERROR(VLOOKUP(TRIM('Ügyfelek'!Y90),'Beállítások'!$A$63:$B$69,2,FALSE),'Beállítások'!$B$84)))</f>
        <v/>
      </c>
      <c r="Z90">
        <f>IF($A90="","",IF('Ügyfelek'!Z90="",'Beállítások'!$B$84,VLOOKUP(MAX('Ügyfelek'!Z90,'Beállítások'!$Q$7),'Beállítások'!$Q$7:$R$12,2,TRUE)))</f>
        <v/>
      </c>
      <c r="AA90">
        <f>IF($A90="","",IF('Ügyfelek'!AA90="",'Beállítások'!$B$84,VLOOKUP(MAX('Ügyfelek'!AA90,'Beállítások'!$T$7),'Beállítások'!$T$7:$U$12,2,TRUE)))</f>
        <v/>
      </c>
      <c r="AB90">
        <f>IF($A90="","",IF('Ügyfelek'!AB90="",'Beállítások'!$B$84,MIN(10,MAX(1,ROUND('Ügyfelek'!AB90,0)))))</f>
        <v/>
      </c>
      <c r="AC90">
        <f>IF($A90="","",IF('Ügyfelek'!AC90="",'Beállítások'!$B$84,MIN(10,MAX(1,ROUND('Ügyfelek'!AC90,0)))))</f>
        <v/>
      </c>
      <c r="AD90">
        <f>IF($A90="","",IF('Ügyfelek'!AD90="",'Beállítások'!$B$84,MIN(10,MAX(1,ROUND('Ügyfelek'!AD90,0)))))</f>
        <v/>
      </c>
      <c r="AE90">
        <f>IF($A90="","",IF('Ügyfelek'!AE90="",'Beállítások'!$B$84,MIN(10,MAX(1,ROUND('Ügyfelek'!AE90,0)))))</f>
        <v/>
      </c>
      <c r="AF90">
        <f>IF($A90="","",IF('Ügyfelek'!AF90="",'Beállítások'!$B$84,MIN(10,MAX(1,ROUND('Ügyfelek'!AF90,0)))))</f>
        <v/>
      </c>
      <c r="AG90">
        <f>IF($A90="","",IF('Ügyfelek'!AG90="",'Beállítások'!$B$84,MIN(10,MAX(1,ROUND('Ügyfelek'!AG90,0)))))</f>
        <v/>
      </c>
      <c r="AH90">
        <f>IF($A90="","",IF('Ügyfelek'!AH90="",'Beállítások'!$B$84,IFERROR(VLOOKUP(TRIM('Ügyfelek'!AH90),'Beállítások'!$A$73:$B$79,2,FALSE),'Beállítások'!$B$84)))</f>
        <v/>
      </c>
      <c r="AI90" s="23">
        <f>IF($A90="","",ROUND(100*('Beállítások'!$E$6*(B90-1)+'Beállítások'!$E$7*(C90-1))/(9*'Beállítások'!$B$43),1))</f>
        <v/>
      </c>
      <c r="AJ90" s="23">
        <f>IF($A90="","",ROUND(100*('Beállítások'!$E$8*(D90-1)+'Beállítások'!$E$9*(E90-1)+'Beállítások'!$E$10*(F90-1)+'Beállítások'!$E$11*(G90-1)+'Beállítások'!$E$12*(H90-1)+'Beállítások'!$E$13*(I90-1)+'Beállítások'!$E$14*(J90-1)+'Beállítások'!$E$15*(K90-1)+'Beállítások'!$E$16*(L90-1)+'Beállítások'!$E$17*(M90-1)+'Beállítások'!$E$18*(N90-1)+'Beállítások'!$E$19*(O90-1)+'Beállítások'!$E$20*(P90-1)+'Beállítások'!$E$21*(Q90-1)+'Beállítások'!$E$22*(R90-1))/(9*'Beállítások'!$B$44),1))</f>
        <v/>
      </c>
      <c r="AK90" s="23">
        <f>IF($A90="","",ROUND(100*('Beállítások'!$E$23*(S90-1)+'Beállítások'!$E$24*(T90-1)+'Beállítások'!$E$25*(U90-1)+'Beállítások'!$E$26*(V90-1)+'Beállítások'!$E$27*(W90-1)+'Beállítások'!$E$28*(X90-1)+'Beállítások'!$E$29*(Y90-1))/(9*'Beállítások'!$B$45),1))</f>
        <v/>
      </c>
      <c r="AL90" s="23">
        <f>IF($A90="","",ROUND(100*('Beállítások'!$E$30*(Z90-1)+'Beállítások'!$E$31*(AA90-1)+'Beállítások'!$E$32*(AB90-1)+'Beállítások'!$E$33*(AC90-1)+'Beállítások'!$E$34*(AD90-1)+'Beállítások'!$E$35*(AE90-1)+'Beállítások'!$E$36*(AF90-1)+'Beállítások'!$E$37*(AG90-1)+'Beállítások'!$E$38*(AH90-1))/(9*'Beállítások'!$B$46),1))</f>
        <v/>
      </c>
      <c r="AM90" s="23">
        <f>IF($A90="","",ROUND(100*('Beállítások'!$E$6*(B90-1)+'Beállítások'!$E$7*(C90-1)+'Beállítások'!$E$8*(D90-1)+'Beállítások'!$E$9*(E90-1)+'Beállítások'!$E$10*(F90-1)+'Beállítások'!$E$11*(G90-1)+'Beállítások'!$E$12*(H90-1)+'Beállítások'!$E$13*(I90-1)+'Beállítások'!$E$14*(J90-1)+'Beállítások'!$E$15*(K90-1)+'Beállítások'!$E$16*(L90-1)+'Beállítások'!$E$17*(M90-1)+'Beállítások'!$E$18*(N90-1)+'Beállítások'!$E$19*(O90-1)+'Beállítások'!$E$20*(P90-1)+'Beállítások'!$E$21*(Q90-1)+'Beállítások'!$E$22*(R90-1)+'Beállítások'!$E$23*(S90-1)+'Beállítások'!$E$24*(T90-1)+'Beállítások'!$E$25*(U90-1)+'Beállítások'!$E$26*(V90-1)+'Beállítások'!$E$27*(W90-1)+'Beállítások'!$E$28*(X90-1)+'Beállítások'!$E$29*(Y90-1)+'Beállítások'!$E$30*(Z90-1)+'Beállítások'!$E$31*(AA90-1)+'Beállítások'!$E$32*(AB90-1)+'Beállítások'!$E$33*(AC90-1)+'Beállítások'!$E$34*(AD90-1)+'Beállítások'!$E$35*(AE90-1)+'Beállítások'!$E$36*(AF90-1)+'Beállítások'!$E$37*(AG90-1)+'Beállítások'!$E$38*(AH90-1))/(9*'Beállítások'!$E$39),1))</f>
        <v/>
      </c>
      <c r="AN90" s="23">
        <f>IF($A90="","",ROUND(100*('Beállítások'!$E$8*(D90-1)+'Beállítások'!$E$9*(E90-1)+'Beállítások'!$E$10*(F90-1)+'Beállítások'!$E$11*(G90-1)+'Beállítások'!$E$12*(H90-1)+'Beállítások'!$E$13*(I90-1)+'Beállítások'!$E$14*(J90-1)+'Beállítások'!$E$15*(K90-1)+'Beállítások'!$E$16*(L90-1)+'Beállítások'!$E$17*(M90-1)+'Beállítások'!$E$18*(N90-1)+'Beállítások'!$E$19*(O90-1)+'Beállítások'!$E$20*(P90-1)+'Beállítások'!$E$21*(Q90-1)+'Beállítások'!$E$22*(R90-1)+'Beállítások'!$E$23*(S90-1)+'Beállítások'!$E$24*(T90-1)+'Beállítások'!$E$25*(U90-1)+'Beállítások'!$E$26*(V90-1)+'Beállítások'!$E$27*(W90-1)+'Beállítások'!$E$28*(X90-1)+'Beállítások'!$E$29*(Y90-1))/(9*('Beállítások'!$B$44+'Beállítások'!$B$45)),1))</f>
        <v/>
      </c>
      <c r="AO90" s="24">
        <f>IF($A90="","",RANK(AM90,$AM$2:$AM$201))</f>
        <v/>
      </c>
      <c r="AP90">
        <f>IF($A90="","",IF(OR(AND('Ügyfelek'!B90&lt;&gt;"",B90&lt;='Beállítások'!$B$85),AND('Ügyfelek'!C90&lt;&gt;"",C90&lt;='Beállítások'!$B$86)),"Igen","Nem"))</f>
        <v/>
      </c>
      <c r="AQ90" s="24">
        <f>IF($A90="","",IF(AP90="Igen",5,IF(AN90&gt;='Beállítások'!$C$108,1,IF(AN90&gt;='Beállítások'!$C$109,2,IF(AN90&gt;='Beállítások'!$C$110,3,IF(AND(AN90&gt;='Beállítások'!$B$87,AI90&gt;='Beállítások'!$B$88,AL90&gt;='Beállítások'!$B$89),4,5))))))</f>
        <v/>
      </c>
      <c r="AR90">
        <f>IF($A90="","",INDEX('Beállítások'!$B$108:$B$112,AQ90))</f>
        <v/>
      </c>
      <c r="AS90">
        <f>IF($A90="","",IF(AQ90=5,"Elutasítjuk",IF(AND(AQ90=4,COUNTIFS('Eredmény'!$AQ$2:$AQ$201,4,'Eredmény'!$DY$2:$DY$201,"&gt;"&amp;DY90)&gt;='Beállítások'!$B$90),"Várólista (a 4-es hely foglalt)","Elfogadjuk")))</f>
        <v/>
      </c>
      <c r="AT90">
        <f>IF($A90="","",INDEX('Beállítások'!$F$108:$F$112,AQ90))</f>
        <v/>
      </c>
      <c r="AU90">
        <f>IF($A90="","",INDEX('Beállítások'!$B$6:$B$38,MATCH(MAX(BK90:CQ90),BK90:CQ90,0)))</f>
        <v/>
      </c>
      <c r="AV90">
        <f>IF($A90="","",IF(MAX(CR90:DX90)=0,"—",INDEX('Beállítások'!$B$6:$B$38,MATCH(MAX(CR90:DX90),CR90:DX90,0))))</f>
        <v/>
      </c>
      <c r="AW90" s="10">
        <f>IF($A90="","",'Beállítások'!$B$94*(TRIM('Ügyfelek'!AI90)="igen")+'Beállítások'!$B$95*(TRIM('Ügyfelek'!AJ90)="igen")+'Beállítások'!$B$96*N('Ügyfelek'!AK90)+'Beállítások'!$B$93*N('Ügyfelek'!AL90))</f>
        <v/>
      </c>
      <c r="AX90" s="25">
        <f>IF(OR($A90="",AQ90=5),"",INDEX('Beállítások'!$D$108:$D$112,AQ90))</f>
        <v/>
      </c>
      <c r="AY90" s="10">
        <f>IF($A90="","",N('Ügyfelek'!U90)*'Beállítások'!$B$98)</f>
        <v/>
      </c>
      <c r="AZ90" s="10">
        <f>IF(OR($A90="",AQ90=5),"",CEILING(ROUND(MAX('Beállítások'!$B$97,AW90*AX90,AY90),2),'Beállítások'!$B$99))</f>
        <v/>
      </c>
      <c r="BA90">
        <f>IF($A90="","",IF(AQ90=5,"Elutasítva",IF(MAX('Beállítások'!$B$97,AW90*AX90,AY90)=AW90*AX90,"Munkaigény × státuszszorzó",IF(MAX('Beállítások'!$B$97,AW90*AX90,AY90)=AY90,"Hirdetési keret arányában","Minimumdíj"))))</f>
        <v/>
      </c>
      <c r="BB90" s="10">
        <f>IF(OR($A90="",'Ügyfelek'!AM90=""),"",'Ügyfelek'!AM90)</f>
        <v/>
      </c>
      <c r="BC90" s="10">
        <f>IF(OR(BB90="",AZ90=""),"",AZ90-BB90)</f>
        <v/>
      </c>
      <c r="BD90" s="18">
        <f>IF(OR(BB90="",AZ90="",BB90=0),"",BC90/BB90)</f>
        <v/>
      </c>
      <c r="BE90">
        <f>IF(OR($A90="",AQ90=5),"",IF(AND(INDEX('Beállítások'!$E$108:$E$112,AQ90)&gt;0,Y90&gt;='Beállítások'!$B$91),"Igen","Nem"))</f>
        <v/>
      </c>
      <c r="BF90" s="10">
        <f>IF(BE90="Igen",CEILING(ROUND(AZ90*(1-'Beállítások'!$B$92),2),'Beállítások'!$B$99),"")</f>
        <v/>
      </c>
      <c r="BG90" s="20">
        <f>IF(BE90="Igen",INDEX('Beállítások'!$E$108:$E$112,AQ90),"")</f>
        <v/>
      </c>
      <c r="BH90" s="10">
        <f>IF(OR(BE90&lt;&gt;"Igen",'Ügyfelek'!AN90=""),"",'Ügyfelek'!AN90*BG90)</f>
        <v/>
      </c>
      <c r="BI90" s="24">
        <f>IF($A90="","",('Ügyfelek'!B90="")+('Ügyfelek'!C90="")+('Ügyfelek'!D90="")+('Ügyfelek'!E90="")+('Ügyfelek'!F90="")+('Ügyfelek'!G90="")+('Ügyfelek'!H90="")+('Ügyfelek'!I90="")+('Ügyfelek'!J90="")+('Ügyfelek'!K90="")+('Ügyfelek'!L90="")+('Ügyfelek'!M90="")+('Ügyfelek'!N90="")+('Ügyfelek'!O90="")+('Ügyfelek'!P90="")+('Ügyfelek'!Q90="")+('Ügyfelek'!R90="")+('Ügyfelek'!S90="")+('Ügyfelek'!T90="")+('Ügyfelek'!U90="")+('Ügyfelek'!V90="")+('Ügyfelek'!W90="")+('Ügyfelek'!X90="")+('Ügyfelek'!Y90="")+('Ügyfelek'!Z90="")+('Ügyfelek'!AA90="")+('Ügyfelek'!AB90="")+('Ügyfelek'!AC90="")+('Ügyfelek'!AD90="")+('Ügyfelek'!AE90="")+('Ügyfelek'!AF90="")+('Ügyfelek'!AG90="")+('Ügyfelek'!AH90=""))</f>
        <v/>
      </c>
      <c r="BK90">
        <f>IF($A90="","",B90+'Beállítások'!$E$6/1000)</f>
        <v/>
      </c>
      <c r="BL90">
        <f>IF($A90="","",C90+'Beállítások'!$E$7/1000)</f>
        <v/>
      </c>
      <c r="BM90">
        <f>IF($A90="","",D90+'Beállítások'!$E$8/1000)</f>
        <v/>
      </c>
      <c r="BN90">
        <f>IF($A90="","",E90+'Beállítások'!$E$9/1000)</f>
        <v/>
      </c>
      <c r="BO90">
        <f>IF($A90="","",F90+'Beállítások'!$E$10/1000)</f>
        <v/>
      </c>
      <c r="BP90">
        <f>IF($A90="","",G90+'Beállítások'!$E$11/1000)</f>
        <v/>
      </c>
      <c r="BQ90">
        <f>IF($A90="","",H90+'Beállítások'!$E$12/1000)</f>
        <v/>
      </c>
      <c r="BR90">
        <f>IF($A90="","",I90+'Beállítások'!$E$13/1000)</f>
        <v/>
      </c>
      <c r="BS90">
        <f>IF($A90="","",J90+'Beállítások'!$E$14/1000)</f>
        <v/>
      </c>
      <c r="BT90">
        <f>IF($A90="","",K90+'Beállítások'!$E$15/1000)</f>
        <v/>
      </c>
      <c r="BU90">
        <f>IF($A90="","",L90+'Beállítások'!$E$16/1000)</f>
        <v/>
      </c>
      <c r="BV90">
        <f>IF($A90="","",M90+'Beállítások'!$E$17/1000)</f>
        <v/>
      </c>
      <c r="BW90">
        <f>IF($A90="","",N90+'Beállítások'!$E$18/1000)</f>
        <v/>
      </c>
      <c r="BX90">
        <f>IF($A90="","",O90+'Beállítások'!$E$19/1000)</f>
        <v/>
      </c>
      <c r="BY90">
        <f>IF($A90="","",P90+'Beállítások'!$E$20/1000)</f>
        <v/>
      </c>
      <c r="BZ90">
        <f>IF($A90="","",Q90+'Beállítások'!$E$21/1000)</f>
        <v/>
      </c>
      <c r="CA90">
        <f>IF($A90="","",R90+'Beállítások'!$E$22/1000)</f>
        <v/>
      </c>
      <c r="CB90">
        <f>IF($A90="","",S90+'Beállítások'!$E$23/1000)</f>
        <v/>
      </c>
      <c r="CC90">
        <f>IF($A90="","",T90+'Beállítások'!$E$24/1000)</f>
        <v/>
      </c>
      <c r="CD90">
        <f>IF($A90="","",U90+'Beállítások'!$E$25/1000)</f>
        <v/>
      </c>
      <c r="CE90">
        <f>IF($A90="","",V90+'Beállítások'!$E$26/1000)</f>
        <v/>
      </c>
      <c r="CF90">
        <f>IF($A90="","",W90+'Beállítások'!$E$27/1000)</f>
        <v/>
      </c>
      <c r="CG90">
        <f>IF($A90="","",X90+'Beállítások'!$E$28/1000)</f>
        <v/>
      </c>
      <c r="CH90">
        <f>IF($A90="","",Y90+'Beállítások'!$E$29/1000)</f>
        <v/>
      </c>
      <c r="CI90">
        <f>IF($A90="","",Z90+'Beállítások'!$E$30/1000)</f>
        <v/>
      </c>
      <c r="CJ90">
        <f>IF($A90="","",AA90+'Beállítások'!$E$31/1000)</f>
        <v/>
      </c>
      <c r="CK90">
        <f>IF($A90="","",AB90+'Beállítások'!$E$32/1000)</f>
        <v/>
      </c>
      <c r="CL90">
        <f>IF($A90="","",AC90+'Beállítások'!$E$33/1000)</f>
        <v/>
      </c>
      <c r="CM90">
        <f>IF($A90="","",AD90+'Beállítások'!$E$34/1000)</f>
        <v/>
      </c>
      <c r="CN90">
        <f>IF($A90="","",AE90+'Beállítások'!$E$35/1000)</f>
        <v/>
      </c>
      <c r="CO90">
        <f>IF($A90="","",AF90+'Beállítások'!$E$36/1000)</f>
        <v/>
      </c>
      <c r="CP90">
        <f>IF($A90="","",AG90+'Beállítások'!$E$37/1000)</f>
        <v/>
      </c>
      <c r="CQ90">
        <f>IF($A90="","",AH90+'Beállítások'!$E$38/1000)</f>
        <v/>
      </c>
      <c r="CR90">
        <f>IF($A90="","",'Beállítások'!$E$6*(10-B90))</f>
        <v/>
      </c>
      <c r="CS90">
        <f>IF($A90="","",'Beállítások'!$E$7*(10-C90))</f>
        <v/>
      </c>
      <c r="CT90">
        <f>IF($A90="","",'Beállítások'!$E$8*(10-D90))</f>
        <v/>
      </c>
      <c r="CU90">
        <f>IF($A90="","",'Beállítások'!$E$9*(10-E90))</f>
        <v/>
      </c>
      <c r="CV90">
        <f>IF($A90="","",'Beállítások'!$E$10*(10-F90))</f>
        <v/>
      </c>
      <c r="CW90">
        <f>IF($A90="","",'Beállítások'!$E$11*(10-G90))</f>
        <v/>
      </c>
      <c r="CX90">
        <f>IF($A90="","",'Beállítások'!$E$12*(10-H90))</f>
        <v/>
      </c>
      <c r="CY90">
        <f>IF($A90="","",'Beállítások'!$E$13*(10-I90))</f>
        <v/>
      </c>
      <c r="CZ90">
        <f>IF($A90="","",'Beállítások'!$E$14*(10-J90))</f>
        <v/>
      </c>
      <c r="DA90">
        <f>IF($A90="","",'Beállítások'!$E$15*(10-K90))</f>
        <v/>
      </c>
      <c r="DB90">
        <f>IF($A90="","",'Beállítások'!$E$16*(10-L90))</f>
        <v/>
      </c>
      <c r="DC90">
        <f>IF($A90="","",'Beállítások'!$E$17*(10-M90))</f>
        <v/>
      </c>
      <c r="DD90">
        <f>IF($A90="","",'Beállítások'!$E$18*(10-N90))</f>
        <v/>
      </c>
      <c r="DE90">
        <f>IF($A90="","",'Beállítások'!$E$19*(10-O90))</f>
        <v/>
      </c>
      <c r="DF90">
        <f>IF($A90="","",'Beállítások'!$E$20*(10-P90))</f>
        <v/>
      </c>
      <c r="DG90">
        <f>IF($A90="","",'Beállítások'!$E$21*(10-Q90))</f>
        <v/>
      </c>
      <c r="DH90">
        <f>IF($A90="","",'Beállítások'!$E$22*(10-R90))</f>
        <v/>
      </c>
      <c r="DI90">
        <f>IF($A90="","",'Beállítások'!$E$23*(10-S90))</f>
        <v/>
      </c>
      <c r="DJ90">
        <f>IF($A90="","",'Beállítások'!$E$24*(10-T90))</f>
        <v/>
      </c>
      <c r="DK90">
        <f>IF($A90="","",'Beállítások'!$E$25*(10-U90))</f>
        <v/>
      </c>
      <c r="DL90">
        <f>IF($A90="","",'Beállítások'!$E$26*(10-V90))</f>
        <v/>
      </c>
      <c r="DM90">
        <f>IF($A90="","",'Beállítások'!$E$27*(10-W90))</f>
        <v/>
      </c>
      <c r="DN90">
        <f>IF($A90="","",'Beállítások'!$E$28*(10-X90))</f>
        <v/>
      </c>
      <c r="DO90">
        <f>IF($A90="","",'Beállítások'!$E$29*(10-Y90))</f>
        <v/>
      </c>
      <c r="DP90">
        <f>IF($A90="","",'Beállítások'!$E$30*(10-Z90))</f>
        <v/>
      </c>
      <c r="DQ90">
        <f>IF($A90="","",'Beállítások'!$E$31*(10-AA90))</f>
        <v/>
      </c>
      <c r="DR90">
        <f>IF($A90="","",'Beállítások'!$E$32*(10-AB90))</f>
        <v/>
      </c>
      <c r="DS90">
        <f>IF($A90="","",'Beállítások'!$E$33*(10-AC90))</f>
        <v/>
      </c>
      <c r="DT90">
        <f>IF($A90="","",'Beállítások'!$E$34*(10-AD90))</f>
        <v/>
      </c>
      <c r="DU90">
        <f>IF($A90="","",'Beállítások'!$E$35*(10-AE90))</f>
        <v/>
      </c>
      <c r="DV90">
        <f>IF($A90="","",'Beállítások'!$E$36*(10-AF90))</f>
        <v/>
      </c>
      <c r="DW90">
        <f>IF($A90="","",'Beállítások'!$E$37*(10-AG90))</f>
        <v/>
      </c>
      <c r="DX90">
        <f>IF($A90="","",'Beállítások'!$E$38*(10-AH90))</f>
        <v/>
      </c>
      <c r="DY90">
        <f>IF($A90="","",AM90-ROW()/100000)</f>
        <v/>
      </c>
    </row>
    <row r="91">
      <c r="A91">
        <f>IF('Ügyfelek'!A91="","",'Ügyfelek'!A91)</f>
        <v/>
      </c>
      <c r="B91">
        <f>IF($A91="","",IF('Ügyfelek'!B91="",'Beállítások'!$B$84,IFERROR(VLOOKUP(TRIM('Ügyfelek'!B91),'Beállítások'!$A$51:$B$59,2,FALSE),'Beállítások'!$B$84)))</f>
        <v/>
      </c>
      <c r="C91">
        <f>IF($A91="","",IF('Ügyfelek'!C91="",'Beállítások'!$B$84,MIN(10,MAX(1,ROUND('Ügyfelek'!C91,0)))))</f>
        <v/>
      </c>
      <c r="D91">
        <f>IF($A91="","",IF('Ügyfelek'!D91="",'Beállítások'!$B$84,MIN(10,MAX(1,ROUND('Ügyfelek'!D91,0)))))</f>
        <v/>
      </c>
      <c r="E91">
        <f>IF($A91="","",IF('Ügyfelek'!E91="",'Beállítások'!$B$84,MIN(10,MAX(1,ROUND('Ügyfelek'!E91,0)))))</f>
        <v/>
      </c>
      <c r="F91">
        <f>IF($A91="","",IF('Ügyfelek'!F91="",'Beállítások'!$B$84,MIN(10,MAX(1,ROUND('Ügyfelek'!F91,0)))))</f>
        <v/>
      </c>
      <c r="G91">
        <f>IF($A91="","",IF('Ügyfelek'!G91="",'Beállítások'!$B$84,MIN(10,MAX(1,ROUND('Ügyfelek'!G91,0)))))</f>
        <v/>
      </c>
      <c r="H91">
        <f>IF($A91="","",IF('Ügyfelek'!H91="",'Beállítások'!$B$84,MIN(10,MAX(1,ROUND('Ügyfelek'!H91,0)))))</f>
        <v/>
      </c>
      <c r="I91">
        <f>IF($A91="","",IF('Ügyfelek'!I91="",'Beállítások'!$B$84,MIN(10,MAX(1,ROUND('Ügyfelek'!I91,0)))))</f>
        <v/>
      </c>
      <c r="J91">
        <f>IF($A91="","",IF('Ügyfelek'!J91="",'Beállítások'!$B$84,MIN(10,MAX(1,ROUND('Ügyfelek'!J91,0)))))</f>
        <v/>
      </c>
      <c r="K91">
        <f>IF($A91="","",IF('Ügyfelek'!K91="",'Beállítások'!$B$84,MIN(10,MAX(1,ROUND('Ügyfelek'!K91,0)))))</f>
        <v/>
      </c>
      <c r="L91">
        <f>IF($A91="","",IF('Ügyfelek'!L91="",'Beállítások'!$B$84,MIN(10,MAX(1,ROUND('Ügyfelek'!L91,0)))))</f>
        <v/>
      </c>
      <c r="M91">
        <f>IF($A91="","",IF('Ügyfelek'!M91="",'Beállítások'!$B$84,MIN(10,MAX(1,ROUND('Ügyfelek'!M91,0)))))</f>
        <v/>
      </c>
      <c r="N91">
        <f>IF($A91="","",IF('Ügyfelek'!N91="",'Beállítások'!$B$84,MIN(10,MAX(1,ROUND('Ügyfelek'!N91,0)))))</f>
        <v/>
      </c>
      <c r="O91">
        <f>IF($A91="","",IF('Ügyfelek'!O91="",'Beállítások'!$B$84,MIN(10,MAX(1,ROUND('Ügyfelek'!O91,0)))))</f>
        <v/>
      </c>
      <c r="P91">
        <f>IF($A91="","",IF('Ügyfelek'!P91="",'Beállítások'!$B$84,MIN(10,MAX(1,ROUND('Ügyfelek'!P91,0)))))</f>
        <v/>
      </c>
      <c r="Q91">
        <f>IF($A91="","",IF('Ügyfelek'!Q91="",'Beállítások'!$B$84,MIN(10,MAX(1,ROUND('Ügyfelek'!Q91,0)))))</f>
        <v/>
      </c>
      <c r="R91">
        <f>IF($A91="","",IF('Ügyfelek'!R91="",'Beállítások'!$B$84,MIN(10,MAX(1,ROUND('Ügyfelek'!R91,0)))))</f>
        <v/>
      </c>
      <c r="S91">
        <f>IF($A91="","",IF('Ügyfelek'!S91="",'Beállítások'!$B$84,MIN(10,MAX(1,ROUND('Ügyfelek'!S91,0)))))</f>
        <v/>
      </c>
      <c r="T91">
        <f>IF($A91="","",IF('Ügyfelek'!T91="",'Beállítások'!$B$84,VLOOKUP(MAX('Ügyfelek'!T91,'Beállítások'!$H$7),'Beállítások'!$H$7:$I$12,2,TRUE)))</f>
        <v/>
      </c>
      <c r="U91">
        <f>IF($A91="","",IF('Ügyfelek'!U91="",'Beállítások'!$B$84,VLOOKUP(MAX('Ügyfelek'!U91,'Beállítások'!$K$7),'Beállítások'!$K$7:$L$12,2,TRUE)))</f>
        <v/>
      </c>
      <c r="V91">
        <f>IF($A91="","",IF('Ügyfelek'!V91="",'Beállítások'!$B$84,MIN(10,MAX(1,ROUND('Ügyfelek'!V91,0)))))</f>
        <v/>
      </c>
      <c r="W91">
        <f>IF($A91="","",IF('Ügyfelek'!W91="",'Beállítások'!$B$84,VLOOKUP(MAX('Ügyfelek'!W91,'Beállítások'!$N$7),'Beállítások'!$N$7:$O$12,2,TRUE)))</f>
        <v/>
      </c>
      <c r="X91">
        <f>IF($A91="","",IF('Ügyfelek'!X91="",'Beállítások'!$B$84,MIN(10,MAX(1,ROUND('Ügyfelek'!X91,0)))))</f>
        <v/>
      </c>
      <c r="Y91">
        <f>IF($A91="","",IF('Ügyfelek'!Y91="",'Beállítások'!$B$84,IFERROR(VLOOKUP(TRIM('Ügyfelek'!Y91),'Beállítások'!$A$63:$B$69,2,FALSE),'Beállítások'!$B$84)))</f>
        <v/>
      </c>
      <c r="Z91">
        <f>IF($A91="","",IF('Ügyfelek'!Z91="",'Beállítások'!$B$84,VLOOKUP(MAX('Ügyfelek'!Z91,'Beállítások'!$Q$7),'Beállítások'!$Q$7:$R$12,2,TRUE)))</f>
        <v/>
      </c>
      <c r="AA91">
        <f>IF($A91="","",IF('Ügyfelek'!AA91="",'Beállítások'!$B$84,VLOOKUP(MAX('Ügyfelek'!AA91,'Beállítások'!$T$7),'Beállítások'!$T$7:$U$12,2,TRUE)))</f>
        <v/>
      </c>
      <c r="AB91">
        <f>IF($A91="","",IF('Ügyfelek'!AB91="",'Beállítások'!$B$84,MIN(10,MAX(1,ROUND('Ügyfelek'!AB91,0)))))</f>
        <v/>
      </c>
      <c r="AC91">
        <f>IF($A91="","",IF('Ügyfelek'!AC91="",'Beállítások'!$B$84,MIN(10,MAX(1,ROUND('Ügyfelek'!AC91,0)))))</f>
        <v/>
      </c>
      <c r="AD91">
        <f>IF($A91="","",IF('Ügyfelek'!AD91="",'Beállítások'!$B$84,MIN(10,MAX(1,ROUND('Ügyfelek'!AD91,0)))))</f>
        <v/>
      </c>
      <c r="AE91">
        <f>IF($A91="","",IF('Ügyfelek'!AE91="",'Beállítások'!$B$84,MIN(10,MAX(1,ROUND('Ügyfelek'!AE91,0)))))</f>
        <v/>
      </c>
      <c r="AF91">
        <f>IF($A91="","",IF('Ügyfelek'!AF91="",'Beállítások'!$B$84,MIN(10,MAX(1,ROUND('Ügyfelek'!AF91,0)))))</f>
        <v/>
      </c>
      <c r="AG91">
        <f>IF($A91="","",IF('Ügyfelek'!AG91="",'Beállítások'!$B$84,MIN(10,MAX(1,ROUND('Ügyfelek'!AG91,0)))))</f>
        <v/>
      </c>
      <c r="AH91">
        <f>IF($A91="","",IF('Ügyfelek'!AH91="",'Beállítások'!$B$84,IFERROR(VLOOKUP(TRIM('Ügyfelek'!AH91),'Beállítások'!$A$73:$B$79,2,FALSE),'Beállítások'!$B$84)))</f>
        <v/>
      </c>
      <c r="AI91" s="23">
        <f>IF($A91="","",ROUND(100*('Beállítások'!$E$6*(B91-1)+'Beállítások'!$E$7*(C91-1))/(9*'Beállítások'!$B$43),1))</f>
        <v/>
      </c>
      <c r="AJ91" s="23">
        <f>IF($A91="","",ROUND(100*('Beállítások'!$E$8*(D91-1)+'Beállítások'!$E$9*(E91-1)+'Beállítások'!$E$10*(F91-1)+'Beállítások'!$E$11*(G91-1)+'Beállítások'!$E$12*(H91-1)+'Beállítások'!$E$13*(I91-1)+'Beállítások'!$E$14*(J91-1)+'Beállítások'!$E$15*(K91-1)+'Beállítások'!$E$16*(L91-1)+'Beállítások'!$E$17*(M91-1)+'Beállítások'!$E$18*(N91-1)+'Beállítások'!$E$19*(O91-1)+'Beállítások'!$E$20*(P91-1)+'Beállítások'!$E$21*(Q91-1)+'Beállítások'!$E$22*(R91-1))/(9*'Beállítások'!$B$44),1))</f>
        <v/>
      </c>
      <c r="AK91" s="23">
        <f>IF($A91="","",ROUND(100*('Beállítások'!$E$23*(S91-1)+'Beállítások'!$E$24*(T91-1)+'Beállítások'!$E$25*(U91-1)+'Beállítások'!$E$26*(V91-1)+'Beállítások'!$E$27*(W91-1)+'Beállítások'!$E$28*(X91-1)+'Beállítások'!$E$29*(Y91-1))/(9*'Beállítások'!$B$45),1))</f>
        <v/>
      </c>
      <c r="AL91" s="23">
        <f>IF($A91="","",ROUND(100*('Beállítások'!$E$30*(Z91-1)+'Beállítások'!$E$31*(AA91-1)+'Beállítások'!$E$32*(AB91-1)+'Beállítások'!$E$33*(AC91-1)+'Beállítások'!$E$34*(AD91-1)+'Beállítások'!$E$35*(AE91-1)+'Beállítások'!$E$36*(AF91-1)+'Beállítások'!$E$37*(AG91-1)+'Beállítások'!$E$38*(AH91-1))/(9*'Beállítások'!$B$46),1))</f>
        <v/>
      </c>
      <c r="AM91" s="23">
        <f>IF($A91="","",ROUND(100*('Beállítások'!$E$6*(B91-1)+'Beállítások'!$E$7*(C91-1)+'Beállítások'!$E$8*(D91-1)+'Beállítások'!$E$9*(E91-1)+'Beállítások'!$E$10*(F91-1)+'Beállítások'!$E$11*(G91-1)+'Beállítások'!$E$12*(H91-1)+'Beállítások'!$E$13*(I91-1)+'Beállítások'!$E$14*(J91-1)+'Beállítások'!$E$15*(K91-1)+'Beállítások'!$E$16*(L91-1)+'Beállítások'!$E$17*(M91-1)+'Beállítások'!$E$18*(N91-1)+'Beállítások'!$E$19*(O91-1)+'Beállítások'!$E$20*(P91-1)+'Beállítások'!$E$21*(Q91-1)+'Beállítások'!$E$22*(R91-1)+'Beállítások'!$E$23*(S91-1)+'Beállítások'!$E$24*(T91-1)+'Beállítások'!$E$25*(U91-1)+'Beállítások'!$E$26*(V91-1)+'Beállítások'!$E$27*(W91-1)+'Beállítások'!$E$28*(X91-1)+'Beállítások'!$E$29*(Y91-1)+'Beállítások'!$E$30*(Z91-1)+'Beállítások'!$E$31*(AA91-1)+'Beállítások'!$E$32*(AB91-1)+'Beállítások'!$E$33*(AC91-1)+'Beállítások'!$E$34*(AD91-1)+'Beállítások'!$E$35*(AE91-1)+'Beállítások'!$E$36*(AF91-1)+'Beállítások'!$E$37*(AG91-1)+'Beállítások'!$E$38*(AH91-1))/(9*'Beállítások'!$E$39),1))</f>
        <v/>
      </c>
      <c r="AN91" s="23">
        <f>IF($A91="","",ROUND(100*('Beállítások'!$E$8*(D91-1)+'Beállítások'!$E$9*(E91-1)+'Beállítások'!$E$10*(F91-1)+'Beállítások'!$E$11*(G91-1)+'Beállítások'!$E$12*(H91-1)+'Beállítások'!$E$13*(I91-1)+'Beállítások'!$E$14*(J91-1)+'Beállítások'!$E$15*(K91-1)+'Beállítások'!$E$16*(L91-1)+'Beállítások'!$E$17*(M91-1)+'Beállítások'!$E$18*(N91-1)+'Beállítások'!$E$19*(O91-1)+'Beállítások'!$E$20*(P91-1)+'Beállítások'!$E$21*(Q91-1)+'Beállítások'!$E$22*(R91-1)+'Beállítások'!$E$23*(S91-1)+'Beállítások'!$E$24*(T91-1)+'Beállítások'!$E$25*(U91-1)+'Beállítások'!$E$26*(V91-1)+'Beállítások'!$E$27*(W91-1)+'Beállítások'!$E$28*(X91-1)+'Beállítások'!$E$29*(Y91-1))/(9*('Beállítások'!$B$44+'Beállítások'!$B$45)),1))</f>
        <v/>
      </c>
      <c r="AO91" s="24">
        <f>IF($A91="","",RANK(AM91,$AM$2:$AM$201))</f>
        <v/>
      </c>
      <c r="AP91">
        <f>IF($A91="","",IF(OR(AND('Ügyfelek'!B91&lt;&gt;"",B91&lt;='Beállítások'!$B$85),AND('Ügyfelek'!C91&lt;&gt;"",C91&lt;='Beállítások'!$B$86)),"Igen","Nem"))</f>
        <v/>
      </c>
      <c r="AQ91" s="24">
        <f>IF($A91="","",IF(AP91="Igen",5,IF(AN91&gt;='Beállítások'!$C$108,1,IF(AN91&gt;='Beállítások'!$C$109,2,IF(AN91&gt;='Beállítások'!$C$110,3,IF(AND(AN91&gt;='Beállítások'!$B$87,AI91&gt;='Beállítások'!$B$88,AL91&gt;='Beállítások'!$B$89),4,5))))))</f>
        <v/>
      </c>
      <c r="AR91">
        <f>IF($A91="","",INDEX('Beállítások'!$B$108:$B$112,AQ91))</f>
        <v/>
      </c>
      <c r="AS91">
        <f>IF($A91="","",IF(AQ91=5,"Elutasítjuk",IF(AND(AQ91=4,COUNTIFS('Eredmény'!$AQ$2:$AQ$201,4,'Eredmény'!$DY$2:$DY$201,"&gt;"&amp;DY91)&gt;='Beállítások'!$B$90),"Várólista (a 4-es hely foglalt)","Elfogadjuk")))</f>
        <v/>
      </c>
      <c r="AT91">
        <f>IF($A91="","",INDEX('Beállítások'!$F$108:$F$112,AQ91))</f>
        <v/>
      </c>
      <c r="AU91">
        <f>IF($A91="","",INDEX('Beállítások'!$B$6:$B$38,MATCH(MAX(BK91:CQ91),BK91:CQ91,0)))</f>
        <v/>
      </c>
      <c r="AV91">
        <f>IF($A91="","",IF(MAX(CR91:DX91)=0,"—",INDEX('Beállítások'!$B$6:$B$38,MATCH(MAX(CR91:DX91),CR91:DX91,0))))</f>
        <v/>
      </c>
      <c r="AW91" s="10">
        <f>IF($A91="","",'Beállítások'!$B$94*(TRIM('Ügyfelek'!AI91)="igen")+'Beállítások'!$B$95*(TRIM('Ügyfelek'!AJ91)="igen")+'Beállítások'!$B$96*N('Ügyfelek'!AK91)+'Beállítások'!$B$93*N('Ügyfelek'!AL91))</f>
        <v/>
      </c>
      <c r="AX91" s="25">
        <f>IF(OR($A91="",AQ91=5),"",INDEX('Beállítások'!$D$108:$D$112,AQ91))</f>
        <v/>
      </c>
      <c r="AY91" s="10">
        <f>IF($A91="","",N('Ügyfelek'!U91)*'Beállítások'!$B$98)</f>
        <v/>
      </c>
      <c r="AZ91" s="10">
        <f>IF(OR($A91="",AQ91=5),"",CEILING(ROUND(MAX('Beállítások'!$B$97,AW91*AX91,AY91),2),'Beállítások'!$B$99))</f>
        <v/>
      </c>
      <c r="BA91">
        <f>IF($A91="","",IF(AQ91=5,"Elutasítva",IF(MAX('Beállítások'!$B$97,AW91*AX91,AY91)=AW91*AX91,"Munkaigény × státuszszorzó",IF(MAX('Beállítások'!$B$97,AW91*AX91,AY91)=AY91,"Hirdetési keret arányában","Minimumdíj"))))</f>
        <v/>
      </c>
      <c r="BB91" s="10">
        <f>IF(OR($A91="",'Ügyfelek'!AM91=""),"",'Ügyfelek'!AM91)</f>
        <v/>
      </c>
      <c r="BC91" s="10">
        <f>IF(OR(BB91="",AZ91=""),"",AZ91-BB91)</f>
        <v/>
      </c>
      <c r="BD91" s="18">
        <f>IF(OR(BB91="",AZ91="",BB91=0),"",BC91/BB91)</f>
        <v/>
      </c>
      <c r="BE91">
        <f>IF(OR($A91="",AQ91=5),"",IF(AND(INDEX('Beállítások'!$E$108:$E$112,AQ91)&gt;0,Y91&gt;='Beállítások'!$B$91),"Igen","Nem"))</f>
        <v/>
      </c>
      <c r="BF91" s="10">
        <f>IF(BE91="Igen",CEILING(ROUND(AZ91*(1-'Beállítások'!$B$92),2),'Beállítások'!$B$99),"")</f>
        <v/>
      </c>
      <c r="BG91" s="20">
        <f>IF(BE91="Igen",INDEX('Beállítások'!$E$108:$E$112,AQ91),"")</f>
        <v/>
      </c>
      <c r="BH91" s="10">
        <f>IF(OR(BE91&lt;&gt;"Igen",'Ügyfelek'!AN91=""),"",'Ügyfelek'!AN91*BG91)</f>
        <v/>
      </c>
      <c r="BI91" s="24">
        <f>IF($A91="","",('Ügyfelek'!B91="")+('Ügyfelek'!C91="")+('Ügyfelek'!D91="")+('Ügyfelek'!E91="")+('Ügyfelek'!F91="")+('Ügyfelek'!G91="")+('Ügyfelek'!H91="")+('Ügyfelek'!I91="")+('Ügyfelek'!J91="")+('Ügyfelek'!K91="")+('Ügyfelek'!L91="")+('Ügyfelek'!M91="")+('Ügyfelek'!N91="")+('Ügyfelek'!O91="")+('Ügyfelek'!P91="")+('Ügyfelek'!Q91="")+('Ügyfelek'!R91="")+('Ügyfelek'!S91="")+('Ügyfelek'!T91="")+('Ügyfelek'!U91="")+('Ügyfelek'!V91="")+('Ügyfelek'!W91="")+('Ügyfelek'!X91="")+('Ügyfelek'!Y91="")+('Ügyfelek'!Z91="")+('Ügyfelek'!AA91="")+('Ügyfelek'!AB91="")+('Ügyfelek'!AC91="")+('Ügyfelek'!AD91="")+('Ügyfelek'!AE91="")+('Ügyfelek'!AF91="")+('Ügyfelek'!AG91="")+('Ügyfelek'!AH91=""))</f>
        <v/>
      </c>
      <c r="BK91">
        <f>IF($A91="","",B91+'Beállítások'!$E$6/1000)</f>
        <v/>
      </c>
      <c r="BL91">
        <f>IF($A91="","",C91+'Beállítások'!$E$7/1000)</f>
        <v/>
      </c>
      <c r="BM91">
        <f>IF($A91="","",D91+'Beállítások'!$E$8/1000)</f>
        <v/>
      </c>
      <c r="BN91">
        <f>IF($A91="","",E91+'Beállítások'!$E$9/1000)</f>
        <v/>
      </c>
      <c r="BO91">
        <f>IF($A91="","",F91+'Beállítások'!$E$10/1000)</f>
        <v/>
      </c>
      <c r="BP91">
        <f>IF($A91="","",G91+'Beállítások'!$E$11/1000)</f>
        <v/>
      </c>
      <c r="BQ91">
        <f>IF($A91="","",H91+'Beállítások'!$E$12/1000)</f>
        <v/>
      </c>
      <c r="BR91">
        <f>IF($A91="","",I91+'Beállítások'!$E$13/1000)</f>
        <v/>
      </c>
      <c r="BS91">
        <f>IF($A91="","",J91+'Beállítások'!$E$14/1000)</f>
        <v/>
      </c>
      <c r="BT91">
        <f>IF($A91="","",K91+'Beállítások'!$E$15/1000)</f>
        <v/>
      </c>
      <c r="BU91">
        <f>IF($A91="","",L91+'Beállítások'!$E$16/1000)</f>
        <v/>
      </c>
      <c r="BV91">
        <f>IF($A91="","",M91+'Beállítások'!$E$17/1000)</f>
        <v/>
      </c>
      <c r="BW91">
        <f>IF($A91="","",N91+'Beállítások'!$E$18/1000)</f>
        <v/>
      </c>
      <c r="BX91">
        <f>IF($A91="","",O91+'Beállítások'!$E$19/1000)</f>
        <v/>
      </c>
      <c r="BY91">
        <f>IF($A91="","",P91+'Beállítások'!$E$20/1000)</f>
        <v/>
      </c>
      <c r="BZ91">
        <f>IF($A91="","",Q91+'Beállítások'!$E$21/1000)</f>
        <v/>
      </c>
      <c r="CA91">
        <f>IF($A91="","",R91+'Beállítások'!$E$22/1000)</f>
        <v/>
      </c>
      <c r="CB91">
        <f>IF($A91="","",S91+'Beállítások'!$E$23/1000)</f>
        <v/>
      </c>
      <c r="CC91">
        <f>IF($A91="","",T91+'Beállítások'!$E$24/1000)</f>
        <v/>
      </c>
      <c r="CD91">
        <f>IF($A91="","",U91+'Beállítások'!$E$25/1000)</f>
        <v/>
      </c>
      <c r="CE91">
        <f>IF($A91="","",V91+'Beállítások'!$E$26/1000)</f>
        <v/>
      </c>
      <c r="CF91">
        <f>IF($A91="","",W91+'Beállítások'!$E$27/1000)</f>
        <v/>
      </c>
      <c r="CG91">
        <f>IF($A91="","",X91+'Beállítások'!$E$28/1000)</f>
        <v/>
      </c>
      <c r="CH91">
        <f>IF($A91="","",Y91+'Beállítások'!$E$29/1000)</f>
        <v/>
      </c>
      <c r="CI91">
        <f>IF($A91="","",Z91+'Beállítások'!$E$30/1000)</f>
        <v/>
      </c>
      <c r="CJ91">
        <f>IF($A91="","",AA91+'Beállítások'!$E$31/1000)</f>
        <v/>
      </c>
      <c r="CK91">
        <f>IF($A91="","",AB91+'Beállítások'!$E$32/1000)</f>
        <v/>
      </c>
      <c r="CL91">
        <f>IF($A91="","",AC91+'Beállítások'!$E$33/1000)</f>
        <v/>
      </c>
      <c r="CM91">
        <f>IF($A91="","",AD91+'Beállítások'!$E$34/1000)</f>
        <v/>
      </c>
      <c r="CN91">
        <f>IF($A91="","",AE91+'Beállítások'!$E$35/1000)</f>
        <v/>
      </c>
      <c r="CO91">
        <f>IF($A91="","",AF91+'Beállítások'!$E$36/1000)</f>
        <v/>
      </c>
      <c r="CP91">
        <f>IF($A91="","",AG91+'Beállítások'!$E$37/1000)</f>
        <v/>
      </c>
      <c r="CQ91">
        <f>IF($A91="","",AH91+'Beállítások'!$E$38/1000)</f>
        <v/>
      </c>
      <c r="CR91">
        <f>IF($A91="","",'Beállítások'!$E$6*(10-B91))</f>
        <v/>
      </c>
      <c r="CS91">
        <f>IF($A91="","",'Beállítások'!$E$7*(10-C91))</f>
        <v/>
      </c>
      <c r="CT91">
        <f>IF($A91="","",'Beállítások'!$E$8*(10-D91))</f>
        <v/>
      </c>
      <c r="CU91">
        <f>IF($A91="","",'Beállítások'!$E$9*(10-E91))</f>
        <v/>
      </c>
      <c r="CV91">
        <f>IF($A91="","",'Beállítások'!$E$10*(10-F91))</f>
        <v/>
      </c>
      <c r="CW91">
        <f>IF($A91="","",'Beállítások'!$E$11*(10-G91))</f>
        <v/>
      </c>
      <c r="CX91">
        <f>IF($A91="","",'Beállítások'!$E$12*(10-H91))</f>
        <v/>
      </c>
      <c r="CY91">
        <f>IF($A91="","",'Beállítások'!$E$13*(10-I91))</f>
        <v/>
      </c>
      <c r="CZ91">
        <f>IF($A91="","",'Beállítások'!$E$14*(10-J91))</f>
        <v/>
      </c>
      <c r="DA91">
        <f>IF($A91="","",'Beállítások'!$E$15*(10-K91))</f>
        <v/>
      </c>
      <c r="DB91">
        <f>IF($A91="","",'Beállítások'!$E$16*(10-L91))</f>
        <v/>
      </c>
      <c r="DC91">
        <f>IF($A91="","",'Beállítások'!$E$17*(10-M91))</f>
        <v/>
      </c>
      <c r="DD91">
        <f>IF($A91="","",'Beállítások'!$E$18*(10-N91))</f>
        <v/>
      </c>
      <c r="DE91">
        <f>IF($A91="","",'Beállítások'!$E$19*(10-O91))</f>
        <v/>
      </c>
      <c r="DF91">
        <f>IF($A91="","",'Beállítások'!$E$20*(10-P91))</f>
        <v/>
      </c>
      <c r="DG91">
        <f>IF($A91="","",'Beállítások'!$E$21*(10-Q91))</f>
        <v/>
      </c>
      <c r="DH91">
        <f>IF($A91="","",'Beállítások'!$E$22*(10-R91))</f>
        <v/>
      </c>
      <c r="DI91">
        <f>IF($A91="","",'Beállítások'!$E$23*(10-S91))</f>
        <v/>
      </c>
      <c r="DJ91">
        <f>IF($A91="","",'Beállítások'!$E$24*(10-T91))</f>
        <v/>
      </c>
      <c r="DK91">
        <f>IF($A91="","",'Beállítások'!$E$25*(10-U91))</f>
        <v/>
      </c>
      <c r="DL91">
        <f>IF($A91="","",'Beállítások'!$E$26*(10-V91))</f>
        <v/>
      </c>
      <c r="DM91">
        <f>IF($A91="","",'Beállítások'!$E$27*(10-W91))</f>
        <v/>
      </c>
      <c r="DN91">
        <f>IF($A91="","",'Beállítások'!$E$28*(10-X91))</f>
        <v/>
      </c>
      <c r="DO91">
        <f>IF($A91="","",'Beállítások'!$E$29*(10-Y91))</f>
        <v/>
      </c>
      <c r="DP91">
        <f>IF($A91="","",'Beállítások'!$E$30*(10-Z91))</f>
        <v/>
      </c>
      <c r="DQ91">
        <f>IF($A91="","",'Beállítások'!$E$31*(10-AA91))</f>
        <v/>
      </c>
      <c r="DR91">
        <f>IF($A91="","",'Beállítások'!$E$32*(10-AB91))</f>
        <v/>
      </c>
      <c r="DS91">
        <f>IF($A91="","",'Beállítások'!$E$33*(10-AC91))</f>
        <v/>
      </c>
      <c r="DT91">
        <f>IF($A91="","",'Beállítások'!$E$34*(10-AD91))</f>
        <v/>
      </c>
      <c r="DU91">
        <f>IF($A91="","",'Beállítások'!$E$35*(10-AE91))</f>
        <v/>
      </c>
      <c r="DV91">
        <f>IF($A91="","",'Beállítások'!$E$36*(10-AF91))</f>
        <v/>
      </c>
      <c r="DW91">
        <f>IF($A91="","",'Beállítások'!$E$37*(10-AG91))</f>
        <v/>
      </c>
      <c r="DX91">
        <f>IF($A91="","",'Beállítások'!$E$38*(10-AH91))</f>
        <v/>
      </c>
      <c r="DY91">
        <f>IF($A91="","",AM91-ROW()/100000)</f>
        <v/>
      </c>
    </row>
    <row r="92">
      <c r="A92">
        <f>IF('Ügyfelek'!A92="","",'Ügyfelek'!A92)</f>
        <v/>
      </c>
      <c r="B92">
        <f>IF($A92="","",IF('Ügyfelek'!B92="",'Beállítások'!$B$84,IFERROR(VLOOKUP(TRIM('Ügyfelek'!B92),'Beállítások'!$A$51:$B$59,2,FALSE),'Beállítások'!$B$84)))</f>
        <v/>
      </c>
      <c r="C92">
        <f>IF($A92="","",IF('Ügyfelek'!C92="",'Beállítások'!$B$84,MIN(10,MAX(1,ROUND('Ügyfelek'!C92,0)))))</f>
        <v/>
      </c>
      <c r="D92">
        <f>IF($A92="","",IF('Ügyfelek'!D92="",'Beállítások'!$B$84,MIN(10,MAX(1,ROUND('Ügyfelek'!D92,0)))))</f>
        <v/>
      </c>
      <c r="E92">
        <f>IF($A92="","",IF('Ügyfelek'!E92="",'Beállítások'!$B$84,MIN(10,MAX(1,ROUND('Ügyfelek'!E92,0)))))</f>
        <v/>
      </c>
      <c r="F92">
        <f>IF($A92="","",IF('Ügyfelek'!F92="",'Beállítások'!$B$84,MIN(10,MAX(1,ROUND('Ügyfelek'!F92,0)))))</f>
        <v/>
      </c>
      <c r="G92">
        <f>IF($A92="","",IF('Ügyfelek'!G92="",'Beállítások'!$B$84,MIN(10,MAX(1,ROUND('Ügyfelek'!G92,0)))))</f>
        <v/>
      </c>
      <c r="H92">
        <f>IF($A92="","",IF('Ügyfelek'!H92="",'Beállítások'!$B$84,MIN(10,MAX(1,ROUND('Ügyfelek'!H92,0)))))</f>
        <v/>
      </c>
      <c r="I92">
        <f>IF($A92="","",IF('Ügyfelek'!I92="",'Beállítások'!$B$84,MIN(10,MAX(1,ROUND('Ügyfelek'!I92,0)))))</f>
        <v/>
      </c>
      <c r="J92">
        <f>IF($A92="","",IF('Ügyfelek'!J92="",'Beállítások'!$B$84,MIN(10,MAX(1,ROUND('Ügyfelek'!J92,0)))))</f>
        <v/>
      </c>
      <c r="K92">
        <f>IF($A92="","",IF('Ügyfelek'!K92="",'Beállítások'!$B$84,MIN(10,MAX(1,ROUND('Ügyfelek'!K92,0)))))</f>
        <v/>
      </c>
      <c r="L92">
        <f>IF($A92="","",IF('Ügyfelek'!L92="",'Beállítások'!$B$84,MIN(10,MAX(1,ROUND('Ügyfelek'!L92,0)))))</f>
        <v/>
      </c>
      <c r="M92">
        <f>IF($A92="","",IF('Ügyfelek'!M92="",'Beállítások'!$B$84,MIN(10,MAX(1,ROUND('Ügyfelek'!M92,0)))))</f>
        <v/>
      </c>
      <c r="N92">
        <f>IF($A92="","",IF('Ügyfelek'!N92="",'Beállítások'!$B$84,MIN(10,MAX(1,ROUND('Ügyfelek'!N92,0)))))</f>
        <v/>
      </c>
      <c r="O92">
        <f>IF($A92="","",IF('Ügyfelek'!O92="",'Beállítások'!$B$84,MIN(10,MAX(1,ROUND('Ügyfelek'!O92,0)))))</f>
        <v/>
      </c>
      <c r="P92">
        <f>IF($A92="","",IF('Ügyfelek'!P92="",'Beállítások'!$B$84,MIN(10,MAX(1,ROUND('Ügyfelek'!P92,0)))))</f>
        <v/>
      </c>
      <c r="Q92">
        <f>IF($A92="","",IF('Ügyfelek'!Q92="",'Beállítások'!$B$84,MIN(10,MAX(1,ROUND('Ügyfelek'!Q92,0)))))</f>
        <v/>
      </c>
      <c r="R92">
        <f>IF($A92="","",IF('Ügyfelek'!R92="",'Beállítások'!$B$84,MIN(10,MAX(1,ROUND('Ügyfelek'!R92,0)))))</f>
        <v/>
      </c>
      <c r="S92">
        <f>IF($A92="","",IF('Ügyfelek'!S92="",'Beállítások'!$B$84,MIN(10,MAX(1,ROUND('Ügyfelek'!S92,0)))))</f>
        <v/>
      </c>
      <c r="T92">
        <f>IF($A92="","",IF('Ügyfelek'!T92="",'Beállítások'!$B$84,VLOOKUP(MAX('Ügyfelek'!T92,'Beállítások'!$H$7),'Beállítások'!$H$7:$I$12,2,TRUE)))</f>
        <v/>
      </c>
      <c r="U92">
        <f>IF($A92="","",IF('Ügyfelek'!U92="",'Beállítások'!$B$84,VLOOKUP(MAX('Ügyfelek'!U92,'Beállítások'!$K$7),'Beállítások'!$K$7:$L$12,2,TRUE)))</f>
        <v/>
      </c>
      <c r="V92">
        <f>IF($A92="","",IF('Ügyfelek'!V92="",'Beállítások'!$B$84,MIN(10,MAX(1,ROUND('Ügyfelek'!V92,0)))))</f>
        <v/>
      </c>
      <c r="W92">
        <f>IF($A92="","",IF('Ügyfelek'!W92="",'Beállítások'!$B$84,VLOOKUP(MAX('Ügyfelek'!W92,'Beállítások'!$N$7),'Beállítások'!$N$7:$O$12,2,TRUE)))</f>
        <v/>
      </c>
      <c r="X92">
        <f>IF($A92="","",IF('Ügyfelek'!X92="",'Beállítások'!$B$84,MIN(10,MAX(1,ROUND('Ügyfelek'!X92,0)))))</f>
        <v/>
      </c>
      <c r="Y92">
        <f>IF($A92="","",IF('Ügyfelek'!Y92="",'Beállítások'!$B$84,IFERROR(VLOOKUP(TRIM('Ügyfelek'!Y92),'Beállítások'!$A$63:$B$69,2,FALSE),'Beállítások'!$B$84)))</f>
        <v/>
      </c>
      <c r="Z92">
        <f>IF($A92="","",IF('Ügyfelek'!Z92="",'Beállítások'!$B$84,VLOOKUP(MAX('Ügyfelek'!Z92,'Beállítások'!$Q$7),'Beállítások'!$Q$7:$R$12,2,TRUE)))</f>
        <v/>
      </c>
      <c r="AA92">
        <f>IF($A92="","",IF('Ügyfelek'!AA92="",'Beállítások'!$B$84,VLOOKUP(MAX('Ügyfelek'!AA92,'Beállítások'!$T$7),'Beállítások'!$T$7:$U$12,2,TRUE)))</f>
        <v/>
      </c>
      <c r="AB92">
        <f>IF($A92="","",IF('Ügyfelek'!AB92="",'Beállítások'!$B$84,MIN(10,MAX(1,ROUND('Ügyfelek'!AB92,0)))))</f>
        <v/>
      </c>
      <c r="AC92">
        <f>IF($A92="","",IF('Ügyfelek'!AC92="",'Beállítások'!$B$84,MIN(10,MAX(1,ROUND('Ügyfelek'!AC92,0)))))</f>
        <v/>
      </c>
      <c r="AD92">
        <f>IF($A92="","",IF('Ügyfelek'!AD92="",'Beállítások'!$B$84,MIN(10,MAX(1,ROUND('Ügyfelek'!AD92,0)))))</f>
        <v/>
      </c>
      <c r="AE92">
        <f>IF($A92="","",IF('Ügyfelek'!AE92="",'Beállítások'!$B$84,MIN(10,MAX(1,ROUND('Ügyfelek'!AE92,0)))))</f>
        <v/>
      </c>
      <c r="AF92">
        <f>IF($A92="","",IF('Ügyfelek'!AF92="",'Beállítások'!$B$84,MIN(10,MAX(1,ROUND('Ügyfelek'!AF92,0)))))</f>
        <v/>
      </c>
      <c r="AG92">
        <f>IF($A92="","",IF('Ügyfelek'!AG92="",'Beállítások'!$B$84,MIN(10,MAX(1,ROUND('Ügyfelek'!AG92,0)))))</f>
        <v/>
      </c>
      <c r="AH92">
        <f>IF($A92="","",IF('Ügyfelek'!AH92="",'Beállítások'!$B$84,IFERROR(VLOOKUP(TRIM('Ügyfelek'!AH92),'Beállítások'!$A$73:$B$79,2,FALSE),'Beállítások'!$B$84)))</f>
        <v/>
      </c>
      <c r="AI92" s="23">
        <f>IF($A92="","",ROUND(100*('Beállítások'!$E$6*(B92-1)+'Beállítások'!$E$7*(C92-1))/(9*'Beállítások'!$B$43),1))</f>
        <v/>
      </c>
      <c r="AJ92" s="23">
        <f>IF($A92="","",ROUND(100*('Beállítások'!$E$8*(D92-1)+'Beállítások'!$E$9*(E92-1)+'Beállítások'!$E$10*(F92-1)+'Beállítások'!$E$11*(G92-1)+'Beállítások'!$E$12*(H92-1)+'Beállítások'!$E$13*(I92-1)+'Beállítások'!$E$14*(J92-1)+'Beállítások'!$E$15*(K92-1)+'Beállítások'!$E$16*(L92-1)+'Beállítások'!$E$17*(M92-1)+'Beállítások'!$E$18*(N92-1)+'Beállítások'!$E$19*(O92-1)+'Beállítások'!$E$20*(P92-1)+'Beállítások'!$E$21*(Q92-1)+'Beállítások'!$E$22*(R92-1))/(9*'Beállítások'!$B$44),1))</f>
        <v/>
      </c>
      <c r="AK92" s="23">
        <f>IF($A92="","",ROUND(100*('Beállítások'!$E$23*(S92-1)+'Beállítások'!$E$24*(T92-1)+'Beállítások'!$E$25*(U92-1)+'Beállítások'!$E$26*(V92-1)+'Beállítások'!$E$27*(W92-1)+'Beállítások'!$E$28*(X92-1)+'Beállítások'!$E$29*(Y92-1))/(9*'Beállítások'!$B$45),1))</f>
        <v/>
      </c>
      <c r="AL92" s="23">
        <f>IF($A92="","",ROUND(100*('Beállítások'!$E$30*(Z92-1)+'Beállítások'!$E$31*(AA92-1)+'Beállítások'!$E$32*(AB92-1)+'Beállítások'!$E$33*(AC92-1)+'Beállítások'!$E$34*(AD92-1)+'Beállítások'!$E$35*(AE92-1)+'Beállítások'!$E$36*(AF92-1)+'Beállítások'!$E$37*(AG92-1)+'Beállítások'!$E$38*(AH92-1))/(9*'Beállítások'!$B$46),1))</f>
        <v/>
      </c>
      <c r="AM92" s="23">
        <f>IF($A92="","",ROUND(100*('Beállítások'!$E$6*(B92-1)+'Beállítások'!$E$7*(C92-1)+'Beállítások'!$E$8*(D92-1)+'Beállítások'!$E$9*(E92-1)+'Beállítások'!$E$10*(F92-1)+'Beállítások'!$E$11*(G92-1)+'Beállítások'!$E$12*(H92-1)+'Beállítások'!$E$13*(I92-1)+'Beállítások'!$E$14*(J92-1)+'Beállítások'!$E$15*(K92-1)+'Beállítások'!$E$16*(L92-1)+'Beállítások'!$E$17*(M92-1)+'Beállítások'!$E$18*(N92-1)+'Beállítások'!$E$19*(O92-1)+'Beállítások'!$E$20*(P92-1)+'Beállítások'!$E$21*(Q92-1)+'Beállítások'!$E$22*(R92-1)+'Beállítások'!$E$23*(S92-1)+'Beállítások'!$E$24*(T92-1)+'Beállítások'!$E$25*(U92-1)+'Beállítások'!$E$26*(V92-1)+'Beállítások'!$E$27*(W92-1)+'Beállítások'!$E$28*(X92-1)+'Beállítások'!$E$29*(Y92-1)+'Beállítások'!$E$30*(Z92-1)+'Beállítások'!$E$31*(AA92-1)+'Beállítások'!$E$32*(AB92-1)+'Beállítások'!$E$33*(AC92-1)+'Beállítások'!$E$34*(AD92-1)+'Beállítások'!$E$35*(AE92-1)+'Beállítások'!$E$36*(AF92-1)+'Beállítások'!$E$37*(AG92-1)+'Beállítások'!$E$38*(AH92-1))/(9*'Beállítások'!$E$39),1))</f>
        <v/>
      </c>
      <c r="AN92" s="23">
        <f>IF($A92="","",ROUND(100*('Beállítások'!$E$8*(D92-1)+'Beállítások'!$E$9*(E92-1)+'Beállítások'!$E$10*(F92-1)+'Beállítások'!$E$11*(G92-1)+'Beállítások'!$E$12*(H92-1)+'Beállítások'!$E$13*(I92-1)+'Beállítások'!$E$14*(J92-1)+'Beállítások'!$E$15*(K92-1)+'Beállítások'!$E$16*(L92-1)+'Beállítások'!$E$17*(M92-1)+'Beállítások'!$E$18*(N92-1)+'Beállítások'!$E$19*(O92-1)+'Beállítások'!$E$20*(P92-1)+'Beállítások'!$E$21*(Q92-1)+'Beállítások'!$E$22*(R92-1)+'Beállítások'!$E$23*(S92-1)+'Beállítások'!$E$24*(T92-1)+'Beállítások'!$E$25*(U92-1)+'Beállítások'!$E$26*(V92-1)+'Beállítások'!$E$27*(W92-1)+'Beállítások'!$E$28*(X92-1)+'Beállítások'!$E$29*(Y92-1))/(9*('Beállítások'!$B$44+'Beállítások'!$B$45)),1))</f>
        <v/>
      </c>
      <c r="AO92" s="24">
        <f>IF($A92="","",RANK(AM92,$AM$2:$AM$201))</f>
        <v/>
      </c>
      <c r="AP92">
        <f>IF($A92="","",IF(OR(AND('Ügyfelek'!B92&lt;&gt;"",B92&lt;='Beállítások'!$B$85),AND('Ügyfelek'!C92&lt;&gt;"",C92&lt;='Beállítások'!$B$86)),"Igen","Nem"))</f>
        <v/>
      </c>
      <c r="AQ92" s="24">
        <f>IF($A92="","",IF(AP92="Igen",5,IF(AN92&gt;='Beállítások'!$C$108,1,IF(AN92&gt;='Beállítások'!$C$109,2,IF(AN92&gt;='Beállítások'!$C$110,3,IF(AND(AN92&gt;='Beállítások'!$B$87,AI92&gt;='Beállítások'!$B$88,AL92&gt;='Beállítások'!$B$89),4,5))))))</f>
        <v/>
      </c>
      <c r="AR92">
        <f>IF($A92="","",INDEX('Beállítások'!$B$108:$B$112,AQ92))</f>
        <v/>
      </c>
      <c r="AS92">
        <f>IF($A92="","",IF(AQ92=5,"Elutasítjuk",IF(AND(AQ92=4,COUNTIFS('Eredmény'!$AQ$2:$AQ$201,4,'Eredmény'!$DY$2:$DY$201,"&gt;"&amp;DY92)&gt;='Beállítások'!$B$90),"Várólista (a 4-es hely foglalt)","Elfogadjuk")))</f>
        <v/>
      </c>
      <c r="AT92">
        <f>IF($A92="","",INDEX('Beállítások'!$F$108:$F$112,AQ92))</f>
        <v/>
      </c>
      <c r="AU92">
        <f>IF($A92="","",INDEX('Beállítások'!$B$6:$B$38,MATCH(MAX(BK92:CQ92),BK92:CQ92,0)))</f>
        <v/>
      </c>
      <c r="AV92">
        <f>IF($A92="","",IF(MAX(CR92:DX92)=0,"—",INDEX('Beállítások'!$B$6:$B$38,MATCH(MAX(CR92:DX92),CR92:DX92,0))))</f>
        <v/>
      </c>
      <c r="AW92" s="10">
        <f>IF($A92="","",'Beállítások'!$B$94*(TRIM('Ügyfelek'!AI92)="igen")+'Beállítások'!$B$95*(TRIM('Ügyfelek'!AJ92)="igen")+'Beállítások'!$B$96*N('Ügyfelek'!AK92)+'Beállítások'!$B$93*N('Ügyfelek'!AL92))</f>
        <v/>
      </c>
      <c r="AX92" s="25">
        <f>IF(OR($A92="",AQ92=5),"",INDEX('Beállítások'!$D$108:$D$112,AQ92))</f>
        <v/>
      </c>
      <c r="AY92" s="10">
        <f>IF($A92="","",N('Ügyfelek'!U92)*'Beállítások'!$B$98)</f>
        <v/>
      </c>
      <c r="AZ92" s="10">
        <f>IF(OR($A92="",AQ92=5),"",CEILING(ROUND(MAX('Beállítások'!$B$97,AW92*AX92,AY92),2),'Beállítások'!$B$99))</f>
        <v/>
      </c>
      <c r="BA92">
        <f>IF($A92="","",IF(AQ92=5,"Elutasítva",IF(MAX('Beállítások'!$B$97,AW92*AX92,AY92)=AW92*AX92,"Munkaigény × státuszszorzó",IF(MAX('Beállítások'!$B$97,AW92*AX92,AY92)=AY92,"Hirdetési keret arányában","Minimumdíj"))))</f>
        <v/>
      </c>
      <c r="BB92" s="10">
        <f>IF(OR($A92="",'Ügyfelek'!AM92=""),"",'Ügyfelek'!AM92)</f>
        <v/>
      </c>
      <c r="BC92" s="10">
        <f>IF(OR(BB92="",AZ92=""),"",AZ92-BB92)</f>
        <v/>
      </c>
      <c r="BD92" s="18">
        <f>IF(OR(BB92="",AZ92="",BB92=0),"",BC92/BB92)</f>
        <v/>
      </c>
      <c r="BE92">
        <f>IF(OR($A92="",AQ92=5),"",IF(AND(INDEX('Beállítások'!$E$108:$E$112,AQ92)&gt;0,Y92&gt;='Beállítások'!$B$91),"Igen","Nem"))</f>
        <v/>
      </c>
      <c r="BF92" s="10">
        <f>IF(BE92="Igen",CEILING(ROUND(AZ92*(1-'Beállítások'!$B$92),2),'Beállítások'!$B$99),"")</f>
        <v/>
      </c>
      <c r="BG92" s="20">
        <f>IF(BE92="Igen",INDEX('Beállítások'!$E$108:$E$112,AQ92),"")</f>
        <v/>
      </c>
      <c r="BH92" s="10">
        <f>IF(OR(BE92&lt;&gt;"Igen",'Ügyfelek'!AN92=""),"",'Ügyfelek'!AN92*BG92)</f>
        <v/>
      </c>
      <c r="BI92" s="24">
        <f>IF($A92="","",('Ügyfelek'!B92="")+('Ügyfelek'!C92="")+('Ügyfelek'!D92="")+('Ügyfelek'!E92="")+('Ügyfelek'!F92="")+('Ügyfelek'!G92="")+('Ügyfelek'!H92="")+('Ügyfelek'!I92="")+('Ügyfelek'!J92="")+('Ügyfelek'!K92="")+('Ügyfelek'!L92="")+('Ügyfelek'!M92="")+('Ügyfelek'!N92="")+('Ügyfelek'!O92="")+('Ügyfelek'!P92="")+('Ügyfelek'!Q92="")+('Ügyfelek'!R92="")+('Ügyfelek'!S92="")+('Ügyfelek'!T92="")+('Ügyfelek'!U92="")+('Ügyfelek'!V92="")+('Ügyfelek'!W92="")+('Ügyfelek'!X92="")+('Ügyfelek'!Y92="")+('Ügyfelek'!Z92="")+('Ügyfelek'!AA92="")+('Ügyfelek'!AB92="")+('Ügyfelek'!AC92="")+('Ügyfelek'!AD92="")+('Ügyfelek'!AE92="")+('Ügyfelek'!AF92="")+('Ügyfelek'!AG92="")+('Ügyfelek'!AH92=""))</f>
        <v/>
      </c>
      <c r="BK92">
        <f>IF($A92="","",B92+'Beállítások'!$E$6/1000)</f>
        <v/>
      </c>
      <c r="BL92">
        <f>IF($A92="","",C92+'Beállítások'!$E$7/1000)</f>
        <v/>
      </c>
      <c r="BM92">
        <f>IF($A92="","",D92+'Beállítások'!$E$8/1000)</f>
        <v/>
      </c>
      <c r="BN92">
        <f>IF($A92="","",E92+'Beállítások'!$E$9/1000)</f>
        <v/>
      </c>
      <c r="BO92">
        <f>IF($A92="","",F92+'Beállítások'!$E$10/1000)</f>
        <v/>
      </c>
      <c r="BP92">
        <f>IF($A92="","",G92+'Beállítások'!$E$11/1000)</f>
        <v/>
      </c>
      <c r="BQ92">
        <f>IF($A92="","",H92+'Beállítások'!$E$12/1000)</f>
        <v/>
      </c>
      <c r="BR92">
        <f>IF($A92="","",I92+'Beállítások'!$E$13/1000)</f>
        <v/>
      </c>
      <c r="BS92">
        <f>IF($A92="","",J92+'Beállítások'!$E$14/1000)</f>
        <v/>
      </c>
      <c r="BT92">
        <f>IF($A92="","",K92+'Beállítások'!$E$15/1000)</f>
        <v/>
      </c>
      <c r="BU92">
        <f>IF($A92="","",L92+'Beállítások'!$E$16/1000)</f>
        <v/>
      </c>
      <c r="BV92">
        <f>IF($A92="","",M92+'Beállítások'!$E$17/1000)</f>
        <v/>
      </c>
      <c r="BW92">
        <f>IF($A92="","",N92+'Beállítások'!$E$18/1000)</f>
        <v/>
      </c>
      <c r="BX92">
        <f>IF($A92="","",O92+'Beállítások'!$E$19/1000)</f>
        <v/>
      </c>
      <c r="BY92">
        <f>IF($A92="","",P92+'Beállítások'!$E$20/1000)</f>
        <v/>
      </c>
      <c r="BZ92">
        <f>IF($A92="","",Q92+'Beállítások'!$E$21/1000)</f>
        <v/>
      </c>
      <c r="CA92">
        <f>IF($A92="","",R92+'Beállítások'!$E$22/1000)</f>
        <v/>
      </c>
      <c r="CB92">
        <f>IF($A92="","",S92+'Beállítások'!$E$23/1000)</f>
        <v/>
      </c>
      <c r="CC92">
        <f>IF($A92="","",T92+'Beállítások'!$E$24/1000)</f>
        <v/>
      </c>
      <c r="CD92">
        <f>IF($A92="","",U92+'Beállítások'!$E$25/1000)</f>
        <v/>
      </c>
      <c r="CE92">
        <f>IF($A92="","",V92+'Beállítások'!$E$26/1000)</f>
        <v/>
      </c>
      <c r="CF92">
        <f>IF($A92="","",W92+'Beállítások'!$E$27/1000)</f>
        <v/>
      </c>
      <c r="CG92">
        <f>IF($A92="","",X92+'Beállítások'!$E$28/1000)</f>
        <v/>
      </c>
      <c r="CH92">
        <f>IF($A92="","",Y92+'Beállítások'!$E$29/1000)</f>
        <v/>
      </c>
      <c r="CI92">
        <f>IF($A92="","",Z92+'Beállítások'!$E$30/1000)</f>
        <v/>
      </c>
      <c r="CJ92">
        <f>IF($A92="","",AA92+'Beállítások'!$E$31/1000)</f>
        <v/>
      </c>
      <c r="CK92">
        <f>IF($A92="","",AB92+'Beállítások'!$E$32/1000)</f>
        <v/>
      </c>
      <c r="CL92">
        <f>IF($A92="","",AC92+'Beállítások'!$E$33/1000)</f>
        <v/>
      </c>
      <c r="CM92">
        <f>IF($A92="","",AD92+'Beállítások'!$E$34/1000)</f>
        <v/>
      </c>
      <c r="CN92">
        <f>IF($A92="","",AE92+'Beállítások'!$E$35/1000)</f>
        <v/>
      </c>
      <c r="CO92">
        <f>IF($A92="","",AF92+'Beállítások'!$E$36/1000)</f>
        <v/>
      </c>
      <c r="CP92">
        <f>IF($A92="","",AG92+'Beállítások'!$E$37/1000)</f>
        <v/>
      </c>
      <c r="CQ92">
        <f>IF($A92="","",AH92+'Beállítások'!$E$38/1000)</f>
        <v/>
      </c>
      <c r="CR92">
        <f>IF($A92="","",'Beállítások'!$E$6*(10-B92))</f>
        <v/>
      </c>
      <c r="CS92">
        <f>IF($A92="","",'Beállítások'!$E$7*(10-C92))</f>
        <v/>
      </c>
      <c r="CT92">
        <f>IF($A92="","",'Beállítások'!$E$8*(10-D92))</f>
        <v/>
      </c>
      <c r="CU92">
        <f>IF($A92="","",'Beállítások'!$E$9*(10-E92))</f>
        <v/>
      </c>
      <c r="CV92">
        <f>IF($A92="","",'Beállítások'!$E$10*(10-F92))</f>
        <v/>
      </c>
      <c r="CW92">
        <f>IF($A92="","",'Beállítások'!$E$11*(10-G92))</f>
        <v/>
      </c>
      <c r="CX92">
        <f>IF($A92="","",'Beállítások'!$E$12*(10-H92))</f>
        <v/>
      </c>
      <c r="CY92">
        <f>IF($A92="","",'Beállítások'!$E$13*(10-I92))</f>
        <v/>
      </c>
      <c r="CZ92">
        <f>IF($A92="","",'Beállítások'!$E$14*(10-J92))</f>
        <v/>
      </c>
      <c r="DA92">
        <f>IF($A92="","",'Beállítások'!$E$15*(10-K92))</f>
        <v/>
      </c>
      <c r="DB92">
        <f>IF($A92="","",'Beállítások'!$E$16*(10-L92))</f>
        <v/>
      </c>
      <c r="DC92">
        <f>IF($A92="","",'Beállítások'!$E$17*(10-M92))</f>
        <v/>
      </c>
      <c r="DD92">
        <f>IF($A92="","",'Beállítások'!$E$18*(10-N92))</f>
        <v/>
      </c>
      <c r="DE92">
        <f>IF($A92="","",'Beállítások'!$E$19*(10-O92))</f>
        <v/>
      </c>
      <c r="DF92">
        <f>IF($A92="","",'Beállítások'!$E$20*(10-P92))</f>
        <v/>
      </c>
      <c r="DG92">
        <f>IF($A92="","",'Beállítások'!$E$21*(10-Q92))</f>
        <v/>
      </c>
      <c r="DH92">
        <f>IF($A92="","",'Beállítások'!$E$22*(10-R92))</f>
        <v/>
      </c>
      <c r="DI92">
        <f>IF($A92="","",'Beállítások'!$E$23*(10-S92))</f>
        <v/>
      </c>
      <c r="DJ92">
        <f>IF($A92="","",'Beállítások'!$E$24*(10-T92))</f>
        <v/>
      </c>
      <c r="DK92">
        <f>IF($A92="","",'Beállítások'!$E$25*(10-U92))</f>
        <v/>
      </c>
      <c r="DL92">
        <f>IF($A92="","",'Beállítások'!$E$26*(10-V92))</f>
        <v/>
      </c>
      <c r="DM92">
        <f>IF($A92="","",'Beállítások'!$E$27*(10-W92))</f>
        <v/>
      </c>
      <c r="DN92">
        <f>IF($A92="","",'Beállítások'!$E$28*(10-X92))</f>
        <v/>
      </c>
      <c r="DO92">
        <f>IF($A92="","",'Beállítások'!$E$29*(10-Y92))</f>
        <v/>
      </c>
      <c r="DP92">
        <f>IF($A92="","",'Beállítások'!$E$30*(10-Z92))</f>
        <v/>
      </c>
      <c r="DQ92">
        <f>IF($A92="","",'Beállítások'!$E$31*(10-AA92))</f>
        <v/>
      </c>
      <c r="DR92">
        <f>IF($A92="","",'Beállítások'!$E$32*(10-AB92))</f>
        <v/>
      </c>
      <c r="DS92">
        <f>IF($A92="","",'Beállítások'!$E$33*(10-AC92))</f>
        <v/>
      </c>
      <c r="DT92">
        <f>IF($A92="","",'Beállítások'!$E$34*(10-AD92))</f>
        <v/>
      </c>
      <c r="DU92">
        <f>IF($A92="","",'Beállítások'!$E$35*(10-AE92))</f>
        <v/>
      </c>
      <c r="DV92">
        <f>IF($A92="","",'Beállítások'!$E$36*(10-AF92))</f>
        <v/>
      </c>
      <c r="DW92">
        <f>IF($A92="","",'Beállítások'!$E$37*(10-AG92))</f>
        <v/>
      </c>
      <c r="DX92">
        <f>IF($A92="","",'Beállítások'!$E$38*(10-AH92))</f>
        <v/>
      </c>
      <c r="DY92">
        <f>IF($A92="","",AM92-ROW()/100000)</f>
        <v/>
      </c>
    </row>
    <row r="93">
      <c r="A93">
        <f>IF('Ügyfelek'!A93="","",'Ügyfelek'!A93)</f>
        <v/>
      </c>
      <c r="B93">
        <f>IF($A93="","",IF('Ügyfelek'!B93="",'Beállítások'!$B$84,IFERROR(VLOOKUP(TRIM('Ügyfelek'!B93),'Beállítások'!$A$51:$B$59,2,FALSE),'Beállítások'!$B$84)))</f>
        <v/>
      </c>
      <c r="C93">
        <f>IF($A93="","",IF('Ügyfelek'!C93="",'Beállítások'!$B$84,MIN(10,MAX(1,ROUND('Ügyfelek'!C93,0)))))</f>
        <v/>
      </c>
      <c r="D93">
        <f>IF($A93="","",IF('Ügyfelek'!D93="",'Beállítások'!$B$84,MIN(10,MAX(1,ROUND('Ügyfelek'!D93,0)))))</f>
        <v/>
      </c>
      <c r="E93">
        <f>IF($A93="","",IF('Ügyfelek'!E93="",'Beállítások'!$B$84,MIN(10,MAX(1,ROUND('Ügyfelek'!E93,0)))))</f>
        <v/>
      </c>
      <c r="F93">
        <f>IF($A93="","",IF('Ügyfelek'!F93="",'Beállítások'!$B$84,MIN(10,MAX(1,ROUND('Ügyfelek'!F93,0)))))</f>
        <v/>
      </c>
      <c r="G93">
        <f>IF($A93="","",IF('Ügyfelek'!G93="",'Beállítások'!$B$84,MIN(10,MAX(1,ROUND('Ügyfelek'!G93,0)))))</f>
        <v/>
      </c>
      <c r="H93">
        <f>IF($A93="","",IF('Ügyfelek'!H93="",'Beállítások'!$B$84,MIN(10,MAX(1,ROUND('Ügyfelek'!H93,0)))))</f>
        <v/>
      </c>
      <c r="I93">
        <f>IF($A93="","",IF('Ügyfelek'!I93="",'Beállítások'!$B$84,MIN(10,MAX(1,ROUND('Ügyfelek'!I93,0)))))</f>
        <v/>
      </c>
      <c r="J93">
        <f>IF($A93="","",IF('Ügyfelek'!J93="",'Beállítások'!$B$84,MIN(10,MAX(1,ROUND('Ügyfelek'!J93,0)))))</f>
        <v/>
      </c>
      <c r="K93">
        <f>IF($A93="","",IF('Ügyfelek'!K93="",'Beállítások'!$B$84,MIN(10,MAX(1,ROUND('Ügyfelek'!K93,0)))))</f>
        <v/>
      </c>
      <c r="L93">
        <f>IF($A93="","",IF('Ügyfelek'!L93="",'Beállítások'!$B$84,MIN(10,MAX(1,ROUND('Ügyfelek'!L93,0)))))</f>
        <v/>
      </c>
      <c r="M93">
        <f>IF($A93="","",IF('Ügyfelek'!M93="",'Beállítások'!$B$84,MIN(10,MAX(1,ROUND('Ügyfelek'!M93,0)))))</f>
        <v/>
      </c>
      <c r="N93">
        <f>IF($A93="","",IF('Ügyfelek'!N93="",'Beállítások'!$B$84,MIN(10,MAX(1,ROUND('Ügyfelek'!N93,0)))))</f>
        <v/>
      </c>
      <c r="O93">
        <f>IF($A93="","",IF('Ügyfelek'!O93="",'Beállítások'!$B$84,MIN(10,MAX(1,ROUND('Ügyfelek'!O93,0)))))</f>
        <v/>
      </c>
      <c r="P93">
        <f>IF($A93="","",IF('Ügyfelek'!P93="",'Beállítások'!$B$84,MIN(10,MAX(1,ROUND('Ügyfelek'!P93,0)))))</f>
        <v/>
      </c>
      <c r="Q93">
        <f>IF($A93="","",IF('Ügyfelek'!Q93="",'Beállítások'!$B$84,MIN(10,MAX(1,ROUND('Ügyfelek'!Q93,0)))))</f>
        <v/>
      </c>
      <c r="R93">
        <f>IF($A93="","",IF('Ügyfelek'!R93="",'Beállítások'!$B$84,MIN(10,MAX(1,ROUND('Ügyfelek'!R93,0)))))</f>
        <v/>
      </c>
      <c r="S93">
        <f>IF($A93="","",IF('Ügyfelek'!S93="",'Beállítások'!$B$84,MIN(10,MAX(1,ROUND('Ügyfelek'!S93,0)))))</f>
        <v/>
      </c>
      <c r="T93">
        <f>IF($A93="","",IF('Ügyfelek'!T93="",'Beállítások'!$B$84,VLOOKUP(MAX('Ügyfelek'!T93,'Beállítások'!$H$7),'Beállítások'!$H$7:$I$12,2,TRUE)))</f>
        <v/>
      </c>
      <c r="U93">
        <f>IF($A93="","",IF('Ügyfelek'!U93="",'Beállítások'!$B$84,VLOOKUP(MAX('Ügyfelek'!U93,'Beállítások'!$K$7),'Beállítások'!$K$7:$L$12,2,TRUE)))</f>
        <v/>
      </c>
      <c r="V93">
        <f>IF($A93="","",IF('Ügyfelek'!V93="",'Beállítások'!$B$84,MIN(10,MAX(1,ROUND('Ügyfelek'!V93,0)))))</f>
        <v/>
      </c>
      <c r="W93">
        <f>IF($A93="","",IF('Ügyfelek'!W93="",'Beállítások'!$B$84,VLOOKUP(MAX('Ügyfelek'!W93,'Beállítások'!$N$7),'Beállítások'!$N$7:$O$12,2,TRUE)))</f>
        <v/>
      </c>
      <c r="X93">
        <f>IF($A93="","",IF('Ügyfelek'!X93="",'Beállítások'!$B$84,MIN(10,MAX(1,ROUND('Ügyfelek'!X93,0)))))</f>
        <v/>
      </c>
      <c r="Y93">
        <f>IF($A93="","",IF('Ügyfelek'!Y93="",'Beállítások'!$B$84,IFERROR(VLOOKUP(TRIM('Ügyfelek'!Y93),'Beállítások'!$A$63:$B$69,2,FALSE),'Beállítások'!$B$84)))</f>
        <v/>
      </c>
      <c r="Z93">
        <f>IF($A93="","",IF('Ügyfelek'!Z93="",'Beállítások'!$B$84,VLOOKUP(MAX('Ügyfelek'!Z93,'Beállítások'!$Q$7),'Beállítások'!$Q$7:$R$12,2,TRUE)))</f>
        <v/>
      </c>
      <c r="AA93">
        <f>IF($A93="","",IF('Ügyfelek'!AA93="",'Beállítások'!$B$84,VLOOKUP(MAX('Ügyfelek'!AA93,'Beállítások'!$T$7),'Beállítások'!$T$7:$U$12,2,TRUE)))</f>
        <v/>
      </c>
      <c r="AB93">
        <f>IF($A93="","",IF('Ügyfelek'!AB93="",'Beállítások'!$B$84,MIN(10,MAX(1,ROUND('Ügyfelek'!AB93,0)))))</f>
        <v/>
      </c>
      <c r="AC93">
        <f>IF($A93="","",IF('Ügyfelek'!AC93="",'Beállítások'!$B$84,MIN(10,MAX(1,ROUND('Ügyfelek'!AC93,0)))))</f>
        <v/>
      </c>
      <c r="AD93">
        <f>IF($A93="","",IF('Ügyfelek'!AD93="",'Beállítások'!$B$84,MIN(10,MAX(1,ROUND('Ügyfelek'!AD93,0)))))</f>
        <v/>
      </c>
      <c r="AE93">
        <f>IF($A93="","",IF('Ügyfelek'!AE93="",'Beállítások'!$B$84,MIN(10,MAX(1,ROUND('Ügyfelek'!AE93,0)))))</f>
        <v/>
      </c>
      <c r="AF93">
        <f>IF($A93="","",IF('Ügyfelek'!AF93="",'Beállítások'!$B$84,MIN(10,MAX(1,ROUND('Ügyfelek'!AF93,0)))))</f>
        <v/>
      </c>
      <c r="AG93">
        <f>IF($A93="","",IF('Ügyfelek'!AG93="",'Beállítások'!$B$84,MIN(10,MAX(1,ROUND('Ügyfelek'!AG93,0)))))</f>
        <v/>
      </c>
      <c r="AH93">
        <f>IF($A93="","",IF('Ügyfelek'!AH93="",'Beállítások'!$B$84,IFERROR(VLOOKUP(TRIM('Ügyfelek'!AH93),'Beállítások'!$A$73:$B$79,2,FALSE),'Beállítások'!$B$84)))</f>
        <v/>
      </c>
      <c r="AI93" s="23">
        <f>IF($A93="","",ROUND(100*('Beállítások'!$E$6*(B93-1)+'Beállítások'!$E$7*(C93-1))/(9*'Beállítások'!$B$43),1))</f>
        <v/>
      </c>
      <c r="AJ93" s="23">
        <f>IF($A93="","",ROUND(100*('Beállítások'!$E$8*(D93-1)+'Beállítások'!$E$9*(E93-1)+'Beállítások'!$E$10*(F93-1)+'Beállítások'!$E$11*(G93-1)+'Beállítások'!$E$12*(H93-1)+'Beállítások'!$E$13*(I93-1)+'Beállítások'!$E$14*(J93-1)+'Beállítások'!$E$15*(K93-1)+'Beállítások'!$E$16*(L93-1)+'Beállítások'!$E$17*(M93-1)+'Beállítások'!$E$18*(N93-1)+'Beállítások'!$E$19*(O93-1)+'Beállítások'!$E$20*(P93-1)+'Beállítások'!$E$21*(Q93-1)+'Beállítások'!$E$22*(R93-1))/(9*'Beállítások'!$B$44),1))</f>
        <v/>
      </c>
      <c r="AK93" s="23">
        <f>IF($A93="","",ROUND(100*('Beállítások'!$E$23*(S93-1)+'Beállítások'!$E$24*(T93-1)+'Beállítások'!$E$25*(U93-1)+'Beállítások'!$E$26*(V93-1)+'Beállítások'!$E$27*(W93-1)+'Beállítások'!$E$28*(X93-1)+'Beállítások'!$E$29*(Y93-1))/(9*'Beállítások'!$B$45),1))</f>
        <v/>
      </c>
      <c r="AL93" s="23">
        <f>IF($A93="","",ROUND(100*('Beállítások'!$E$30*(Z93-1)+'Beállítások'!$E$31*(AA93-1)+'Beállítások'!$E$32*(AB93-1)+'Beállítások'!$E$33*(AC93-1)+'Beállítások'!$E$34*(AD93-1)+'Beállítások'!$E$35*(AE93-1)+'Beállítások'!$E$36*(AF93-1)+'Beállítások'!$E$37*(AG93-1)+'Beállítások'!$E$38*(AH93-1))/(9*'Beállítások'!$B$46),1))</f>
        <v/>
      </c>
      <c r="AM93" s="23">
        <f>IF($A93="","",ROUND(100*('Beállítások'!$E$6*(B93-1)+'Beállítások'!$E$7*(C93-1)+'Beállítások'!$E$8*(D93-1)+'Beállítások'!$E$9*(E93-1)+'Beállítások'!$E$10*(F93-1)+'Beállítások'!$E$11*(G93-1)+'Beállítások'!$E$12*(H93-1)+'Beállítások'!$E$13*(I93-1)+'Beállítások'!$E$14*(J93-1)+'Beállítások'!$E$15*(K93-1)+'Beállítások'!$E$16*(L93-1)+'Beállítások'!$E$17*(M93-1)+'Beállítások'!$E$18*(N93-1)+'Beállítások'!$E$19*(O93-1)+'Beállítások'!$E$20*(P93-1)+'Beállítások'!$E$21*(Q93-1)+'Beállítások'!$E$22*(R93-1)+'Beállítások'!$E$23*(S93-1)+'Beállítások'!$E$24*(T93-1)+'Beállítások'!$E$25*(U93-1)+'Beállítások'!$E$26*(V93-1)+'Beállítások'!$E$27*(W93-1)+'Beállítások'!$E$28*(X93-1)+'Beállítások'!$E$29*(Y93-1)+'Beállítások'!$E$30*(Z93-1)+'Beállítások'!$E$31*(AA93-1)+'Beállítások'!$E$32*(AB93-1)+'Beállítások'!$E$33*(AC93-1)+'Beállítások'!$E$34*(AD93-1)+'Beállítások'!$E$35*(AE93-1)+'Beállítások'!$E$36*(AF93-1)+'Beállítások'!$E$37*(AG93-1)+'Beállítások'!$E$38*(AH93-1))/(9*'Beállítások'!$E$39),1))</f>
        <v/>
      </c>
      <c r="AN93" s="23">
        <f>IF($A93="","",ROUND(100*('Beállítások'!$E$8*(D93-1)+'Beállítások'!$E$9*(E93-1)+'Beállítások'!$E$10*(F93-1)+'Beállítások'!$E$11*(G93-1)+'Beállítások'!$E$12*(H93-1)+'Beállítások'!$E$13*(I93-1)+'Beállítások'!$E$14*(J93-1)+'Beállítások'!$E$15*(K93-1)+'Beállítások'!$E$16*(L93-1)+'Beállítások'!$E$17*(M93-1)+'Beállítások'!$E$18*(N93-1)+'Beállítások'!$E$19*(O93-1)+'Beállítások'!$E$20*(P93-1)+'Beállítások'!$E$21*(Q93-1)+'Beállítások'!$E$22*(R93-1)+'Beállítások'!$E$23*(S93-1)+'Beállítások'!$E$24*(T93-1)+'Beállítások'!$E$25*(U93-1)+'Beállítások'!$E$26*(V93-1)+'Beállítások'!$E$27*(W93-1)+'Beállítások'!$E$28*(X93-1)+'Beállítások'!$E$29*(Y93-1))/(9*('Beállítások'!$B$44+'Beállítások'!$B$45)),1))</f>
        <v/>
      </c>
      <c r="AO93" s="24">
        <f>IF($A93="","",RANK(AM93,$AM$2:$AM$201))</f>
        <v/>
      </c>
      <c r="AP93">
        <f>IF($A93="","",IF(OR(AND('Ügyfelek'!B93&lt;&gt;"",B93&lt;='Beállítások'!$B$85),AND('Ügyfelek'!C93&lt;&gt;"",C93&lt;='Beállítások'!$B$86)),"Igen","Nem"))</f>
        <v/>
      </c>
      <c r="AQ93" s="24">
        <f>IF($A93="","",IF(AP93="Igen",5,IF(AN93&gt;='Beállítások'!$C$108,1,IF(AN93&gt;='Beállítások'!$C$109,2,IF(AN93&gt;='Beállítások'!$C$110,3,IF(AND(AN93&gt;='Beállítások'!$B$87,AI93&gt;='Beállítások'!$B$88,AL93&gt;='Beállítások'!$B$89),4,5))))))</f>
        <v/>
      </c>
      <c r="AR93">
        <f>IF($A93="","",INDEX('Beállítások'!$B$108:$B$112,AQ93))</f>
        <v/>
      </c>
      <c r="AS93">
        <f>IF($A93="","",IF(AQ93=5,"Elutasítjuk",IF(AND(AQ93=4,COUNTIFS('Eredmény'!$AQ$2:$AQ$201,4,'Eredmény'!$DY$2:$DY$201,"&gt;"&amp;DY93)&gt;='Beállítások'!$B$90),"Várólista (a 4-es hely foglalt)","Elfogadjuk")))</f>
        <v/>
      </c>
      <c r="AT93">
        <f>IF($A93="","",INDEX('Beállítások'!$F$108:$F$112,AQ93))</f>
        <v/>
      </c>
      <c r="AU93">
        <f>IF($A93="","",INDEX('Beállítások'!$B$6:$B$38,MATCH(MAX(BK93:CQ93),BK93:CQ93,0)))</f>
        <v/>
      </c>
      <c r="AV93">
        <f>IF($A93="","",IF(MAX(CR93:DX93)=0,"—",INDEX('Beállítások'!$B$6:$B$38,MATCH(MAX(CR93:DX93),CR93:DX93,0))))</f>
        <v/>
      </c>
      <c r="AW93" s="10">
        <f>IF($A93="","",'Beállítások'!$B$94*(TRIM('Ügyfelek'!AI93)="igen")+'Beállítások'!$B$95*(TRIM('Ügyfelek'!AJ93)="igen")+'Beállítások'!$B$96*N('Ügyfelek'!AK93)+'Beállítások'!$B$93*N('Ügyfelek'!AL93))</f>
        <v/>
      </c>
      <c r="AX93" s="25">
        <f>IF(OR($A93="",AQ93=5),"",INDEX('Beállítások'!$D$108:$D$112,AQ93))</f>
        <v/>
      </c>
      <c r="AY93" s="10">
        <f>IF($A93="","",N('Ügyfelek'!U93)*'Beállítások'!$B$98)</f>
        <v/>
      </c>
      <c r="AZ93" s="10">
        <f>IF(OR($A93="",AQ93=5),"",CEILING(ROUND(MAX('Beállítások'!$B$97,AW93*AX93,AY93),2),'Beállítások'!$B$99))</f>
        <v/>
      </c>
      <c r="BA93">
        <f>IF($A93="","",IF(AQ93=5,"Elutasítva",IF(MAX('Beállítások'!$B$97,AW93*AX93,AY93)=AW93*AX93,"Munkaigény × státuszszorzó",IF(MAX('Beállítások'!$B$97,AW93*AX93,AY93)=AY93,"Hirdetési keret arányában","Minimumdíj"))))</f>
        <v/>
      </c>
      <c r="BB93" s="10">
        <f>IF(OR($A93="",'Ügyfelek'!AM93=""),"",'Ügyfelek'!AM93)</f>
        <v/>
      </c>
      <c r="BC93" s="10">
        <f>IF(OR(BB93="",AZ93=""),"",AZ93-BB93)</f>
        <v/>
      </c>
      <c r="BD93" s="18">
        <f>IF(OR(BB93="",AZ93="",BB93=0),"",BC93/BB93)</f>
        <v/>
      </c>
      <c r="BE93">
        <f>IF(OR($A93="",AQ93=5),"",IF(AND(INDEX('Beállítások'!$E$108:$E$112,AQ93)&gt;0,Y93&gt;='Beállítások'!$B$91),"Igen","Nem"))</f>
        <v/>
      </c>
      <c r="BF93" s="10">
        <f>IF(BE93="Igen",CEILING(ROUND(AZ93*(1-'Beállítások'!$B$92),2),'Beállítások'!$B$99),"")</f>
        <v/>
      </c>
      <c r="BG93" s="20">
        <f>IF(BE93="Igen",INDEX('Beállítások'!$E$108:$E$112,AQ93),"")</f>
        <v/>
      </c>
      <c r="BH93" s="10">
        <f>IF(OR(BE93&lt;&gt;"Igen",'Ügyfelek'!AN93=""),"",'Ügyfelek'!AN93*BG93)</f>
        <v/>
      </c>
      <c r="BI93" s="24">
        <f>IF($A93="","",('Ügyfelek'!B93="")+('Ügyfelek'!C93="")+('Ügyfelek'!D93="")+('Ügyfelek'!E93="")+('Ügyfelek'!F93="")+('Ügyfelek'!G93="")+('Ügyfelek'!H93="")+('Ügyfelek'!I93="")+('Ügyfelek'!J93="")+('Ügyfelek'!K93="")+('Ügyfelek'!L93="")+('Ügyfelek'!M93="")+('Ügyfelek'!N93="")+('Ügyfelek'!O93="")+('Ügyfelek'!P93="")+('Ügyfelek'!Q93="")+('Ügyfelek'!R93="")+('Ügyfelek'!S93="")+('Ügyfelek'!T93="")+('Ügyfelek'!U93="")+('Ügyfelek'!V93="")+('Ügyfelek'!W93="")+('Ügyfelek'!X93="")+('Ügyfelek'!Y93="")+('Ügyfelek'!Z93="")+('Ügyfelek'!AA93="")+('Ügyfelek'!AB93="")+('Ügyfelek'!AC93="")+('Ügyfelek'!AD93="")+('Ügyfelek'!AE93="")+('Ügyfelek'!AF93="")+('Ügyfelek'!AG93="")+('Ügyfelek'!AH93=""))</f>
        <v/>
      </c>
      <c r="BK93">
        <f>IF($A93="","",B93+'Beállítások'!$E$6/1000)</f>
        <v/>
      </c>
      <c r="BL93">
        <f>IF($A93="","",C93+'Beállítások'!$E$7/1000)</f>
        <v/>
      </c>
      <c r="BM93">
        <f>IF($A93="","",D93+'Beállítások'!$E$8/1000)</f>
        <v/>
      </c>
      <c r="BN93">
        <f>IF($A93="","",E93+'Beállítások'!$E$9/1000)</f>
        <v/>
      </c>
      <c r="BO93">
        <f>IF($A93="","",F93+'Beállítások'!$E$10/1000)</f>
        <v/>
      </c>
      <c r="BP93">
        <f>IF($A93="","",G93+'Beállítások'!$E$11/1000)</f>
        <v/>
      </c>
      <c r="BQ93">
        <f>IF($A93="","",H93+'Beállítások'!$E$12/1000)</f>
        <v/>
      </c>
      <c r="BR93">
        <f>IF($A93="","",I93+'Beállítások'!$E$13/1000)</f>
        <v/>
      </c>
      <c r="BS93">
        <f>IF($A93="","",J93+'Beállítások'!$E$14/1000)</f>
        <v/>
      </c>
      <c r="BT93">
        <f>IF($A93="","",K93+'Beállítások'!$E$15/1000)</f>
        <v/>
      </c>
      <c r="BU93">
        <f>IF($A93="","",L93+'Beállítások'!$E$16/1000)</f>
        <v/>
      </c>
      <c r="BV93">
        <f>IF($A93="","",M93+'Beállítások'!$E$17/1000)</f>
        <v/>
      </c>
      <c r="BW93">
        <f>IF($A93="","",N93+'Beállítások'!$E$18/1000)</f>
        <v/>
      </c>
      <c r="BX93">
        <f>IF($A93="","",O93+'Beállítások'!$E$19/1000)</f>
        <v/>
      </c>
      <c r="BY93">
        <f>IF($A93="","",P93+'Beállítások'!$E$20/1000)</f>
        <v/>
      </c>
      <c r="BZ93">
        <f>IF($A93="","",Q93+'Beállítások'!$E$21/1000)</f>
        <v/>
      </c>
      <c r="CA93">
        <f>IF($A93="","",R93+'Beállítások'!$E$22/1000)</f>
        <v/>
      </c>
      <c r="CB93">
        <f>IF($A93="","",S93+'Beállítások'!$E$23/1000)</f>
        <v/>
      </c>
      <c r="CC93">
        <f>IF($A93="","",T93+'Beállítások'!$E$24/1000)</f>
        <v/>
      </c>
      <c r="CD93">
        <f>IF($A93="","",U93+'Beállítások'!$E$25/1000)</f>
        <v/>
      </c>
      <c r="CE93">
        <f>IF($A93="","",V93+'Beállítások'!$E$26/1000)</f>
        <v/>
      </c>
      <c r="CF93">
        <f>IF($A93="","",W93+'Beállítások'!$E$27/1000)</f>
        <v/>
      </c>
      <c r="CG93">
        <f>IF($A93="","",X93+'Beállítások'!$E$28/1000)</f>
        <v/>
      </c>
      <c r="CH93">
        <f>IF($A93="","",Y93+'Beállítások'!$E$29/1000)</f>
        <v/>
      </c>
      <c r="CI93">
        <f>IF($A93="","",Z93+'Beállítások'!$E$30/1000)</f>
        <v/>
      </c>
      <c r="CJ93">
        <f>IF($A93="","",AA93+'Beállítások'!$E$31/1000)</f>
        <v/>
      </c>
      <c r="CK93">
        <f>IF($A93="","",AB93+'Beállítások'!$E$32/1000)</f>
        <v/>
      </c>
      <c r="CL93">
        <f>IF($A93="","",AC93+'Beállítások'!$E$33/1000)</f>
        <v/>
      </c>
      <c r="CM93">
        <f>IF($A93="","",AD93+'Beállítások'!$E$34/1000)</f>
        <v/>
      </c>
      <c r="CN93">
        <f>IF($A93="","",AE93+'Beállítások'!$E$35/1000)</f>
        <v/>
      </c>
      <c r="CO93">
        <f>IF($A93="","",AF93+'Beállítások'!$E$36/1000)</f>
        <v/>
      </c>
      <c r="CP93">
        <f>IF($A93="","",AG93+'Beállítások'!$E$37/1000)</f>
        <v/>
      </c>
      <c r="CQ93">
        <f>IF($A93="","",AH93+'Beállítások'!$E$38/1000)</f>
        <v/>
      </c>
      <c r="CR93">
        <f>IF($A93="","",'Beállítások'!$E$6*(10-B93))</f>
        <v/>
      </c>
      <c r="CS93">
        <f>IF($A93="","",'Beállítások'!$E$7*(10-C93))</f>
        <v/>
      </c>
      <c r="CT93">
        <f>IF($A93="","",'Beállítások'!$E$8*(10-D93))</f>
        <v/>
      </c>
      <c r="CU93">
        <f>IF($A93="","",'Beállítások'!$E$9*(10-E93))</f>
        <v/>
      </c>
      <c r="CV93">
        <f>IF($A93="","",'Beállítások'!$E$10*(10-F93))</f>
        <v/>
      </c>
      <c r="CW93">
        <f>IF($A93="","",'Beállítások'!$E$11*(10-G93))</f>
        <v/>
      </c>
      <c r="CX93">
        <f>IF($A93="","",'Beállítások'!$E$12*(10-H93))</f>
        <v/>
      </c>
      <c r="CY93">
        <f>IF($A93="","",'Beállítások'!$E$13*(10-I93))</f>
        <v/>
      </c>
      <c r="CZ93">
        <f>IF($A93="","",'Beállítások'!$E$14*(10-J93))</f>
        <v/>
      </c>
      <c r="DA93">
        <f>IF($A93="","",'Beállítások'!$E$15*(10-K93))</f>
        <v/>
      </c>
      <c r="DB93">
        <f>IF($A93="","",'Beállítások'!$E$16*(10-L93))</f>
        <v/>
      </c>
      <c r="DC93">
        <f>IF($A93="","",'Beállítások'!$E$17*(10-M93))</f>
        <v/>
      </c>
      <c r="DD93">
        <f>IF($A93="","",'Beállítások'!$E$18*(10-N93))</f>
        <v/>
      </c>
      <c r="DE93">
        <f>IF($A93="","",'Beállítások'!$E$19*(10-O93))</f>
        <v/>
      </c>
      <c r="DF93">
        <f>IF($A93="","",'Beállítások'!$E$20*(10-P93))</f>
        <v/>
      </c>
      <c r="DG93">
        <f>IF($A93="","",'Beállítások'!$E$21*(10-Q93))</f>
        <v/>
      </c>
      <c r="DH93">
        <f>IF($A93="","",'Beállítások'!$E$22*(10-R93))</f>
        <v/>
      </c>
      <c r="DI93">
        <f>IF($A93="","",'Beállítások'!$E$23*(10-S93))</f>
        <v/>
      </c>
      <c r="DJ93">
        <f>IF($A93="","",'Beállítások'!$E$24*(10-T93))</f>
        <v/>
      </c>
      <c r="DK93">
        <f>IF($A93="","",'Beállítások'!$E$25*(10-U93))</f>
        <v/>
      </c>
      <c r="DL93">
        <f>IF($A93="","",'Beállítások'!$E$26*(10-V93))</f>
        <v/>
      </c>
      <c r="DM93">
        <f>IF($A93="","",'Beállítások'!$E$27*(10-W93))</f>
        <v/>
      </c>
      <c r="DN93">
        <f>IF($A93="","",'Beállítások'!$E$28*(10-X93))</f>
        <v/>
      </c>
      <c r="DO93">
        <f>IF($A93="","",'Beállítások'!$E$29*(10-Y93))</f>
        <v/>
      </c>
      <c r="DP93">
        <f>IF($A93="","",'Beállítások'!$E$30*(10-Z93))</f>
        <v/>
      </c>
      <c r="DQ93">
        <f>IF($A93="","",'Beállítások'!$E$31*(10-AA93))</f>
        <v/>
      </c>
      <c r="DR93">
        <f>IF($A93="","",'Beállítások'!$E$32*(10-AB93))</f>
        <v/>
      </c>
      <c r="DS93">
        <f>IF($A93="","",'Beállítások'!$E$33*(10-AC93))</f>
        <v/>
      </c>
      <c r="DT93">
        <f>IF($A93="","",'Beállítások'!$E$34*(10-AD93))</f>
        <v/>
      </c>
      <c r="DU93">
        <f>IF($A93="","",'Beállítások'!$E$35*(10-AE93))</f>
        <v/>
      </c>
      <c r="DV93">
        <f>IF($A93="","",'Beállítások'!$E$36*(10-AF93))</f>
        <v/>
      </c>
      <c r="DW93">
        <f>IF($A93="","",'Beállítások'!$E$37*(10-AG93))</f>
        <v/>
      </c>
      <c r="DX93">
        <f>IF($A93="","",'Beállítások'!$E$38*(10-AH93))</f>
        <v/>
      </c>
      <c r="DY93">
        <f>IF($A93="","",AM93-ROW()/100000)</f>
        <v/>
      </c>
    </row>
    <row r="94">
      <c r="A94">
        <f>IF('Ügyfelek'!A94="","",'Ügyfelek'!A94)</f>
        <v/>
      </c>
      <c r="B94">
        <f>IF($A94="","",IF('Ügyfelek'!B94="",'Beállítások'!$B$84,IFERROR(VLOOKUP(TRIM('Ügyfelek'!B94),'Beállítások'!$A$51:$B$59,2,FALSE),'Beállítások'!$B$84)))</f>
        <v/>
      </c>
      <c r="C94">
        <f>IF($A94="","",IF('Ügyfelek'!C94="",'Beállítások'!$B$84,MIN(10,MAX(1,ROUND('Ügyfelek'!C94,0)))))</f>
        <v/>
      </c>
      <c r="D94">
        <f>IF($A94="","",IF('Ügyfelek'!D94="",'Beállítások'!$B$84,MIN(10,MAX(1,ROUND('Ügyfelek'!D94,0)))))</f>
        <v/>
      </c>
      <c r="E94">
        <f>IF($A94="","",IF('Ügyfelek'!E94="",'Beállítások'!$B$84,MIN(10,MAX(1,ROUND('Ügyfelek'!E94,0)))))</f>
        <v/>
      </c>
      <c r="F94">
        <f>IF($A94="","",IF('Ügyfelek'!F94="",'Beállítások'!$B$84,MIN(10,MAX(1,ROUND('Ügyfelek'!F94,0)))))</f>
        <v/>
      </c>
      <c r="G94">
        <f>IF($A94="","",IF('Ügyfelek'!G94="",'Beállítások'!$B$84,MIN(10,MAX(1,ROUND('Ügyfelek'!G94,0)))))</f>
        <v/>
      </c>
      <c r="H94">
        <f>IF($A94="","",IF('Ügyfelek'!H94="",'Beállítások'!$B$84,MIN(10,MAX(1,ROUND('Ügyfelek'!H94,0)))))</f>
        <v/>
      </c>
      <c r="I94">
        <f>IF($A94="","",IF('Ügyfelek'!I94="",'Beállítások'!$B$84,MIN(10,MAX(1,ROUND('Ügyfelek'!I94,0)))))</f>
        <v/>
      </c>
      <c r="J94">
        <f>IF($A94="","",IF('Ügyfelek'!J94="",'Beállítások'!$B$84,MIN(10,MAX(1,ROUND('Ügyfelek'!J94,0)))))</f>
        <v/>
      </c>
      <c r="K94">
        <f>IF($A94="","",IF('Ügyfelek'!K94="",'Beállítások'!$B$84,MIN(10,MAX(1,ROUND('Ügyfelek'!K94,0)))))</f>
        <v/>
      </c>
      <c r="L94">
        <f>IF($A94="","",IF('Ügyfelek'!L94="",'Beállítások'!$B$84,MIN(10,MAX(1,ROUND('Ügyfelek'!L94,0)))))</f>
        <v/>
      </c>
      <c r="M94">
        <f>IF($A94="","",IF('Ügyfelek'!M94="",'Beállítások'!$B$84,MIN(10,MAX(1,ROUND('Ügyfelek'!M94,0)))))</f>
        <v/>
      </c>
      <c r="N94">
        <f>IF($A94="","",IF('Ügyfelek'!N94="",'Beállítások'!$B$84,MIN(10,MAX(1,ROUND('Ügyfelek'!N94,0)))))</f>
        <v/>
      </c>
      <c r="O94">
        <f>IF($A94="","",IF('Ügyfelek'!O94="",'Beállítások'!$B$84,MIN(10,MAX(1,ROUND('Ügyfelek'!O94,0)))))</f>
        <v/>
      </c>
      <c r="P94">
        <f>IF($A94="","",IF('Ügyfelek'!P94="",'Beállítások'!$B$84,MIN(10,MAX(1,ROUND('Ügyfelek'!P94,0)))))</f>
        <v/>
      </c>
      <c r="Q94">
        <f>IF($A94="","",IF('Ügyfelek'!Q94="",'Beállítások'!$B$84,MIN(10,MAX(1,ROUND('Ügyfelek'!Q94,0)))))</f>
        <v/>
      </c>
      <c r="R94">
        <f>IF($A94="","",IF('Ügyfelek'!R94="",'Beállítások'!$B$84,MIN(10,MAX(1,ROUND('Ügyfelek'!R94,0)))))</f>
        <v/>
      </c>
      <c r="S94">
        <f>IF($A94="","",IF('Ügyfelek'!S94="",'Beállítások'!$B$84,MIN(10,MAX(1,ROUND('Ügyfelek'!S94,0)))))</f>
        <v/>
      </c>
      <c r="T94">
        <f>IF($A94="","",IF('Ügyfelek'!T94="",'Beállítások'!$B$84,VLOOKUP(MAX('Ügyfelek'!T94,'Beállítások'!$H$7),'Beállítások'!$H$7:$I$12,2,TRUE)))</f>
        <v/>
      </c>
      <c r="U94">
        <f>IF($A94="","",IF('Ügyfelek'!U94="",'Beállítások'!$B$84,VLOOKUP(MAX('Ügyfelek'!U94,'Beállítások'!$K$7),'Beállítások'!$K$7:$L$12,2,TRUE)))</f>
        <v/>
      </c>
      <c r="V94">
        <f>IF($A94="","",IF('Ügyfelek'!V94="",'Beállítások'!$B$84,MIN(10,MAX(1,ROUND('Ügyfelek'!V94,0)))))</f>
        <v/>
      </c>
      <c r="W94">
        <f>IF($A94="","",IF('Ügyfelek'!W94="",'Beállítások'!$B$84,VLOOKUP(MAX('Ügyfelek'!W94,'Beállítások'!$N$7),'Beállítások'!$N$7:$O$12,2,TRUE)))</f>
        <v/>
      </c>
      <c r="X94">
        <f>IF($A94="","",IF('Ügyfelek'!X94="",'Beállítások'!$B$84,MIN(10,MAX(1,ROUND('Ügyfelek'!X94,0)))))</f>
        <v/>
      </c>
      <c r="Y94">
        <f>IF($A94="","",IF('Ügyfelek'!Y94="",'Beállítások'!$B$84,IFERROR(VLOOKUP(TRIM('Ügyfelek'!Y94),'Beállítások'!$A$63:$B$69,2,FALSE),'Beállítások'!$B$84)))</f>
        <v/>
      </c>
      <c r="Z94">
        <f>IF($A94="","",IF('Ügyfelek'!Z94="",'Beállítások'!$B$84,VLOOKUP(MAX('Ügyfelek'!Z94,'Beállítások'!$Q$7),'Beállítások'!$Q$7:$R$12,2,TRUE)))</f>
        <v/>
      </c>
      <c r="AA94">
        <f>IF($A94="","",IF('Ügyfelek'!AA94="",'Beállítások'!$B$84,VLOOKUP(MAX('Ügyfelek'!AA94,'Beállítások'!$T$7),'Beállítások'!$T$7:$U$12,2,TRUE)))</f>
        <v/>
      </c>
      <c r="AB94">
        <f>IF($A94="","",IF('Ügyfelek'!AB94="",'Beállítások'!$B$84,MIN(10,MAX(1,ROUND('Ügyfelek'!AB94,0)))))</f>
        <v/>
      </c>
      <c r="AC94">
        <f>IF($A94="","",IF('Ügyfelek'!AC94="",'Beállítások'!$B$84,MIN(10,MAX(1,ROUND('Ügyfelek'!AC94,0)))))</f>
        <v/>
      </c>
      <c r="AD94">
        <f>IF($A94="","",IF('Ügyfelek'!AD94="",'Beállítások'!$B$84,MIN(10,MAX(1,ROUND('Ügyfelek'!AD94,0)))))</f>
        <v/>
      </c>
      <c r="AE94">
        <f>IF($A94="","",IF('Ügyfelek'!AE94="",'Beállítások'!$B$84,MIN(10,MAX(1,ROUND('Ügyfelek'!AE94,0)))))</f>
        <v/>
      </c>
      <c r="AF94">
        <f>IF($A94="","",IF('Ügyfelek'!AF94="",'Beállítások'!$B$84,MIN(10,MAX(1,ROUND('Ügyfelek'!AF94,0)))))</f>
        <v/>
      </c>
      <c r="AG94">
        <f>IF($A94="","",IF('Ügyfelek'!AG94="",'Beállítások'!$B$84,MIN(10,MAX(1,ROUND('Ügyfelek'!AG94,0)))))</f>
        <v/>
      </c>
      <c r="AH94">
        <f>IF($A94="","",IF('Ügyfelek'!AH94="",'Beállítások'!$B$84,IFERROR(VLOOKUP(TRIM('Ügyfelek'!AH94),'Beállítások'!$A$73:$B$79,2,FALSE),'Beállítások'!$B$84)))</f>
        <v/>
      </c>
      <c r="AI94" s="23">
        <f>IF($A94="","",ROUND(100*('Beállítások'!$E$6*(B94-1)+'Beállítások'!$E$7*(C94-1))/(9*'Beállítások'!$B$43),1))</f>
        <v/>
      </c>
      <c r="AJ94" s="23">
        <f>IF($A94="","",ROUND(100*('Beállítások'!$E$8*(D94-1)+'Beállítások'!$E$9*(E94-1)+'Beállítások'!$E$10*(F94-1)+'Beállítások'!$E$11*(G94-1)+'Beállítások'!$E$12*(H94-1)+'Beállítások'!$E$13*(I94-1)+'Beállítások'!$E$14*(J94-1)+'Beállítások'!$E$15*(K94-1)+'Beállítások'!$E$16*(L94-1)+'Beállítások'!$E$17*(M94-1)+'Beállítások'!$E$18*(N94-1)+'Beállítások'!$E$19*(O94-1)+'Beállítások'!$E$20*(P94-1)+'Beállítások'!$E$21*(Q94-1)+'Beállítások'!$E$22*(R94-1))/(9*'Beállítások'!$B$44),1))</f>
        <v/>
      </c>
      <c r="AK94" s="23">
        <f>IF($A94="","",ROUND(100*('Beállítások'!$E$23*(S94-1)+'Beállítások'!$E$24*(T94-1)+'Beállítások'!$E$25*(U94-1)+'Beállítások'!$E$26*(V94-1)+'Beállítások'!$E$27*(W94-1)+'Beállítások'!$E$28*(X94-1)+'Beállítások'!$E$29*(Y94-1))/(9*'Beállítások'!$B$45),1))</f>
        <v/>
      </c>
      <c r="AL94" s="23">
        <f>IF($A94="","",ROUND(100*('Beállítások'!$E$30*(Z94-1)+'Beállítások'!$E$31*(AA94-1)+'Beállítások'!$E$32*(AB94-1)+'Beállítások'!$E$33*(AC94-1)+'Beállítások'!$E$34*(AD94-1)+'Beállítások'!$E$35*(AE94-1)+'Beállítások'!$E$36*(AF94-1)+'Beállítások'!$E$37*(AG94-1)+'Beállítások'!$E$38*(AH94-1))/(9*'Beállítások'!$B$46),1))</f>
        <v/>
      </c>
      <c r="AM94" s="23">
        <f>IF($A94="","",ROUND(100*('Beállítások'!$E$6*(B94-1)+'Beállítások'!$E$7*(C94-1)+'Beállítások'!$E$8*(D94-1)+'Beállítások'!$E$9*(E94-1)+'Beállítások'!$E$10*(F94-1)+'Beállítások'!$E$11*(G94-1)+'Beállítások'!$E$12*(H94-1)+'Beállítások'!$E$13*(I94-1)+'Beállítások'!$E$14*(J94-1)+'Beállítások'!$E$15*(K94-1)+'Beállítások'!$E$16*(L94-1)+'Beállítások'!$E$17*(M94-1)+'Beállítások'!$E$18*(N94-1)+'Beállítások'!$E$19*(O94-1)+'Beállítások'!$E$20*(P94-1)+'Beállítások'!$E$21*(Q94-1)+'Beállítások'!$E$22*(R94-1)+'Beállítások'!$E$23*(S94-1)+'Beállítások'!$E$24*(T94-1)+'Beállítások'!$E$25*(U94-1)+'Beállítások'!$E$26*(V94-1)+'Beállítások'!$E$27*(W94-1)+'Beállítások'!$E$28*(X94-1)+'Beállítások'!$E$29*(Y94-1)+'Beállítások'!$E$30*(Z94-1)+'Beállítások'!$E$31*(AA94-1)+'Beállítások'!$E$32*(AB94-1)+'Beállítások'!$E$33*(AC94-1)+'Beállítások'!$E$34*(AD94-1)+'Beállítások'!$E$35*(AE94-1)+'Beállítások'!$E$36*(AF94-1)+'Beállítások'!$E$37*(AG94-1)+'Beállítások'!$E$38*(AH94-1))/(9*'Beállítások'!$E$39),1))</f>
        <v/>
      </c>
      <c r="AN94" s="23">
        <f>IF($A94="","",ROUND(100*('Beállítások'!$E$8*(D94-1)+'Beállítások'!$E$9*(E94-1)+'Beállítások'!$E$10*(F94-1)+'Beállítások'!$E$11*(G94-1)+'Beállítások'!$E$12*(H94-1)+'Beállítások'!$E$13*(I94-1)+'Beállítások'!$E$14*(J94-1)+'Beállítások'!$E$15*(K94-1)+'Beállítások'!$E$16*(L94-1)+'Beállítások'!$E$17*(M94-1)+'Beállítások'!$E$18*(N94-1)+'Beállítások'!$E$19*(O94-1)+'Beállítások'!$E$20*(P94-1)+'Beállítások'!$E$21*(Q94-1)+'Beállítások'!$E$22*(R94-1)+'Beállítások'!$E$23*(S94-1)+'Beállítások'!$E$24*(T94-1)+'Beállítások'!$E$25*(U94-1)+'Beállítások'!$E$26*(V94-1)+'Beállítások'!$E$27*(W94-1)+'Beállítások'!$E$28*(X94-1)+'Beállítások'!$E$29*(Y94-1))/(9*('Beállítások'!$B$44+'Beállítások'!$B$45)),1))</f>
        <v/>
      </c>
      <c r="AO94" s="24">
        <f>IF($A94="","",RANK(AM94,$AM$2:$AM$201))</f>
        <v/>
      </c>
      <c r="AP94">
        <f>IF($A94="","",IF(OR(AND('Ügyfelek'!B94&lt;&gt;"",B94&lt;='Beállítások'!$B$85),AND('Ügyfelek'!C94&lt;&gt;"",C94&lt;='Beállítások'!$B$86)),"Igen","Nem"))</f>
        <v/>
      </c>
      <c r="AQ94" s="24">
        <f>IF($A94="","",IF(AP94="Igen",5,IF(AN94&gt;='Beállítások'!$C$108,1,IF(AN94&gt;='Beállítások'!$C$109,2,IF(AN94&gt;='Beállítások'!$C$110,3,IF(AND(AN94&gt;='Beállítások'!$B$87,AI94&gt;='Beállítások'!$B$88,AL94&gt;='Beállítások'!$B$89),4,5))))))</f>
        <v/>
      </c>
      <c r="AR94">
        <f>IF($A94="","",INDEX('Beállítások'!$B$108:$B$112,AQ94))</f>
        <v/>
      </c>
      <c r="AS94">
        <f>IF($A94="","",IF(AQ94=5,"Elutasítjuk",IF(AND(AQ94=4,COUNTIFS('Eredmény'!$AQ$2:$AQ$201,4,'Eredmény'!$DY$2:$DY$201,"&gt;"&amp;DY94)&gt;='Beállítások'!$B$90),"Várólista (a 4-es hely foglalt)","Elfogadjuk")))</f>
        <v/>
      </c>
      <c r="AT94">
        <f>IF($A94="","",INDEX('Beállítások'!$F$108:$F$112,AQ94))</f>
        <v/>
      </c>
      <c r="AU94">
        <f>IF($A94="","",INDEX('Beállítások'!$B$6:$B$38,MATCH(MAX(BK94:CQ94),BK94:CQ94,0)))</f>
        <v/>
      </c>
      <c r="AV94">
        <f>IF($A94="","",IF(MAX(CR94:DX94)=0,"—",INDEX('Beállítások'!$B$6:$B$38,MATCH(MAX(CR94:DX94),CR94:DX94,0))))</f>
        <v/>
      </c>
      <c r="AW94" s="10">
        <f>IF($A94="","",'Beállítások'!$B$94*(TRIM('Ügyfelek'!AI94)="igen")+'Beállítások'!$B$95*(TRIM('Ügyfelek'!AJ94)="igen")+'Beállítások'!$B$96*N('Ügyfelek'!AK94)+'Beállítások'!$B$93*N('Ügyfelek'!AL94))</f>
        <v/>
      </c>
      <c r="AX94" s="25">
        <f>IF(OR($A94="",AQ94=5),"",INDEX('Beállítások'!$D$108:$D$112,AQ94))</f>
        <v/>
      </c>
      <c r="AY94" s="10">
        <f>IF($A94="","",N('Ügyfelek'!U94)*'Beállítások'!$B$98)</f>
        <v/>
      </c>
      <c r="AZ94" s="10">
        <f>IF(OR($A94="",AQ94=5),"",CEILING(ROUND(MAX('Beállítások'!$B$97,AW94*AX94,AY94),2),'Beállítások'!$B$99))</f>
        <v/>
      </c>
      <c r="BA94">
        <f>IF($A94="","",IF(AQ94=5,"Elutasítva",IF(MAX('Beállítások'!$B$97,AW94*AX94,AY94)=AW94*AX94,"Munkaigény × státuszszorzó",IF(MAX('Beállítások'!$B$97,AW94*AX94,AY94)=AY94,"Hirdetési keret arányában","Minimumdíj"))))</f>
        <v/>
      </c>
      <c r="BB94" s="10">
        <f>IF(OR($A94="",'Ügyfelek'!AM94=""),"",'Ügyfelek'!AM94)</f>
        <v/>
      </c>
      <c r="BC94" s="10">
        <f>IF(OR(BB94="",AZ94=""),"",AZ94-BB94)</f>
        <v/>
      </c>
      <c r="BD94" s="18">
        <f>IF(OR(BB94="",AZ94="",BB94=0),"",BC94/BB94)</f>
        <v/>
      </c>
      <c r="BE94">
        <f>IF(OR($A94="",AQ94=5),"",IF(AND(INDEX('Beállítások'!$E$108:$E$112,AQ94)&gt;0,Y94&gt;='Beállítások'!$B$91),"Igen","Nem"))</f>
        <v/>
      </c>
      <c r="BF94" s="10">
        <f>IF(BE94="Igen",CEILING(ROUND(AZ94*(1-'Beállítások'!$B$92),2),'Beállítások'!$B$99),"")</f>
        <v/>
      </c>
      <c r="BG94" s="20">
        <f>IF(BE94="Igen",INDEX('Beállítások'!$E$108:$E$112,AQ94),"")</f>
        <v/>
      </c>
      <c r="BH94" s="10">
        <f>IF(OR(BE94&lt;&gt;"Igen",'Ügyfelek'!AN94=""),"",'Ügyfelek'!AN94*BG94)</f>
        <v/>
      </c>
      <c r="BI94" s="24">
        <f>IF($A94="","",('Ügyfelek'!B94="")+('Ügyfelek'!C94="")+('Ügyfelek'!D94="")+('Ügyfelek'!E94="")+('Ügyfelek'!F94="")+('Ügyfelek'!G94="")+('Ügyfelek'!H94="")+('Ügyfelek'!I94="")+('Ügyfelek'!J94="")+('Ügyfelek'!K94="")+('Ügyfelek'!L94="")+('Ügyfelek'!M94="")+('Ügyfelek'!N94="")+('Ügyfelek'!O94="")+('Ügyfelek'!P94="")+('Ügyfelek'!Q94="")+('Ügyfelek'!R94="")+('Ügyfelek'!S94="")+('Ügyfelek'!T94="")+('Ügyfelek'!U94="")+('Ügyfelek'!V94="")+('Ügyfelek'!W94="")+('Ügyfelek'!X94="")+('Ügyfelek'!Y94="")+('Ügyfelek'!Z94="")+('Ügyfelek'!AA94="")+('Ügyfelek'!AB94="")+('Ügyfelek'!AC94="")+('Ügyfelek'!AD94="")+('Ügyfelek'!AE94="")+('Ügyfelek'!AF94="")+('Ügyfelek'!AG94="")+('Ügyfelek'!AH94=""))</f>
        <v/>
      </c>
      <c r="BK94">
        <f>IF($A94="","",B94+'Beállítások'!$E$6/1000)</f>
        <v/>
      </c>
      <c r="BL94">
        <f>IF($A94="","",C94+'Beállítások'!$E$7/1000)</f>
        <v/>
      </c>
      <c r="BM94">
        <f>IF($A94="","",D94+'Beállítások'!$E$8/1000)</f>
        <v/>
      </c>
      <c r="BN94">
        <f>IF($A94="","",E94+'Beállítások'!$E$9/1000)</f>
        <v/>
      </c>
      <c r="BO94">
        <f>IF($A94="","",F94+'Beállítások'!$E$10/1000)</f>
        <v/>
      </c>
      <c r="BP94">
        <f>IF($A94="","",G94+'Beállítások'!$E$11/1000)</f>
        <v/>
      </c>
      <c r="BQ94">
        <f>IF($A94="","",H94+'Beállítások'!$E$12/1000)</f>
        <v/>
      </c>
      <c r="BR94">
        <f>IF($A94="","",I94+'Beállítások'!$E$13/1000)</f>
        <v/>
      </c>
      <c r="BS94">
        <f>IF($A94="","",J94+'Beállítások'!$E$14/1000)</f>
        <v/>
      </c>
      <c r="BT94">
        <f>IF($A94="","",K94+'Beállítások'!$E$15/1000)</f>
        <v/>
      </c>
      <c r="BU94">
        <f>IF($A94="","",L94+'Beállítások'!$E$16/1000)</f>
        <v/>
      </c>
      <c r="BV94">
        <f>IF($A94="","",M94+'Beállítások'!$E$17/1000)</f>
        <v/>
      </c>
      <c r="BW94">
        <f>IF($A94="","",N94+'Beállítások'!$E$18/1000)</f>
        <v/>
      </c>
      <c r="BX94">
        <f>IF($A94="","",O94+'Beállítások'!$E$19/1000)</f>
        <v/>
      </c>
      <c r="BY94">
        <f>IF($A94="","",P94+'Beállítások'!$E$20/1000)</f>
        <v/>
      </c>
      <c r="BZ94">
        <f>IF($A94="","",Q94+'Beállítások'!$E$21/1000)</f>
        <v/>
      </c>
      <c r="CA94">
        <f>IF($A94="","",R94+'Beállítások'!$E$22/1000)</f>
        <v/>
      </c>
      <c r="CB94">
        <f>IF($A94="","",S94+'Beállítások'!$E$23/1000)</f>
        <v/>
      </c>
      <c r="CC94">
        <f>IF($A94="","",T94+'Beállítások'!$E$24/1000)</f>
        <v/>
      </c>
      <c r="CD94">
        <f>IF($A94="","",U94+'Beállítások'!$E$25/1000)</f>
        <v/>
      </c>
      <c r="CE94">
        <f>IF($A94="","",V94+'Beállítások'!$E$26/1000)</f>
        <v/>
      </c>
      <c r="CF94">
        <f>IF($A94="","",W94+'Beállítások'!$E$27/1000)</f>
        <v/>
      </c>
      <c r="CG94">
        <f>IF($A94="","",X94+'Beállítások'!$E$28/1000)</f>
        <v/>
      </c>
      <c r="CH94">
        <f>IF($A94="","",Y94+'Beállítások'!$E$29/1000)</f>
        <v/>
      </c>
      <c r="CI94">
        <f>IF($A94="","",Z94+'Beállítások'!$E$30/1000)</f>
        <v/>
      </c>
      <c r="CJ94">
        <f>IF($A94="","",AA94+'Beállítások'!$E$31/1000)</f>
        <v/>
      </c>
      <c r="CK94">
        <f>IF($A94="","",AB94+'Beállítások'!$E$32/1000)</f>
        <v/>
      </c>
      <c r="CL94">
        <f>IF($A94="","",AC94+'Beállítások'!$E$33/1000)</f>
        <v/>
      </c>
      <c r="CM94">
        <f>IF($A94="","",AD94+'Beállítások'!$E$34/1000)</f>
        <v/>
      </c>
      <c r="CN94">
        <f>IF($A94="","",AE94+'Beállítások'!$E$35/1000)</f>
        <v/>
      </c>
      <c r="CO94">
        <f>IF($A94="","",AF94+'Beállítások'!$E$36/1000)</f>
        <v/>
      </c>
      <c r="CP94">
        <f>IF($A94="","",AG94+'Beállítások'!$E$37/1000)</f>
        <v/>
      </c>
      <c r="CQ94">
        <f>IF($A94="","",AH94+'Beállítások'!$E$38/1000)</f>
        <v/>
      </c>
      <c r="CR94">
        <f>IF($A94="","",'Beállítások'!$E$6*(10-B94))</f>
        <v/>
      </c>
      <c r="CS94">
        <f>IF($A94="","",'Beállítások'!$E$7*(10-C94))</f>
        <v/>
      </c>
      <c r="CT94">
        <f>IF($A94="","",'Beállítások'!$E$8*(10-D94))</f>
        <v/>
      </c>
      <c r="CU94">
        <f>IF($A94="","",'Beállítások'!$E$9*(10-E94))</f>
        <v/>
      </c>
      <c r="CV94">
        <f>IF($A94="","",'Beállítások'!$E$10*(10-F94))</f>
        <v/>
      </c>
      <c r="CW94">
        <f>IF($A94="","",'Beállítások'!$E$11*(10-G94))</f>
        <v/>
      </c>
      <c r="CX94">
        <f>IF($A94="","",'Beállítások'!$E$12*(10-H94))</f>
        <v/>
      </c>
      <c r="CY94">
        <f>IF($A94="","",'Beállítások'!$E$13*(10-I94))</f>
        <v/>
      </c>
      <c r="CZ94">
        <f>IF($A94="","",'Beállítások'!$E$14*(10-J94))</f>
        <v/>
      </c>
      <c r="DA94">
        <f>IF($A94="","",'Beállítások'!$E$15*(10-K94))</f>
        <v/>
      </c>
      <c r="DB94">
        <f>IF($A94="","",'Beállítások'!$E$16*(10-L94))</f>
        <v/>
      </c>
      <c r="DC94">
        <f>IF($A94="","",'Beállítások'!$E$17*(10-M94))</f>
        <v/>
      </c>
      <c r="DD94">
        <f>IF($A94="","",'Beállítások'!$E$18*(10-N94))</f>
        <v/>
      </c>
      <c r="DE94">
        <f>IF($A94="","",'Beállítások'!$E$19*(10-O94))</f>
        <v/>
      </c>
      <c r="DF94">
        <f>IF($A94="","",'Beállítások'!$E$20*(10-P94))</f>
        <v/>
      </c>
      <c r="DG94">
        <f>IF($A94="","",'Beállítások'!$E$21*(10-Q94))</f>
        <v/>
      </c>
      <c r="DH94">
        <f>IF($A94="","",'Beállítások'!$E$22*(10-R94))</f>
        <v/>
      </c>
      <c r="DI94">
        <f>IF($A94="","",'Beállítások'!$E$23*(10-S94))</f>
        <v/>
      </c>
      <c r="DJ94">
        <f>IF($A94="","",'Beállítások'!$E$24*(10-T94))</f>
        <v/>
      </c>
      <c r="DK94">
        <f>IF($A94="","",'Beállítások'!$E$25*(10-U94))</f>
        <v/>
      </c>
      <c r="DL94">
        <f>IF($A94="","",'Beállítások'!$E$26*(10-V94))</f>
        <v/>
      </c>
      <c r="DM94">
        <f>IF($A94="","",'Beállítások'!$E$27*(10-W94))</f>
        <v/>
      </c>
      <c r="DN94">
        <f>IF($A94="","",'Beállítások'!$E$28*(10-X94))</f>
        <v/>
      </c>
      <c r="DO94">
        <f>IF($A94="","",'Beállítások'!$E$29*(10-Y94))</f>
        <v/>
      </c>
      <c r="DP94">
        <f>IF($A94="","",'Beállítások'!$E$30*(10-Z94))</f>
        <v/>
      </c>
      <c r="DQ94">
        <f>IF($A94="","",'Beállítások'!$E$31*(10-AA94))</f>
        <v/>
      </c>
      <c r="DR94">
        <f>IF($A94="","",'Beállítások'!$E$32*(10-AB94))</f>
        <v/>
      </c>
      <c r="DS94">
        <f>IF($A94="","",'Beállítások'!$E$33*(10-AC94))</f>
        <v/>
      </c>
      <c r="DT94">
        <f>IF($A94="","",'Beállítások'!$E$34*(10-AD94))</f>
        <v/>
      </c>
      <c r="DU94">
        <f>IF($A94="","",'Beállítások'!$E$35*(10-AE94))</f>
        <v/>
      </c>
      <c r="DV94">
        <f>IF($A94="","",'Beállítások'!$E$36*(10-AF94))</f>
        <v/>
      </c>
      <c r="DW94">
        <f>IF($A94="","",'Beállítások'!$E$37*(10-AG94))</f>
        <v/>
      </c>
      <c r="DX94">
        <f>IF($A94="","",'Beállítások'!$E$38*(10-AH94))</f>
        <v/>
      </c>
      <c r="DY94">
        <f>IF($A94="","",AM94-ROW()/100000)</f>
        <v/>
      </c>
    </row>
    <row r="95">
      <c r="A95">
        <f>IF('Ügyfelek'!A95="","",'Ügyfelek'!A95)</f>
        <v/>
      </c>
      <c r="B95">
        <f>IF($A95="","",IF('Ügyfelek'!B95="",'Beállítások'!$B$84,IFERROR(VLOOKUP(TRIM('Ügyfelek'!B95),'Beállítások'!$A$51:$B$59,2,FALSE),'Beállítások'!$B$84)))</f>
        <v/>
      </c>
      <c r="C95">
        <f>IF($A95="","",IF('Ügyfelek'!C95="",'Beállítások'!$B$84,MIN(10,MAX(1,ROUND('Ügyfelek'!C95,0)))))</f>
        <v/>
      </c>
      <c r="D95">
        <f>IF($A95="","",IF('Ügyfelek'!D95="",'Beállítások'!$B$84,MIN(10,MAX(1,ROUND('Ügyfelek'!D95,0)))))</f>
        <v/>
      </c>
      <c r="E95">
        <f>IF($A95="","",IF('Ügyfelek'!E95="",'Beállítások'!$B$84,MIN(10,MAX(1,ROUND('Ügyfelek'!E95,0)))))</f>
        <v/>
      </c>
      <c r="F95">
        <f>IF($A95="","",IF('Ügyfelek'!F95="",'Beállítások'!$B$84,MIN(10,MAX(1,ROUND('Ügyfelek'!F95,0)))))</f>
        <v/>
      </c>
      <c r="G95">
        <f>IF($A95="","",IF('Ügyfelek'!G95="",'Beállítások'!$B$84,MIN(10,MAX(1,ROUND('Ügyfelek'!G95,0)))))</f>
        <v/>
      </c>
      <c r="H95">
        <f>IF($A95="","",IF('Ügyfelek'!H95="",'Beállítások'!$B$84,MIN(10,MAX(1,ROUND('Ügyfelek'!H95,0)))))</f>
        <v/>
      </c>
      <c r="I95">
        <f>IF($A95="","",IF('Ügyfelek'!I95="",'Beállítások'!$B$84,MIN(10,MAX(1,ROUND('Ügyfelek'!I95,0)))))</f>
        <v/>
      </c>
      <c r="J95">
        <f>IF($A95="","",IF('Ügyfelek'!J95="",'Beállítások'!$B$84,MIN(10,MAX(1,ROUND('Ügyfelek'!J95,0)))))</f>
        <v/>
      </c>
      <c r="K95">
        <f>IF($A95="","",IF('Ügyfelek'!K95="",'Beállítások'!$B$84,MIN(10,MAX(1,ROUND('Ügyfelek'!K95,0)))))</f>
        <v/>
      </c>
      <c r="L95">
        <f>IF($A95="","",IF('Ügyfelek'!L95="",'Beállítások'!$B$84,MIN(10,MAX(1,ROUND('Ügyfelek'!L95,0)))))</f>
        <v/>
      </c>
      <c r="M95">
        <f>IF($A95="","",IF('Ügyfelek'!M95="",'Beállítások'!$B$84,MIN(10,MAX(1,ROUND('Ügyfelek'!M95,0)))))</f>
        <v/>
      </c>
      <c r="N95">
        <f>IF($A95="","",IF('Ügyfelek'!N95="",'Beállítások'!$B$84,MIN(10,MAX(1,ROUND('Ügyfelek'!N95,0)))))</f>
        <v/>
      </c>
      <c r="O95">
        <f>IF($A95="","",IF('Ügyfelek'!O95="",'Beállítások'!$B$84,MIN(10,MAX(1,ROUND('Ügyfelek'!O95,0)))))</f>
        <v/>
      </c>
      <c r="P95">
        <f>IF($A95="","",IF('Ügyfelek'!P95="",'Beállítások'!$B$84,MIN(10,MAX(1,ROUND('Ügyfelek'!P95,0)))))</f>
        <v/>
      </c>
      <c r="Q95">
        <f>IF($A95="","",IF('Ügyfelek'!Q95="",'Beállítások'!$B$84,MIN(10,MAX(1,ROUND('Ügyfelek'!Q95,0)))))</f>
        <v/>
      </c>
      <c r="R95">
        <f>IF($A95="","",IF('Ügyfelek'!R95="",'Beállítások'!$B$84,MIN(10,MAX(1,ROUND('Ügyfelek'!R95,0)))))</f>
        <v/>
      </c>
      <c r="S95">
        <f>IF($A95="","",IF('Ügyfelek'!S95="",'Beállítások'!$B$84,MIN(10,MAX(1,ROUND('Ügyfelek'!S95,0)))))</f>
        <v/>
      </c>
      <c r="T95">
        <f>IF($A95="","",IF('Ügyfelek'!T95="",'Beállítások'!$B$84,VLOOKUP(MAX('Ügyfelek'!T95,'Beállítások'!$H$7),'Beállítások'!$H$7:$I$12,2,TRUE)))</f>
        <v/>
      </c>
      <c r="U95">
        <f>IF($A95="","",IF('Ügyfelek'!U95="",'Beállítások'!$B$84,VLOOKUP(MAX('Ügyfelek'!U95,'Beállítások'!$K$7),'Beállítások'!$K$7:$L$12,2,TRUE)))</f>
        <v/>
      </c>
      <c r="V95">
        <f>IF($A95="","",IF('Ügyfelek'!V95="",'Beállítások'!$B$84,MIN(10,MAX(1,ROUND('Ügyfelek'!V95,0)))))</f>
        <v/>
      </c>
      <c r="W95">
        <f>IF($A95="","",IF('Ügyfelek'!W95="",'Beállítások'!$B$84,VLOOKUP(MAX('Ügyfelek'!W95,'Beállítások'!$N$7),'Beállítások'!$N$7:$O$12,2,TRUE)))</f>
        <v/>
      </c>
      <c r="X95">
        <f>IF($A95="","",IF('Ügyfelek'!X95="",'Beállítások'!$B$84,MIN(10,MAX(1,ROUND('Ügyfelek'!X95,0)))))</f>
        <v/>
      </c>
      <c r="Y95">
        <f>IF($A95="","",IF('Ügyfelek'!Y95="",'Beállítások'!$B$84,IFERROR(VLOOKUP(TRIM('Ügyfelek'!Y95),'Beállítások'!$A$63:$B$69,2,FALSE),'Beállítások'!$B$84)))</f>
        <v/>
      </c>
      <c r="Z95">
        <f>IF($A95="","",IF('Ügyfelek'!Z95="",'Beállítások'!$B$84,VLOOKUP(MAX('Ügyfelek'!Z95,'Beállítások'!$Q$7),'Beállítások'!$Q$7:$R$12,2,TRUE)))</f>
        <v/>
      </c>
      <c r="AA95">
        <f>IF($A95="","",IF('Ügyfelek'!AA95="",'Beállítások'!$B$84,VLOOKUP(MAX('Ügyfelek'!AA95,'Beállítások'!$T$7),'Beállítások'!$T$7:$U$12,2,TRUE)))</f>
        <v/>
      </c>
      <c r="AB95">
        <f>IF($A95="","",IF('Ügyfelek'!AB95="",'Beállítások'!$B$84,MIN(10,MAX(1,ROUND('Ügyfelek'!AB95,0)))))</f>
        <v/>
      </c>
      <c r="AC95">
        <f>IF($A95="","",IF('Ügyfelek'!AC95="",'Beállítások'!$B$84,MIN(10,MAX(1,ROUND('Ügyfelek'!AC95,0)))))</f>
        <v/>
      </c>
      <c r="AD95">
        <f>IF($A95="","",IF('Ügyfelek'!AD95="",'Beállítások'!$B$84,MIN(10,MAX(1,ROUND('Ügyfelek'!AD95,0)))))</f>
        <v/>
      </c>
      <c r="AE95">
        <f>IF($A95="","",IF('Ügyfelek'!AE95="",'Beállítások'!$B$84,MIN(10,MAX(1,ROUND('Ügyfelek'!AE95,0)))))</f>
        <v/>
      </c>
      <c r="AF95">
        <f>IF($A95="","",IF('Ügyfelek'!AF95="",'Beállítások'!$B$84,MIN(10,MAX(1,ROUND('Ügyfelek'!AF95,0)))))</f>
        <v/>
      </c>
      <c r="AG95">
        <f>IF($A95="","",IF('Ügyfelek'!AG95="",'Beállítások'!$B$84,MIN(10,MAX(1,ROUND('Ügyfelek'!AG95,0)))))</f>
        <v/>
      </c>
      <c r="AH95">
        <f>IF($A95="","",IF('Ügyfelek'!AH95="",'Beállítások'!$B$84,IFERROR(VLOOKUP(TRIM('Ügyfelek'!AH95),'Beállítások'!$A$73:$B$79,2,FALSE),'Beállítások'!$B$84)))</f>
        <v/>
      </c>
      <c r="AI95" s="23">
        <f>IF($A95="","",ROUND(100*('Beállítások'!$E$6*(B95-1)+'Beállítások'!$E$7*(C95-1))/(9*'Beállítások'!$B$43),1))</f>
        <v/>
      </c>
      <c r="AJ95" s="23">
        <f>IF($A95="","",ROUND(100*('Beállítások'!$E$8*(D95-1)+'Beállítások'!$E$9*(E95-1)+'Beállítások'!$E$10*(F95-1)+'Beállítások'!$E$11*(G95-1)+'Beállítások'!$E$12*(H95-1)+'Beállítások'!$E$13*(I95-1)+'Beállítások'!$E$14*(J95-1)+'Beállítások'!$E$15*(K95-1)+'Beállítások'!$E$16*(L95-1)+'Beállítások'!$E$17*(M95-1)+'Beállítások'!$E$18*(N95-1)+'Beállítások'!$E$19*(O95-1)+'Beállítások'!$E$20*(P95-1)+'Beállítások'!$E$21*(Q95-1)+'Beállítások'!$E$22*(R95-1))/(9*'Beállítások'!$B$44),1))</f>
        <v/>
      </c>
      <c r="AK95" s="23">
        <f>IF($A95="","",ROUND(100*('Beállítások'!$E$23*(S95-1)+'Beállítások'!$E$24*(T95-1)+'Beállítások'!$E$25*(U95-1)+'Beállítások'!$E$26*(V95-1)+'Beállítások'!$E$27*(W95-1)+'Beállítások'!$E$28*(X95-1)+'Beállítások'!$E$29*(Y95-1))/(9*'Beállítások'!$B$45),1))</f>
        <v/>
      </c>
      <c r="AL95" s="23">
        <f>IF($A95="","",ROUND(100*('Beállítások'!$E$30*(Z95-1)+'Beállítások'!$E$31*(AA95-1)+'Beállítások'!$E$32*(AB95-1)+'Beállítások'!$E$33*(AC95-1)+'Beállítások'!$E$34*(AD95-1)+'Beállítások'!$E$35*(AE95-1)+'Beállítások'!$E$36*(AF95-1)+'Beállítások'!$E$37*(AG95-1)+'Beállítások'!$E$38*(AH95-1))/(9*'Beállítások'!$B$46),1))</f>
        <v/>
      </c>
      <c r="AM95" s="23">
        <f>IF($A95="","",ROUND(100*('Beállítások'!$E$6*(B95-1)+'Beállítások'!$E$7*(C95-1)+'Beállítások'!$E$8*(D95-1)+'Beállítások'!$E$9*(E95-1)+'Beállítások'!$E$10*(F95-1)+'Beállítások'!$E$11*(G95-1)+'Beállítások'!$E$12*(H95-1)+'Beállítások'!$E$13*(I95-1)+'Beállítások'!$E$14*(J95-1)+'Beállítások'!$E$15*(K95-1)+'Beállítások'!$E$16*(L95-1)+'Beállítások'!$E$17*(M95-1)+'Beállítások'!$E$18*(N95-1)+'Beállítások'!$E$19*(O95-1)+'Beállítások'!$E$20*(P95-1)+'Beállítások'!$E$21*(Q95-1)+'Beállítások'!$E$22*(R95-1)+'Beállítások'!$E$23*(S95-1)+'Beállítások'!$E$24*(T95-1)+'Beállítások'!$E$25*(U95-1)+'Beállítások'!$E$26*(V95-1)+'Beállítások'!$E$27*(W95-1)+'Beállítások'!$E$28*(X95-1)+'Beállítások'!$E$29*(Y95-1)+'Beállítások'!$E$30*(Z95-1)+'Beállítások'!$E$31*(AA95-1)+'Beállítások'!$E$32*(AB95-1)+'Beállítások'!$E$33*(AC95-1)+'Beállítások'!$E$34*(AD95-1)+'Beállítások'!$E$35*(AE95-1)+'Beállítások'!$E$36*(AF95-1)+'Beállítások'!$E$37*(AG95-1)+'Beállítások'!$E$38*(AH95-1))/(9*'Beállítások'!$E$39),1))</f>
        <v/>
      </c>
      <c r="AN95" s="23">
        <f>IF($A95="","",ROUND(100*('Beállítások'!$E$8*(D95-1)+'Beállítások'!$E$9*(E95-1)+'Beállítások'!$E$10*(F95-1)+'Beállítások'!$E$11*(G95-1)+'Beállítások'!$E$12*(H95-1)+'Beállítások'!$E$13*(I95-1)+'Beállítások'!$E$14*(J95-1)+'Beállítások'!$E$15*(K95-1)+'Beállítások'!$E$16*(L95-1)+'Beállítások'!$E$17*(M95-1)+'Beállítások'!$E$18*(N95-1)+'Beállítások'!$E$19*(O95-1)+'Beállítások'!$E$20*(P95-1)+'Beállítások'!$E$21*(Q95-1)+'Beállítások'!$E$22*(R95-1)+'Beállítások'!$E$23*(S95-1)+'Beállítások'!$E$24*(T95-1)+'Beállítások'!$E$25*(U95-1)+'Beállítások'!$E$26*(V95-1)+'Beállítások'!$E$27*(W95-1)+'Beállítások'!$E$28*(X95-1)+'Beállítások'!$E$29*(Y95-1))/(9*('Beállítások'!$B$44+'Beállítások'!$B$45)),1))</f>
        <v/>
      </c>
      <c r="AO95" s="24">
        <f>IF($A95="","",RANK(AM95,$AM$2:$AM$201))</f>
        <v/>
      </c>
      <c r="AP95">
        <f>IF($A95="","",IF(OR(AND('Ügyfelek'!B95&lt;&gt;"",B95&lt;='Beállítások'!$B$85),AND('Ügyfelek'!C95&lt;&gt;"",C95&lt;='Beállítások'!$B$86)),"Igen","Nem"))</f>
        <v/>
      </c>
      <c r="AQ95" s="24">
        <f>IF($A95="","",IF(AP95="Igen",5,IF(AN95&gt;='Beállítások'!$C$108,1,IF(AN95&gt;='Beállítások'!$C$109,2,IF(AN95&gt;='Beállítások'!$C$110,3,IF(AND(AN95&gt;='Beállítások'!$B$87,AI95&gt;='Beállítások'!$B$88,AL95&gt;='Beállítások'!$B$89),4,5))))))</f>
        <v/>
      </c>
      <c r="AR95">
        <f>IF($A95="","",INDEX('Beállítások'!$B$108:$B$112,AQ95))</f>
        <v/>
      </c>
      <c r="AS95">
        <f>IF($A95="","",IF(AQ95=5,"Elutasítjuk",IF(AND(AQ95=4,COUNTIFS('Eredmény'!$AQ$2:$AQ$201,4,'Eredmény'!$DY$2:$DY$201,"&gt;"&amp;DY95)&gt;='Beállítások'!$B$90),"Várólista (a 4-es hely foglalt)","Elfogadjuk")))</f>
        <v/>
      </c>
      <c r="AT95">
        <f>IF($A95="","",INDEX('Beállítások'!$F$108:$F$112,AQ95))</f>
        <v/>
      </c>
      <c r="AU95">
        <f>IF($A95="","",INDEX('Beállítások'!$B$6:$B$38,MATCH(MAX(BK95:CQ95),BK95:CQ95,0)))</f>
        <v/>
      </c>
      <c r="AV95">
        <f>IF($A95="","",IF(MAX(CR95:DX95)=0,"—",INDEX('Beállítások'!$B$6:$B$38,MATCH(MAX(CR95:DX95),CR95:DX95,0))))</f>
        <v/>
      </c>
      <c r="AW95" s="10">
        <f>IF($A95="","",'Beállítások'!$B$94*(TRIM('Ügyfelek'!AI95)="igen")+'Beállítások'!$B$95*(TRIM('Ügyfelek'!AJ95)="igen")+'Beállítások'!$B$96*N('Ügyfelek'!AK95)+'Beállítások'!$B$93*N('Ügyfelek'!AL95))</f>
        <v/>
      </c>
      <c r="AX95" s="25">
        <f>IF(OR($A95="",AQ95=5),"",INDEX('Beállítások'!$D$108:$D$112,AQ95))</f>
        <v/>
      </c>
      <c r="AY95" s="10">
        <f>IF($A95="","",N('Ügyfelek'!U95)*'Beállítások'!$B$98)</f>
        <v/>
      </c>
      <c r="AZ95" s="10">
        <f>IF(OR($A95="",AQ95=5),"",CEILING(ROUND(MAX('Beállítások'!$B$97,AW95*AX95,AY95),2),'Beállítások'!$B$99))</f>
        <v/>
      </c>
      <c r="BA95">
        <f>IF($A95="","",IF(AQ95=5,"Elutasítva",IF(MAX('Beállítások'!$B$97,AW95*AX95,AY95)=AW95*AX95,"Munkaigény × státuszszorzó",IF(MAX('Beállítások'!$B$97,AW95*AX95,AY95)=AY95,"Hirdetési keret arányában","Minimumdíj"))))</f>
        <v/>
      </c>
      <c r="BB95" s="10">
        <f>IF(OR($A95="",'Ügyfelek'!AM95=""),"",'Ügyfelek'!AM95)</f>
        <v/>
      </c>
      <c r="BC95" s="10">
        <f>IF(OR(BB95="",AZ95=""),"",AZ95-BB95)</f>
        <v/>
      </c>
      <c r="BD95" s="18">
        <f>IF(OR(BB95="",AZ95="",BB95=0),"",BC95/BB95)</f>
        <v/>
      </c>
      <c r="BE95">
        <f>IF(OR($A95="",AQ95=5),"",IF(AND(INDEX('Beállítások'!$E$108:$E$112,AQ95)&gt;0,Y95&gt;='Beállítások'!$B$91),"Igen","Nem"))</f>
        <v/>
      </c>
      <c r="BF95" s="10">
        <f>IF(BE95="Igen",CEILING(ROUND(AZ95*(1-'Beállítások'!$B$92),2),'Beállítások'!$B$99),"")</f>
        <v/>
      </c>
      <c r="BG95" s="20">
        <f>IF(BE95="Igen",INDEX('Beállítások'!$E$108:$E$112,AQ95),"")</f>
        <v/>
      </c>
      <c r="BH95" s="10">
        <f>IF(OR(BE95&lt;&gt;"Igen",'Ügyfelek'!AN95=""),"",'Ügyfelek'!AN95*BG95)</f>
        <v/>
      </c>
      <c r="BI95" s="24">
        <f>IF($A95="","",('Ügyfelek'!B95="")+('Ügyfelek'!C95="")+('Ügyfelek'!D95="")+('Ügyfelek'!E95="")+('Ügyfelek'!F95="")+('Ügyfelek'!G95="")+('Ügyfelek'!H95="")+('Ügyfelek'!I95="")+('Ügyfelek'!J95="")+('Ügyfelek'!K95="")+('Ügyfelek'!L95="")+('Ügyfelek'!M95="")+('Ügyfelek'!N95="")+('Ügyfelek'!O95="")+('Ügyfelek'!P95="")+('Ügyfelek'!Q95="")+('Ügyfelek'!R95="")+('Ügyfelek'!S95="")+('Ügyfelek'!T95="")+('Ügyfelek'!U95="")+('Ügyfelek'!V95="")+('Ügyfelek'!W95="")+('Ügyfelek'!X95="")+('Ügyfelek'!Y95="")+('Ügyfelek'!Z95="")+('Ügyfelek'!AA95="")+('Ügyfelek'!AB95="")+('Ügyfelek'!AC95="")+('Ügyfelek'!AD95="")+('Ügyfelek'!AE95="")+('Ügyfelek'!AF95="")+('Ügyfelek'!AG95="")+('Ügyfelek'!AH95=""))</f>
        <v/>
      </c>
      <c r="BK95">
        <f>IF($A95="","",B95+'Beállítások'!$E$6/1000)</f>
        <v/>
      </c>
      <c r="BL95">
        <f>IF($A95="","",C95+'Beállítások'!$E$7/1000)</f>
        <v/>
      </c>
      <c r="BM95">
        <f>IF($A95="","",D95+'Beállítások'!$E$8/1000)</f>
        <v/>
      </c>
      <c r="BN95">
        <f>IF($A95="","",E95+'Beállítások'!$E$9/1000)</f>
        <v/>
      </c>
      <c r="BO95">
        <f>IF($A95="","",F95+'Beállítások'!$E$10/1000)</f>
        <v/>
      </c>
      <c r="BP95">
        <f>IF($A95="","",G95+'Beállítások'!$E$11/1000)</f>
        <v/>
      </c>
      <c r="BQ95">
        <f>IF($A95="","",H95+'Beállítások'!$E$12/1000)</f>
        <v/>
      </c>
      <c r="BR95">
        <f>IF($A95="","",I95+'Beállítások'!$E$13/1000)</f>
        <v/>
      </c>
      <c r="BS95">
        <f>IF($A95="","",J95+'Beállítások'!$E$14/1000)</f>
        <v/>
      </c>
      <c r="BT95">
        <f>IF($A95="","",K95+'Beállítások'!$E$15/1000)</f>
        <v/>
      </c>
      <c r="BU95">
        <f>IF($A95="","",L95+'Beállítások'!$E$16/1000)</f>
        <v/>
      </c>
      <c r="BV95">
        <f>IF($A95="","",M95+'Beállítások'!$E$17/1000)</f>
        <v/>
      </c>
      <c r="BW95">
        <f>IF($A95="","",N95+'Beállítások'!$E$18/1000)</f>
        <v/>
      </c>
      <c r="BX95">
        <f>IF($A95="","",O95+'Beállítások'!$E$19/1000)</f>
        <v/>
      </c>
      <c r="BY95">
        <f>IF($A95="","",P95+'Beállítások'!$E$20/1000)</f>
        <v/>
      </c>
      <c r="BZ95">
        <f>IF($A95="","",Q95+'Beállítások'!$E$21/1000)</f>
        <v/>
      </c>
      <c r="CA95">
        <f>IF($A95="","",R95+'Beállítások'!$E$22/1000)</f>
        <v/>
      </c>
      <c r="CB95">
        <f>IF($A95="","",S95+'Beállítások'!$E$23/1000)</f>
        <v/>
      </c>
      <c r="CC95">
        <f>IF($A95="","",T95+'Beállítások'!$E$24/1000)</f>
        <v/>
      </c>
      <c r="CD95">
        <f>IF($A95="","",U95+'Beállítások'!$E$25/1000)</f>
        <v/>
      </c>
      <c r="CE95">
        <f>IF($A95="","",V95+'Beállítások'!$E$26/1000)</f>
        <v/>
      </c>
      <c r="CF95">
        <f>IF($A95="","",W95+'Beállítások'!$E$27/1000)</f>
        <v/>
      </c>
      <c r="CG95">
        <f>IF($A95="","",X95+'Beállítások'!$E$28/1000)</f>
        <v/>
      </c>
      <c r="CH95">
        <f>IF($A95="","",Y95+'Beállítások'!$E$29/1000)</f>
        <v/>
      </c>
      <c r="CI95">
        <f>IF($A95="","",Z95+'Beállítások'!$E$30/1000)</f>
        <v/>
      </c>
      <c r="CJ95">
        <f>IF($A95="","",AA95+'Beállítások'!$E$31/1000)</f>
        <v/>
      </c>
      <c r="CK95">
        <f>IF($A95="","",AB95+'Beállítások'!$E$32/1000)</f>
        <v/>
      </c>
      <c r="CL95">
        <f>IF($A95="","",AC95+'Beállítások'!$E$33/1000)</f>
        <v/>
      </c>
      <c r="CM95">
        <f>IF($A95="","",AD95+'Beállítások'!$E$34/1000)</f>
        <v/>
      </c>
      <c r="CN95">
        <f>IF($A95="","",AE95+'Beállítások'!$E$35/1000)</f>
        <v/>
      </c>
      <c r="CO95">
        <f>IF($A95="","",AF95+'Beállítások'!$E$36/1000)</f>
        <v/>
      </c>
      <c r="CP95">
        <f>IF($A95="","",AG95+'Beállítások'!$E$37/1000)</f>
        <v/>
      </c>
      <c r="CQ95">
        <f>IF($A95="","",AH95+'Beállítások'!$E$38/1000)</f>
        <v/>
      </c>
      <c r="CR95">
        <f>IF($A95="","",'Beállítások'!$E$6*(10-B95))</f>
        <v/>
      </c>
      <c r="CS95">
        <f>IF($A95="","",'Beállítások'!$E$7*(10-C95))</f>
        <v/>
      </c>
      <c r="CT95">
        <f>IF($A95="","",'Beállítások'!$E$8*(10-D95))</f>
        <v/>
      </c>
      <c r="CU95">
        <f>IF($A95="","",'Beállítások'!$E$9*(10-E95))</f>
        <v/>
      </c>
      <c r="CV95">
        <f>IF($A95="","",'Beállítások'!$E$10*(10-F95))</f>
        <v/>
      </c>
      <c r="CW95">
        <f>IF($A95="","",'Beállítások'!$E$11*(10-G95))</f>
        <v/>
      </c>
      <c r="CX95">
        <f>IF($A95="","",'Beállítások'!$E$12*(10-H95))</f>
        <v/>
      </c>
      <c r="CY95">
        <f>IF($A95="","",'Beállítások'!$E$13*(10-I95))</f>
        <v/>
      </c>
      <c r="CZ95">
        <f>IF($A95="","",'Beállítások'!$E$14*(10-J95))</f>
        <v/>
      </c>
      <c r="DA95">
        <f>IF($A95="","",'Beállítások'!$E$15*(10-K95))</f>
        <v/>
      </c>
      <c r="DB95">
        <f>IF($A95="","",'Beállítások'!$E$16*(10-L95))</f>
        <v/>
      </c>
      <c r="DC95">
        <f>IF($A95="","",'Beállítások'!$E$17*(10-M95))</f>
        <v/>
      </c>
      <c r="DD95">
        <f>IF($A95="","",'Beállítások'!$E$18*(10-N95))</f>
        <v/>
      </c>
      <c r="DE95">
        <f>IF($A95="","",'Beállítások'!$E$19*(10-O95))</f>
        <v/>
      </c>
      <c r="DF95">
        <f>IF($A95="","",'Beállítások'!$E$20*(10-P95))</f>
        <v/>
      </c>
      <c r="DG95">
        <f>IF($A95="","",'Beállítások'!$E$21*(10-Q95))</f>
        <v/>
      </c>
      <c r="DH95">
        <f>IF($A95="","",'Beállítások'!$E$22*(10-R95))</f>
        <v/>
      </c>
      <c r="DI95">
        <f>IF($A95="","",'Beállítások'!$E$23*(10-S95))</f>
        <v/>
      </c>
      <c r="DJ95">
        <f>IF($A95="","",'Beállítások'!$E$24*(10-T95))</f>
        <v/>
      </c>
      <c r="DK95">
        <f>IF($A95="","",'Beállítások'!$E$25*(10-U95))</f>
        <v/>
      </c>
      <c r="DL95">
        <f>IF($A95="","",'Beállítások'!$E$26*(10-V95))</f>
        <v/>
      </c>
      <c r="DM95">
        <f>IF($A95="","",'Beállítások'!$E$27*(10-W95))</f>
        <v/>
      </c>
      <c r="DN95">
        <f>IF($A95="","",'Beállítások'!$E$28*(10-X95))</f>
        <v/>
      </c>
      <c r="DO95">
        <f>IF($A95="","",'Beállítások'!$E$29*(10-Y95))</f>
        <v/>
      </c>
      <c r="DP95">
        <f>IF($A95="","",'Beállítások'!$E$30*(10-Z95))</f>
        <v/>
      </c>
      <c r="DQ95">
        <f>IF($A95="","",'Beállítások'!$E$31*(10-AA95))</f>
        <v/>
      </c>
      <c r="DR95">
        <f>IF($A95="","",'Beállítások'!$E$32*(10-AB95))</f>
        <v/>
      </c>
      <c r="DS95">
        <f>IF($A95="","",'Beállítások'!$E$33*(10-AC95))</f>
        <v/>
      </c>
      <c r="DT95">
        <f>IF($A95="","",'Beállítások'!$E$34*(10-AD95))</f>
        <v/>
      </c>
      <c r="DU95">
        <f>IF($A95="","",'Beállítások'!$E$35*(10-AE95))</f>
        <v/>
      </c>
      <c r="DV95">
        <f>IF($A95="","",'Beállítások'!$E$36*(10-AF95))</f>
        <v/>
      </c>
      <c r="DW95">
        <f>IF($A95="","",'Beállítások'!$E$37*(10-AG95))</f>
        <v/>
      </c>
      <c r="DX95">
        <f>IF($A95="","",'Beállítások'!$E$38*(10-AH95))</f>
        <v/>
      </c>
      <c r="DY95">
        <f>IF($A95="","",AM95-ROW()/100000)</f>
        <v/>
      </c>
    </row>
    <row r="96">
      <c r="A96">
        <f>IF('Ügyfelek'!A96="","",'Ügyfelek'!A96)</f>
        <v/>
      </c>
      <c r="B96">
        <f>IF($A96="","",IF('Ügyfelek'!B96="",'Beállítások'!$B$84,IFERROR(VLOOKUP(TRIM('Ügyfelek'!B96),'Beállítások'!$A$51:$B$59,2,FALSE),'Beállítások'!$B$84)))</f>
        <v/>
      </c>
      <c r="C96">
        <f>IF($A96="","",IF('Ügyfelek'!C96="",'Beállítások'!$B$84,MIN(10,MAX(1,ROUND('Ügyfelek'!C96,0)))))</f>
        <v/>
      </c>
      <c r="D96">
        <f>IF($A96="","",IF('Ügyfelek'!D96="",'Beállítások'!$B$84,MIN(10,MAX(1,ROUND('Ügyfelek'!D96,0)))))</f>
        <v/>
      </c>
      <c r="E96">
        <f>IF($A96="","",IF('Ügyfelek'!E96="",'Beállítások'!$B$84,MIN(10,MAX(1,ROUND('Ügyfelek'!E96,0)))))</f>
        <v/>
      </c>
      <c r="F96">
        <f>IF($A96="","",IF('Ügyfelek'!F96="",'Beállítások'!$B$84,MIN(10,MAX(1,ROUND('Ügyfelek'!F96,0)))))</f>
        <v/>
      </c>
      <c r="G96">
        <f>IF($A96="","",IF('Ügyfelek'!G96="",'Beállítások'!$B$84,MIN(10,MAX(1,ROUND('Ügyfelek'!G96,0)))))</f>
        <v/>
      </c>
      <c r="H96">
        <f>IF($A96="","",IF('Ügyfelek'!H96="",'Beállítások'!$B$84,MIN(10,MAX(1,ROUND('Ügyfelek'!H96,0)))))</f>
        <v/>
      </c>
      <c r="I96">
        <f>IF($A96="","",IF('Ügyfelek'!I96="",'Beállítások'!$B$84,MIN(10,MAX(1,ROUND('Ügyfelek'!I96,0)))))</f>
        <v/>
      </c>
      <c r="J96">
        <f>IF($A96="","",IF('Ügyfelek'!J96="",'Beállítások'!$B$84,MIN(10,MAX(1,ROUND('Ügyfelek'!J96,0)))))</f>
        <v/>
      </c>
      <c r="K96">
        <f>IF($A96="","",IF('Ügyfelek'!K96="",'Beállítások'!$B$84,MIN(10,MAX(1,ROUND('Ügyfelek'!K96,0)))))</f>
        <v/>
      </c>
      <c r="L96">
        <f>IF($A96="","",IF('Ügyfelek'!L96="",'Beállítások'!$B$84,MIN(10,MAX(1,ROUND('Ügyfelek'!L96,0)))))</f>
        <v/>
      </c>
      <c r="M96">
        <f>IF($A96="","",IF('Ügyfelek'!M96="",'Beállítások'!$B$84,MIN(10,MAX(1,ROUND('Ügyfelek'!M96,0)))))</f>
        <v/>
      </c>
      <c r="N96">
        <f>IF($A96="","",IF('Ügyfelek'!N96="",'Beállítások'!$B$84,MIN(10,MAX(1,ROUND('Ügyfelek'!N96,0)))))</f>
        <v/>
      </c>
      <c r="O96">
        <f>IF($A96="","",IF('Ügyfelek'!O96="",'Beállítások'!$B$84,MIN(10,MAX(1,ROUND('Ügyfelek'!O96,0)))))</f>
        <v/>
      </c>
      <c r="P96">
        <f>IF($A96="","",IF('Ügyfelek'!P96="",'Beállítások'!$B$84,MIN(10,MAX(1,ROUND('Ügyfelek'!P96,0)))))</f>
        <v/>
      </c>
      <c r="Q96">
        <f>IF($A96="","",IF('Ügyfelek'!Q96="",'Beállítások'!$B$84,MIN(10,MAX(1,ROUND('Ügyfelek'!Q96,0)))))</f>
        <v/>
      </c>
      <c r="R96">
        <f>IF($A96="","",IF('Ügyfelek'!R96="",'Beállítások'!$B$84,MIN(10,MAX(1,ROUND('Ügyfelek'!R96,0)))))</f>
        <v/>
      </c>
      <c r="S96">
        <f>IF($A96="","",IF('Ügyfelek'!S96="",'Beállítások'!$B$84,MIN(10,MAX(1,ROUND('Ügyfelek'!S96,0)))))</f>
        <v/>
      </c>
      <c r="T96">
        <f>IF($A96="","",IF('Ügyfelek'!T96="",'Beállítások'!$B$84,VLOOKUP(MAX('Ügyfelek'!T96,'Beállítások'!$H$7),'Beállítások'!$H$7:$I$12,2,TRUE)))</f>
        <v/>
      </c>
      <c r="U96">
        <f>IF($A96="","",IF('Ügyfelek'!U96="",'Beállítások'!$B$84,VLOOKUP(MAX('Ügyfelek'!U96,'Beállítások'!$K$7),'Beállítások'!$K$7:$L$12,2,TRUE)))</f>
        <v/>
      </c>
      <c r="V96">
        <f>IF($A96="","",IF('Ügyfelek'!V96="",'Beállítások'!$B$84,MIN(10,MAX(1,ROUND('Ügyfelek'!V96,0)))))</f>
        <v/>
      </c>
      <c r="W96">
        <f>IF($A96="","",IF('Ügyfelek'!W96="",'Beállítások'!$B$84,VLOOKUP(MAX('Ügyfelek'!W96,'Beállítások'!$N$7),'Beállítások'!$N$7:$O$12,2,TRUE)))</f>
        <v/>
      </c>
      <c r="X96">
        <f>IF($A96="","",IF('Ügyfelek'!X96="",'Beállítások'!$B$84,MIN(10,MAX(1,ROUND('Ügyfelek'!X96,0)))))</f>
        <v/>
      </c>
      <c r="Y96">
        <f>IF($A96="","",IF('Ügyfelek'!Y96="",'Beállítások'!$B$84,IFERROR(VLOOKUP(TRIM('Ügyfelek'!Y96),'Beállítások'!$A$63:$B$69,2,FALSE),'Beállítások'!$B$84)))</f>
        <v/>
      </c>
      <c r="Z96">
        <f>IF($A96="","",IF('Ügyfelek'!Z96="",'Beállítások'!$B$84,VLOOKUP(MAX('Ügyfelek'!Z96,'Beállítások'!$Q$7),'Beállítások'!$Q$7:$R$12,2,TRUE)))</f>
        <v/>
      </c>
      <c r="AA96">
        <f>IF($A96="","",IF('Ügyfelek'!AA96="",'Beállítások'!$B$84,VLOOKUP(MAX('Ügyfelek'!AA96,'Beállítások'!$T$7),'Beállítások'!$T$7:$U$12,2,TRUE)))</f>
        <v/>
      </c>
      <c r="AB96">
        <f>IF($A96="","",IF('Ügyfelek'!AB96="",'Beállítások'!$B$84,MIN(10,MAX(1,ROUND('Ügyfelek'!AB96,0)))))</f>
        <v/>
      </c>
      <c r="AC96">
        <f>IF($A96="","",IF('Ügyfelek'!AC96="",'Beállítások'!$B$84,MIN(10,MAX(1,ROUND('Ügyfelek'!AC96,0)))))</f>
        <v/>
      </c>
      <c r="AD96">
        <f>IF($A96="","",IF('Ügyfelek'!AD96="",'Beállítások'!$B$84,MIN(10,MAX(1,ROUND('Ügyfelek'!AD96,0)))))</f>
        <v/>
      </c>
      <c r="AE96">
        <f>IF($A96="","",IF('Ügyfelek'!AE96="",'Beállítások'!$B$84,MIN(10,MAX(1,ROUND('Ügyfelek'!AE96,0)))))</f>
        <v/>
      </c>
      <c r="AF96">
        <f>IF($A96="","",IF('Ügyfelek'!AF96="",'Beállítások'!$B$84,MIN(10,MAX(1,ROUND('Ügyfelek'!AF96,0)))))</f>
        <v/>
      </c>
      <c r="AG96">
        <f>IF($A96="","",IF('Ügyfelek'!AG96="",'Beállítások'!$B$84,MIN(10,MAX(1,ROUND('Ügyfelek'!AG96,0)))))</f>
        <v/>
      </c>
      <c r="AH96">
        <f>IF($A96="","",IF('Ügyfelek'!AH96="",'Beállítások'!$B$84,IFERROR(VLOOKUP(TRIM('Ügyfelek'!AH96),'Beállítások'!$A$73:$B$79,2,FALSE),'Beállítások'!$B$84)))</f>
        <v/>
      </c>
      <c r="AI96" s="23">
        <f>IF($A96="","",ROUND(100*('Beállítások'!$E$6*(B96-1)+'Beállítások'!$E$7*(C96-1))/(9*'Beállítások'!$B$43),1))</f>
        <v/>
      </c>
      <c r="AJ96" s="23">
        <f>IF($A96="","",ROUND(100*('Beállítások'!$E$8*(D96-1)+'Beállítások'!$E$9*(E96-1)+'Beállítások'!$E$10*(F96-1)+'Beállítások'!$E$11*(G96-1)+'Beállítások'!$E$12*(H96-1)+'Beállítások'!$E$13*(I96-1)+'Beállítások'!$E$14*(J96-1)+'Beállítások'!$E$15*(K96-1)+'Beállítások'!$E$16*(L96-1)+'Beállítások'!$E$17*(M96-1)+'Beállítások'!$E$18*(N96-1)+'Beállítások'!$E$19*(O96-1)+'Beállítások'!$E$20*(P96-1)+'Beállítások'!$E$21*(Q96-1)+'Beállítások'!$E$22*(R96-1))/(9*'Beállítások'!$B$44),1))</f>
        <v/>
      </c>
      <c r="AK96" s="23">
        <f>IF($A96="","",ROUND(100*('Beállítások'!$E$23*(S96-1)+'Beállítások'!$E$24*(T96-1)+'Beállítások'!$E$25*(U96-1)+'Beállítások'!$E$26*(V96-1)+'Beállítások'!$E$27*(W96-1)+'Beállítások'!$E$28*(X96-1)+'Beállítások'!$E$29*(Y96-1))/(9*'Beállítások'!$B$45),1))</f>
        <v/>
      </c>
      <c r="AL96" s="23">
        <f>IF($A96="","",ROUND(100*('Beállítások'!$E$30*(Z96-1)+'Beállítások'!$E$31*(AA96-1)+'Beállítások'!$E$32*(AB96-1)+'Beállítások'!$E$33*(AC96-1)+'Beállítások'!$E$34*(AD96-1)+'Beállítások'!$E$35*(AE96-1)+'Beállítások'!$E$36*(AF96-1)+'Beállítások'!$E$37*(AG96-1)+'Beállítások'!$E$38*(AH96-1))/(9*'Beállítások'!$B$46),1))</f>
        <v/>
      </c>
      <c r="AM96" s="23">
        <f>IF($A96="","",ROUND(100*('Beállítások'!$E$6*(B96-1)+'Beállítások'!$E$7*(C96-1)+'Beállítások'!$E$8*(D96-1)+'Beállítások'!$E$9*(E96-1)+'Beállítások'!$E$10*(F96-1)+'Beállítások'!$E$11*(G96-1)+'Beállítások'!$E$12*(H96-1)+'Beállítások'!$E$13*(I96-1)+'Beállítások'!$E$14*(J96-1)+'Beállítások'!$E$15*(K96-1)+'Beállítások'!$E$16*(L96-1)+'Beállítások'!$E$17*(M96-1)+'Beállítások'!$E$18*(N96-1)+'Beállítások'!$E$19*(O96-1)+'Beállítások'!$E$20*(P96-1)+'Beállítások'!$E$21*(Q96-1)+'Beállítások'!$E$22*(R96-1)+'Beállítások'!$E$23*(S96-1)+'Beállítások'!$E$24*(T96-1)+'Beállítások'!$E$25*(U96-1)+'Beállítások'!$E$26*(V96-1)+'Beállítások'!$E$27*(W96-1)+'Beállítások'!$E$28*(X96-1)+'Beállítások'!$E$29*(Y96-1)+'Beállítások'!$E$30*(Z96-1)+'Beállítások'!$E$31*(AA96-1)+'Beállítások'!$E$32*(AB96-1)+'Beállítások'!$E$33*(AC96-1)+'Beállítások'!$E$34*(AD96-1)+'Beállítások'!$E$35*(AE96-1)+'Beállítások'!$E$36*(AF96-1)+'Beállítások'!$E$37*(AG96-1)+'Beállítások'!$E$38*(AH96-1))/(9*'Beállítások'!$E$39),1))</f>
        <v/>
      </c>
      <c r="AN96" s="23">
        <f>IF($A96="","",ROUND(100*('Beállítások'!$E$8*(D96-1)+'Beállítások'!$E$9*(E96-1)+'Beállítások'!$E$10*(F96-1)+'Beállítások'!$E$11*(G96-1)+'Beállítások'!$E$12*(H96-1)+'Beállítások'!$E$13*(I96-1)+'Beállítások'!$E$14*(J96-1)+'Beállítások'!$E$15*(K96-1)+'Beállítások'!$E$16*(L96-1)+'Beállítások'!$E$17*(M96-1)+'Beállítások'!$E$18*(N96-1)+'Beállítások'!$E$19*(O96-1)+'Beállítások'!$E$20*(P96-1)+'Beállítások'!$E$21*(Q96-1)+'Beállítások'!$E$22*(R96-1)+'Beállítások'!$E$23*(S96-1)+'Beállítások'!$E$24*(T96-1)+'Beállítások'!$E$25*(U96-1)+'Beállítások'!$E$26*(V96-1)+'Beállítások'!$E$27*(W96-1)+'Beállítások'!$E$28*(X96-1)+'Beállítások'!$E$29*(Y96-1))/(9*('Beállítások'!$B$44+'Beállítások'!$B$45)),1))</f>
        <v/>
      </c>
      <c r="AO96" s="24">
        <f>IF($A96="","",RANK(AM96,$AM$2:$AM$201))</f>
        <v/>
      </c>
      <c r="AP96">
        <f>IF($A96="","",IF(OR(AND('Ügyfelek'!B96&lt;&gt;"",B96&lt;='Beállítások'!$B$85),AND('Ügyfelek'!C96&lt;&gt;"",C96&lt;='Beállítások'!$B$86)),"Igen","Nem"))</f>
        <v/>
      </c>
      <c r="AQ96" s="24">
        <f>IF($A96="","",IF(AP96="Igen",5,IF(AN96&gt;='Beállítások'!$C$108,1,IF(AN96&gt;='Beállítások'!$C$109,2,IF(AN96&gt;='Beállítások'!$C$110,3,IF(AND(AN96&gt;='Beállítások'!$B$87,AI96&gt;='Beállítások'!$B$88,AL96&gt;='Beállítások'!$B$89),4,5))))))</f>
        <v/>
      </c>
      <c r="AR96">
        <f>IF($A96="","",INDEX('Beállítások'!$B$108:$B$112,AQ96))</f>
        <v/>
      </c>
      <c r="AS96">
        <f>IF($A96="","",IF(AQ96=5,"Elutasítjuk",IF(AND(AQ96=4,COUNTIFS('Eredmény'!$AQ$2:$AQ$201,4,'Eredmény'!$DY$2:$DY$201,"&gt;"&amp;DY96)&gt;='Beállítások'!$B$90),"Várólista (a 4-es hely foglalt)","Elfogadjuk")))</f>
        <v/>
      </c>
      <c r="AT96">
        <f>IF($A96="","",INDEX('Beállítások'!$F$108:$F$112,AQ96))</f>
        <v/>
      </c>
      <c r="AU96">
        <f>IF($A96="","",INDEX('Beállítások'!$B$6:$B$38,MATCH(MAX(BK96:CQ96),BK96:CQ96,0)))</f>
        <v/>
      </c>
      <c r="AV96">
        <f>IF($A96="","",IF(MAX(CR96:DX96)=0,"—",INDEX('Beállítások'!$B$6:$B$38,MATCH(MAX(CR96:DX96),CR96:DX96,0))))</f>
        <v/>
      </c>
      <c r="AW96" s="10">
        <f>IF($A96="","",'Beállítások'!$B$94*(TRIM('Ügyfelek'!AI96)="igen")+'Beállítások'!$B$95*(TRIM('Ügyfelek'!AJ96)="igen")+'Beállítások'!$B$96*N('Ügyfelek'!AK96)+'Beállítások'!$B$93*N('Ügyfelek'!AL96))</f>
        <v/>
      </c>
      <c r="AX96" s="25">
        <f>IF(OR($A96="",AQ96=5),"",INDEX('Beállítások'!$D$108:$D$112,AQ96))</f>
        <v/>
      </c>
      <c r="AY96" s="10">
        <f>IF($A96="","",N('Ügyfelek'!U96)*'Beállítások'!$B$98)</f>
        <v/>
      </c>
      <c r="AZ96" s="10">
        <f>IF(OR($A96="",AQ96=5),"",CEILING(ROUND(MAX('Beállítások'!$B$97,AW96*AX96,AY96),2),'Beállítások'!$B$99))</f>
        <v/>
      </c>
      <c r="BA96">
        <f>IF($A96="","",IF(AQ96=5,"Elutasítva",IF(MAX('Beállítások'!$B$97,AW96*AX96,AY96)=AW96*AX96,"Munkaigény × státuszszorzó",IF(MAX('Beállítások'!$B$97,AW96*AX96,AY96)=AY96,"Hirdetési keret arányában","Minimumdíj"))))</f>
        <v/>
      </c>
      <c r="BB96" s="10">
        <f>IF(OR($A96="",'Ügyfelek'!AM96=""),"",'Ügyfelek'!AM96)</f>
        <v/>
      </c>
      <c r="BC96" s="10">
        <f>IF(OR(BB96="",AZ96=""),"",AZ96-BB96)</f>
        <v/>
      </c>
      <c r="BD96" s="18">
        <f>IF(OR(BB96="",AZ96="",BB96=0),"",BC96/BB96)</f>
        <v/>
      </c>
      <c r="BE96">
        <f>IF(OR($A96="",AQ96=5),"",IF(AND(INDEX('Beállítások'!$E$108:$E$112,AQ96)&gt;0,Y96&gt;='Beállítások'!$B$91),"Igen","Nem"))</f>
        <v/>
      </c>
      <c r="BF96" s="10">
        <f>IF(BE96="Igen",CEILING(ROUND(AZ96*(1-'Beállítások'!$B$92),2),'Beállítások'!$B$99),"")</f>
        <v/>
      </c>
      <c r="BG96" s="20">
        <f>IF(BE96="Igen",INDEX('Beállítások'!$E$108:$E$112,AQ96),"")</f>
        <v/>
      </c>
      <c r="BH96" s="10">
        <f>IF(OR(BE96&lt;&gt;"Igen",'Ügyfelek'!AN96=""),"",'Ügyfelek'!AN96*BG96)</f>
        <v/>
      </c>
      <c r="BI96" s="24">
        <f>IF($A96="","",('Ügyfelek'!B96="")+('Ügyfelek'!C96="")+('Ügyfelek'!D96="")+('Ügyfelek'!E96="")+('Ügyfelek'!F96="")+('Ügyfelek'!G96="")+('Ügyfelek'!H96="")+('Ügyfelek'!I96="")+('Ügyfelek'!J96="")+('Ügyfelek'!K96="")+('Ügyfelek'!L96="")+('Ügyfelek'!M96="")+('Ügyfelek'!N96="")+('Ügyfelek'!O96="")+('Ügyfelek'!P96="")+('Ügyfelek'!Q96="")+('Ügyfelek'!R96="")+('Ügyfelek'!S96="")+('Ügyfelek'!T96="")+('Ügyfelek'!U96="")+('Ügyfelek'!V96="")+('Ügyfelek'!W96="")+('Ügyfelek'!X96="")+('Ügyfelek'!Y96="")+('Ügyfelek'!Z96="")+('Ügyfelek'!AA96="")+('Ügyfelek'!AB96="")+('Ügyfelek'!AC96="")+('Ügyfelek'!AD96="")+('Ügyfelek'!AE96="")+('Ügyfelek'!AF96="")+('Ügyfelek'!AG96="")+('Ügyfelek'!AH96=""))</f>
        <v/>
      </c>
      <c r="BK96">
        <f>IF($A96="","",B96+'Beállítások'!$E$6/1000)</f>
        <v/>
      </c>
      <c r="BL96">
        <f>IF($A96="","",C96+'Beállítások'!$E$7/1000)</f>
        <v/>
      </c>
      <c r="BM96">
        <f>IF($A96="","",D96+'Beállítások'!$E$8/1000)</f>
        <v/>
      </c>
      <c r="BN96">
        <f>IF($A96="","",E96+'Beállítások'!$E$9/1000)</f>
        <v/>
      </c>
      <c r="BO96">
        <f>IF($A96="","",F96+'Beállítások'!$E$10/1000)</f>
        <v/>
      </c>
      <c r="BP96">
        <f>IF($A96="","",G96+'Beállítások'!$E$11/1000)</f>
        <v/>
      </c>
      <c r="BQ96">
        <f>IF($A96="","",H96+'Beállítások'!$E$12/1000)</f>
        <v/>
      </c>
      <c r="BR96">
        <f>IF($A96="","",I96+'Beállítások'!$E$13/1000)</f>
        <v/>
      </c>
      <c r="BS96">
        <f>IF($A96="","",J96+'Beállítások'!$E$14/1000)</f>
        <v/>
      </c>
      <c r="BT96">
        <f>IF($A96="","",K96+'Beállítások'!$E$15/1000)</f>
        <v/>
      </c>
      <c r="BU96">
        <f>IF($A96="","",L96+'Beállítások'!$E$16/1000)</f>
        <v/>
      </c>
      <c r="BV96">
        <f>IF($A96="","",M96+'Beállítások'!$E$17/1000)</f>
        <v/>
      </c>
      <c r="BW96">
        <f>IF($A96="","",N96+'Beállítások'!$E$18/1000)</f>
        <v/>
      </c>
      <c r="BX96">
        <f>IF($A96="","",O96+'Beállítások'!$E$19/1000)</f>
        <v/>
      </c>
      <c r="BY96">
        <f>IF($A96="","",P96+'Beállítások'!$E$20/1000)</f>
        <v/>
      </c>
      <c r="BZ96">
        <f>IF($A96="","",Q96+'Beállítások'!$E$21/1000)</f>
        <v/>
      </c>
      <c r="CA96">
        <f>IF($A96="","",R96+'Beállítások'!$E$22/1000)</f>
        <v/>
      </c>
      <c r="CB96">
        <f>IF($A96="","",S96+'Beállítások'!$E$23/1000)</f>
        <v/>
      </c>
      <c r="CC96">
        <f>IF($A96="","",T96+'Beállítások'!$E$24/1000)</f>
        <v/>
      </c>
      <c r="CD96">
        <f>IF($A96="","",U96+'Beállítások'!$E$25/1000)</f>
        <v/>
      </c>
      <c r="CE96">
        <f>IF($A96="","",V96+'Beállítások'!$E$26/1000)</f>
        <v/>
      </c>
      <c r="CF96">
        <f>IF($A96="","",W96+'Beállítások'!$E$27/1000)</f>
        <v/>
      </c>
      <c r="CG96">
        <f>IF($A96="","",X96+'Beállítások'!$E$28/1000)</f>
        <v/>
      </c>
      <c r="CH96">
        <f>IF($A96="","",Y96+'Beállítások'!$E$29/1000)</f>
        <v/>
      </c>
      <c r="CI96">
        <f>IF($A96="","",Z96+'Beállítások'!$E$30/1000)</f>
        <v/>
      </c>
      <c r="CJ96">
        <f>IF($A96="","",AA96+'Beállítások'!$E$31/1000)</f>
        <v/>
      </c>
      <c r="CK96">
        <f>IF($A96="","",AB96+'Beállítások'!$E$32/1000)</f>
        <v/>
      </c>
      <c r="CL96">
        <f>IF($A96="","",AC96+'Beállítások'!$E$33/1000)</f>
        <v/>
      </c>
      <c r="CM96">
        <f>IF($A96="","",AD96+'Beállítások'!$E$34/1000)</f>
        <v/>
      </c>
      <c r="CN96">
        <f>IF($A96="","",AE96+'Beállítások'!$E$35/1000)</f>
        <v/>
      </c>
      <c r="CO96">
        <f>IF($A96="","",AF96+'Beállítások'!$E$36/1000)</f>
        <v/>
      </c>
      <c r="CP96">
        <f>IF($A96="","",AG96+'Beállítások'!$E$37/1000)</f>
        <v/>
      </c>
      <c r="CQ96">
        <f>IF($A96="","",AH96+'Beállítások'!$E$38/1000)</f>
        <v/>
      </c>
      <c r="CR96">
        <f>IF($A96="","",'Beállítások'!$E$6*(10-B96))</f>
        <v/>
      </c>
      <c r="CS96">
        <f>IF($A96="","",'Beállítások'!$E$7*(10-C96))</f>
        <v/>
      </c>
      <c r="CT96">
        <f>IF($A96="","",'Beállítások'!$E$8*(10-D96))</f>
        <v/>
      </c>
      <c r="CU96">
        <f>IF($A96="","",'Beállítások'!$E$9*(10-E96))</f>
        <v/>
      </c>
      <c r="CV96">
        <f>IF($A96="","",'Beállítások'!$E$10*(10-F96))</f>
        <v/>
      </c>
      <c r="CW96">
        <f>IF($A96="","",'Beállítások'!$E$11*(10-G96))</f>
        <v/>
      </c>
      <c r="CX96">
        <f>IF($A96="","",'Beállítások'!$E$12*(10-H96))</f>
        <v/>
      </c>
      <c r="CY96">
        <f>IF($A96="","",'Beállítások'!$E$13*(10-I96))</f>
        <v/>
      </c>
      <c r="CZ96">
        <f>IF($A96="","",'Beállítások'!$E$14*(10-J96))</f>
        <v/>
      </c>
      <c r="DA96">
        <f>IF($A96="","",'Beállítások'!$E$15*(10-K96))</f>
        <v/>
      </c>
      <c r="DB96">
        <f>IF($A96="","",'Beállítások'!$E$16*(10-L96))</f>
        <v/>
      </c>
      <c r="DC96">
        <f>IF($A96="","",'Beállítások'!$E$17*(10-M96))</f>
        <v/>
      </c>
      <c r="DD96">
        <f>IF($A96="","",'Beállítások'!$E$18*(10-N96))</f>
        <v/>
      </c>
      <c r="DE96">
        <f>IF($A96="","",'Beállítások'!$E$19*(10-O96))</f>
        <v/>
      </c>
      <c r="DF96">
        <f>IF($A96="","",'Beállítások'!$E$20*(10-P96))</f>
        <v/>
      </c>
      <c r="DG96">
        <f>IF($A96="","",'Beállítások'!$E$21*(10-Q96))</f>
        <v/>
      </c>
      <c r="DH96">
        <f>IF($A96="","",'Beállítások'!$E$22*(10-R96))</f>
        <v/>
      </c>
      <c r="DI96">
        <f>IF($A96="","",'Beállítások'!$E$23*(10-S96))</f>
        <v/>
      </c>
      <c r="DJ96">
        <f>IF($A96="","",'Beállítások'!$E$24*(10-T96))</f>
        <v/>
      </c>
      <c r="DK96">
        <f>IF($A96="","",'Beállítások'!$E$25*(10-U96))</f>
        <v/>
      </c>
      <c r="DL96">
        <f>IF($A96="","",'Beállítások'!$E$26*(10-V96))</f>
        <v/>
      </c>
      <c r="DM96">
        <f>IF($A96="","",'Beállítások'!$E$27*(10-W96))</f>
        <v/>
      </c>
      <c r="DN96">
        <f>IF($A96="","",'Beállítások'!$E$28*(10-X96))</f>
        <v/>
      </c>
      <c r="DO96">
        <f>IF($A96="","",'Beállítások'!$E$29*(10-Y96))</f>
        <v/>
      </c>
      <c r="DP96">
        <f>IF($A96="","",'Beállítások'!$E$30*(10-Z96))</f>
        <v/>
      </c>
      <c r="DQ96">
        <f>IF($A96="","",'Beállítások'!$E$31*(10-AA96))</f>
        <v/>
      </c>
      <c r="DR96">
        <f>IF($A96="","",'Beállítások'!$E$32*(10-AB96))</f>
        <v/>
      </c>
      <c r="DS96">
        <f>IF($A96="","",'Beállítások'!$E$33*(10-AC96))</f>
        <v/>
      </c>
      <c r="DT96">
        <f>IF($A96="","",'Beállítások'!$E$34*(10-AD96))</f>
        <v/>
      </c>
      <c r="DU96">
        <f>IF($A96="","",'Beállítások'!$E$35*(10-AE96))</f>
        <v/>
      </c>
      <c r="DV96">
        <f>IF($A96="","",'Beállítások'!$E$36*(10-AF96))</f>
        <v/>
      </c>
      <c r="DW96">
        <f>IF($A96="","",'Beállítások'!$E$37*(10-AG96))</f>
        <v/>
      </c>
      <c r="DX96">
        <f>IF($A96="","",'Beállítások'!$E$38*(10-AH96))</f>
        <v/>
      </c>
      <c r="DY96">
        <f>IF($A96="","",AM96-ROW()/100000)</f>
        <v/>
      </c>
    </row>
    <row r="97">
      <c r="A97">
        <f>IF('Ügyfelek'!A97="","",'Ügyfelek'!A97)</f>
        <v/>
      </c>
      <c r="B97">
        <f>IF($A97="","",IF('Ügyfelek'!B97="",'Beállítások'!$B$84,IFERROR(VLOOKUP(TRIM('Ügyfelek'!B97),'Beállítások'!$A$51:$B$59,2,FALSE),'Beállítások'!$B$84)))</f>
        <v/>
      </c>
      <c r="C97">
        <f>IF($A97="","",IF('Ügyfelek'!C97="",'Beállítások'!$B$84,MIN(10,MAX(1,ROUND('Ügyfelek'!C97,0)))))</f>
        <v/>
      </c>
      <c r="D97">
        <f>IF($A97="","",IF('Ügyfelek'!D97="",'Beállítások'!$B$84,MIN(10,MAX(1,ROUND('Ügyfelek'!D97,0)))))</f>
        <v/>
      </c>
      <c r="E97">
        <f>IF($A97="","",IF('Ügyfelek'!E97="",'Beállítások'!$B$84,MIN(10,MAX(1,ROUND('Ügyfelek'!E97,0)))))</f>
        <v/>
      </c>
      <c r="F97">
        <f>IF($A97="","",IF('Ügyfelek'!F97="",'Beállítások'!$B$84,MIN(10,MAX(1,ROUND('Ügyfelek'!F97,0)))))</f>
        <v/>
      </c>
      <c r="G97">
        <f>IF($A97="","",IF('Ügyfelek'!G97="",'Beállítások'!$B$84,MIN(10,MAX(1,ROUND('Ügyfelek'!G97,0)))))</f>
        <v/>
      </c>
      <c r="H97">
        <f>IF($A97="","",IF('Ügyfelek'!H97="",'Beállítások'!$B$84,MIN(10,MAX(1,ROUND('Ügyfelek'!H97,0)))))</f>
        <v/>
      </c>
      <c r="I97">
        <f>IF($A97="","",IF('Ügyfelek'!I97="",'Beállítások'!$B$84,MIN(10,MAX(1,ROUND('Ügyfelek'!I97,0)))))</f>
        <v/>
      </c>
      <c r="J97">
        <f>IF($A97="","",IF('Ügyfelek'!J97="",'Beállítások'!$B$84,MIN(10,MAX(1,ROUND('Ügyfelek'!J97,0)))))</f>
        <v/>
      </c>
      <c r="K97">
        <f>IF($A97="","",IF('Ügyfelek'!K97="",'Beállítások'!$B$84,MIN(10,MAX(1,ROUND('Ügyfelek'!K97,0)))))</f>
        <v/>
      </c>
      <c r="L97">
        <f>IF($A97="","",IF('Ügyfelek'!L97="",'Beállítások'!$B$84,MIN(10,MAX(1,ROUND('Ügyfelek'!L97,0)))))</f>
        <v/>
      </c>
      <c r="M97">
        <f>IF($A97="","",IF('Ügyfelek'!M97="",'Beállítások'!$B$84,MIN(10,MAX(1,ROUND('Ügyfelek'!M97,0)))))</f>
        <v/>
      </c>
      <c r="N97">
        <f>IF($A97="","",IF('Ügyfelek'!N97="",'Beállítások'!$B$84,MIN(10,MAX(1,ROUND('Ügyfelek'!N97,0)))))</f>
        <v/>
      </c>
      <c r="O97">
        <f>IF($A97="","",IF('Ügyfelek'!O97="",'Beállítások'!$B$84,MIN(10,MAX(1,ROUND('Ügyfelek'!O97,0)))))</f>
        <v/>
      </c>
      <c r="P97">
        <f>IF($A97="","",IF('Ügyfelek'!P97="",'Beállítások'!$B$84,MIN(10,MAX(1,ROUND('Ügyfelek'!P97,0)))))</f>
        <v/>
      </c>
      <c r="Q97">
        <f>IF($A97="","",IF('Ügyfelek'!Q97="",'Beállítások'!$B$84,MIN(10,MAX(1,ROUND('Ügyfelek'!Q97,0)))))</f>
        <v/>
      </c>
      <c r="R97">
        <f>IF($A97="","",IF('Ügyfelek'!R97="",'Beállítások'!$B$84,MIN(10,MAX(1,ROUND('Ügyfelek'!R97,0)))))</f>
        <v/>
      </c>
      <c r="S97">
        <f>IF($A97="","",IF('Ügyfelek'!S97="",'Beállítások'!$B$84,MIN(10,MAX(1,ROUND('Ügyfelek'!S97,0)))))</f>
        <v/>
      </c>
      <c r="T97">
        <f>IF($A97="","",IF('Ügyfelek'!T97="",'Beállítások'!$B$84,VLOOKUP(MAX('Ügyfelek'!T97,'Beállítások'!$H$7),'Beállítások'!$H$7:$I$12,2,TRUE)))</f>
        <v/>
      </c>
      <c r="U97">
        <f>IF($A97="","",IF('Ügyfelek'!U97="",'Beállítások'!$B$84,VLOOKUP(MAX('Ügyfelek'!U97,'Beállítások'!$K$7),'Beállítások'!$K$7:$L$12,2,TRUE)))</f>
        <v/>
      </c>
      <c r="V97">
        <f>IF($A97="","",IF('Ügyfelek'!V97="",'Beállítások'!$B$84,MIN(10,MAX(1,ROUND('Ügyfelek'!V97,0)))))</f>
        <v/>
      </c>
      <c r="W97">
        <f>IF($A97="","",IF('Ügyfelek'!W97="",'Beállítások'!$B$84,VLOOKUP(MAX('Ügyfelek'!W97,'Beállítások'!$N$7),'Beállítások'!$N$7:$O$12,2,TRUE)))</f>
        <v/>
      </c>
      <c r="X97">
        <f>IF($A97="","",IF('Ügyfelek'!X97="",'Beállítások'!$B$84,MIN(10,MAX(1,ROUND('Ügyfelek'!X97,0)))))</f>
        <v/>
      </c>
      <c r="Y97">
        <f>IF($A97="","",IF('Ügyfelek'!Y97="",'Beállítások'!$B$84,IFERROR(VLOOKUP(TRIM('Ügyfelek'!Y97),'Beállítások'!$A$63:$B$69,2,FALSE),'Beállítások'!$B$84)))</f>
        <v/>
      </c>
      <c r="Z97">
        <f>IF($A97="","",IF('Ügyfelek'!Z97="",'Beállítások'!$B$84,VLOOKUP(MAX('Ügyfelek'!Z97,'Beállítások'!$Q$7),'Beállítások'!$Q$7:$R$12,2,TRUE)))</f>
        <v/>
      </c>
      <c r="AA97">
        <f>IF($A97="","",IF('Ügyfelek'!AA97="",'Beállítások'!$B$84,VLOOKUP(MAX('Ügyfelek'!AA97,'Beállítások'!$T$7),'Beállítások'!$T$7:$U$12,2,TRUE)))</f>
        <v/>
      </c>
      <c r="AB97">
        <f>IF($A97="","",IF('Ügyfelek'!AB97="",'Beállítások'!$B$84,MIN(10,MAX(1,ROUND('Ügyfelek'!AB97,0)))))</f>
        <v/>
      </c>
      <c r="AC97">
        <f>IF($A97="","",IF('Ügyfelek'!AC97="",'Beállítások'!$B$84,MIN(10,MAX(1,ROUND('Ügyfelek'!AC97,0)))))</f>
        <v/>
      </c>
      <c r="AD97">
        <f>IF($A97="","",IF('Ügyfelek'!AD97="",'Beállítások'!$B$84,MIN(10,MAX(1,ROUND('Ügyfelek'!AD97,0)))))</f>
        <v/>
      </c>
      <c r="AE97">
        <f>IF($A97="","",IF('Ügyfelek'!AE97="",'Beállítások'!$B$84,MIN(10,MAX(1,ROUND('Ügyfelek'!AE97,0)))))</f>
        <v/>
      </c>
      <c r="AF97">
        <f>IF($A97="","",IF('Ügyfelek'!AF97="",'Beállítások'!$B$84,MIN(10,MAX(1,ROUND('Ügyfelek'!AF97,0)))))</f>
        <v/>
      </c>
      <c r="AG97">
        <f>IF($A97="","",IF('Ügyfelek'!AG97="",'Beállítások'!$B$84,MIN(10,MAX(1,ROUND('Ügyfelek'!AG97,0)))))</f>
        <v/>
      </c>
      <c r="AH97">
        <f>IF($A97="","",IF('Ügyfelek'!AH97="",'Beállítások'!$B$84,IFERROR(VLOOKUP(TRIM('Ügyfelek'!AH97),'Beállítások'!$A$73:$B$79,2,FALSE),'Beállítások'!$B$84)))</f>
        <v/>
      </c>
      <c r="AI97" s="23">
        <f>IF($A97="","",ROUND(100*('Beállítások'!$E$6*(B97-1)+'Beállítások'!$E$7*(C97-1))/(9*'Beállítások'!$B$43),1))</f>
        <v/>
      </c>
      <c r="AJ97" s="23">
        <f>IF($A97="","",ROUND(100*('Beállítások'!$E$8*(D97-1)+'Beállítások'!$E$9*(E97-1)+'Beállítások'!$E$10*(F97-1)+'Beállítások'!$E$11*(G97-1)+'Beállítások'!$E$12*(H97-1)+'Beállítások'!$E$13*(I97-1)+'Beállítások'!$E$14*(J97-1)+'Beállítások'!$E$15*(K97-1)+'Beállítások'!$E$16*(L97-1)+'Beállítások'!$E$17*(M97-1)+'Beállítások'!$E$18*(N97-1)+'Beállítások'!$E$19*(O97-1)+'Beállítások'!$E$20*(P97-1)+'Beállítások'!$E$21*(Q97-1)+'Beállítások'!$E$22*(R97-1))/(9*'Beállítások'!$B$44),1))</f>
        <v/>
      </c>
      <c r="AK97" s="23">
        <f>IF($A97="","",ROUND(100*('Beállítások'!$E$23*(S97-1)+'Beállítások'!$E$24*(T97-1)+'Beállítások'!$E$25*(U97-1)+'Beállítások'!$E$26*(V97-1)+'Beállítások'!$E$27*(W97-1)+'Beállítások'!$E$28*(X97-1)+'Beállítások'!$E$29*(Y97-1))/(9*'Beállítások'!$B$45),1))</f>
        <v/>
      </c>
      <c r="AL97" s="23">
        <f>IF($A97="","",ROUND(100*('Beállítások'!$E$30*(Z97-1)+'Beállítások'!$E$31*(AA97-1)+'Beállítások'!$E$32*(AB97-1)+'Beállítások'!$E$33*(AC97-1)+'Beállítások'!$E$34*(AD97-1)+'Beállítások'!$E$35*(AE97-1)+'Beállítások'!$E$36*(AF97-1)+'Beállítások'!$E$37*(AG97-1)+'Beállítások'!$E$38*(AH97-1))/(9*'Beállítások'!$B$46),1))</f>
        <v/>
      </c>
      <c r="AM97" s="23">
        <f>IF($A97="","",ROUND(100*('Beállítások'!$E$6*(B97-1)+'Beállítások'!$E$7*(C97-1)+'Beállítások'!$E$8*(D97-1)+'Beállítások'!$E$9*(E97-1)+'Beállítások'!$E$10*(F97-1)+'Beállítások'!$E$11*(G97-1)+'Beállítások'!$E$12*(H97-1)+'Beállítások'!$E$13*(I97-1)+'Beállítások'!$E$14*(J97-1)+'Beállítások'!$E$15*(K97-1)+'Beállítások'!$E$16*(L97-1)+'Beállítások'!$E$17*(M97-1)+'Beállítások'!$E$18*(N97-1)+'Beállítások'!$E$19*(O97-1)+'Beállítások'!$E$20*(P97-1)+'Beállítások'!$E$21*(Q97-1)+'Beállítások'!$E$22*(R97-1)+'Beállítások'!$E$23*(S97-1)+'Beállítások'!$E$24*(T97-1)+'Beállítások'!$E$25*(U97-1)+'Beállítások'!$E$26*(V97-1)+'Beállítások'!$E$27*(W97-1)+'Beállítások'!$E$28*(X97-1)+'Beállítások'!$E$29*(Y97-1)+'Beállítások'!$E$30*(Z97-1)+'Beállítások'!$E$31*(AA97-1)+'Beállítások'!$E$32*(AB97-1)+'Beállítások'!$E$33*(AC97-1)+'Beállítások'!$E$34*(AD97-1)+'Beállítások'!$E$35*(AE97-1)+'Beállítások'!$E$36*(AF97-1)+'Beállítások'!$E$37*(AG97-1)+'Beállítások'!$E$38*(AH97-1))/(9*'Beállítások'!$E$39),1))</f>
        <v/>
      </c>
      <c r="AN97" s="23">
        <f>IF($A97="","",ROUND(100*('Beállítások'!$E$8*(D97-1)+'Beállítások'!$E$9*(E97-1)+'Beállítások'!$E$10*(F97-1)+'Beállítások'!$E$11*(G97-1)+'Beállítások'!$E$12*(H97-1)+'Beállítások'!$E$13*(I97-1)+'Beállítások'!$E$14*(J97-1)+'Beállítások'!$E$15*(K97-1)+'Beállítások'!$E$16*(L97-1)+'Beállítások'!$E$17*(M97-1)+'Beállítások'!$E$18*(N97-1)+'Beállítások'!$E$19*(O97-1)+'Beállítások'!$E$20*(P97-1)+'Beállítások'!$E$21*(Q97-1)+'Beállítások'!$E$22*(R97-1)+'Beállítások'!$E$23*(S97-1)+'Beállítások'!$E$24*(T97-1)+'Beállítások'!$E$25*(U97-1)+'Beállítások'!$E$26*(V97-1)+'Beállítások'!$E$27*(W97-1)+'Beállítások'!$E$28*(X97-1)+'Beállítások'!$E$29*(Y97-1))/(9*('Beállítások'!$B$44+'Beállítások'!$B$45)),1))</f>
        <v/>
      </c>
      <c r="AO97" s="24">
        <f>IF($A97="","",RANK(AM97,$AM$2:$AM$201))</f>
        <v/>
      </c>
      <c r="AP97">
        <f>IF($A97="","",IF(OR(AND('Ügyfelek'!B97&lt;&gt;"",B97&lt;='Beállítások'!$B$85),AND('Ügyfelek'!C97&lt;&gt;"",C97&lt;='Beállítások'!$B$86)),"Igen","Nem"))</f>
        <v/>
      </c>
      <c r="AQ97" s="24">
        <f>IF($A97="","",IF(AP97="Igen",5,IF(AN97&gt;='Beállítások'!$C$108,1,IF(AN97&gt;='Beállítások'!$C$109,2,IF(AN97&gt;='Beállítások'!$C$110,3,IF(AND(AN97&gt;='Beállítások'!$B$87,AI97&gt;='Beállítások'!$B$88,AL97&gt;='Beállítások'!$B$89),4,5))))))</f>
        <v/>
      </c>
      <c r="AR97">
        <f>IF($A97="","",INDEX('Beállítások'!$B$108:$B$112,AQ97))</f>
        <v/>
      </c>
      <c r="AS97">
        <f>IF($A97="","",IF(AQ97=5,"Elutasítjuk",IF(AND(AQ97=4,COUNTIFS('Eredmény'!$AQ$2:$AQ$201,4,'Eredmény'!$DY$2:$DY$201,"&gt;"&amp;DY97)&gt;='Beállítások'!$B$90),"Várólista (a 4-es hely foglalt)","Elfogadjuk")))</f>
        <v/>
      </c>
      <c r="AT97">
        <f>IF($A97="","",INDEX('Beállítások'!$F$108:$F$112,AQ97))</f>
        <v/>
      </c>
      <c r="AU97">
        <f>IF($A97="","",INDEX('Beállítások'!$B$6:$B$38,MATCH(MAX(BK97:CQ97),BK97:CQ97,0)))</f>
        <v/>
      </c>
      <c r="AV97">
        <f>IF($A97="","",IF(MAX(CR97:DX97)=0,"—",INDEX('Beállítások'!$B$6:$B$38,MATCH(MAX(CR97:DX97),CR97:DX97,0))))</f>
        <v/>
      </c>
      <c r="AW97" s="10">
        <f>IF($A97="","",'Beállítások'!$B$94*(TRIM('Ügyfelek'!AI97)="igen")+'Beállítások'!$B$95*(TRIM('Ügyfelek'!AJ97)="igen")+'Beállítások'!$B$96*N('Ügyfelek'!AK97)+'Beállítások'!$B$93*N('Ügyfelek'!AL97))</f>
        <v/>
      </c>
      <c r="AX97" s="25">
        <f>IF(OR($A97="",AQ97=5),"",INDEX('Beállítások'!$D$108:$D$112,AQ97))</f>
        <v/>
      </c>
      <c r="AY97" s="10">
        <f>IF($A97="","",N('Ügyfelek'!U97)*'Beállítások'!$B$98)</f>
        <v/>
      </c>
      <c r="AZ97" s="10">
        <f>IF(OR($A97="",AQ97=5),"",CEILING(ROUND(MAX('Beállítások'!$B$97,AW97*AX97,AY97),2),'Beállítások'!$B$99))</f>
        <v/>
      </c>
      <c r="BA97">
        <f>IF($A97="","",IF(AQ97=5,"Elutasítva",IF(MAX('Beállítások'!$B$97,AW97*AX97,AY97)=AW97*AX97,"Munkaigény × státuszszorzó",IF(MAX('Beállítások'!$B$97,AW97*AX97,AY97)=AY97,"Hirdetési keret arányában","Minimumdíj"))))</f>
        <v/>
      </c>
      <c r="BB97" s="10">
        <f>IF(OR($A97="",'Ügyfelek'!AM97=""),"",'Ügyfelek'!AM97)</f>
        <v/>
      </c>
      <c r="BC97" s="10">
        <f>IF(OR(BB97="",AZ97=""),"",AZ97-BB97)</f>
        <v/>
      </c>
      <c r="BD97" s="18">
        <f>IF(OR(BB97="",AZ97="",BB97=0),"",BC97/BB97)</f>
        <v/>
      </c>
      <c r="BE97">
        <f>IF(OR($A97="",AQ97=5),"",IF(AND(INDEX('Beállítások'!$E$108:$E$112,AQ97)&gt;0,Y97&gt;='Beállítások'!$B$91),"Igen","Nem"))</f>
        <v/>
      </c>
      <c r="BF97" s="10">
        <f>IF(BE97="Igen",CEILING(ROUND(AZ97*(1-'Beállítások'!$B$92),2),'Beállítások'!$B$99),"")</f>
        <v/>
      </c>
      <c r="BG97" s="20">
        <f>IF(BE97="Igen",INDEX('Beállítások'!$E$108:$E$112,AQ97),"")</f>
        <v/>
      </c>
      <c r="BH97" s="10">
        <f>IF(OR(BE97&lt;&gt;"Igen",'Ügyfelek'!AN97=""),"",'Ügyfelek'!AN97*BG97)</f>
        <v/>
      </c>
      <c r="BI97" s="24">
        <f>IF($A97="","",('Ügyfelek'!B97="")+('Ügyfelek'!C97="")+('Ügyfelek'!D97="")+('Ügyfelek'!E97="")+('Ügyfelek'!F97="")+('Ügyfelek'!G97="")+('Ügyfelek'!H97="")+('Ügyfelek'!I97="")+('Ügyfelek'!J97="")+('Ügyfelek'!K97="")+('Ügyfelek'!L97="")+('Ügyfelek'!M97="")+('Ügyfelek'!N97="")+('Ügyfelek'!O97="")+('Ügyfelek'!P97="")+('Ügyfelek'!Q97="")+('Ügyfelek'!R97="")+('Ügyfelek'!S97="")+('Ügyfelek'!T97="")+('Ügyfelek'!U97="")+('Ügyfelek'!V97="")+('Ügyfelek'!W97="")+('Ügyfelek'!X97="")+('Ügyfelek'!Y97="")+('Ügyfelek'!Z97="")+('Ügyfelek'!AA97="")+('Ügyfelek'!AB97="")+('Ügyfelek'!AC97="")+('Ügyfelek'!AD97="")+('Ügyfelek'!AE97="")+('Ügyfelek'!AF97="")+('Ügyfelek'!AG97="")+('Ügyfelek'!AH97=""))</f>
        <v/>
      </c>
      <c r="BK97">
        <f>IF($A97="","",B97+'Beállítások'!$E$6/1000)</f>
        <v/>
      </c>
      <c r="BL97">
        <f>IF($A97="","",C97+'Beállítások'!$E$7/1000)</f>
        <v/>
      </c>
      <c r="BM97">
        <f>IF($A97="","",D97+'Beállítások'!$E$8/1000)</f>
        <v/>
      </c>
      <c r="BN97">
        <f>IF($A97="","",E97+'Beállítások'!$E$9/1000)</f>
        <v/>
      </c>
      <c r="BO97">
        <f>IF($A97="","",F97+'Beállítások'!$E$10/1000)</f>
        <v/>
      </c>
      <c r="BP97">
        <f>IF($A97="","",G97+'Beállítások'!$E$11/1000)</f>
        <v/>
      </c>
      <c r="BQ97">
        <f>IF($A97="","",H97+'Beállítások'!$E$12/1000)</f>
        <v/>
      </c>
      <c r="BR97">
        <f>IF($A97="","",I97+'Beállítások'!$E$13/1000)</f>
        <v/>
      </c>
      <c r="BS97">
        <f>IF($A97="","",J97+'Beállítások'!$E$14/1000)</f>
        <v/>
      </c>
      <c r="BT97">
        <f>IF($A97="","",K97+'Beállítások'!$E$15/1000)</f>
        <v/>
      </c>
      <c r="BU97">
        <f>IF($A97="","",L97+'Beállítások'!$E$16/1000)</f>
        <v/>
      </c>
      <c r="BV97">
        <f>IF($A97="","",M97+'Beállítások'!$E$17/1000)</f>
        <v/>
      </c>
      <c r="BW97">
        <f>IF($A97="","",N97+'Beállítások'!$E$18/1000)</f>
        <v/>
      </c>
      <c r="BX97">
        <f>IF($A97="","",O97+'Beállítások'!$E$19/1000)</f>
        <v/>
      </c>
      <c r="BY97">
        <f>IF($A97="","",P97+'Beállítások'!$E$20/1000)</f>
        <v/>
      </c>
      <c r="BZ97">
        <f>IF($A97="","",Q97+'Beállítások'!$E$21/1000)</f>
        <v/>
      </c>
      <c r="CA97">
        <f>IF($A97="","",R97+'Beállítások'!$E$22/1000)</f>
        <v/>
      </c>
      <c r="CB97">
        <f>IF($A97="","",S97+'Beállítások'!$E$23/1000)</f>
        <v/>
      </c>
      <c r="CC97">
        <f>IF($A97="","",T97+'Beállítások'!$E$24/1000)</f>
        <v/>
      </c>
      <c r="CD97">
        <f>IF($A97="","",U97+'Beállítások'!$E$25/1000)</f>
        <v/>
      </c>
      <c r="CE97">
        <f>IF($A97="","",V97+'Beállítások'!$E$26/1000)</f>
        <v/>
      </c>
      <c r="CF97">
        <f>IF($A97="","",W97+'Beállítások'!$E$27/1000)</f>
        <v/>
      </c>
      <c r="CG97">
        <f>IF($A97="","",X97+'Beállítások'!$E$28/1000)</f>
        <v/>
      </c>
      <c r="CH97">
        <f>IF($A97="","",Y97+'Beállítások'!$E$29/1000)</f>
        <v/>
      </c>
      <c r="CI97">
        <f>IF($A97="","",Z97+'Beállítások'!$E$30/1000)</f>
        <v/>
      </c>
      <c r="CJ97">
        <f>IF($A97="","",AA97+'Beállítások'!$E$31/1000)</f>
        <v/>
      </c>
      <c r="CK97">
        <f>IF($A97="","",AB97+'Beállítások'!$E$32/1000)</f>
        <v/>
      </c>
      <c r="CL97">
        <f>IF($A97="","",AC97+'Beállítások'!$E$33/1000)</f>
        <v/>
      </c>
      <c r="CM97">
        <f>IF($A97="","",AD97+'Beállítások'!$E$34/1000)</f>
        <v/>
      </c>
      <c r="CN97">
        <f>IF($A97="","",AE97+'Beállítások'!$E$35/1000)</f>
        <v/>
      </c>
      <c r="CO97">
        <f>IF($A97="","",AF97+'Beállítások'!$E$36/1000)</f>
        <v/>
      </c>
      <c r="CP97">
        <f>IF($A97="","",AG97+'Beállítások'!$E$37/1000)</f>
        <v/>
      </c>
      <c r="CQ97">
        <f>IF($A97="","",AH97+'Beállítások'!$E$38/1000)</f>
        <v/>
      </c>
      <c r="CR97">
        <f>IF($A97="","",'Beállítások'!$E$6*(10-B97))</f>
        <v/>
      </c>
      <c r="CS97">
        <f>IF($A97="","",'Beállítások'!$E$7*(10-C97))</f>
        <v/>
      </c>
      <c r="CT97">
        <f>IF($A97="","",'Beállítások'!$E$8*(10-D97))</f>
        <v/>
      </c>
      <c r="CU97">
        <f>IF($A97="","",'Beállítások'!$E$9*(10-E97))</f>
        <v/>
      </c>
      <c r="CV97">
        <f>IF($A97="","",'Beállítások'!$E$10*(10-F97))</f>
        <v/>
      </c>
      <c r="CW97">
        <f>IF($A97="","",'Beállítások'!$E$11*(10-G97))</f>
        <v/>
      </c>
      <c r="CX97">
        <f>IF($A97="","",'Beállítások'!$E$12*(10-H97))</f>
        <v/>
      </c>
      <c r="CY97">
        <f>IF($A97="","",'Beállítások'!$E$13*(10-I97))</f>
        <v/>
      </c>
      <c r="CZ97">
        <f>IF($A97="","",'Beállítások'!$E$14*(10-J97))</f>
        <v/>
      </c>
      <c r="DA97">
        <f>IF($A97="","",'Beállítások'!$E$15*(10-K97))</f>
        <v/>
      </c>
      <c r="DB97">
        <f>IF($A97="","",'Beállítások'!$E$16*(10-L97))</f>
        <v/>
      </c>
      <c r="DC97">
        <f>IF($A97="","",'Beállítások'!$E$17*(10-M97))</f>
        <v/>
      </c>
      <c r="DD97">
        <f>IF($A97="","",'Beállítások'!$E$18*(10-N97))</f>
        <v/>
      </c>
      <c r="DE97">
        <f>IF($A97="","",'Beállítások'!$E$19*(10-O97))</f>
        <v/>
      </c>
      <c r="DF97">
        <f>IF($A97="","",'Beállítások'!$E$20*(10-P97))</f>
        <v/>
      </c>
      <c r="DG97">
        <f>IF($A97="","",'Beállítások'!$E$21*(10-Q97))</f>
        <v/>
      </c>
      <c r="DH97">
        <f>IF($A97="","",'Beállítások'!$E$22*(10-R97))</f>
        <v/>
      </c>
      <c r="DI97">
        <f>IF($A97="","",'Beállítások'!$E$23*(10-S97))</f>
        <v/>
      </c>
      <c r="DJ97">
        <f>IF($A97="","",'Beállítások'!$E$24*(10-T97))</f>
        <v/>
      </c>
      <c r="DK97">
        <f>IF($A97="","",'Beállítások'!$E$25*(10-U97))</f>
        <v/>
      </c>
      <c r="DL97">
        <f>IF($A97="","",'Beállítások'!$E$26*(10-V97))</f>
        <v/>
      </c>
      <c r="DM97">
        <f>IF($A97="","",'Beállítások'!$E$27*(10-W97))</f>
        <v/>
      </c>
      <c r="DN97">
        <f>IF($A97="","",'Beállítások'!$E$28*(10-X97))</f>
        <v/>
      </c>
      <c r="DO97">
        <f>IF($A97="","",'Beállítások'!$E$29*(10-Y97))</f>
        <v/>
      </c>
      <c r="DP97">
        <f>IF($A97="","",'Beállítások'!$E$30*(10-Z97))</f>
        <v/>
      </c>
      <c r="DQ97">
        <f>IF($A97="","",'Beállítások'!$E$31*(10-AA97))</f>
        <v/>
      </c>
      <c r="DR97">
        <f>IF($A97="","",'Beállítások'!$E$32*(10-AB97))</f>
        <v/>
      </c>
      <c r="DS97">
        <f>IF($A97="","",'Beállítások'!$E$33*(10-AC97))</f>
        <v/>
      </c>
      <c r="DT97">
        <f>IF($A97="","",'Beállítások'!$E$34*(10-AD97))</f>
        <v/>
      </c>
      <c r="DU97">
        <f>IF($A97="","",'Beállítások'!$E$35*(10-AE97))</f>
        <v/>
      </c>
      <c r="DV97">
        <f>IF($A97="","",'Beállítások'!$E$36*(10-AF97))</f>
        <v/>
      </c>
      <c r="DW97">
        <f>IF($A97="","",'Beállítások'!$E$37*(10-AG97))</f>
        <v/>
      </c>
      <c r="DX97">
        <f>IF($A97="","",'Beállítások'!$E$38*(10-AH97))</f>
        <v/>
      </c>
      <c r="DY97">
        <f>IF($A97="","",AM97-ROW()/100000)</f>
        <v/>
      </c>
    </row>
    <row r="98">
      <c r="A98">
        <f>IF('Ügyfelek'!A98="","",'Ügyfelek'!A98)</f>
        <v/>
      </c>
      <c r="B98">
        <f>IF($A98="","",IF('Ügyfelek'!B98="",'Beállítások'!$B$84,IFERROR(VLOOKUP(TRIM('Ügyfelek'!B98),'Beállítások'!$A$51:$B$59,2,FALSE),'Beállítások'!$B$84)))</f>
        <v/>
      </c>
      <c r="C98">
        <f>IF($A98="","",IF('Ügyfelek'!C98="",'Beállítások'!$B$84,MIN(10,MAX(1,ROUND('Ügyfelek'!C98,0)))))</f>
        <v/>
      </c>
      <c r="D98">
        <f>IF($A98="","",IF('Ügyfelek'!D98="",'Beállítások'!$B$84,MIN(10,MAX(1,ROUND('Ügyfelek'!D98,0)))))</f>
        <v/>
      </c>
      <c r="E98">
        <f>IF($A98="","",IF('Ügyfelek'!E98="",'Beállítások'!$B$84,MIN(10,MAX(1,ROUND('Ügyfelek'!E98,0)))))</f>
        <v/>
      </c>
      <c r="F98">
        <f>IF($A98="","",IF('Ügyfelek'!F98="",'Beállítások'!$B$84,MIN(10,MAX(1,ROUND('Ügyfelek'!F98,0)))))</f>
        <v/>
      </c>
      <c r="G98">
        <f>IF($A98="","",IF('Ügyfelek'!G98="",'Beállítások'!$B$84,MIN(10,MAX(1,ROUND('Ügyfelek'!G98,0)))))</f>
        <v/>
      </c>
      <c r="H98">
        <f>IF($A98="","",IF('Ügyfelek'!H98="",'Beállítások'!$B$84,MIN(10,MAX(1,ROUND('Ügyfelek'!H98,0)))))</f>
        <v/>
      </c>
      <c r="I98">
        <f>IF($A98="","",IF('Ügyfelek'!I98="",'Beállítások'!$B$84,MIN(10,MAX(1,ROUND('Ügyfelek'!I98,0)))))</f>
        <v/>
      </c>
      <c r="J98">
        <f>IF($A98="","",IF('Ügyfelek'!J98="",'Beállítások'!$B$84,MIN(10,MAX(1,ROUND('Ügyfelek'!J98,0)))))</f>
        <v/>
      </c>
      <c r="K98">
        <f>IF($A98="","",IF('Ügyfelek'!K98="",'Beállítások'!$B$84,MIN(10,MAX(1,ROUND('Ügyfelek'!K98,0)))))</f>
        <v/>
      </c>
      <c r="L98">
        <f>IF($A98="","",IF('Ügyfelek'!L98="",'Beállítások'!$B$84,MIN(10,MAX(1,ROUND('Ügyfelek'!L98,0)))))</f>
        <v/>
      </c>
      <c r="M98">
        <f>IF($A98="","",IF('Ügyfelek'!M98="",'Beállítások'!$B$84,MIN(10,MAX(1,ROUND('Ügyfelek'!M98,0)))))</f>
        <v/>
      </c>
      <c r="N98">
        <f>IF($A98="","",IF('Ügyfelek'!N98="",'Beállítások'!$B$84,MIN(10,MAX(1,ROUND('Ügyfelek'!N98,0)))))</f>
        <v/>
      </c>
      <c r="O98">
        <f>IF($A98="","",IF('Ügyfelek'!O98="",'Beállítások'!$B$84,MIN(10,MAX(1,ROUND('Ügyfelek'!O98,0)))))</f>
        <v/>
      </c>
      <c r="P98">
        <f>IF($A98="","",IF('Ügyfelek'!P98="",'Beállítások'!$B$84,MIN(10,MAX(1,ROUND('Ügyfelek'!P98,0)))))</f>
        <v/>
      </c>
      <c r="Q98">
        <f>IF($A98="","",IF('Ügyfelek'!Q98="",'Beállítások'!$B$84,MIN(10,MAX(1,ROUND('Ügyfelek'!Q98,0)))))</f>
        <v/>
      </c>
      <c r="R98">
        <f>IF($A98="","",IF('Ügyfelek'!R98="",'Beállítások'!$B$84,MIN(10,MAX(1,ROUND('Ügyfelek'!R98,0)))))</f>
        <v/>
      </c>
      <c r="S98">
        <f>IF($A98="","",IF('Ügyfelek'!S98="",'Beállítások'!$B$84,MIN(10,MAX(1,ROUND('Ügyfelek'!S98,0)))))</f>
        <v/>
      </c>
      <c r="T98">
        <f>IF($A98="","",IF('Ügyfelek'!T98="",'Beállítások'!$B$84,VLOOKUP(MAX('Ügyfelek'!T98,'Beállítások'!$H$7),'Beállítások'!$H$7:$I$12,2,TRUE)))</f>
        <v/>
      </c>
      <c r="U98">
        <f>IF($A98="","",IF('Ügyfelek'!U98="",'Beállítások'!$B$84,VLOOKUP(MAX('Ügyfelek'!U98,'Beállítások'!$K$7),'Beállítások'!$K$7:$L$12,2,TRUE)))</f>
        <v/>
      </c>
      <c r="V98">
        <f>IF($A98="","",IF('Ügyfelek'!V98="",'Beállítások'!$B$84,MIN(10,MAX(1,ROUND('Ügyfelek'!V98,0)))))</f>
        <v/>
      </c>
      <c r="W98">
        <f>IF($A98="","",IF('Ügyfelek'!W98="",'Beállítások'!$B$84,VLOOKUP(MAX('Ügyfelek'!W98,'Beállítások'!$N$7),'Beállítások'!$N$7:$O$12,2,TRUE)))</f>
        <v/>
      </c>
      <c r="X98">
        <f>IF($A98="","",IF('Ügyfelek'!X98="",'Beállítások'!$B$84,MIN(10,MAX(1,ROUND('Ügyfelek'!X98,0)))))</f>
        <v/>
      </c>
      <c r="Y98">
        <f>IF($A98="","",IF('Ügyfelek'!Y98="",'Beállítások'!$B$84,IFERROR(VLOOKUP(TRIM('Ügyfelek'!Y98),'Beállítások'!$A$63:$B$69,2,FALSE),'Beállítások'!$B$84)))</f>
        <v/>
      </c>
      <c r="Z98">
        <f>IF($A98="","",IF('Ügyfelek'!Z98="",'Beállítások'!$B$84,VLOOKUP(MAX('Ügyfelek'!Z98,'Beállítások'!$Q$7),'Beállítások'!$Q$7:$R$12,2,TRUE)))</f>
        <v/>
      </c>
      <c r="AA98">
        <f>IF($A98="","",IF('Ügyfelek'!AA98="",'Beállítások'!$B$84,VLOOKUP(MAX('Ügyfelek'!AA98,'Beállítások'!$T$7),'Beállítások'!$T$7:$U$12,2,TRUE)))</f>
        <v/>
      </c>
      <c r="AB98">
        <f>IF($A98="","",IF('Ügyfelek'!AB98="",'Beállítások'!$B$84,MIN(10,MAX(1,ROUND('Ügyfelek'!AB98,0)))))</f>
        <v/>
      </c>
      <c r="AC98">
        <f>IF($A98="","",IF('Ügyfelek'!AC98="",'Beállítások'!$B$84,MIN(10,MAX(1,ROUND('Ügyfelek'!AC98,0)))))</f>
        <v/>
      </c>
      <c r="AD98">
        <f>IF($A98="","",IF('Ügyfelek'!AD98="",'Beállítások'!$B$84,MIN(10,MAX(1,ROUND('Ügyfelek'!AD98,0)))))</f>
        <v/>
      </c>
      <c r="AE98">
        <f>IF($A98="","",IF('Ügyfelek'!AE98="",'Beállítások'!$B$84,MIN(10,MAX(1,ROUND('Ügyfelek'!AE98,0)))))</f>
        <v/>
      </c>
      <c r="AF98">
        <f>IF($A98="","",IF('Ügyfelek'!AF98="",'Beállítások'!$B$84,MIN(10,MAX(1,ROUND('Ügyfelek'!AF98,0)))))</f>
        <v/>
      </c>
      <c r="AG98">
        <f>IF($A98="","",IF('Ügyfelek'!AG98="",'Beállítások'!$B$84,MIN(10,MAX(1,ROUND('Ügyfelek'!AG98,0)))))</f>
        <v/>
      </c>
      <c r="AH98">
        <f>IF($A98="","",IF('Ügyfelek'!AH98="",'Beállítások'!$B$84,IFERROR(VLOOKUP(TRIM('Ügyfelek'!AH98),'Beállítások'!$A$73:$B$79,2,FALSE),'Beállítások'!$B$84)))</f>
        <v/>
      </c>
      <c r="AI98" s="23">
        <f>IF($A98="","",ROUND(100*('Beállítások'!$E$6*(B98-1)+'Beállítások'!$E$7*(C98-1))/(9*'Beállítások'!$B$43),1))</f>
        <v/>
      </c>
      <c r="AJ98" s="23">
        <f>IF($A98="","",ROUND(100*('Beállítások'!$E$8*(D98-1)+'Beállítások'!$E$9*(E98-1)+'Beállítások'!$E$10*(F98-1)+'Beállítások'!$E$11*(G98-1)+'Beállítások'!$E$12*(H98-1)+'Beállítások'!$E$13*(I98-1)+'Beállítások'!$E$14*(J98-1)+'Beállítások'!$E$15*(K98-1)+'Beállítások'!$E$16*(L98-1)+'Beállítások'!$E$17*(M98-1)+'Beállítások'!$E$18*(N98-1)+'Beállítások'!$E$19*(O98-1)+'Beállítások'!$E$20*(P98-1)+'Beállítások'!$E$21*(Q98-1)+'Beállítások'!$E$22*(R98-1))/(9*'Beállítások'!$B$44),1))</f>
        <v/>
      </c>
      <c r="AK98" s="23">
        <f>IF($A98="","",ROUND(100*('Beállítások'!$E$23*(S98-1)+'Beállítások'!$E$24*(T98-1)+'Beállítások'!$E$25*(U98-1)+'Beállítások'!$E$26*(V98-1)+'Beállítások'!$E$27*(W98-1)+'Beállítások'!$E$28*(X98-1)+'Beállítások'!$E$29*(Y98-1))/(9*'Beállítások'!$B$45),1))</f>
        <v/>
      </c>
      <c r="AL98" s="23">
        <f>IF($A98="","",ROUND(100*('Beállítások'!$E$30*(Z98-1)+'Beállítások'!$E$31*(AA98-1)+'Beállítások'!$E$32*(AB98-1)+'Beállítások'!$E$33*(AC98-1)+'Beállítások'!$E$34*(AD98-1)+'Beállítások'!$E$35*(AE98-1)+'Beállítások'!$E$36*(AF98-1)+'Beállítások'!$E$37*(AG98-1)+'Beállítások'!$E$38*(AH98-1))/(9*'Beállítások'!$B$46),1))</f>
        <v/>
      </c>
      <c r="AM98" s="23">
        <f>IF($A98="","",ROUND(100*('Beállítások'!$E$6*(B98-1)+'Beállítások'!$E$7*(C98-1)+'Beállítások'!$E$8*(D98-1)+'Beállítások'!$E$9*(E98-1)+'Beállítások'!$E$10*(F98-1)+'Beállítások'!$E$11*(G98-1)+'Beállítások'!$E$12*(H98-1)+'Beállítások'!$E$13*(I98-1)+'Beállítások'!$E$14*(J98-1)+'Beállítások'!$E$15*(K98-1)+'Beállítások'!$E$16*(L98-1)+'Beállítások'!$E$17*(M98-1)+'Beállítások'!$E$18*(N98-1)+'Beállítások'!$E$19*(O98-1)+'Beállítások'!$E$20*(P98-1)+'Beállítások'!$E$21*(Q98-1)+'Beállítások'!$E$22*(R98-1)+'Beállítások'!$E$23*(S98-1)+'Beállítások'!$E$24*(T98-1)+'Beállítások'!$E$25*(U98-1)+'Beállítások'!$E$26*(V98-1)+'Beállítások'!$E$27*(W98-1)+'Beállítások'!$E$28*(X98-1)+'Beállítások'!$E$29*(Y98-1)+'Beállítások'!$E$30*(Z98-1)+'Beállítások'!$E$31*(AA98-1)+'Beállítások'!$E$32*(AB98-1)+'Beállítások'!$E$33*(AC98-1)+'Beállítások'!$E$34*(AD98-1)+'Beállítások'!$E$35*(AE98-1)+'Beállítások'!$E$36*(AF98-1)+'Beállítások'!$E$37*(AG98-1)+'Beállítások'!$E$38*(AH98-1))/(9*'Beállítások'!$E$39),1))</f>
        <v/>
      </c>
      <c r="AN98" s="23">
        <f>IF($A98="","",ROUND(100*('Beállítások'!$E$8*(D98-1)+'Beállítások'!$E$9*(E98-1)+'Beállítások'!$E$10*(F98-1)+'Beállítások'!$E$11*(G98-1)+'Beállítások'!$E$12*(H98-1)+'Beállítások'!$E$13*(I98-1)+'Beállítások'!$E$14*(J98-1)+'Beállítások'!$E$15*(K98-1)+'Beállítások'!$E$16*(L98-1)+'Beállítások'!$E$17*(M98-1)+'Beállítások'!$E$18*(N98-1)+'Beállítások'!$E$19*(O98-1)+'Beállítások'!$E$20*(P98-1)+'Beállítások'!$E$21*(Q98-1)+'Beállítások'!$E$22*(R98-1)+'Beállítások'!$E$23*(S98-1)+'Beállítások'!$E$24*(T98-1)+'Beállítások'!$E$25*(U98-1)+'Beállítások'!$E$26*(V98-1)+'Beállítások'!$E$27*(W98-1)+'Beállítások'!$E$28*(X98-1)+'Beállítások'!$E$29*(Y98-1))/(9*('Beállítások'!$B$44+'Beállítások'!$B$45)),1))</f>
        <v/>
      </c>
      <c r="AO98" s="24">
        <f>IF($A98="","",RANK(AM98,$AM$2:$AM$201))</f>
        <v/>
      </c>
      <c r="AP98">
        <f>IF($A98="","",IF(OR(AND('Ügyfelek'!B98&lt;&gt;"",B98&lt;='Beállítások'!$B$85),AND('Ügyfelek'!C98&lt;&gt;"",C98&lt;='Beállítások'!$B$86)),"Igen","Nem"))</f>
        <v/>
      </c>
      <c r="AQ98" s="24">
        <f>IF($A98="","",IF(AP98="Igen",5,IF(AN98&gt;='Beállítások'!$C$108,1,IF(AN98&gt;='Beállítások'!$C$109,2,IF(AN98&gt;='Beállítások'!$C$110,3,IF(AND(AN98&gt;='Beállítások'!$B$87,AI98&gt;='Beállítások'!$B$88,AL98&gt;='Beállítások'!$B$89),4,5))))))</f>
        <v/>
      </c>
      <c r="AR98">
        <f>IF($A98="","",INDEX('Beállítások'!$B$108:$B$112,AQ98))</f>
        <v/>
      </c>
      <c r="AS98">
        <f>IF($A98="","",IF(AQ98=5,"Elutasítjuk",IF(AND(AQ98=4,COUNTIFS('Eredmény'!$AQ$2:$AQ$201,4,'Eredmény'!$DY$2:$DY$201,"&gt;"&amp;DY98)&gt;='Beállítások'!$B$90),"Várólista (a 4-es hely foglalt)","Elfogadjuk")))</f>
        <v/>
      </c>
      <c r="AT98">
        <f>IF($A98="","",INDEX('Beállítások'!$F$108:$F$112,AQ98))</f>
        <v/>
      </c>
      <c r="AU98">
        <f>IF($A98="","",INDEX('Beállítások'!$B$6:$B$38,MATCH(MAX(BK98:CQ98),BK98:CQ98,0)))</f>
        <v/>
      </c>
      <c r="AV98">
        <f>IF($A98="","",IF(MAX(CR98:DX98)=0,"—",INDEX('Beállítások'!$B$6:$B$38,MATCH(MAX(CR98:DX98),CR98:DX98,0))))</f>
        <v/>
      </c>
      <c r="AW98" s="10">
        <f>IF($A98="","",'Beállítások'!$B$94*(TRIM('Ügyfelek'!AI98)="igen")+'Beállítások'!$B$95*(TRIM('Ügyfelek'!AJ98)="igen")+'Beállítások'!$B$96*N('Ügyfelek'!AK98)+'Beállítások'!$B$93*N('Ügyfelek'!AL98))</f>
        <v/>
      </c>
      <c r="AX98" s="25">
        <f>IF(OR($A98="",AQ98=5),"",INDEX('Beállítások'!$D$108:$D$112,AQ98))</f>
        <v/>
      </c>
      <c r="AY98" s="10">
        <f>IF($A98="","",N('Ügyfelek'!U98)*'Beállítások'!$B$98)</f>
        <v/>
      </c>
      <c r="AZ98" s="10">
        <f>IF(OR($A98="",AQ98=5),"",CEILING(ROUND(MAX('Beállítások'!$B$97,AW98*AX98,AY98),2),'Beállítások'!$B$99))</f>
        <v/>
      </c>
      <c r="BA98">
        <f>IF($A98="","",IF(AQ98=5,"Elutasítva",IF(MAX('Beállítások'!$B$97,AW98*AX98,AY98)=AW98*AX98,"Munkaigény × státuszszorzó",IF(MAX('Beállítások'!$B$97,AW98*AX98,AY98)=AY98,"Hirdetési keret arányában","Minimumdíj"))))</f>
        <v/>
      </c>
      <c r="BB98" s="10">
        <f>IF(OR($A98="",'Ügyfelek'!AM98=""),"",'Ügyfelek'!AM98)</f>
        <v/>
      </c>
      <c r="BC98" s="10">
        <f>IF(OR(BB98="",AZ98=""),"",AZ98-BB98)</f>
        <v/>
      </c>
      <c r="BD98" s="18">
        <f>IF(OR(BB98="",AZ98="",BB98=0),"",BC98/BB98)</f>
        <v/>
      </c>
      <c r="BE98">
        <f>IF(OR($A98="",AQ98=5),"",IF(AND(INDEX('Beállítások'!$E$108:$E$112,AQ98)&gt;0,Y98&gt;='Beállítások'!$B$91),"Igen","Nem"))</f>
        <v/>
      </c>
      <c r="BF98" s="10">
        <f>IF(BE98="Igen",CEILING(ROUND(AZ98*(1-'Beállítások'!$B$92),2),'Beállítások'!$B$99),"")</f>
        <v/>
      </c>
      <c r="BG98" s="20">
        <f>IF(BE98="Igen",INDEX('Beállítások'!$E$108:$E$112,AQ98),"")</f>
        <v/>
      </c>
      <c r="BH98" s="10">
        <f>IF(OR(BE98&lt;&gt;"Igen",'Ügyfelek'!AN98=""),"",'Ügyfelek'!AN98*BG98)</f>
        <v/>
      </c>
      <c r="BI98" s="24">
        <f>IF($A98="","",('Ügyfelek'!B98="")+('Ügyfelek'!C98="")+('Ügyfelek'!D98="")+('Ügyfelek'!E98="")+('Ügyfelek'!F98="")+('Ügyfelek'!G98="")+('Ügyfelek'!H98="")+('Ügyfelek'!I98="")+('Ügyfelek'!J98="")+('Ügyfelek'!K98="")+('Ügyfelek'!L98="")+('Ügyfelek'!M98="")+('Ügyfelek'!N98="")+('Ügyfelek'!O98="")+('Ügyfelek'!P98="")+('Ügyfelek'!Q98="")+('Ügyfelek'!R98="")+('Ügyfelek'!S98="")+('Ügyfelek'!T98="")+('Ügyfelek'!U98="")+('Ügyfelek'!V98="")+('Ügyfelek'!W98="")+('Ügyfelek'!X98="")+('Ügyfelek'!Y98="")+('Ügyfelek'!Z98="")+('Ügyfelek'!AA98="")+('Ügyfelek'!AB98="")+('Ügyfelek'!AC98="")+('Ügyfelek'!AD98="")+('Ügyfelek'!AE98="")+('Ügyfelek'!AF98="")+('Ügyfelek'!AG98="")+('Ügyfelek'!AH98=""))</f>
        <v/>
      </c>
      <c r="BK98">
        <f>IF($A98="","",B98+'Beállítások'!$E$6/1000)</f>
        <v/>
      </c>
      <c r="BL98">
        <f>IF($A98="","",C98+'Beállítások'!$E$7/1000)</f>
        <v/>
      </c>
      <c r="BM98">
        <f>IF($A98="","",D98+'Beállítások'!$E$8/1000)</f>
        <v/>
      </c>
      <c r="BN98">
        <f>IF($A98="","",E98+'Beállítások'!$E$9/1000)</f>
        <v/>
      </c>
      <c r="BO98">
        <f>IF($A98="","",F98+'Beállítások'!$E$10/1000)</f>
        <v/>
      </c>
      <c r="BP98">
        <f>IF($A98="","",G98+'Beállítások'!$E$11/1000)</f>
        <v/>
      </c>
      <c r="BQ98">
        <f>IF($A98="","",H98+'Beállítások'!$E$12/1000)</f>
        <v/>
      </c>
      <c r="BR98">
        <f>IF($A98="","",I98+'Beállítások'!$E$13/1000)</f>
        <v/>
      </c>
      <c r="BS98">
        <f>IF($A98="","",J98+'Beállítások'!$E$14/1000)</f>
        <v/>
      </c>
      <c r="BT98">
        <f>IF($A98="","",K98+'Beállítások'!$E$15/1000)</f>
        <v/>
      </c>
      <c r="BU98">
        <f>IF($A98="","",L98+'Beállítások'!$E$16/1000)</f>
        <v/>
      </c>
      <c r="BV98">
        <f>IF($A98="","",M98+'Beállítások'!$E$17/1000)</f>
        <v/>
      </c>
      <c r="BW98">
        <f>IF($A98="","",N98+'Beállítások'!$E$18/1000)</f>
        <v/>
      </c>
      <c r="BX98">
        <f>IF($A98="","",O98+'Beállítások'!$E$19/1000)</f>
        <v/>
      </c>
      <c r="BY98">
        <f>IF($A98="","",P98+'Beállítások'!$E$20/1000)</f>
        <v/>
      </c>
      <c r="BZ98">
        <f>IF($A98="","",Q98+'Beállítások'!$E$21/1000)</f>
        <v/>
      </c>
      <c r="CA98">
        <f>IF($A98="","",R98+'Beállítások'!$E$22/1000)</f>
        <v/>
      </c>
      <c r="CB98">
        <f>IF($A98="","",S98+'Beállítások'!$E$23/1000)</f>
        <v/>
      </c>
      <c r="CC98">
        <f>IF($A98="","",T98+'Beállítások'!$E$24/1000)</f>
        <v/>
      </c>
      <c r="CD98">
        <f>IF($A98="","",U98+'Beállítások'!$E$25/1000)</f>
        <v/>
      </c>
      <c r="CE98">
        <f>IF($A98="","",V98+'Beállítások'!$E$26/1000)</f>
        <v/>
      </c>
      <c r="CF98">
        <f>IF($A98="","",W98+'Beállítások'!$E$27/1000)</f>
        <v/>
      </c>
      <c r="CG98">
        <f>IF($A98="","",X98+'Beállítások'!$E$28/1000)</f>
        <v/>
      </c>
      <c r="CH98">
        <f>IF($A98="","",Y98+'Beállítások'!$E$29/1000)</f>
        <v/>
      </c>
      <c r="CI98">
        <f>IF($A98="","",Z98+'Beállítások'!$E$30/1000)</f>
        <v/>
      </c>
      <c r="CJ98">
        <f>IF($A98="","",AA98+'Beállítások'!$E$31/1000)</f>
        <v/>
      </c>
      <c r="CK98">
        <f>IF($A98="","",AB98+'Beállítások'!$E$32/1000)</f>
        <v/>
      </c>
      <c r="CL98">
        <f>IF($A98="","",AC98+'Beállítások'!$E$33/1000)</f>
        <v/>
      </c>
      <c r="CM98">
        <f>IF($A98="","",AD98+'Beállítások'!$E$34/1000)</f>
        <v/>
      </c>
      <c r="CN98">
        <f>IF($A98="","",AE98+'Beállítások'!$E$35/1000)</f>
        <v/>
      </c>
      <c r="CO98">
        <f>IF($A98="","",AF98+'Beállítások'!$E$36/1000)</f>
        <v/>
      </c>
      <c r="CP98">
        <f>IF($A98="","",AG98+'Beállítások'!$E$37/1000)</f>
        <v/>
      </c>
      <c r="CQ98">
        <f>IF($A98="","",AH98+'Beállítások'!$E$38/1000)</f>
        <v/>
      </c>
      <c r="CR98">
        <f>IF($A98="","",'Beállítások'!$E$6*(10-B98))</f>
        <v/>
      </c>
      <c r="CS98">
        <f>IF($A98="","",'Beállítások'!$E$7*(10-C98))</f>
        <v/>
      </c>
      <c r="CT98">
        <f>IF($A98="","",'Beállítások'!$E$8*(10-D98))</f>
        <v/>
      </c>
      <c r="CU98">
        <f>IF($A98="","",'Beállítások'!$E$9*(10-E98))</f>
        <v/>
      </c>
      <c r="CV98">
        <f>IF($A98="","",'Beállítások'!$E$10*(10-F98))</f>
        <v/>
      </c>
      <c r="CW98">
        <f>IF($A98="","",'Beállítások'!$E$11*(10-G98))</f>
        <v/>
      </c>
      <c r="CX98">
        <f>IF($A98="","",'Beállítások'!$E$12*(10-H98))</f>
        <v/>
      </c>
      <c r="CY98">
        <f>IF($A98="","",'Beállítások'!$E$13*(10-I98))</f>
        <v/>
      </c>
      <c r="CZ98">
        <f>IF($A98="","",'Beállítások'!$E$14*(10-J98))</f>
        <v/>
      </c>
      <c r="DA98">
        <f>IF($A98="","",'Beállítások'!$E$15*(10-K98))</f>
        <v/>
      </c>
      <c r="DB98">
        <f>IF($A98="","",'Beállítások'!$E$16*(10-L98))</f>
        <v/>
      </c>
      <c r="DC98">
        <f>IF($A98="","",'Beállítások'!$E$17*(10-M98))</f>
        <v/>
      </c>
      <c r="DD98">
        <f>IF($A98="","",'Beállítások'!$E$18*(10-N98))</f>
        <v/>
      </c>
      <c r="DE98">
        <f>IF($A98="","",'Beállítások'!$E$19*(10-O98))</f>
        <v/>
      </c>
      <c r="DF98">
        <f>IF($A98="","",'Beállítások'!$E$20*(10-P98))</f>
        <v/>
      </c>
      <c r="DG98">
        <f>IF($A98="","",'Beállítások'!$E$21*(10-Q98))</f>
        <v/>
      </c>
      <c r="DH98">
        <f>IF($A98="","",'Beállítások'!$E$22*(10-R98))</f>
        <v/>
      </c>
      <c r="DI98">
        <f>IF($A98="","",'Beállítások'!$E$23*(10-S98))</f>
        <v/>
      </c>
      <c r="DJ98">
        <f>IF($A98="","",'Beállítások'!$E$24*(10-T98))</f>
        <v/>
      </c>
      <c r="DK98">
        <f>IF($A98="","",'Beállítások'!$E$25*(10-U98))</f>
        <v/>
      </c>
      <c r="DL98">
        <f>IF($A98="","",'Beállítások'!$E$26*(10-V98))</f>
        <v/>
      </c>
      <c r="DM98">
        <f>IF($A98="","",'Beállítások'!$E$27*(10-W98))</f>
        <v/>
      </c>
      <c r="DN98">
        <f>IF($A98="","",'Beállítások'!$E$28*(10-X98))</f>
        <v/>
      </c>
      <c r="DO98">
        <f>IF($A98="","",'Beállítások'!$E$29*(10-Y98))</f>
        <v/>
      </c>
      <c r="DP98">
        <f>IF($A98="","",'Beállítások'!$E$30*(10-Z98))</f>
        <v/>
      </c>
      <c r="DQ98">
        <f>IF($A98="","",'Beállítások'!$E$31*(10-AA98))</f>
        <v/>
      </c>
      <c r="DR98">
        <f>IF($A98="","",'Beállítások'!$E$32*(10-AB98))</f>
        <v/>
      </c>
      <c r="DS98">
        <f>IF($A98="","",'Beállítások'!$E$33*(10-AC98))</f>
        <v/>
      </c>
      <c r="DT98">
        <f>IF($A98="","",'Beállítások'!$E$34*(10-AD98))</f>
        <v/>
      </c>
      <c r="DU98">
        <f>IF($A98="","",'Beállítások'!$E$35*(10-AE98))</f>
        <v/>
      </c>
      <c r="DV98">
        <f>IF($A98="","",'Beállítások'!$E$36*(10-AF98))</f>
        <v/>
      </c>
      <c r="DW98">
        <f>IF($A98="","",'Beállítások'!$E$37*(10-AG98))</f>
        <v/>
      </c>
      <c r="DX98">
        <f>IF($A98="","",'Beállítások'!$E$38*(10-AH98))</f>
        <v/>
      </c>
      <c r="DY98">
        <f>IF($A98="","",AM98-ROW()/100000)</f>
        <v/>
      </c>
    </row>
    <row r="99">
      <c r="A99">
        <f>IF('Ügyfelek'!A99="","",'Ügyfelek'!A99)</f>
        <v/>
      </c>
      <c r="B99">
        <f>IF($A99="","",IF('Ügyfelek'!B99="",'Beállítások'!$B$84,IFERROR(VLOOKUP(TRIM('Ügyfelek'!B99),'Beállítások'!$A$51:$B$59,2,FALSE),'Beállítások'!$B$84)))</f>
        <v/>
      </c>
      <c r="C99">
        <f>IF($A99="","",IF('Ügyfelek'!C99="",'Beállítások'!$B$84,MIN(10,MAX(1,ROUND('Ügyfelek'!C99,0)))))</f>
        <v/>
      </c>
      <c r="D99">
        <f>IF($A99="","",IF('Ügyfelek'!D99="",'Beállítások'!$B$84,MIN(10,MAX(1,ROUND('Ügyfelek'!D99,0)))))</f>
        <v/>
      </c>
      <c r="E99">
        <f>IF($A99="","",IF('Ügyfelek'!E99="",'Beállítások'!$B$84,MIN(10,MAX(1,ROUND('Ügyfelek'!E99,0)))))</f>
        <v/>
      </c>
      <c r="F99">
        <f>IF($A99="","",IF('Ügyfelek'!F99="",'Beállítások'!$B$84,MIN(10,MAX(1,ROUND('Ügyfelek'!F99,0)))))</f>
        <v/>
      </c>
      <c r="G99">
        <f>IF($A99="","",IF('Ügyfelek'!G99="",'Beállítások'!$B$84,MIN(10,MAX(1,ROUND('Ügyfelek'!G99,0)))))</f>
        <v/>
      </c>
      <c r="H99">
        <f>IF($A99="","",IF('Ügyfelek'!H99="",'Beállítások'!$B$84,MIN(10,MAX(1,ROUND('Ügyfelek'!H99,0)))))</f>
        <v/>
      </c>
      <c r="I99">
        <f>IF($A99="","",IF('Ügyfelek'!I99="",'Beállítások'!$B$84,MIN(10,MAX(1,ROUND('Ügyfelek'!I99,0)))))</f>
        <v/>
      </c>
      <c r="J99">
        <f>IF($A99="","",IF('Ügyfelek'!J99="",'Beállítások'!$B$84,MIN(10,MAX(1,ROUND('Ügyfelek'!J99,0)))))</f>
        <v/>
      </c>
      <c r="K99">
        <f>IF($A99="","",IF('Ügyfelek'!K99="",'Beállítások'!$B$84,MIN(10,MAX(1,ROUND('Ügyfelek'!K99,0)))))</f>
        <v/>
      </c>
      <c r="L99">
        <f>IF($A99="","",IF('Ügyfelek'!L99="",'Beállítások'!$B$84,MIN(10,MAX(1,ROUND('Ügyfelek'!L99,0)))))</f>
        <v/>
      </c>
      <c r="M99">
        <f>IF($A99="","",IF('Ügyfelek'!M99="",'Beállítások'!$B$84,MIN(10,MAX(1,ROUND('Ügyfelek'!M99,0)))))</f>
        <v/>
      </c>
      <c r="N99">
        <f>IF($A99="","",IF('Ügyfelek'!N99="",'Beállítások'!$B$84,MIN(10,MAX(1,ROUND('Ügyfelek'!N99,0)))))</f>
        <v/>
      </c>
      <c r="O99">
        <f>IF($A99="","",IF('Ügyfelek'!O99="",'Beállítások'!$B$84,MIN(10,MAX(1,ROUND('Ügyfelek'!O99,0)))))</f>
        <v/>
      </c>
      <c r="P99">
        <f>IF($A99="","",IF('Ügyfelek'!P99="",'Beállítások'!$B$84,MIN(10,MAX(1,ROUND('Ügyfelek'!P99,0)))))</f>
        <v/>
      </c>
      <c r="Q99">
        <f>IF($A99="","",IF('Ügyfelek'!Q99="",'Beállítások'!$B$84,MIN(10,MAX(1,ROUND('Ügyfelek'!Q99,0)))))</f>
        <v/>
      </c>
      <c r="R99">
        <f>IF($A99="","",IF('Ügyfelek'!R99="",'Beállítások'!$B$84,MIN(10,MAX(1,ROUND('Ügyfelek'!R99,0)))))</f>
        <v/>
      </c>
      <c r="S99">
        <f>IF($A99="","",IF('Ügyfelek'!S99="",'Beállítások'!$B$84,MIN(10,MAX(1,ROUND('Ügyfelek'!S99,0)))))</f>
        <v/>
      </c>
      <c r="T99">
        <f>IF($A99="","",IF('Ügyfelek'!T99="",'Beállítások'!$B$84,VLOOKUP(MAX('Ügyfelek'!T99,'Beállítások'!$H$7),'Beállítások'!$H$7:$I$12,2,TRUE)))</f>
        <v/>
      </c>
      <c r="U99">
        <f>IF($A99="","",IF('Ügyfelek'!U99="",'Beállítások'!$B$84,VLOOKUP(MAX('Ügyfelek'!U99,'Beállítások'!$K$7),'Beállítások'!$K$7:$L$12,2,TRUE)))</f>
        <v/>
      </c>
      <c r="V99">
        <f>IF($A99="","",IF('Ügyfelek'!V99="",'Beállítások'!$B$84,MIN(10,MAX(1,ROUND('Ügyfelek'!V99,0)))))</f>
        <v/>
      </c>
      <c r="W99">
        <f>IF($A99="","",IF('Ügyfelek'!W99="",'Beállítások'!$B$84,VLOOKUP(MAX('Ügyfelek'!W99,'Beállítások'!$N$7),'Beállítások'!$N$7:$O$12,2,TRUE)))</f>
        <v/>
      </c>
      <c r="X99">
        <f>IF($A99="","",IF('Ügyfelek'!X99="",'Beállítások'!$B$84,MIN(10,MAX(1,ROUND('Ügyfelek'!X99,0)))))</f>
        <v/>
      </c>
      <c r="Y99">
        <f>IF($A99="","",IF('Ügyfelek'!Y99="",'Beállítások'!$B$84,IFERROR(VLOOKUP(TRIM('Ügyfelek'!Y99),'Beállítások'!$A$63:$B$69,2,FALSE),'Beállítások'!$B$84)))</f>
        <v/>
      </c>
      <c r="Z99">
        <f>IF($A99="","",IF('Ügyfelek'!Z99="",'Beállítások'!$B$84,VLOOKUP(MAX('Ügyfelek'!Z99,'Beállítások'!$Q$7),'Beállítások'!$Q$7:$R$12,2,TRUE)))</f>
        <v/>
      </c>
      <c r="AA99">
        <f>IF($A99="","",IF('Ügyfelek'!AA99="",'Beállítások'!$B$84,VLOOKUP(MAX('Ügyfelek'!AA99,'Beállítások'!$T$7),'Beállítások'!$T$7:$U$12,2,TRUE)))</f>
        <v/>
      </c>
      <c r="AB99">
        <f>IF($A99="","",IF('Ügyfelek'!AB99="",'Beállítások'!$B$84,MIN(10,MAX(1,ROUND('Ügyfelek'!AB99,0)))))</f>
        <v/>
      </c>
      <c r="AC99">
        <f>IF($A99="","",IF('Ügyfelek'!AC99="",'Beállítások'!$B$84,MIN(10,MAX(1,ROUND('Ügyfelek'!AC99,0)))))</f>
        <v/>
      </c>
      <c r="AD99">
        <f>IF($A99="","",IF('Ügyfelek'!AD99="",'Beállítások'!$B$84,MIN(10,MAX(1,ROUND('Ügyfelek'!AD99,0)))))</f>
        <v/>
      </c>
      <c r="AE99">
        <f>IF($A99="","",IF('Ügyfelek'!AE99="",'Beállítások'!$B$84,MIN(10,MAX(1,ROUND('Ügyfelek'!AE99,0)))))</f>
        <v/>
      </c>
      <c r="AF99">
        <f>IF($A99="","",IF('Ügyfelek'!AF99="",'Beállítások'!$B$84,MIN(10,MAX(1,ROUND('Ügyfelek'!AF99,0)))))</f>
        <v/>
      </c>
      <c r="AG99">
        <f>IF($A99="","",IF('Ügyfelek'!AG99="",'Beállítások'!$B$84,MIN(10,MAX(1,ROUND('Ügyfelek'!AG99,0)))))</f>
        <v/>
      </c>
      <c r="AH99">
        <f>IF($A99="","",IF('Ügyfelek'!AH99="",'Beállítások'!$B$84,IFERROR(VLOOKUP(TRIM('Ügyfelek'!AH99),'Beállítások'!$A$73:$B$79,2,FALSE),'Beállítások'!$B$84)))</f>
        <v/>
      </c>
      <c r="AI99" s="23">
        <f>IF($A99="","",ROUND(100*('Beállítások'!$E$6*(B99-1)+'Beállítások'!$E$7*(C99-1))/(9*'Beállítások'!$B$43),1))</f>
        <v/>
      </c>
      <c r="AJ99" s="23">
        <f>IF($A99="","",ROUND(100*('Beállítások'!$E$8*(D99-1)+'Beállítások'!$E$9*(E99-1)+'Beállítások'!$E$10*(F99-1)+'Beállítások'!$E$11*(G99-1)+'Beállítások'!$E$12*(H99-1)+'Beállítások'!$E$13*(I99-1)+'Beállítások'!$E$14*(J99-1)+'Beállítások'!$E$15*(K99-1)+'Beállítások'!$E$16*(L99-1)+'Beállítások'!$E$17*(M99-1)+'Beállítások'!$E$18*(N99-1)+'Beállítások'!$E$19*(O99-1)+'Beállítások'!$E$20*(P99-1)+'Beállítások'!$E$21*(Q99-1)+'Beállítások'!$E$22*(R99-1))/(9*'Beállítások'!$B$44),1))</f>
        <v/>
      </c>
      <c r="AK99" s="23">
        <f>IF($A99="","",ROUND(100*('Beállítások'!$E$23*(S99-1)+'Beállítások'!$E$24*(T99-1)+'Beállítások'!$E$25*(U99-1)+'Beállítások'!$E$26*(V99-1)+'Beállítások'!$E$27*(W99-1)+'Beállítások'!$E$28*(X99-1)+'Beállítások'!$E$29*(Y99-1))/(9*'Beállítások'!$B$45),1))</f>
        <v/>
      </c>
      <c r="AL99" s="23">
        <f>IF($A99="","",ROUND(100*('Beállítások'!$E$30*(Z99-1)+'Beállítások'!$E$31*(AA99-1)+'Beállítások'!$E$32*(AB99-1)+'Beállítások'!$E$33*(AC99-1)+'Beállítások'!$E$34*(AD99-1)+'Beállítások'!$E$35*(AE99-1)+'Beállítások'!$E$36*(AF99-1)+'Beállítások'!$E$37*(AG99-1)+'Beállítások'!$E$38*(AH99-1))/(9*'Beállítások'!$B$46),1))</f>
        <v/>
      </c>
      <c r="AM99" s="23">
        <f>IF($A99="","",ROUND(100*('Beállítások'!$E$6*(B99-1)+'Beállítások'!$E$7*(C99-1)+'Beállítások'!$E$8*(D99-1)+'Beállítások'!$E$9*(E99-1)+'Beállítások'!$E$10*(F99-1)+'Beállítások'!$E$11*(G99-1)+'Beállítások'!$E$12*(H99-1)+'Beállítások'!$E$13*(I99-1)+'Beállítások'!$E$14*(J99-1)+'Beállítások'!$E$15*(K99-1)+'Beállítások'!$E$16*(L99-1)+'Beállítások'!$E$17*(M99-1)+'Beállítások'!$E$18*(N99-1)+'Beállítások'!$E$19*(O99-1)+'Beállítások'!$E$20*(P99-1)+'Beállítások'!$E$21*(Q99-1)+'Beállítások'!$E$22*(R99-1)+'Beállítások'!$E$23*(S99-1)+'Beállítások'!$E$24*(T99-1)+'Beállítások'!$E$25*(U99-1)+'Beállítások'!$E$26*(V99-1)+'Beállítások'!$E$27*(W99-1)+'Beállítások'!$E$28*(X99-1)+'Beállítások'!$E$29*(Y99-1)+'Beállítások'!$E$30*(Z99-1)+'Beállítások'!$E$31*(AA99-1)+'Beállítások'!$E$32*(AB99-1)+'Beállítások'!$E$33*(AC99-1)+'Beállítások'!$E$34*(AD99-1)+'Beállítások'!$E$35*(AE99-1)+'Beállítások'!$E$36*(AF99-1)+'Beállítások'!$E$37*(AG99-1)+'Beállítások'!$E$38*(AH99-1))/(9*'Beállítások'!$E$39),1))</f>
        <v/>
      </c>
      <c r="AN99" s="23">
        <f>IF($A99="","",ROUND(100*('Beállítások'!$E$8*(D99-1)+'Beállítások'!$E$9*(E99-1)+'Beállítások'!$E$10*(F99-1)+'Beállítások'!$E$11*(G99-1)+'Beállítások'!$E$12*(H99-1)+'Beállítások'!$E$13*(I99-1)+'Beállítások'!$E$14*(J99-1)+'Beállítások'!$E$15*(K99-1)+'Beállítások'!$E$16*(L99-1)+'Beállítások'!$E$17*(M99-1)+'Beállítások'!$E$18*(N99-1)+'Beállítások'!$E$19*(O99-1)+'Beállítások'!$E$20*(P99-1)+'Beállítások'!$E$21*(Q99-1)+'Beállítások'!$E$22*(R99-1)+'Beállítások'!$E$23*(S99-1)+'Beállítások'!$E$24*(T99-1)+'Beállítások'!$E$25*(U99-1)+'Beállítások'!$E$26*(V99-1)+'Beállítások'!$E$27*(W99-1)+'Beállítások'!$E$28*(X99-1)+'Beállítások'!$E$29*(Y99-1))/(9*('Beállítások'!$B$44+'Beállítások'!$B$45)),1))</f>
        <v/>
      </c>
      <c r="AO99" s="24">
        <f>IF($A99="","",RANK(AM99,$AM$2:$AM$201))</f>
        <v/>
      </c>
      <c r="AP99">
        <f>IF($A99="","",IF(OR(AND('Ügyfelek'!B99&lt;&gt;"",B99&lt;='Beállítások'!$B$85),AND('Ügyfelek'!C99&lt;&gt;"",C99&lt;='Beállítások'!$B$86)),"Igen","Nem"))</f>
        <v/>
      </c>
      <c r="AQ99" s="24">
        <f>IF($A99="","",IF(AP99="Igen",5,IF(AN99&gt;='Beállítások'!$C$108,1,IF(AN99&gt;='Beállítások'!$C$109,2,IF(AN99&gt;='Beállítások'!$C$110,3,IF(AND(AN99&gt;='Beállítások'!$B$87,AI99&gt;='Beállítások'!$B$88,AL99&gt;='Beállítások'!$B$89),4,5))))))</f>
        <v/>
      </c>
      <c r="AR99">
        <f>IF($A99="","",INDEX('Beállítások'!$B$108:$B$112,AQ99))</f>
        <v/>
      </c>
      <c r="AS99">
        <f>IF($A99="","",IF(AQ99=5,"Elutasítjuk",IF(AND(AQ99=4,COUNTIFS('Eredmény'!$AQ$2:$AQ$201,4,'Eredmény'!$DY$2:$DY$201,"&gt;"&amp;DY99)&gt;='Beállítások'!$B$90),"Várólista (a 4-es hely foglalt)","Elfogadjuk")))</f>
        <v/>
      </c>
      <c r="AT99">
        <f>IF($A99="","",INDEX('Beállítások'!$F$108:$F$112,AQ99))</f>
        <v/>
      </c>
      <c r="AU99">
        <f>IF($A99="","",INDEX('Beállítások'!$B$6:$B$38,MATCH(MAX(BK99:CQ99),BK99:CQ99,0)))</f>
        <v/>
      </c>
      <c r="AV99">
        <f>IF($A99="","",IF(MAX(CR99:DX99)=0,"—",INDEX('Beállítások'!$B$6:$B$38,MATCH(MAX(CR99:DX99),CR99:DX99,0))))</f>
        <v/>
      </c>
      <c r="AW99" s="10">
        <f>IF($A99="","",'Beállítások'!$B$94*(TRIM('Ügyfelek'!AI99)="igen")+'Beállítások'!$B$95*(TRIM('Ügyfelek'!AJ99)="igen")+'Beállítások'!$B$96*N('Ügyfelek'!AK99)+'Beállítások'!$B$93*N('Ügyfelek'!AL99))</f>
        <v/>
      </c>
      <c r="AX99" s="25">
        <f>IF(OR($A99="",AQ99=5),"",INDEX('Beállítások'!$D$108:$D$112,AQ99))</f>
        <v/>
      </c>
      <c r="AY99" s="10">
        <f>IF($A99="","",N('Ügyfelek'!U99)*'Beállítások'!$B$98)</f>
        <v/>
      </c>
      <c r="AZ99" s="10">
        <f>IF(OR($A99="",AQ99=5),"",CEILING(ROUND(MAX('Beállítások'!$B$97,AW99*AX99,AY99),2),'Beállítások'!$B$99))</f>
        <v/>
      </c>
      <c r="BA99">
        <f>IF($A99="","",IF(AQ99=5,"Elutasítva",IF(MAX('Beállítások'!$B$97,AW99*AX99,AY99)=AW99*AX99,"Munkaigény × státuszszorzó",IF(MAX('Beállítások'!$B$97,AW99*AX99,AY99)=AY99,"Hirdetési keret arányában","Minimumdíj"))))</f>
        <v/>
      </c>
      <c r="BB99" s="10">
        <f>IF(OR($A99="",'Ügyfelek'!AM99=""),"",'Ügyfelek'!AM99)</f>
        <v/>
      </c>
      <c r="BC99" s="10">
        <f>IF(OR(BB99="",AZ99=""),"",AZ99-BB99)</f>
        <v/>
      </c>
      <c r="BD99" s="18">
        <f>IF(OR(BB99="",AZ99="",BB99=0),"",BC99/BB99)</f>
        <v/>
      </c>
      <c r="BE99">
        <f>IF(OR($A99="",AQ99=5),"",IF(AND(INDEX('Beállítások'!$E$108:$E$112,AQ99)&gt;0,Y99&gt;='Beállítások'!$B$91),"Igen","Nem"))</f>
        <v/>
      </c>
      <c r="BF99" s="10">
        <f>IF(BE99="Igen",CEILING(ROUND(AZ99*(1-'Beállítások'!$B$92),2),'Beállítások'!$B$99),"")</f>
        <v/>
      </c>
      <c r="BG99" s="20">
        <f>IF(BE99="Igen",INDEX('Beállítások'!$E$108:$E$112,AQ99),"")</f>
        <v/>
      </c>
      <c r="BH99" s="10">
        <f>IF(OR(BE99&lt;&gt;"Igen",'Ügyfelek'!AN99=""),"",'Ügyfelek'!AN99*BG99)</f>
        <v/>
      </c>
      <c r="BI99" s="24">
        <f>IF($A99="","",('Ügyfelek'!B99="")+('Ügyfelek'!C99="")+('Ügyfelek'!D99="")+('Ügyfelek'!E99="")+('Ügyfelek'!F99="")+('Ügyfelek'!G99="")+('Ügyfelek'!H99="")+('Ügyfelek'!I99="")+('Ügyfelek'!J99="")+('Ügyfelek'!K99="")+('Ügyfelek'!L99="")+('Ügyfelek'!M99="")+('Ügyfelek'!N99="")+('Ügyfelek'!O99="")+('Ügyfelek'!P99="")+('Ügyfelek'!Q99="")+('Ügyfelek'!R99="")+('Ügyfelek'!S99="")+('Ügyfelek'!T99="")+('Ügyfelek'!U99="")+('Ügyfelek'!V99="")+('Ügyfelek'!W99="")+('Ügyfelek'!X99="")+('Ügyfelek'!Y99="")+('Ügyfelek'!Z99="")+('Ügyfelek'!AA99="")+('Ügyfelek'!AB99="")+('Ügyfelek'!AC99="")+('Ügyfelek'!AD99="")+('Ügyfelek'!AE99="")+('Ügyfelek'!AF99="")+('Ügyfelek'!AG99="")+('Ügyfelek'!AH99=""))</f>
        <v/>
      </c>
      <c r="BK99">
        <f>IF($A99="","",B99+'Beállítások'!$E$6/1000)</f>
        <v/>
      </c>
      <c r="BL99">
        <f>IF($A99="","",C99+'Beállítások'!$E$7/1000)</f>
        <v/>
      </c>
      <c r="BM99">
        <f>IF($A99="","",D99+'Beállítások'!$E$8/1000)</f>
        <v/>
      </c>
      <c r="BN99">
        <f>IF($A99="","",E99+'Beállítások'!$E$9/1000)</f>
        <v/>
      </c>
      <c r="BO99">
        <f>IF($A99="","",F99+'Beállítások'!$E$10/1000)</f>
        <v/>
      </c>
      <c r="BP99">
        <f>IF($A99="","",G99+'Beállítások'!$E$11/1000)</f>
        <v/>
      </c>
      <c r="BQ99">
        <f>IF($A99="","",H99+'Beállítások'!$E$12/1000)</f>
        <v/>
      </c>
      <c r="BR99">
        <f>IF($A99="","",I99+'Beállítások'!$E$13/1000)</f>
        <v/>
      </c>
      <c r="BS99">
        <f>IF($A99="","",J99+'Beállítások'!$E$14/1000)</f>
        <v/>
      </c>
      <c r="BT99">
        <f>IF($A99="","",K99+'Beállítások'!$E$15/1000)</f>
        <v/>
      </c>
      <c r="BU99">
        <f>IF($A99="","",L99+'Beállítások'!$E$16/1000)</f>
        <v/>
      </c>
      <c r="BV99">
        <f>IF($A99="","",M99+'Beállítások'!$E$17/1000)</f>
        <v/>
      </c>
      <c r="BW99">
        <f>IF($A99="","",N99+'Beállítások'!$E$18/1000)</f>
        <v/>
      </c>
      <c r="BX99">
        <f>IF($A99="","",O99+'Beállítások'!$E$19/1000)</f>
        <v/>
      </c>
      <c r="BY99">
        <f>IF($A99="","",P99+'Beállítások'!$E$20/1000)</f>
        <v/>
      </c>
      <c r="BZ99">
        <f>IF($A99="","",Q99+'Beállítások'!$E$21/1000)</f>
        <v/>
      </c>
      <c r="CA99">
        <f>IF($A99="","",R99+'Beállítások'!$E$22/1000)</f>
        <v/>
      </c>
      <c r="CB99">
        <f>IF($A99="","",S99+'Beállítások'!$E$23/1000)</f>
        <v/>
      </c>
      <c r="CC99">
        <f>IF($A99="","",T99+'Beállítások'!$E$24/1000)</f>
        <v/>
      </c>
      <c r="CD99">
        <f>IF($A99="","",U99+'Beállítások'!$E$25/1000)</f>
        <v/>
      </c>
      <c r="CE99">
        <f>IF($A99="","",V99+'Beállítások'!$E$26/1000)</f>
        <v/>
      </c>
      <c r="CF99">
        <f>IF($A99="","",W99+'Beállítások'!$E$27/1000)</f>
        <v/>
      </c>
      <c r="CG99">
        <f>IF($A99="","",X99+'Beállítások'!$E$28/1000)</f>
        <v/>
      </c>
      <c r="CH99">
        <f>IF($A99="","",Y99+'Beállítások'!$E$29/1000)</f>
        <v/>
      </c>
      <c r="CI99">
        <f>IF($A99="","",Z99+'Beállítások'!$E$30/1000)</f>
        <v/>
      </c>
      <c r="CJ99">
        <f>IF($A99="","",AA99+'Beállítások'!$E$31/1000)</f>
        <v/>
      </c>
      <c r="CK99">
        <f>IF($A99="","",AB99+'Beállítások'!$E$32/1000)</f>
        <v/>
      </c>
      <c r="CL99">
        <f>IF($A99="","",AC99+'Beállítások'!$E$33/1000)</f>
        <v/>
      </c>
      <c r="CM99">
        <f>IF($A99="","",AD99+'Beállítások'!$E$34/1000)</f>
        <v/>
      </c>
      <c r="CN99">
        <f>IF($A99="","",AE99+'Beállítások'!$E$35/1000)</f>
        <v/>
      </c>
      <c r="CO99">
        <f>IF($A99="","",AF99+'Beállítások'!$E$36/1000)</f>
        <v/>
      </c>
      <c r="CP99">
        <f>IF($A99="","",AG99+'Beállítások'!$E$37/1000)</f>
        <v/>
      </c>
      <c r="CQ99">
        <f>IF($A99="","",AH99+'Beállítások'!$E$38/1000)</f>
        <v/>
      </c>
      <c r="CR99">
        <f>IF($A99="","",'Beállítások'!$E$6*(10-B99))</f>
        <v/>
      </c>
      <c r="CS99">
        <f>IF($A99="","",'Beállítások'!$E$7*(10-C99))</f>
        <v/>
      </c>
      <c r="CT99">
        <f>IF($A99="","",'Beállítások'!$E$8*(10-D99))</f>
        <v/>
      </c>
      <c r="CU99">
        <f>IF($A99="","",'Beállítások'!$E$9*(10-E99))</f>
        <v/>
      </c>
      <c r="CV99">
        <f>IF($A99="","",'Beállítások'!$E$10*(10-F99))</f>
        <v/>
      </c>
      <c r="CW99">
        <f>IF($A99="","",'Beállítások'!$E$11*(10-G99))</f>
        <v/>
      </c>
      <c r="CX99">
        <f>IF($A99="","",'Beállítások'!$E$12*(10-H99))</f>
        <v/>
      </c>
      <c r="CY99">
        <f>IF($A99="","",'Beállítások'!$E$13*(10-I99))</f>
        <v/>
      </c>
      <c r="CZ99">
        <f>IF($A99="","",'Beállítások'!$E$14*(10-J99))</f>
        <v/>
      </c>
      <c r="DA99">
        <f>IF($A99="","",'Beállítások'!$E$15*(10-K99))</f>
        <v/>
      </c>
      <c r="DB99">
        <f>IF($A99="","",'Beállítások'!$E$16*(10-L99))</f>
        <v/>
      </c>
      <c r="DC99">
        <f>IF($A99="","",'Beállítások'!$E$17*(10-M99))</f>
        <v/>
      </c>
      <c r="DD99">
        <f>IF($A99="","",'Beállítások'!$E$18*(10-N99))</f>
        <v/>
      </c>
      <c r="DE99">
        <f>IF($A99="","",'Beállítások'!$E$19*(10-O99))</f>
        <v/>
      </c>
      <c r="DF99">
        <f>IF($A99="","",'Beállítások'!$E$20*(10-P99))</f>
        <v/>
      </c>
      <c r="DG99">
        <f>IF($A99="","",'Beállítások'!$E$21*(10-Q99))</f>
        <v/>
      </c>
      <c r="DH99">
        <f>IF($A99="","",'Beállítások'!$E$22*(10-R99))</f>
        <v/>
      </c>
      <c r="DI99">
        <f>IF($A99="","",'Beállítások'!$E$23*(10-S99))</f>
        <v/>
      </c>
      <c r="DJ99">
        <f>IF($A99="","",'Beállítások'!$E$24*(10-T99))</f>
        <v/>
      </c>
      <c r="DK99">
        <f>IF($A99="","",'Beállítások'!$E$25*(10-U99))</f>
        <v/>
      </c>
      <c r="DL99">
        <f>IF($A99="","",'Beállítások'!$E$26*(10-V99))</f>
        <v/>
      </c>
      <c r="DM99">
        <f>IF($A99="","",'Beállítások'!$E$27*(10-W99))</f>
        <v/>
      </c>
      <c r="DN99">
        <f>IF($A99="","",'Beállítások'!$E$28*(10-X99))</f>
        <v/>
      </c>
      <c r="DO99">
        <f>IF($A99="","",'Beállítások'!$E$29*(10-Y99))</f>
        <v/>
      </c>
      <c r="DP99">
        <f>IF($A99="","",'Beállítások'!$E$30*(10-Z99))</f>
        <v/>
      </c>
      <c r="DQ99">
        <f>IF($A99="","",'Beállítások'!$E$31*(10-AA99))</f>
        <v/>
      </c>
      <c r="DR99">
        <f>IF($A99="","",'Beállítások'!$E$32*(10-AB99))</f>
        <v/>
      </c>
      <c r="DS99">
        <f>IF($A99="","",'Beállítások'!$E$33*(10-AC99))</f>
        <v/>
      </c>
      <c r="DT99">
        <f>IF($A99="","",'Beállítások'!$E$34*(10-AD99))</f>
        <v/>
      </c>
      <c r="DU99">
        <f>IF($A99="","",'Beállítások'!$E$35*(10-AE99))</f>
        <v/>
      </c>
      <c r="DV99">
        <f>IF($A99="","",'Beállítások'!$E$36*(10-AF99))</f>
        <v/>
      </c>
      <c r="DW99">
        <f>IF($A99="","",'Beállítások'!$E$37*(10-AG99))</f>
        <v/>
      </c>
      <c r="DX99">
        <f>IF($A99="","",'Beállítások'!$E$38*(10-AH99))</f>
        <v/>
      </c>
      <c r="DY99">
        <f>IF($A99="","",AM99-ROW()/100000)</f>
        <v/>
      </c>
    </row>
    <row r="100">
      <c r="A100">
        <f>IF('Ügyfelek'!A100="","",'Ügyfelek'!A100)</f>
        <v/>
      </c>
      <c r="B100">
        <f>IF($A100="","",IF('Ügyfelek'!B100="",'Beállítások'!$B$84,IFERROR(VLOOKUP(TRIM('Ügyfelek'!B100),'Beállítások'!$A$51:$B$59,2,FALSE),'Beállítások'!$B$84)))</f>
        <v/>
      </c>
      <c r="C100">
        <f>IF($A100="","",IF('Ügyfelek'!C100="",'Beállítások'!$B$84,MIN(10,MAX(1,ROUND('Ügyfelek'!C100,0)))))</f>
        <v/>
      </c>
      <c r="D100">
        <f>IF($A100="","",IF('Ügyfelek'!D100="",'Beállítások'!$B$84,MIN(10,MAX(1,ROUND('Ügyfelek'!D100,0)))))</f>
        <v/>
      </c>
      <c r="E100">
        <f>IF($A100="","",IF('Ügyfelek'!E100="",'Beállítások'!$B$84,MIN(10,MAX(1,ROUND('Ügyfelek'!E100,0)))))</f>
        <v/>
      </c>
      <c r="F100">
        <f>IF($A100="","",IF('Ügyfelek'!F100="",'Beállítások'!$B$84,MIN(10,MAX(1,ROUND('Ügyfelek'!F100,0)))))</f>
        <v/>
      </c>
      <c r="G100">
        <f>IF($A100="","",IF('Ügyfelek'!G100="",'Beállítások'!$B$84,MIN(10,MAX(1,ROUND('Ügyfelek'!G100,0)))))</f>
        <v/>
      </c>
      <c r="H100">
        <f>IF($A100="","",IF('Ügyfelek'!H100="",'Beállítások'!$B$84,MIN(10,MAX(1,ROUND('Ügyfelek'!H100,0)))))</f>
        <v/>
      </c>
      <c r="I100">
        <f>IF($A100="","",IF('Ügyfelek'!I100="",'Beállítások'!$B$84,MIN(10,MAX(1,ROUND('Ügyfelek'!I100,0)))))</f>
        <v/>
      </c>
      <c r="J100">
        <f>IF($A100="","",IF('Ügyfelek'!J100="",'Beállítások'!$B$84,MIN(10,MAX(1,ROUND('Ügyfelek'!J100,0)))))</f>
        <v/>
      </c>
      <c r="K100">
        <f>IF($A100="","",IF('Ügyfelek'!K100="",'Beállítások'!$B$84,MIN(10,MAX(1,ROUND('Ügyfelek'!K100,0)))))</f>
        <v/>
      </c>
      <c r="L100">
        <f>IF($A100="","",IF('Ügyfelek'!L100="",'Beállítások'!$B$84,MIN(10,MAX(1,ROUND('Ügyfelek'!L100,0)))))</f>
        <v/>
      </c>
      <c r="M100">
        <f>IF($A100="","",IF('Ügyfelek'!M100="",'Beállítások'!$B$84,MIN(10,MAX(1,ROUND('Ügyfelek'!M100,0)))))</f>
        <v/>
      </c>
      <c r="N100">
        <f>IF($A100="","",IF('Ügyfelek'!N100="",'Beállítások'!$B$84,MIN(10,MAX(1,ROUND('Ügyfelek'!N100,0)))))</f>
        <v/>
      </c>
      <c r="O100">
        <f>IF($A100="","",IF('Ügyfelek'!O100="",'Beállítások'!$B$84,MIN(10,MAX(1,ROUND('Ügyfelek'!O100,0)))))</f>
        <v/>
      </c>
      <c r="P100">
        <f>IF($A100="","",IF('Ügyfelek'!P100="",'Beállítások'!$B$84,MIN(10,MAX(1,ROUND('Ügyfelek'!P100,0)))))</f>
        <v/>
      </c>
      <c r="Q100">
        <f>IF($A100="","",IF('Ügyfelek'!Q100="",'Beállítások'!$B$84,MIN(10,MAX(1,ROUND('Ügyfelek'!Q100,0)))))</f>
        <v/>
      </c>
      <c r="R100">
        <f>IF($A100="","",IF('Ügyfelek'!R100="",'Beállítások'!$B$84,MIN(10,MAX(1,ROUND('Ügyfelek'!R100,0)))))</f>
        <v/>
      </c>
      <c r="S100">
        <f>IF($A100="","",IF('Ügyfelek'!S100="",'Beállítások'!$B$84,MIN(10,MAX(1,ROUND('Ügyfelek'!S100,0)))))</f>
        <v/>
      </c>
      <c r="T100">
        <f>IF($A100="","",IF('Ügyfelek'!T100="",'Beállítások'!$B$84,VLOOKUP(MAX('Ügyfelek'!T100,'Beállítások'!$H$7),'Beállítások'!$H$7:$I$12,2,TRUE)))</f>
        <v/>
      </c>
      <c r="U100">
        <f>IF($A100="","",IF('Ügyfelek'!U100="",'Beállítások'!$B$84,VLOOKUP(MAX('Ügyfelek'!U100,'Beállítások'!$K$7),'Beállítások'!$K$7:$L$12,2,TRUE)))</f>
        <v/>
      </c>
      <c r="V100">
        <f>IF($A100="","",IF('Ügyfelek'!V100="",'Beállítások'!$B$84,MIN(10,MAX(1,ROUND('Ügyfelek'!V100,0)))))</f>
        <v/>
      </c>
      <c r="W100">
        <f>IF($A100="","",IF('Ügyfelek'!W100="",'Beállítások'!$B$84,VLOOKUP(MAX('Ügyfelek'!W100,'Beállítások'!$N$7),'Beállítások'!$N$7:$O$12,2,TRUE)))</f>
        <v/>
      </c>
      <c r="X100">
        <f>IF($A100="","",IF('Ügyfelek'!X100="",'Beállítások'!$B$84,MIN(10,MAX(1,ROUND('Ügyfelek'!X100,0)))))</f>
        <v/>
      </c>
      <c r="Y100">
        <f>IF($A100="","",IF('Ügyfelek'!Y100="",'Beállítások'!$B$84,IFERROR(VLOOKUP(TRIM('Ügyfelek'!Y100),'Beállítások'!$A$63:$B$69,2,FALSE),'Beállítások'!$B$84)))</f>
        <v/>
      </c>
      <c r="Z100">
        <f>IF($A100="","",IF('Ügyfelek'!Z100="",'Beállítások'!$B$84,VLOOKUP(MAX('Ügyfelek'!Z100,'Beállítások'!$Q$7),'Beállítások'!$Q$7:$R$12,2,TRUE)))</f>
        <v/>
      </c>
      <c r="AA100">
        <f>IF($A100="","",IF('Ügyfelek'!AA100="",'Beállítások'!$B$84,VLOOKUP(MAX('Ügyfelek'!AA100,'Beállítások'!$T$7),'Beállítások'!$T$7:$U$12,2,TRUE)))</f>
        <v/>
      </c>
      <c r="AB100">
        <f>IF($A100="","",IF('Ügyfelek'!AB100="",'Beállítások'!$B$84,MIN(10,MAX(1,ROUND('Ügyfelek'!AB100,0)))))</f>
        <v/>
      </c>
      <c r="AC100">
        <f>IF($A100="","",IF('Ügyfelek'!AC100="",'Beállítások'!$B$84,MIN(10,MAX(1,ROUND('Ügyfelek'!AC100,0)))))</f>
        <v/>
      </c>
      <c r="AD100">
        <f>IF($A100="","",IF('Ügyfelek'!AD100="",'Beállítások'!$B$84,MIN(10,MAX(1,ROUND('Ügyfelek'!AD100,0)))))</f>
        <v/>
      </c>
      <c r="AE100">
        <f>IF($A100="","",IF('Ügyfelek'!AE100="",'Beállítások'!$B$84,MIN(10,MAX(1,ROUND('Ügyfelek'!AE100,0)))))</f>
        <v/>
      </c>
      <c r="AF100">
        <f>IF($A100="","",IF('Ügyfelek'!AF100="",'Beállítások'!$B$84,MIN(10,MAX(1,ROUND('Ügyfelek'!AF100,0)))))</f>
        <v/>
      </c>
      <c r="AG100">
        <f>IF($A100="","",IF('Ügyfelek'!AG100="",'Beállítások'!$B$84,MIN(10,MAX(1,ROUND('Ügyfelek'!AG100,0)))))</f>
        <v/>
      </c>
      <c r="AH100">
        <f>IF($A100="","",IF('Ügyfelek'!AH100="",'Beállítások'!$B$84,IFERROR(VLOOKUP(TRIM('Ügyfelek'!AH100),'Beállítások'!$A$73:$B$79,2,FALSE),'Beállítások'!$B$84)))</f>
        <v/>
      </c>
      <c r="AI100" s="23">
        <f>IF($A100="","",ROUND(100*('Beállítások'!$E$6*(B100-1)+'Beállítások'!$E$7*(C100-1))/(9*'Beállítások'!$B$43),1))</f>
        <v/>
      </c>
      <c r="AJ100" s="23">
        <f>IF($A100="","",ROUND(100*('Beállítások'!$E$8*(D100-1)+'Beállítások'!$E$9*(E100-1)+'Beállítások'!$E$10*(F100-1)+'Beállítások'!$E$11*(G100-1)+'Beállítások'!$E$12*(H100-1)+'Beállítások'!$E$13*(I100-1)+'Beállítások'!$E$14*(J100-1)+'Beállítások'!$E$15*(K100-1)+'Beállítások'!$E$16*(L100-1)+'Beállítások'!$E$17*(M100-1)+'Beállítások'!$E$18*(N100-1)+'Beállítások'!$E$19*(O100-1)+'Beállítások'!$E$20*(P100-1)+'Beállítások'!$E$21*(Q100-1)+'Beállítások'!$E$22*(R100-1))/(9*'Beállítások'!$B$44),1))</f>
        <v/>
      </c>
      <c r="AK100" s="23">
        <f>IF($A100="","",ROUND(100*('Beállítások'!$E$23*(S100-1)+'Beállítások'!$E$24*(T100-1)+'Beállítások'!$E$25*(U100-1)+'Beállítások'!$E$26*(V100-1)+'Beállítások'!$E$27*(W100-1)+'Beállítások'!$E$28*(X100-1)+'Beállítások'!$E$29*(Y100-1))/(9*'Beállítások'!$B$45),1))</f>
        <v/>
      </c>
      <c r="AL100" s="23">
        <f>IF($A100="","",ROUND(100*('Beállítások'!$E$30*(Z100-1)+'Beállítások'!$E$31*(AA100-1)+'Beállítások'!$E$32*(AB100-1)+'Beállítások'!$E$33*(AC100-1)+'Beállítások'!$E$34*(AD100-1)+'Beállítások'!$E$35*(AE100-1)+'Beállítások'!$E$36*(AF100-1)+'Beállítások'!$E$37*(AG100-1)+'Beállítások'!$E$38*(AH100-1))/(9*'Beállítások'!$B$46),1))</f>
        <v/>
      </c>
      <c r="AM100" s="23">
        <f>IF($A100="","",ROUND(100*('Beállítások'!$E$6*(B100-1)+'Beállítások'!$E$7*(C100-1)+'Beállítások'!$E$8*(D100-1)+'Beállítások'!$E$9*(E100-1)+'Beállítások'!$E$10*(F100-1)+'Beállítások'!$E$11*(G100-1)+'Beállítások'!$E$12*(H100-1)+'Beállítások'!$E$13*(I100-1)+'Beállítások'!$E$14*(J100-1)+'Beállítások'!$E$15*(K100-1)+'Beállítások'!$E$16*(L100-1)+'Beállítások'!$E$17*(M100-1)+'Beállítások'!$E$18*(N100-1)+'Beállítások'!$E$19*(O100-1)+'Beállítások'!$E$20*(P100-1)+'Beállítások'!$E$21*(Q100-1)+'Beállítások'!$E$22*(R100-1)+'Beállítások'!$E$23*(S100-1)+'Beállítások'!$E$24*(T100-1)+'Beállítások'!$E$25*(U100-1)+'Beállítások'!$E$26*(V100-1)+'Beállítások'!$E$27*(W100-1)+'Beállítások'!$E$28*(X100-1)+'Beállítások'!$E$29*(Y100-1)+'Beállítások'!$E$30*(Z100-1)+'Beállítások'!$E$31*(AA100-1)+'Beállítások'!$E$32*(AB100-1)+'Beállítások'!$E$33*(AC100-1)+'Beállítások'!$E$34*(AD100-1)+'Beállítások'!$E$35*(AE100-1)+'Beállítások'!$E$36*(AF100-1)+'Beállítások'!$E$37*(AG100-1)+'Beállítások'!$E$38*(AH100-1))/(9*'Beállítások'!$E$39),1))</f>
        <v/>
      </c>
      <c r="AN100" s="23">
        <f>IF($A100="","",ROUND(100*('Beállítások'!$E$8*(D100-1)+'Beállítások'!$E$9*(E100-1)+'Beállítások'!$E$10*(F100-1)+'Beállítások'!$E$11*(G100-1)+'Beállítások'!$E$12*(H100-1)+'Beállítások'!$E$13*(I100-1)+'Beállítások'!$E$14*(J100-1)+'Beállítások'!$E$15*(K100-1)+'Beállítások'!$E$16*(L100-1)+'Beállítások'!$E$17*(M100-1)+'Beállítások'!$E$18*(N100-1)+'Beállítások'!$E$19*(O100-1)+'Beállítások'!$E$20*(P100-1)+'Beállítások'!$E$21*(Q100-1)+'Beállítások'!$E$22*(R100-1)+'Beállítások'!$E$23*(S100-1)+'Beállítások'!$E$24*(T100-1)+'Beállítások'!$E$25*(U100-1)+'Beállítások'!$E$26*(V100-1)+'Beállítások'!$E$27*(W100-1)+'Beállítások'!$E$28*(X100-1)+'Beállítások'!$E$29*(Y100-1))/(9*('Beállítások'!$B$44+'Beállítások'!$B$45)),1))</f>
        <v/>
      </c>
      <c r="AO100" s="24">
        <f>IF($A100="","",RANK(AM100,$AM$2:$AM$201))</f>
        <v/>
      </c>
      <c r="AP100">
        <f>IF($A100="","",IF(OR(AND('Ügyfelek'!B100&lt;&gt;"",B100&lt;='Beállítások'!$B$85),AND('Ügyfelek'!C100&lt;&gt;"",C100&lt;='Beállítások'!$B$86)),"Igen","Nem"))</f>
        <v/>
      </c>
      <c r="AQ100" s="24">
        <f>IF($A100="","",IF(AP100="Igen",5,IF(AN100&gt;='Beállítások'!$C$108,1,IF(AN100&gt;='Beállítások'!$C$109,2,IF(AN100&gt;='Beállítások'!$C$110,3,IF(AND(AN100&gt;='Beállítások'!$B$87,AI100&gt;='Beállítások'!$B$88,AL100&gt;='Beállítások'!$B$89),4,5))))))</f>
        <v/>
      </c>
      <c r="AR100">
        <f>IF($A100="","",INDEX('Beállítások'!$B$108:$B$112,AQ100))</f>
        <v/>
      </c>
      <c r="AS100">
        <f>IF($A100="","",IF(AQ100=5,"Elutasítjuk",IF(AND(AQ100=4,COUNTIFS('Eredmény'!$AQ$2:$AQ$201,4,'Eredmény'!$DY$2:$DY$201,"&gt;"&amp;DY100)&gt;='Beállítások'!$B$90),"Várólista (a 4-es hely foglalt)","Elfogadjuk")))</f>
        <v/>
      </c>
      <c r="AT100">
        <f>IF($A100="","",INDEX('Beállítások'!$F$108:$F$112,AQ100))</f>
        <v/>
      </c>
      <c r="AU100">
        <f>IF($A100="","",INDEX('Beállítások'!$B$6:$B$38,MATCH(MAX(BK100:CQ100),BK100:CQ100,0)))</f>
        <v/>
      </c>
      <c r="AV100">
        <f>IF($A100="","",IF(MAX(CR100:DX100)=0,"—",INDEX('Beállítások'!$B$6:$B$38,MATCH(MAX(CR100:DX100),CR100:DX100,0))))</f>
        <v/>
      </c>
      <c r="AW100" s="10">
        <f>IF($A100="","",'Beállítások'!$B$94*(TRIM('Ügyfelek'!AI100)="igen")+'Beállítások'!$B$95*(TRIM('Ügyfelek'!AJ100)="igen")+'Beállítások'!$B$96*N('Ügyfelek'!AK100)+'Beállítások'!$B$93*N('Ügyfelek'!AL100))</f>
        <v/>
      </c>
      <c r="AX100" s="25">
        <f>IF(OR($A100="",AQ100=5),"",INDEX('Beállítások'!$D$108:$D$112,AQ100))</f>
        <v/>
      </c>
      <c r="AY100" s="10">
        <f>IF($A100="","",N('Ügyfelek'!U100)*'Beállítások'!$B$98)</f>
        <v/>
      </c>
      <c r="AZ100" s="10">
        <f>IF(OR($A100="",AQ100=5),"",CEILING(ROUND(MAX('Beállítások'!$B$97,AW100*AX100,AY100),2),'Beállítások'!$B$99))</f>
        <v/>
      </c>
      <c r="BA100">
        <f>IF($A100="","",IF(AQ100=5,"Elutasítva",IF(MAX('Beállítások'!$B$97,AW100*AX100,AY100)=AW100*AX100,"Munkaigény × státuszszorzó",IF(MAX('Beállítások'!$B$97,AW100*AX100,AY100)=AY100,"Hirdetési keret arányában","Minimumdíj"))))</f>
        <v/>
      </c>
      <c r="BB100" s="10">
        <f>IF(OR($A100="",'Ügyfelek'!AM100=""),"",'Ügyfelek'!AM100)</f>
        <v/>
      </c>
      <c r="BC100" s="10">
        <f>IF(OR(BB100="",AZ100=""),"",AZ100-BB100)</f>
        <v/>
      </c>
      <c r="BD100" s="18">
        <f>IF(OR(BB100="",AZ100="",BB100=0),"",BC100/BB100)</f>
        <v/>
      </c>
      <c r="BE100">
        <f>IF(OR($A100="",AQ100=5),"",IF(AND(INDEX('Beállítások'!$E$108:$E$112,AQ100)&gt;0,Y100&gt;='Beállítások'!$B$91),"Igen","Nem"))</f>
        <v/>
      </c>
      <c r="BF100" s="10">
        <f>IF(BE100="Igen",CEILING(ROUND(AZ100*(1-'Beállítások'!$B$92),2),'Beállítások'!$B$99),"")</f>
        <v/>
      </c>
      <c r="BG100" s="20">
        <f>IF(BE100="Igen",INDEX('Beállítások'!$E$108:$E$112,AQ100),"")</f>
        <v/>
      </c>
      <c r="BH100" s="10">
        <f>IF(OR(BE100&lt;&gt;"Igen",'Ügyfelek'!AN100=""),"",'Ügyfelek'!AN100*BG100)</f>
        <v/>
      </c>
      <c r="BI100" s="24">
        <f>IF($A100="","",('Ügyfelek'!B100="")+('Ügyfelek'!C100="")+('Ügyfelek'!D100="")+('Ügyfelek'!E100="")+('Ügyfelek'!F100="")+('Ügyfelek'!G100="")+('Ügyfelek'!H100="")+('Ügyfelek'!I100="")+('Ügyfelek'!J100="")+('Ügyfelek'!K100="")+('Ügyfelek'!L100="")+('Ügyfelek'!M100="")+('Ügyfelek'!N100="")+('Ügyfelek'!O100="")+('Ügyfelek'!P100="")+('Ügyfelek'!Q100="")+('Ügyfelek'!R100="")+('Ügyfelek'!S100="")+('Ügyfelek'!T100="")+('Ügyfelek'!U100="")+('Ügyfelek'!V100="")+('Ügyfelek'!W100="")+('Ügyfelek'!X100="")+('Ügyfelek'!Y100="")+('Ügyfelek'!Z100="")+('Ügyfelek'!AA100="")+('Ügyfelek'!AB100="")+('Ügyfelek'!AC100="")+('Ügyfelek'!AD100="")+('Ügyfelek'!AE100="")+('Ügyfelek'!AF100="")+('Ügyfelek'!AG100="")+('Ügyfelek'!AH100=""))</f>
        <v/>
      </c>
      <c r="BK100">
        <f>IF($A100="","",B100+'Beállítások'!$E$6/1000)</f>
        <v/>
      </c>
      <c r="BL100">
        <f>IF($A100="","",C100+'Beállítások'!$E$7/1000)</f>
        <v/>
      </c>
      <c r="BM100">
        <f>IF($A100="","",D100+'Beállítások'!$E$8/1000)</f>
        <v/>
      </c>
      <c r="BN100">
        <f>IF($A100="","",E100+'Beállítások'!$E$9/1000)</f>
        <v/>
      </c>
      <c r="BO100">
        <f>IF($A100="","",F100+'Beállítások'!$E$10/1000)</f>
        <v/>
      </c>
      <c r="BP100">
        <f>IF($A100="","",G100+'Beállítások'!$E$11/1000)</f>
        <v/>
      </c>
      <c r="BQ100">
        <f>IF($A100="","",H100+'Beállítások'!$E$12/1000)</f>
        <v/>
      </c>
      <c r="BR100">
        <f>IF($A100="","",I100+'Beállítások'!$E$13/1000)</f>
        <v/>
      </c>
      <c r="BS100">
        <f>IF($A100="","",J100+'Beállítások'!$E$14/1000)</f>
        <v/>
      </c>
      <c r="BT100">
        <f>IF($A100="","",K100+'Beállítások'!$E$15/1000)</f>
        <v/>
      </c>
      <c r="BU100">
        <f>IF($A100="","",L100+'Beállítások'!$E$16/1000)</f>
        <v/>
      </c>
      <c r="BV100">
        <f>IF($A100="","",M100+'Beállítások'!$E$17/1000)</f>
        <v/>
      </c>
      <c r="BW100">
        <f>IF($A100="","",N100+'Beállítások'!$E$18/1000)</f>
        <v/>
      </c>
      <c r="BX100">
        <f>IF($A100="","",O100+'Beállítások'!$E$19/1000)</f>
        <v/>
      </c>
      <c r="BY100">
        <f>IF($A100="","",P100+'Beállítások'!$E$20/1000)</f>
        <v/>
      </c>
      <c r="BZ100">
        <f>IF($A100="","",Q100+'Beállítások'!$E$21/1000)</f>
        <v/>
      </c>
      <c r="CA100">
        <f>IF($A100="","",R100+'Beállítások'!$E$22/1000)</f>
        <v/>
      </c>
      <c r="CB100">
        <f>IF($A100="","",S100+'Beállítások'!$E$23/1000)</f>
        <v/>
      </c>
      <c r="CC100">
        <f>IF($A100="","",T100+'Beállítások'!$E$24/1000)</f>
        <v/>
      </c>
      <c r="CD100">
        <f>IF($A100="","",U100+'Beállítások'!$E$25/1000)</f>
        <v/>
      </c>
      <c r="CE100">
        <f>IF($A100="","",V100+'Beállítások'!$E$26/1000)</f>
        <v/>
      </c>
      <c r="CF100">
        <f>IF($A100="","",W100+'Beállítások'!$E$27/1000)</f>
        <v/>
      </c>
      <c r="CG100">
        <f>IF($A100="","",X100+'Beállítások'!$E$28/1000)</f>
        <v/>
      </c>
      <c r="CH100">
        <f>IF($A100="","",Y100+'Beállítások'!$E$29/1000)</f>
        <v/>
      </c>
      <c r="CI100">
        <f>IF($A100="","",Z100+'Beállítások'!$E$30/1000)</f>
        <v/>
      </c>
      <c r="CJ100">
        <f>IF($A100="","",AA100+'Beállítások'!$E$31/1000)</f>
        <v/>
      </c>
      <c r="CK100">
        <f>IF($A100="","",AB100+'Beállítások'!$E$32/1000)</f>
        <v/>
      </c>
      <c r="CL100">
        <f>IF($A100="","",AC100+'Beállítások'!$E$33/1000)</f>
        <v/>
      </c>
      <c r="CM100">
        <f>IF($A100="","",AD100+'Beállítások'!$E$34/1000)</f>
        <v/>
      </c>
      <c r="CN100">
        <f>IF($A100="","",AE100+'Beállítások'!$E$35/1000)</f>
        <v/>
      </c>
      <c r="CO100">
        <f>IF($A100="","",AF100+'Beállítások'!$E$36/1000)</f>
        <v/>
      </c>
      <c r="CP100">
        <f>IF($A100="","",AG100+'Beállítások'!$E$37/1000)</f>
        <v/>
      </c>
      <c r="CQ100">
        <f>IF($A100="","",AH100+'Beállítások'!$E$38/1000)</f>
        <v/>
      </c>
      <c r="CR100">
        <f>IF($A100="","",'Beállítások'!$E$6*(10-B100))</f>
        <v/>
      </c>
      <c r="CS100">
        <f>IF($A100="","",'Beállítások'!$E$7*(10-C100))</f>
        <v/>
      </c>
      <c r="CT100">
        <f>IF($A100="","",'Beállítások'!$E$8*(10-D100))</f>
        <v/>
      </c>
      <c r="CU100">
        <f>IF($A100="","",'Beállítások'!$E$9*(10-E100))</f>
        <v/>
      </c>
      <c r="CV100">
        <f>IF($A100="","",'Beállítások'!$E$10*(10-F100))</f>
        <v/>
      </c>
      <c r="CW100">
        <f>IF($A100="","",'Beállítások'!$E$11*(10-G100))</f>
        <v/>
      </c>
      <c r="CX100">
        <f>IF($A100="","",'Beállítások'!$E$12*(10-H100))</f>
        <v/>
      </c>
      <c r="CY100">
        <f>IF($A100="","",'Beállítások'!$E$13*(10-I100))</f>
        <v/>
      </c>
      <c r="CZ100">
        <f>IF($A100="","",'Beállítások'!$E$14*(10-J100))</f>
        <v/>
      </c>
      <c r="DA100">
        <f>IF($A100="","",'Beállítások'!$E$15*(10-K100))</f>
        <v/>
      </c>
      <c r="DB100">
        <f>IF($A100="","",'Beállítások'!$E$16*(10-L100))</f>
        <v/>
      </c>
      <c r="DC100">
        <f>IF($A100="","",'Beállítások'!$E$17*(10-M100))</f>
        <v/>
      </c>
      <c r="DD100">
        <f>IF($A100="","",'Beállítások'!$E$18*(10-N100))</f>
        <v/>
      </c>
      <c r="DE100">
        <f>IF($A100="","",'Beállítások'!$E$19*(10-O100))</f>
        <v/>
      </c>
      <c r="DF100">
        <f>IF($A100="","",'Beállítások'!$E$20*(10-P100))</f>
        <v/>
      </c>
      <c r="DG100">
        <f>IF($A100="","",'Beállítások'!$E$21*(10-Q100))</f>
        <v/>
      </c>
      <c r="DH100">
        <f>IF($A100="","",'Beállítások'!$E$22*(10-R100))</f>
        <v/>
      </c>
      <c r="DI100">
        <f>IF($A100="","",'Beállítások'!$E$23*(10-S100))</f>
        <v/>
      </c>
      <c r="DJ100">
        <f>IF($A100="","",'Beállítások'!$E$24*(10-T100))</f>
        <v/>
      </c>
      <c r="DK100">
        <f>IF($A100="","",'Beállítások'!$E$25*(10-U100))</f>
        <v/>
      </c>
      <c r="DL100">
        <f>IF($A100="","",'Beállítások'!$E$26*(10-V100))</f>
        <v/>
      </c>
      <c r="DM100">
        <f>IF($A100="","",'Beállítások'!$E$27*(10-W100))</f>
        <v/>
      </c>
      <c r="DN100">
        <f>IF($A100="","",'Beállítások'!$E$28*(10-X100))</f>
        <v/>
      </c>
      <c r="DO100">
        <f>IF($A100="","",'Beállítások'!$E$29*(10-Y100))</f>
        <v/>
      </c>
      <c r="DP100">
        <f>IF($A100="","",'Beállítások'!$E$30*(10-Z100))</f>
        <v/>
      </c>
      <c r="DQ100">
        <f>IF($A100="","",'Beállítások'!$E$31*(10-AA100))</f>
        <v/>
      </c>
      <c r="DR100">
        <f>IF($A100="","",'Beállítások'!$E$32*(10-AB100))</f>
        <v/>
      </c>
      <c r="DS100">
        <f>IF($A100="","",'Beállítások'!$E$33*(10-AC100))</f>
        <v/>
      </c>
      <c r="DT100">
        <f>IF($A100="","",'Beállítások'!$E$34*(10-AD100))</f>
        <v/>
      </c>
      <c r="DU100">
        <f>IF($A100="","",'Beállítások'!$E$35*(10-AE100))</f>
        <v/>
      </c>
      <c r="DV100">
        <f>IF($A100="","",'Beállítások'!$E$36*(10-AF100))</f>
        <v/>
      </c>
      <c r="DW100">
        <f>IF($A100="","",'Beállítások'!$E$37*(10-AG100))</f>
        <v/>
      </c>
      <c r="DX100">
        <f>IF($A100="","",'Beállítások'!$E$38*(10-AH100))</f>
        <v/>
      </c>
      <c r="DY100">
        <f>IF($A100="","",AM100-ROW()/100000)</f>
        <v/>
      </c>
    </row>
    <row r="101">
      <c r="A101">
        <f>IF('Ügyfelek'!A101="","",'Ügyfelek'!A101)</f>
        <v/>
      </c>
      <c r="B101">
        <f>IF($A101="","",IF('Ügyfelek'!B101="",'Beállítások'!$B$84,IFERROR(VLOOKUP(TRIM('Ügyfelek'!B101),'Beállítások'!$A$51:$B$59,2,FALSE),'Beállítások'!$B$84)))</f>
        <v/>
      </c>
      <c r="C101">
        <f>IF($A101="","",IF('Ügyfelek'!C101="",'Beállítások'!$B$84,MIN(10,MAX(1,ROUND('Ügyfelek'!C101,0)))))</f>
        <v/>
      </c>
      <c r="D101">
        <f>IF($A101="","",IF('Ügyfelek'!D101="",'Beállítások'!$B$84,MIN(10,MAX(1,ROUND('Ügyfelek'!D101,0)))))</f>
        <v/>
      </c>
      <c r="E101">
        <f>IF($A101="","",IF('Ügyfelek'!E101="",'Beállítások'!$B$84,MIN(10,MAX(1,ROUND('Ügyfelek'!E101,0)))))</f>
        <v/>
      </c>
      <c r="F101">
        <f>IF($A101="","",IF('Ügyfelek'!F101="",'Beállítások'!$B$84,MIN(10,MAX(1,ROUND('Ügyfelek'!F101,0)))))</f>
        <v/>
      </c>
      <c r="G101">
        <f>IF($A101="","",IF('Ügyfelek'!G101="",'Beállítások'!$B$84,MIN(10,MAX(1,ROUND('Ügyfelek'!G101,0)))))</f>
        <v/>
      </c>
      <c r="H101">
        <f>IF($A101="","",IF('Ügyfelek'!H101="",'Beállítások'!$B$84,MIN(10,MAX(1,ROUND('Ügyfelek'!H101,0)))))</f>
        <v/>
      </c>
      <c r="I101">
        <f>IF($A101="","",IF('Ügyfelek'!I101="",'Beállítások'!$B$84,MIN(10,MAX(1,ROUND('Ügyfelek'!I101,0)))))</f>
        <v/>
      </c>
      <c r="J101">
        <f>IF($A101="","",IF('Ügyfelek'!J101="",'Beállítások'!$B$84,MIN(10,MAX(1,ROUND('Ügyfelek'!J101,0)))))</f>
        <v/>
      </c>
      <c r="K101">
        <f>IF($A101="","",IF('Ügyfelek'!K101="",'Beállítások'!$B$84,MIN(10,MAX(1,ROUND('Ügyfelek'!K101,0)))))</f>
        <v/>
      </c>
      <c r="L101">
        <f>IF($A101="","",IF('Ügyfelek'!L101="",'Beállítások'!$B$84,MIN(10,MAX(1,ROUND('Ügyfelek'!L101,0)))))</f>
        <v/>
      </c>
      <c r="M101">
        <f>IF($A101="","",IF('Ügyfelek'!M101="",'Beállítások'!$B$84,MIN(10,MAX(1,ROUND('Ügyfelek'!M101,0)))))</f>
        <v/>
      </c>
      <c r="N101">
        <f>IF($A101="","",IF('Ügyfelek'!N101="",'Beállítások'!$B$84,MIN(10,MAX(1,ROUND('Ügyfelek'!N101,0)))))</f>
        <v/>
      </c>
      <c r="O101">
        <f>IF($A101="","",IF('Ügyfelek'!O101="",'Beállítások'!$B$84,MIN(10,MAX(1,ROUND('Ügyfelek'!O101,0)))))</f>
        <v/>
      </c>
      <c r="P101">
        <f>IF($A101="","",IF('Ügyfelek'!P101="",'Beállítások'!$B$84,MIN(10,MAX(1,ROUND('Ügyfelek'!P101,0)))))</f>
        <v/>
      </c>
      <c r="Q101">
        <f>IF($A101="","",IF('Ügyfelek'!Q101="",'Beállítások'!$B$84,MIN(10,MAX(1,ROUND('Ügyfelek'!Q101,0)))))</f>
        <v/>
      </c>
      <c r="R101">
        <f>IF($A101="","",IF('Ügyfelek'!R101="",'Beállítások'!$B$84,MIN(10,MAX(1,ROUND('Ügyfelek'!R101,0)))))</f>
        <v/>
      </c>
      <c r="S101">
        <f>IF($A101="","",IF('Ügyfelek'!S101="",'Beállítások'!$B$84,MIN(10,MAX(1,ROUND('Ügyfelek'!S101,0)))))</f>
        <v/>
      </c>
      <c r="T101">
        <f>IF($A101="","",IF('Ügyfelek'!T101="",'Beállítások'!$B$84,VLOOKUP(MAX('Ügyfelek'!T101,'Beállítások'!$H$7),'Beállítások'!$H$7:$I$12,2,TRUE)))</f>
        <v/>
      </c>
      <c r="U101">
        <f>IF($A101="","",IF('Ügyfelek'!U101="",'Beállítások'!$B$84,VLOOKUP(MAX('Ügyfelek'!U101,'Beállítások'!$K$7),'Beállítások'!$K$7:$L$12,2,TRUE)))</f>
        <v/>
      </c>
      <c r="V101">
        <f>IF($A101="","",IF('Ügyfelek'!V101="",'Beállítások'!$B$84,MIN(10,MAX(1,ROUND('Ügyfelek'!V101,0)))))</f>
        <v/>
      </c>
      <c r="W101">
        <f>IF($A101="","",IF('Ügyfelek'!W101="",'Beállítások'!$B$84,VLOOKUP(MAX('Ügyfelek'!W101,'Beállítások'!$N$7),'Beállítások'!$N$7:$O$12,2,TRUE)))</f>
        <v/>
      </c>
      <c r="X101">
        <f>IF($A101="","",IF('Ügyfelek'!X101="",'Beállítások'!$B$84,MIN(10,MAX(1,ROUND('Ügyfelek'!X101,0)))))</f>
        <v/>
      </c>
      <c r="Y101">
        <f>IF($A101="","",IF('Ügyfelek'!Y101="",'Beállítások'!$B$84,IFERROR(VLOOKUP(TRIM('Ügyfelek'!Y101),'Beállítások'!$A$63:$B$69,2,FALSE),'Beállítások'!$B$84)))</f>
        <v/>
      </c>
      <c r="Z101">
        <f>IF($A101="","",IF('Ügyfelek'!Z101="",'Beállítások'!$B$84,VLOOKUP(MAX('Ügyfelek'!Z101,'Beállítások'!$Q$7),'Beállítások'!$Q$7:$R$12,2,TRUE)))</f>
        <v/>
      </c>
      <c r="AA101">
        <f>IF($A101="","",IF('Ügyfelek'!AA101="",'Beállítások'!$B$84,VLOOKUP(MAX('Ügyfelek'!AA101,'Beállítások'!$T$7),'Beállítások'!$T$7:$U$12,2,TRUE)))</f>
        <v/>
      </c>
      <c r="AB101">
        <f>IF($A101="","",IF('Ügyfelek'!AB101="",'Beállítások'!$B$84,MIN(10,MAX(1,ROUND('Ügyfelek'!AB101,0)))))</f>
        <v/>
      </c>
      <c r="AC101">
        <f>IF($A101="","",IF('Ügyfelek'!AC101="",'Beállítások'!$B$84,MIN(10,MAX(1,ROUND('Ügyfelek'!AC101,0)))))</f>
        <v/>
      </c>
      <c r="AD101">
        <f>IF($A101="","",IF('Ügyfelek'!AD101="",'Beállítások'!$B$84,MIN(10,MAX(1,ROUND('Ügyfelek'!AD101,0)))))</f>
        <v/>
      </c>
      <c r="AE101">
        <f>IF($A101="","",IF('Ügyfelek'!AE101="",'Beállítások'!$B$84,MIN(10,MAX(1,ROUND('Ügyfelek'!AE101,0)))))</f>
        <v/>
      </c>
      <c r="AF101">
        <f>IF($A101="","",IF('Ügyfelek'!AF101="",'Beállítások'!$B$84,MIN(10,MAX(1,ROUND('Ügyfelek'!AF101,0)))))</f>
        <v/>
      </c>
      <c r="AG101">
        <f>IF($A101="","",IF('Ügyfelek'!AG101="",'Beállítások'!$B$84,MIN(10,MAX(1,ROUND('Ügyfelek'!AG101,0)))))</f>
        <v/>
      </c>
      <c r="AH101">
        <f>IF($A101="","",IF('Ügyfelek'!AH101="",'Beállítások'!$B$84,IFERROR(VLOOKUP(TRIM('Ügyfelek'!AH101),'Beállítások'!$A$73:$B$79,2,FALSE),'Beállítások'!$B$84)))</f>
        <v/>
      </c>
      <c r="AI101" s="23">
        <f>IF($A101="","",ROUND(100*('Beállítások'!$E$6*(B101-1)+'Beállítások'!$E$7*(C101-1))/(9*'Beállítások'!$B$43),1))</f>
        <v/>
      </c>
      <c r="AJ101" s="23">
        <f>IF($A101="","",ROUND(100*('Beállítások'!$E$8*(D101-1)+'Beállítások'!$E$9*(E101-1)+'Beállítások'!$E$10*(F101-1)+'Beállítások'!$E$11*(G101-1)+'Beállítások'!$E$12*(H101-1)+'Beállítások'!$E$13*(I101-1)+'Beállítások'!$E$14*(J101-1)+'Beállítások'!$E$15*(K101-1)+'Beállítások'!$E$16*(L101-1)+'Beállítások'!$E$17*(M101-1)+'Beállítások'!$E$18*(N101-1)+'Beállítások'!$E$19*(O101-1)+'Beállítások'!$E$20*(P101-1)+'Beállítások'!$E$21*(Q101-1)+'Beállítások'!$E$22*(R101-1))/(9*'Beállítások'!$B$44),1))</f>
        <v/>
      </c>
      <c r="AK101" s="23">
        <f>IF($A101="","",ROUND(100*('Beállítások'!$E$23*(S101-1)+'Beállítások'!$E$24*(T101-1)+'Beállítások'!$E$25*(U101-1)+'Beállítások'!$E$26*(V101-1)+'Beállítások'!$E$27*(W101-1)+'Beállítások'!$E$28*(X101-1)+'Beállítások'!$E$29*(Y101-1))/(9*'Beállítások'!$B$45),1))</f>
        <v/>
      </c>
      <c r="AL101" s="23">
        <f>IF($A101="","",ROUND(100*('Beállítások'!$E$30*(Z101-1)+'Beállítások'!$E$31*(AA101-1)+'Beállítások'!$E$32*(AB101-1)+'Beállítások'!$E$33*(AC101-1)+'Beállítások'!$E$34*(AD101-1)+'Beállítások'!$E$35*(AE101-1)+'Beállítások'!$E$36*(AF101-1)+'Beállítások'!$E$37*(AG101-1)+'Beállítások'!$E$38*(AH101-1))/(9*'Beállítások'!$B$46),1))</f>
        <v/>
      </c>
      <c r="AM101" s="23">
        <f>IF($A101="","",ROUND(100*('Beállítások'!$E$6*(B101-1)+'Beállítások'!$E$7*(C101-1)+'Beállítások'!$E$8*(D101-1)+'Beállítások'!$E$9*(E101-1)+'Beállítások'!$E$10*(F101-1)+'Beállítások'!$E$11*(G101-1)+'Beállítások'!$E$12*(H101-1)+'Beállítások'!$E$13*(I101-1)+'Beállítások'!$E$14*(J101-1)+'Beállítások'!$E$15*(K101-1)+'Beállítások'!$E$16*(L101-1)+'Beállítások'!$E$17*(M101-1)+'Beállítások'!$E$18*(N101-1)+'Beállítások'!$E$19*(O101-1)+'Beállítások'!$E$20*(P101-1)+'Beállítások'!$E$21*(Q101-1)+'Beállítások'!$E$22*(R101-1)+'Beállítások'!$E$23*(S101-1)+'Beállítások'!$E$24*(T101-1)+'Beállítások'!$E$25*(U101-1)+'Beállítások'!$E$26*(V101-1)+'Beállítások'!$E$27*(W101-1)+'Beállítások'!$E$28*(X101-1)+'Beállítások'!$E$29*(Y101-1)+'Beállítások'!$E$30*(Z101-1)+'Beállítások'!$E$31*(AA101-1)+'Beállítások'!$E$32*(AB101-1)+'Beállítások'!$E$33*(AC101-1)+'Beállítások'!$E$34*(AD101-1)+'Beállítások'!$E$35*(AE101-1)+'Beállítások'!$E$36*(AF101-1)+'Beállítások'!$E$37*(AG101-1)+'Beállítások'!$E$38*(AH101-1))/(9*'Beállítások'!$E$39),1))</f>
        <v/>
      </c>
      <c r="AN101" s="23">
        <f>IF($A101="","",ROUND(100*('Beállítások'!$E$8*(D101-1)+'Beállítások'!$E$9*(E101-1)+'Beállítások'!$E$10*(F101-1)+'Beállítások'!$E$11*(G101-1)+'Beállítások'!$E$12*(H101-1)+'Beállítások'!$E$13*(I101-1)+'Beállítások'!$E$14*(J101-1)+'Beállítások'!$E$15*(K101-1)+'Beállítások'!$E$16*(L101-1)+'Beállítások'!$E$17*(M101-1)+'Beállítások'!$E$18*(N101-1)+'Beállítások'!$E$19*(O101-1)+'Beállítások'!$E$20*(P101-1)+'Beállítások'!$E$21*(Q101-1)+'Beállítások'!$E$22*(R101-1)+'Beállítások'!$E$23*(S101-1)+'Beállítások'!$E$24*(T101-1)+'Beállítások'!$E$25*(U101-1)+'Beállítások'!$E$26*(V101-1)+'Beállítások'!$E$27*(W101-1)+'Beállítások'!$E$28*(X101-1)+'Beállítások'!$E$29*(Y101-1))/(9*('Beállítások'!$B$44+'Beállítások'!$B$45)),1))</f>
        <v/>
      </c>
      <c r="AO101" s="24">
        <f>IF($A101="","",RANK(AM101,$AM$2:$AM$201))</f>
        <v/>
      </c>
      <c r="AP101">
        <f>IF($A101="","",IF(OR(AND('Ügyfelek'!B101&lt;&gt;"",B101&lt;='Beállítások'!$B$85),AND('Ügyfelek'!C101&lt;&gt;"",C101&lt;='Beállítások'!$B$86)),"Igen","Nem"))</f>
        <v/>
      </c>
      <c r="AQ101" s="24">
        <f>IF($A101="","",IF(AP101="Igen",5,IF(AN101&gt;='Beállítások'!$C$108,1,IF(AN101&gt;='Beállítások'!$C$109,2,IF(AN101&gt;='Beállítások'!$C$110,3,IF(AND(AN101&gt;='Beállítások'!$B$87,AI101&gt;='Beállítások'!$B$88,AL101&gt;='Beállítások'!$B$89),4,5))))))</f>
        <v/>
      </c>
      <c r="AR101">
        <f>IF($A101="","",INDEX('Beállítások'!$B$108:$B$112,AQ101))</f>
        <v/>
      </c>
      <c r="AS101">
        <f>IF($A101="","",IF(AQ101=5,"Elutasítjuk",IF(AND(AQ101=4,COUNTIFS('Eredmény'!$AQ$2:$AQ$201,4,'Eredmény'!$DY$2:$DY$201,"&gt;"&amp;DY101)&gt;='Beállítások'!$B$90),"Várólista (a 4-es hely foglalt)","Elfogadjuk")))</f>
        <v/>
      </c>
      <c r="AT101">
        <f>IF($A101="","",INDEX('Beállítások'!$F$108:$F$112,AQ101))</f>
        <v/>
      </c>
      <c r="AU101">
        <f>IF($A101="","",INDEX('Beállítások'!$B$6:$B$38,MATCH(MAX(BK101:CQ101),BK101:CQ101,0)))</f>
        <v/>
      </c>
      <c r="AV101">
        <f>IF($A101="","",IF(MAX(CR101:DX101)=0,"—",INDEX('Beállítások'!$B$6:$B$38,MATCH(MAX(CR101:DX101),CR101:DX101,0))))</f>
        <v/>
      </c>
      <c r="AW101" s="10">
        <f>IF($A101="","",'Beállítások'!$B$94*(TRIM('Ügyfelek'!AI101)="igen")+'Beállítások'!$B$95*(TRIM('Ügyfelek'!AJ101)="igen")+'Beállítások'!$B$96*N('Ügyfelek'!AK101)+'Beállítások'!$B$93*N('Ügyfelek'!AL101))</f>
        <v/>
      </c>
      <c r="AX101" s="25">
        <f>IF(OR($A101="",AQ101=5),"",INDEX('Beállítások'!$D$108:$D$112,AQ101))</f>
        <v/>
      </c>
      <c r="AY101" s="10">
        <f>IF($A101="","",N('Ügyfelek'!U101)*'Beállítások'!$B$98)</f>
        <v/>
      </c>
      <c r="AZ101" s="10">
        <f>IF(OR($A101="",AQ101=5),"",CEILING(ROUND(MAX('Beállítások'!$B$97,AW101*AX101,AY101),2),'Beállítások'!$B$99))</f>
        <v/>
      </c>
      <c r="BA101">
        <f>IF($A101="","",IF(AQ101=5,"Elutasítva",IF(MAX('Beállítások'!$B$97,AW101*AX101,AY101)=AW101*AX101,"Munkaigény × státuszszorzó",IF(MAX('Beállítások'!$B$97,AW101*AX101,AY101)=AY101,"Hirdetési keret arányában","Minimumdíj"))))</f>
        <v/>
      </c>
      <c r="BB101" s="10">
        <f>IF(OR($A101="",'Ügyfelek'!AM101=""),"",'Ügyfelek'!AM101)</f>
        <v/>
      </c>
      <c r="BC101" s="10">
        <f>IF(OR(BB101="",AZ101=""),"",AZ101-BB101)</f>
        <v/>
      </c>
      <c r="BD101" s="18">
        <f>IF(OR(BB101="",AZ101="",BB101=0),"",BC101/BB101)</f>
        <v/>
      </c>
      <c r="BE101">
        <f>IF(OR($A101="",AQ101=5),"",IF(AND(INDEX('Beállítások'!$E$108:$E$112,AQ101)&gt;0,Y101&gt;='Beállítások'!$B$91),"Igen","Nem"))</f>
        <v/>
      </c>
      <c r="BF101" s="10">
        <f>IF(BE101="Igen",CEILING(ROUND(AZ101*(1-'Beállítások'!$B$92),2),'Beállítások'!$B$99),"")</f>
        <v/>
      </c>
      <c r="BG101" s="20">
        <f>IF(BE101="Igen",INDEX('Beállítások'!$E$108:$E$112,AQ101),"")</f>
        <v/>
      </c>
      <c r="BH101" s="10">
        <f>IF(OR(BE101&lt;&gt;"Igen",'Ügyfelek'!AN101=""),"",'Ügyfelek'!AN101*BG101)</f>
        <v/>
      </c>
      <c r="BI101" s="24">
        <f>IF($A101="","",('Ügyfelek'!B101="")+('Ügyfelek'!C101="")+('Ügyfelek'!D101="")+('Ügyfelek'!E101="")+('Ügyfelek'!F101="")+('Ügyfelek'!G101="")+('Ügyfelek'!H101="")+('Ügyfelek'!I101="")+('Ügyfelek'!J101="")+('Ügyfelek'!K101="")+('Ügyfelek'!L101="")+('Ügyfelek'!M101="")+('Ügyfelek'!N101="")+('Ügyfelek'!O101="")+('Ügyfelek'!P101="")+('Ügyfelek'!Q101="")+('Ügyfelek'!R101="")+('Ügyfelek'!S101="")+('Ügyfelek'!T101="")+('Ügyfelek'!U101="")+('Ügyfelek'!V101="")+('Ügyfelek'!W101="")+('Ügyfelek'!X101="")+('Ügyfelek'!Y101="")+('Ügyfelek'!Z101="")+('Ügyfelek'!AA101="")+('Ügyfelek'!AB101="")+('Ügyfelek'!AC101="")+('Ügyfelek'!AD101="")+('Ügyfelek'!AE101="")+('Ügyfelek'!AF101="")+('Ügyfelek'!AG101="")+('Ügyfelek'!AH101=""))</f>
        <v/>
      </c>
      <c r="BK101">
        <f>IF($A101="","",B101+'Beállítások'!$E$6/1000)</f>
        <v/>
      </c>
      <c r="BL101">
        <f>IF($A101="","",C101+'Beállítások'!$E$7/1000)</f>
        <v/>
      </c>
      <c r="BM101">
        <f>IF($A101="","",D101+'Beállítások'!$E$8/1000)</f>
        <v/>
      </c>
      <c r="BN101">
        <f>IF($A101="","",E101+'Beállítások'!$E$9/1000)</f>
        <v/>
      </c>
      <c r="BO101">
        <f>IF($A101="","",F101+'Beállítások'!$E$10/1000)</f>
        <v/>
      </c>
      <c r="BP101">
        <f>IF($A101="","",G101+'Beállítások'!$E$11/1000)</f>
        <v/>
      </c>
      <c r="BQ101">
        <f>IF($A101="","",H101+'Beállítások'!$E$12/1000)</f>
        <v/>
      </c>
      <c r="BR101">
        <f>IF($A101="","",I101+'Beállítások'!$E$13/1000)</f>
        <v/>
      </c>
      <c r="BS101">
        <f>IF($A101="","",J101+'Beállítások'!$E$14/1000)</f>
        <v/>
      </c>
      <c r="BT101">
        <f>IF($A101="","",K101+'Beállítások'!$E$15/1000)</f>
        <v/>
      </c>
      <c r="BU101">
        <f>IF($A101="","",L101+'Beállítások'!$E$16/1000)</f>
        <v/>
      </c>
      <c r="BV101">
        <f>IF($A101="","",M101+'Beállítások'!$E$17/1000)</f>
        <v/>
      </c>
      <c r="BW101">
        <f>IF($A101="","",N101+'Beállítások'!$E$18/1000)</f>
        <v/>
      </c>
      <c r="BX101">
        <f>IF($A101="","",O101+'Beállítások'!$E$19/1000)</f>
        <v/>
      </c>
      <c r="BY101">
        <f>IF($A101="","",P101+'Beállítások'!$E$20/1000)</f>
        <v/>
      </c>
      <c r="BZ101">
        <f>IF($A101="","",Q101+'Beállítások'!$E$21/1000)</f>
        <v/>
      </c>
      <c r="CA101">
        <f>IF($A101="","",R101+'Beállítások'!$E$22/1000)</f>
        <v/>
      </c>
      <c r="CB101">
        <f>IF($A101="","",S101+'Beállítások'!$E$23/1000)</f>
        <v/>
      </c>
      <c r="CC101">
        <f>IF($A101="","",T101+'Beállítások'!$E$24/1000)</f>
        <v/>
      </c>
      <c r="CD101">
        <f>IF($A101="","",U101+'Beállítások'!$E$25/1000)</f>
        <v/>
      </c>
      <c r="CE101">
        <f>IF($A101="","",V101+'Beállítások'!$E$26/1000)</f>
        <v/>
      </c>
      <c r="CF101">
        <f>IF($A101="","",W101+'Beállítások'!$E$27/1000)</f>
        <v/>
      </c>
      <c r="CG101">
        <f>IF($A101="","",X101+'Beállítások'!$E$28/1000)</f>
        <v/>
      </c>
      <c r="CH101">
        <f>IF($A101="","",Y101+'Beállítások'!$E$29/1000)</f>
        <v/>
      </c>
      <c r="CI101">
        <f>IF($A101="","",Z101+'Beállítások'!$E$30/1000)</f>
        <v/>
      </c>
      <c r="CJ101">
        <f>IF($A101="","",AA101+'Beállítások'!$E$31/1000)</f>
        <v/>
      </c>
      <c r="CK101">
        <f>IF($A101="","",AB101+'Beállítások'!$E$32/1000)</f>
        <v/>
      </c>
      <c r="CL101">
        <f>IF($A101="","",AC101+'Beállítások'!$E$33/1000)</f>
        <v/>
      </c>
      <c r="CM101">
        <f>IF($A101="","",AD101+'Beállítások'!$E$34/1000)</f>
        <v/>
      </c>
      <c r="CN101">
        <f>IF($A101="","",AE101+'Beállítások'!$E$35/1000)</f>
        <v/>
      </c>
      <c r="CO101">
        <f>IF($A101="","",AF101+'Beállítások'!$E$36/1000)</f>
        <v/>
      </c>
      <c r="CP101">
        <f>IF($A101="","",AG101+'Beállítások'!$E$37/1000)</f>
        <v/>
      </c>
      <c r="CQ101">
        <f>IF($A101="","",AH101+'Beállítások'!$E$38/1000)</f>
        <v/>
      </c>
      <c r="CR101">
        <f>IF($A101="","",'Beállítások'!$E$6*(10-B101))</f>
        <v/>
      </c>
      <c r="CS101">
        <f>IF($A101="","",'Beállítások'!$E$7*(10-C101))</f>
        <v/>
      </c>
      <c r="CT101">
        <f>IF($A101="","",'Beállítások'!$E$8*(10-D101))</f>
        <v/>
      </c>
      <c r="CU101">
        <f>IF($A101="","",'Beállítások'!$E$9*(10-E101))</f>
        <v/>
      </c>
      <c r="CV101">
        <f>IF($A101="","",'Beállítások'!$E$10*(10-F101))</f>
        <v/>
      </c>
      <c r="CW101">
        <f>IF($A101="","",'Beállítások'!$E$11*(10-G101))</f>
        <v/>
      </c>
      <c r="CX101">
        <f>IF($A101="","",'Beállítások'!$E$12*(10-H101))</f>
        <v/>
      </c>
      <c r="CY101">
        <f>IF($A101="","",'Beállítások'!$E$13*(10-I101))</f>
        <v/>
      </c>
      <c r="CZ101">
        <f>IF($A101="","",'Beállítások'!$E$14*(10-J101))</f>
        <v/>
      </c>
      <c r="DA101">
        <f>IF($A101="","",'Beállítások'!$E$15*(10-K101))</f>
        <v/>
      </c>
      <c r="DB101">
        <f>IF($A101="","",'Beállítások'!$E$16*(10-L101))</f>
        <v/>
      </c>
      <c r="DC101">
        <f>IF($A101="","",'Beállítások'!$E$17*(10-M101))</f>
        <v/>
      </c>
      <c r="DD101">
        <f>IF($A101="","",'Beállítások'!$E$18*(10-N101))</f>
        <v/>
      </c>
      <c r="DE101">
        <f>IF($A101="","",'Beállítások'!$E$19*(10-O101))</f>
        <v/>
      </c>
      <c r="DF101">
        <f>IF($A101="","",'Beállítások'!$E$20*(10-P101))</f>
        <v/>
      </c>
      <c r="DG101">
        <f>IF($A101="","",'Beállítások'!$E$21*(10-Q101))</f>
        <v/>
      </c>
      <c r="DH101">
        <f>IF($A101="","",'Beállítások'!$E$22*(10-R101))</f>
        <v/>
      </c>
      <c r="DI101">
        <f>IF($A101="","",'Beállítások'!$E$23*(10-S101))</f>
        <v/>
      </c>
      <c r="DJ101">
        <f>IF($A101="","",'Beállítások'!$E$24*(10-T101))</f>
        <v/>
      </c>
      <c r="DK101">
        <f>IF($A101="","",'Beállítások'!$E$25*(10-U101))</f>
        <v/>
      </c>
      <c r="DL101">
        <f>IF($A101="","",'Beállítások'!$E$26*(10-V101))</f>
        <v/>
      </c>
      <c r="DM101">
        <f>IF($A101="","",'Beállítások'!$E$27*(10-W101))</f>
        <v/>
      </c>
      <c r="DN101">
        <f>IF($A101="","",'Beállítások'!$E$28*(10-X101))</f>
        <v/>
      </c>
      <c r="DO101">
        <f>IF($A101="","",'Beállítások'!$E$29*(10-Y101))</f>
        <v/>
      </c>
      <c r="DP101">
        <f>IF($A101="","",'Beállítások'!$E$30*(10-Z101))</f>
        <v/>
      </c>
      <c r="DQ101">
        <f>IF($A101="","",'Beállítások'!$E$31*(10-AA101))</f>
        <v/>
      </c>
      <c r="DR101">
        <f>IF($A101="","",'Beállítások'!$E$32*(10-AB101))</f>
        <v/>
      </c>
      <c r="DS101">
        <f>IF($A101="","",'Beállítások'!$E$33*(10-AC101))</f>
        <v/>
      </c>
      <c r="DT101">
        <f>IF($A101="","",'Beállítások'!$E$34*(10-AD101))</f>
        <v/>
      </c>
      <c r="DU101">
        <f>IF($A101="","",'Beállítások'!$E$35*(10-AE101))</f>
        <v/>
      </c>
      <c r="DV101">
        <f>IF($A101="","",'Beállítások'!$E$36*(10-AF101))</f>
        <v/>
      </c>
      <c r="DW101">
        <f>IF($A101="","",'Beállítások'!$E$37*(10-AG101))</f>
        <v/>
      </c>
      <c r="DX101">
        <f>IF($A101="","",'Beállítások'!$E$38*(10-AH101))</f>
        <v/>
      </c>
      <c r="DY101">
        <f>IF($A101="","",AM101-ROW()/100000)</f>
        <v/>
      </c>
    </row>
    <row r="102">
      <c r="A102">
        <f>IF('Ügyfelek'!A102="","",'Ügyfelek'!A102)</f>
        <v/>
      </c>
      <c r="B102">
        <f>IF($A102="","",IF('Ügyfelek'!B102="",'Beállítások'!$B$84,IFERROR(VLOOKUP(TRIM('Ügyfelek'!B102),'Beállítások'!$A$51:$B$59,2,FALSE),'Beállítások'!$B$84)))</f>
        <v/>
      </c>
      <c r="C102">
        <f>IF($A102="","",IF('Ügyfelek'!C102="",'Beállítások'!$B$84,MIN(10,MAX(1,ROUND('Ügyfelek'!C102,0)))))</f>
        <v/>
      </c>
      <c r="D102">
        <f>IF($A102="","",IF('Ügyfelek'!D102="",'Beállítások'!$B$84,MIN(10,MAX(1,ROUND('Ügyfelek'!D102,0)))))</f>
        <v/>
      </c>
      <c r="E102">
        <f>IF($A102="","",IF('Ügyfelek'!E102="",'Beállítások'!$B$84,MIN(10,MAX(1,ROUND('Ügyfelek'!E102,0)))))</f>
        <v/>
      </c>
      <c r="F102">
        <f>IF($A102="","",IF('Ügyfelek'!F102="",'Beállítások'!$B$84,MIN(10,MAX(1,ROUND('Ügyfelek'!F102,0)))))</f>
        <v/>
      </c>
      <c r="G102">
        <f>IF($A102="","",IF('Ügyfelek'!G102="",'Beállítások'!$B$84,MIN(10,MAX(1,ROUND('Ügyfelek'!G102,0)))))</f>
        <v/>
      </c>
      <c r="H102">
        <f>IF($A102="","",IF('Ügyfelek'!H102="",'Beállítások'!$B$84,MIN(10,MAX(1,ROUND('Ügyfelek'!H102,0)))))</f>
        <v/>
      </c>
      <c r="I102">
        <f>IF($A102="","",IF('Ügyfelek'!I102="",'Beállítások'!$B$84,MIN(10,MAX(1,ROUND('Ügyfelek'!I102,0)))))</f>
        <v/>
      </c>
      <c r="J102">
        <f>IF($A102="","",IF('Ügyfelek'!J102="",'Beállítások'!$B$84,MIN(10,MAX(1,ROUND('Ügyfelek'!J102,0)))))</f>
        <v/>
      </c>
      <c r="K102">
        <f>IF($A102="","",IF('Ügyfelek'!K102="",'Beállítások'!$B$84,MIN(10,MAX(1,ROUND('Ügyfelek'!K102,0)))))</f>
        <v/>
      </c>
      <c r="L102">
        <f>IF($A102="","",IF('Ügyfelek'!L102="",'Beállítások'!$B$84,MIN(10,MAX(1,ROUND('Ügyfelek'!L102,0)))))</f>
        <v/>
      </c>
      <c r="M102">
        <f>IF($A102="","",IF('Ügyfelek'!M102="",'Beállítások'!$B$84,MIN(10,MAX(1,ROUND('Ügyfelek'!M102,0)))))</f>
        <v/>
      </c>
      <c r="N102">
        <f>IF($A102="","",IF('Ügyfelek'!N102="",'Beállítások'!$B$84,MIN(10,MAX(1,ROUND('Ügyfelek'!N102,0)))))</f>
        <v/>
      </c>
      <c r="O102">
        <f>IF($A102="","",IF('Ügyfelek'!O102="",'Beállítások'!$B$84,MIN(10,MAX(1,ROUND('Ügyfelek'!O102,0)))))</f>
        <v/>
      </c>
      <c r="P102">
        <f>IF($A102="","",IF('Ügyfelek'!P102="",'Beállítások'!$B$84,MIN(10,MAX(1,ROUND('Ügyfelek'!P102,0)))))</f>
        <v/>
      </c>
      <c r="Q102">
        <f>IF($A102="","",IF('Ügyfelek'!Q102="",'Beállítások'!$B$84,MIN(10,MAX(1,ROUND('Ügyfelek'!Q102,0)))))</f>
        <v/>
      </c>
      <c r="R102">
        <f>IF($A102="","",IF('Ügyfelek'!R102="",'Beállítások'!$B$84,MIN(10,MAX(1,ROUND('Ügyfelek'!R102,0)))))</f>
        <v/>
      </c>
      <c r="S102">
        <f>IF($A102="","",IF('Ügyfelek'!S102="",'Beállítások'!$B$84,MIN(10,MAX(1,ROUND('Ügyfelek'!S102,0)))))</f>
        <v/>
      </c>
      <c r="T102">
        <f>IF($A102="","",IF('Ügyfelek'!T102="",'Beállítások'!$B$84,VLOOKUP(MAX('Ügyfelek'!T102,'Beállítások'!$H$7),'Beállítások'!$H$7:$I$12,2,TRUE)))</f>
        <v/>
      </c>
      <c r="U102">
        <f>IF($A102="","",IF('Ügyfelek'!U102="",'Beállítások'!$B$84,VLOOKUP(MAX('Ügyfelek'!U102,'Beállítások'!$K$7),'Beállítások'!$K$7:$L$12,2,TRUE)))</f>
        <v/>
      </c>
      <c r="V102">
        <f>IF($A102="","",IF('Ügyfelek'!V102="",'Beállítások'!$B$84,MIN(10,MAX(1,ROUND('Ügyfelek'!V102,0)))))</f>
        <v/>
      </c>
      <c r="W102">
        <f>IF($A102="","",IF('Ügyfelek'!W102="",'Beállítások'!$B$84,VLOOKUP(MAX('Ügyfelek'!W102,'Beállítások'!$N$7),'Beállítások'!$N$7:$O$12,2,TRUE)))</f>
        <v/>
      </c>
      <c r="X102">
        <f>IF($A102="","",IF('Ügyfelek'!X102="",'Beállítások'!$B$84,MIN(10,MAX(1,ROUND('Ügyfelek'!X102,0)))))</f>
        <v/>
      </c>
      <c r="Y102">
        <f>IF($A102="","",IF('Ügyfelek'!Y102="",'Beállítások'!$B$84,IFERROR(VLOOKUP(TRIM('Ügyfelek'!Y102),'Beállítások'!$A$63:$B$69,2,FALSE),'Beállítások'!$B$84)))</f>
        <v/>
      </c>
      <c r="Z102">
        <f>IF($A102="","",IF('Ügyfelek'!Z102="",'Beállítások'!$B$84,VLOOKUP(MAX('Ügyfelek'!Z102,'Beállítások'!$Q$7),'Beállítások'!$Q$7:$R$12,2,TRUE)))</f>
        <v/>
      </c>
      <c r="AA102">
        <f>IF($A102="","",IF('Ügyfelek'!AA102="",'Beállítások'!$B$84,VLOOKUP(MAX('Ügyfelek'!AA102,'Beállítások'!$T$7),'Beállítások'!$T$7:$U$12,2,TRUE)))</f>
        <v/>
      </c>
      <c r="AB102">
        <f>IF($A102="","",IF('Ügyfelek'!AB102="",'Beállítások'!$B$84,MIN(10,MAX(1,ROUND('Ügyfelek'!AB102,0)))))</f>
        <v/>
      </c>
      <c r="AC102">
        <f>IF($A102="","",IF('Ügyfelek'!AC102="",'Beállítások'!$B$84,MIN(10,MAX(1,ROUND('Ügyfelek'!AC102,0)))))</f>
        <v/>
      </c>
      <c r="AD102">
        <f>IF($A102="","",IF('Ügyfelek'!AD102="",'Beállítások'!$B$84,MIN(10,MAX(1,ROUND('Ügyfelek'!AD102,0)))))</f>
        <v/>
      </c>
      <c r="AE102">
        <f>IF($A102="","",IF('Ügyfelek'!AE102="",'Beállítások'!$B$84,MIN(10,MAX(1,ROUND('Ügyfelek'!AE102,0)))))</f>
        <v/>
      </c>
      <c r="AF102">
        <f>IF($A102="","",IF('Ügyfelek'!AF102="",'Beállítások'!$B$84,MIN(10,MAX(1,ROUND('Ügyfelek'!AF102,0)))))</f>
        <v/>
      </c>
      <c r="AG102">
        <f>IF($A102="","",IF('Ügyfelek'!AG102="",'Beállítások'!$B$84,MIN(10,MAX(1,ROUND('Ügyfelek'!AG102,0)))))</f>
        <v/>
      </c>
      <c r="AH102">
        <f>IF($A102="","",IF('Ügyfelek'!AH102="",'Beállítások'!$B$84,IFERROR(VLOOKUP(TRIM('Ügyfelek'!AH102),'Beállítások'!$A$73:$B$79,2,FALSE),'Beállítások'!$B$84)))</f>
        <v/>
      </c>
      <c r="AI102" s="23">
        <f>IF($A102="","",ROUND(100*('Beállítások'!$E$6*(B102-1)+'Beállítások'!$E$7*(C102-1))/(9*'Beállítások'!$B$43),1))</f>
        <v/>
      </c>
      <c r="AJ102" s="23">
        <f>IF($A102="","",ROUND(100*('Beállítások'!$E$8*(D102-1)+'Beállítások'!$E$9*(E102-1)+'Beállítások'!$E$10*(F102-1)+'Beállítások'!$E$11*(G102-1)+'Beállítások'!$E$12*(H102-1)+'Beállítások'!$E$13*(I102-1)+'Beállítások'!$E$14*(J102-1)+'Beállítások'!$E$15*(K102-1)+'Beállítások'!$E$16*(L102-1)+'Beállítások'!$E$17*(M102-1)+'Beállítások'!$E$18*(N102-1)+'Beállítások'!$E$19*(O102-1)+'Beállítások'!$E$20*(P102-1)+'Beállítások'!$E$21*(Q102-1)+'Beállítások'!$E$22*(R102-1))/(9*'Beállítások'!$B$44),1))</f>
        <v/>
      </c>
      <c r="AK102" s="23">
        <f>IF($A102="","",ROUND(100*('Beállítások'!$E$23*(S102-1)+'Beállítások'!$E$24*(T102-1)+'Beállítások'!$E$25*(U102-1)+'Beállítások'!$E$26*(V102-1)+'Beállítások'!$E$27*(W102-1)+'Beállítások'!$E$28*(X102-1)+'Beállítások'!$E$29*(Y102-1))/(9*'Beállítások'!$B$45),1))</f>
        <v/>
      </c>
      <c r="AL102" s="23">
        <f>IF($A102="","",ROUND(100*('Beállítások'!$E$30*(Z102-1)+'Beállítások'!$E$31*(AA102-1)+'Beállítások'!$E$32*(AB102-1)+'Beállítások'!$E$33*(AC102-1)+'Beállítások'!$E$34*(AD102-1)+'Beállítások'!$E$35*(AE102-1)+'Beállítások'!$E$36*(AF102-1)+'Beállítások'!$E$37*(AG102-1)+'Beállítások'!$E$38*(AH102-1))/(9*'Beállítások'!$B$46),1))</f>
        <v/>
      </c>
      <c r="AM102" s="23">
        <f>IF($A102="","",ROUND(100*('Beállítások'!$E$6*(B102-1)+'Beállítások'!$E$7*(C102-1)+'Beállítások'!$E$8*(D102-1)+'Beállítások'!$E$9*(E102-1)+'Beállítások'!$E$10*(F102-1)+'Beállítások'!$E$11*(G102-1)+'Beállítások'!$E$12*(H102-1)+'Beállítások'!$E$13*(I102-1)+'Beállítások'!$E$14*(J102-1)+'Beállítások'!$E$15*(K102-1)+'Beállítások'!$E$16*(L102-1)+'Beállítások'!$E$17*(M102-1)+'Beállítások'!$E$18*(N102-1)+'Beállítások'!$E$19*(O102-1)+'Beállítások'!$E$20*(P102-1)+'Beállítások'!$E$21*(Q102-1)+'Beállítások'!$E$22*(R102-1)+'Beállítások'!$E$23*(S102-1)+'Beállítások'!$E$24*(T102-1)+'Beállítások'!$E$25*(U102-1)+'Beállítások'!$E$26*(V102-1)+'Beállítások'!$E$27*(W102-1)+'Beállítások'!$E$28*(X102-1)+'Beállítások'!$E$29*(Y102-1)+'Beállítások'!$E$30*(Z102-1)+'Beállítások'!$E$31*(AA102-1)+'Beállítások'!$E$32*(AB102-1)+'Beállítások'!$E$33*(AC102-1)+'Beállítások'!$E$34*(AD102-1)+'Beállítások'!$E$35*(AE102-1)+'Beállítások'!$E$36*(AF102-1)+'Beállítások'!$E$37*(AG102-1)+'Beállítások'!$E$38*(AH102-1))/(9*'Beállítások'!$E$39),1))</f>
        <v/>
      </c>
      <c r="AN102" s="23">
        <f>IF($A102="","",ROUND(100*('Beállítások'!$E$8*(D102-1)+'Beállítások'!$E$9*(E102-1)+'Beállítások'!$E$10*(F102-1)+'Beállítások'!$E$11*(G102-1)+'Beállítások'!$E$12*(H102-1)+'Beállítások'!$E$13*(I102-1)+'Beállítások'!$E$14*(J102-1)+'Beállítások'!$E$15*(K102-1)+'Beállítások'!$E$16*(L102-1)+'Beállítások'!$E$17*(M102-1)+'Beállítások'!$E$18*(N102-1)+'Beállítások'!$E$19*(O102-1)+'Beállítások'!$E$20*(P102-1)+'Beállítások'!$E$21*(Q102-1)+'Beállítások'!$E$22*(R102-1)+'Beállítások'!$E$23*(S102-1)+'Beállítások'!$E$24*(T102-1)+'Beállítások'!$E$25*(U102-1)+'Beállítások'!$E$26*(V102-1)+'Beállítások'!$E$27*(W102-1)+'Beállítások'!$E$28*(X102-1)+'Beállítások'!$E$29*(Y102-1))/(9*('Beállítások'!$B$44+'Beállítások'!$B$45)),1))</f>
        <v/>
      </c>
      <c r="AO102" s="24">
        <f>IF($A102="","",RANK(AM102,$AM$2:$AM$201))</f>
        <v/>
      </c>
      <c r="AP102">
        <f>IF($A102="","",IF(OR(AND('Ügyfelek'!B102&lt;&gt;"",B102&lt;='Beállítások'!$B$85),AND('Ügyfelek'!C102&lt;&gt;"",C102&lt;='Beállítások'!$B$86)),"Igen","Nem"))</f>
        <v/>
      </c>
      <c r="AQ102" s="24">
        <f>IF($A102="","",IF(AP102="Igen",5,IF(AN102&gt;='Beállítások'!$C$108,1,IF(AN102&gt;='Beállítások'!$C$109,2,IF(AN102&gt;='Beállítások'!$C$110,3,IF(AND(AN102&gt;='Beállítások'!$B$87,AI102&gt;='Beállítások'!$B$88,AL102&gt;='Beállítások'!$B$89),4,5))))))</f>
        <v/>
      </c>
      <c r="AR102">
        <f>IF($A102="","",INDEX('Beállítások'!$B$108:$B$112,AQ102))</f>
        <v/>
      </c>
      <c r="AS102">
        <f>IF($A102="","",IF(AQ102=5,"Elutasítjuk",IF(AND(AQ102=4,COUNTIFS('Eredmény'!$AQ$2:$AQ$201,4,'Eredmény'!$DY$2:$DY$201,"&gt;"&amp;DY102)&gt;='Beállítások'!$B$90),"Várólista (a 4-es hely foglalt)","Elfogadjuk")))</f>
        <v/>
      </c>
      <c r="AT102">
        <f>IF($A102="","",INDEX('Beállítások'!$F$108:$F$112,AQ102))</f>
        <v/>
      </c>
      <c r="AU102">
        <f>IF($A102="","",INDEX('Beállítások'!$B$6:$B$38,MATCH(MAX(BK102:CQ102),BK102:CQ102,0)))</f>
        <v/>
      </c>
      <c r="AV102">
        <f>IF($A102="","",IF(MAX(CR102:DX102)=0,"—",INDEX('Beállítások'!$B$6:$B$38,MATCH(MAX(CR102:DX102),CR102:DX102,0))))</f>
        <v/>
      </c>
      <c r="AW102" s="10">
        <f>IF($A102="","",'Beállítások'!$B$94*(TRIM('Ügyfelek'!AI102)="igen")+'Beállítások'!$B$95*(TRIM('Ügyfelek'!AJ102)="igen")+'Beállítások'!$B$96*N('Ügyfelek'!AK102)+'Beállítások'!$B$93*N('Ügyfelek'!AL102))</f>
        <v/>
      </c>
      <c r="AX102" s="25">
        <f>IF(OR($A102="",AQ102=5),"",INDEX('Beállítások'!$D$108:$D$112,AQ102))</f>
        <v/>
      </c>
      <c r="AY102" s="10">
        <f>IF($A102="","",N('Ügyfelek'!U102)*'Beállítások'!$B$98)</f>
        <v/>
      </c>
      <c r="AZ102" s="10">
        <f>IF(OR($A102="",AQ102=5),"",CEILING(ROUND(MAX('Beállítások'!$B$97,AW102*AX102,AY102),2),'Beállítások'!$B$99))</f>
        <v/>
      </c>
      <c r="BA102">
        <f>IF($A102="","",IF(AQ102=5,"Elutasítva",IF(MAX('Beállítások'!$B$97,AW102*AX102,AY102)=AW102*AX102,"Munkaigény × státuszszorzó",IF(MAX('Beállítások'!$B$97,AW102*AX102,AY102)=AY102,"Hirdetési keret arányában","Minimumdíj"))))</f>
        <v/>
      </c>
      <c r="BB102" s="10">
        <f>IF(OR($A102="",'Ügyfelek'!AM102=""),"",'Ügyfelek'!AM102)</f>
        <v/>
      </c>
      <c r="BC102" s="10">
        <f>IF(OR(BB102="",AZ102=""),"",AZ102-BB102)</f>
        <v/>
      </c>
      <c r="BD102" s="18">
        <f>IF(OR(BB102="",AZ102="",BB102=0),"",BC102/BB102)</f>
        <v/>
      </c>
      <c r="BE102">
        <f>IF(OR($A102="",AQ102=5),"",IF(AND(INDEX('Beállítások'!$E$108:$E$112,AQ102)&gt;0,Y102&gt;='Beállítások'!$B$91),"Igen","Nem"))</f>
        <v/>
      </c>
      <c r="BF102" s="10">
        <f>IF(BE102="Igen",CEILING(ROUND(AZ102*(1-'Beállítások'!$B$92),2),'Beállítások'!$B$99),"")</f>
        <v/>
      </c>
      <c r="BG102" s="20">
        <f>IF(BE102="Igen",INDEX('Beállítások'!$E$108:$E$112,AQ102),"")</f>
        <v/>
      </c>
      <c r="BH102" s="10">
        <f>IF(OR(BE102&lt;&gt;"Igen",'Ügyfelek'!AN102=""),"",'Ügyfelek'!AN102*BG102)</f>
        <v/>
      </c>
      <c r="BI102" s="24">
        <f>IF($A102="","",('Ügyfelek'!B102="")+('Ügyfelek'!C102="")+('Ügyfelek'!D102="")+('Ügyfelek'!E102="")+('Ügyfelek'!F102="")+('Ügyfelek'!G102="")+('Ügyfelek'!H102="")+('Ügyfelek'!I102="")+('Ügyfelek'!J102="")+('Ügyfelek'!K102="")+('Ügyfelek'!L102="")+('Ügyfelek'!M102="")+('Ügyfelek'!N102="")+('Ügyfelek'!O102="")+('Ügyfelek'!P102="")+('Ügyfelek'!Q102="")+('Ügyfelek'!R102="")+('Ügyfelek'!S102="")+('Ügyfelek'!T102="")+('Ügyfelek'!U102="")+('Ügyfelek'!V102="")+('Ügyfelek'!W102="")+('Ügyfelek'!X102="")+('Ügyfelek'!Y102="")+('Ügyfelek'!Z102="")+('Ügyfelek'!AA102="")+('Ügyfelek'!AB102="")+('Ügyfelek'!AC102="")+('Ügyfelek'!AD102="")+('Ügyfelek'!AE102="")+('Ügyfelek'!AF102="")+('Ügyfelek'!AG102="")+('Ügyfelek'!AH102=""))</f>
        <v/>
      </c>
      <c r="BK102">
        <f>IF($A102="","",B102+'Beállítások'!$E$6/1000)</f>
        <v/>
      </c>
      <c r="BL102">
        <f>IF($A102="","",C102+'Beállítások'!$E$7/1000)</f>
        <v/>
      </c>
      <c r="BM102">
        <f>IF($A102="","",D102+'Beállítások'!$E$8/1000)</f>
        <v/>
      </c>
      <c r="BN102">
        <f>IF($A102="","",E102+'Beállítások'!$E$9/1000)</f>
        <v/>
      </c>
      <c r="BO102">
        <f>IF($A102="","",F102+'Beállítások'!$E$10/1000)</f>
        <v/>
      </c>
      <c r="BP102">
        <f>IF($A102="","",G102+'Beállítások'!$E$11/1000)</f>
        <v/>
      </c>
      <c r="BQ102">
        <f>IF($A102="","",H102+'Beállítások'!$E$12/1000)</f>
        <v/>
      </c>
      <c r="BR102">
        <f>IF($A102="","",I102+'Beállítások'!$E$13/1000)</f>
        <v/>
      </c>
      <c r="BS102">
        <f>IF($A102="","",J102+'Beállítások'!$E$14/1000)</f>
        <v/>
      </c>
      <c r="BT102">
        <f>IF($A102="","",K102+'Beállítások'!$E$15/1000)</f>
        <v/>
      </c>
      <c r="BU102">
        <f>IF($A102="","",L102+'Beállítások'!$E$16/1000)</f>
        <v/>
      </c>
      <c r="BV102">
        <f>IF($A102="","",M102+'Beállítások'!$E$17/1000)</f>
        <v/>
      </c>
      <c r="BW102">
        <f>IF($A102="","",N102+'Beállítások'!$E$18/1000)</f>
        <v/>
      </c>
      <c r="BX102">
        <f>IF($A102="","",O102+'Beállítások'!$E$19/1000)</f>
        <v/>
      </c>
      <c r="BY102">
        <f>IF($A102="","",P102+'Beállítások'!$E$20/1000)</f>
        <v/>
      </c>
      <c r="BZ102">
        <f>IF($A102="","",Q102+'Beállítások'!$E$21/1000)</f>
        <v/>
      </c>
      <c r="CA102">
        <f>IF($A102="","",R102+'Beállítások'!$E$22/1000)</f>
        <v/>
      </c>
      <c r="CB102">
        <f>IF($A102="","",S102+'Beállítások'!$E$23/1000)</f>
        <v/>
      </c>
      <c r="CC102">
        <f>IF($A102="","",T102+'Beállítások'!$E$24/1000)</f>
        <v/>
      </c>
      <c r="CD102">
        <f>IF($A102="","",U102+'Beállítások'!$E$25/1000)</f>
        <v/>
      </c>
      <c r="CE102">
        <f>IF($A102="","",V102+'Beállítások'!$E$26/1000)</f>
        <v/>
      </c>
      <c r="CF102">
        <f>IF($A102="","",W102+'Beállítások'!$E$27/1000)</f>
        <v/>
      </c>
      <c r="CG102">
        <f>IF($A102="","",X102+'Beállítások'!$E$28/1000)</f>
        <v/>
      </c>
      <c r="CH102">
        <f>IF($A102="","",Y102+'Beállítások'!$E$29/1000)</f>
        <v/>
      </c>
      <c r="CI102">
        <f>IF($A102="","",Z102+'Beállítások'!$E$30/1000)</f>
        <v/>
      </c>
      <c r="CJ102">
        <f>IF($A102="","",AA102+'Beállítások'!$E$31/1000)</f>
        <v/>
      </c>
      <c r="CK102">
        <f>IF($A102="","",AB102+'Beállítások'!$E$32/1000)</f>
        <v/>
      </c>
      <c r="CL102">
        <f>IF($A102="","",AC102+'Beállítások'!$E$33/1000)</f>
        <v/>
      </c>
      <c r="CM102">
        <f>IF($A102="","",AD102+'Beállítások'!$E$34/1000)</f>
        <v/>
      </c>
      <c r="CN102">
        <f>IF($A102="","",AE102+'Beállítások'!$E$35/1000)</f>
        <v/>
      </c>
      <c r="CO102">
        <f>IF($A102="","",AF102+'Beállítások'!$E$36/1000)</f>
        <v/>
      </c>
      <c r="CP102">
        <f>IF($A102="","",AG102+'Beállítások'!$E$37/1000)</f>
        <v/>
      </c>
      <c r="CQ102">
        <f>IF($A102="","",AH102+'Beállítások'!$E$38/1000)</f>
        <v/>
      </c>
      <c r="CR102">
        <f>IF($A102="","",'Beállítások'!$E$6*(10-B102))</f>
        <v/>
      </c>
      <c r="CS102">
        <f>IF($A102="","",'Beállítások'!$E$7*(10-C102))</f>
        <v/>
      </c>
      <c r="CT102">
        <f>IF($A102="","",'Beállítások'!$E$8*(10-D102))</f>
        <v/>
      </c>
      <c r="CU102">
        <f>IF($A102="","",'Beállítások'!$E$9*(10-E102))</f>
        <v/>
      </c>
      <c r="CV102">
        <f>IF($A102="","",'Beállítások'!$E$10*(10-F102))</f>
        <v/>
      </c>
      <c r="CW102">
        <f>IF($A102="","",'Beállítások'!$E$11*(10-G102))</f>
        <v/>
      </c>
      <c r="CX102">
        <f>IF($A102="","",'Beállítások'!$E$12*(10-H102))</f>
        <v/>
      </c>
      <c r="CY102">
        <f>IF($A102="","",'Beállítások'!$E$13*(10-I102))</f>
        <v/>
      </c>
      <c r="CZ102">
        <f>IF($A102="","",'Beállítások'!$E$14*(10-J102))</f>
        <v/>
      </c>
      <c r="DA102">
        <f>IF($A102="","",'Beállítások'!$E$15*(10-K102))</f>
        <v/>
      </c>
      <c r="DB102">
        <f>IF($A102="","",'Beállítások'!$E$16*(10-L102))</f>
        <v/>
      </c>
      <c r="DC102">
        <f>IF($A102="","",'Beállítások'!$E$17*(10-M102))</f>
        <v/>
      </c>
      <c r="DD102">
        <f>IF($A102="","",'Beállítások'!$E$18*(10-N102))</f>
        <v/>
      </c>
      <c r="DE102">
        <f>IF($A102="","",'Beállítások'!$E$19*(10-O102))</f>
        <v/>
      </c>
      <c r="DF102">
        <f>IF($A102="","",'Beállítások'!$E$20*(10-P102))</f>
        <v/>
      </c>
      <c r="DG102">
        <f>IF($A102="","",'Beállítások'!$E$21*(10-Q102))</f>
        <v/>
      </c>
      <c r="DH102">
        <f>IF($A102="","",'Beállítások'!$E$22*(10-R102))</f>
        <v/>
      </c>
      <c r="DI102">
        <f>IF($A102="","",'Beállítások'!$E$23*(10-S102))</f>
        <v/>
      </c>
      <c r="DJ102">
        <f>IF($A102="","",'Beállítások'!$E$24*(10-T102))</f>
        <v/>
      </c>
      <c r="DK102">
        <f>IF($A102="","",'Beállítások'!$E$25*(10-U102))</f>
        <v/>
      </c>
      <c r="DL102">
        <f>IF($A102="","",'Beállítások'!$E$26*(10-V102))</f>
        <v/>
      </c>
      <c r="DM102">
        <f>IF($A102="","",'Beállítások'!$E$27*(10-W102))</f>
        <v/>
      </c>
      <c r="DN102">
        <f>IF($A102="","",'Beállítások'!$E$28*(10-X102))</f>
        <v/>
      </c>
      <c r="DO102">
        <f>IF($A102="","",'Beállítások'!$E$29*(10-Y102))</f>
        <v/>
      </c>
      <c r="DP102">
        <f>IF($A102="","",'Beállítások'!$E$30*(10-Z102))</f>
        <v/>
      </c>
      <c r="DQ102">
        <f>IF($A102="","",'Beállítások'!$E$31*(10-AA102))</f>
        <v/>
      </c>
      <c r="DR102">
        <f>IF($A102="","",'Beállítások'!$E$32*(10-AB102))</f>
        <v/>
      </c>
      <c r="DS102">
        <f>IF($A102="","",'Beállítások'!$E$33*(10-AC102))</f>
        <v/>
      </c>
      <c r="DT102">
        <f>IF($A102="","",'Beállítások'!$E$34*(10-AD102))</f>
        <v/>
      </c>
      <c r="DU102">
        <f>IF($A102="","",'Beállítások'!$E$35*(10-AE102))</f>
        <v/>
      </c>
      <c r="DV102">
        <f>IF($A102="","",'Beállítások'!$E$36*(10-AF102))</f>
        <v/>
      </c>
      <c r="DW102">
        <f>IF($A102="","",'Beállítások'!$E$37*(10-AG102))</f>
        <v/>
      </c>
      <c r="DX102">
        <f>IF($A102="","",'Beállítások'!$E$38*(10-AH102))</f>
        <v/>
      </c>
      <c r="DY102">
        <f>IF($A102="","",AM102-ROW()/100000)</f>
        <v/>
      </c>
    </row>
    <row r="103">
      <c r="A103">
        <f>IF('Ügyfelek'!A103="","",'Ügyfelek'!A103)</f>
        <v/>
      </c>
      <c r="B103">
        <f>IF($A103="","",IF('Ügyfelek'!B103="",'Beállítások'!$B$84,IFERROR(VLOOKUP(TRIM('Ügyfelek'!B103),'Beállítások'!$A$51:$B$59,2,FALSE),'Beállítások'!$B$84)))</f>
        <v/>
      </c>
      <c r="C103">
        <f>IF($A103="","",IF('Ügyfelek'!C103="",'Beállítások'!$B$84,MIN(10,MAX(1,ROUND('Ügyfelek'!C103,0)))))</f>
        <v/>
      </c>
      <c r="D103">
        <f>IF($A103="","",IF('Ügyfelek'!D103="",'Beállítások'!$B$84,MIN(10,MAX(1,ROUND('Ügyfelek'!D103,0)))))</f>
        <v/>
      </c>
      <c r="E103">
        <f>IF($A103="","",IF('Ügyfelek'!E103="",'Beállítások'!$B$84,MIN(10,MAX(1,ROUND('Ügyfelek'!E103,0)))))</f>
        <v/>
      </c>
      <c r="F103">
        <f>IF($A103="","",IF('Ügyfelek'!F103="",'Beállítások'!$B$84,MIN(10,MAX(1,ROUND('Ügyfelek'!F103,0)))))</f>
        <v/>
      </c>
      <c r="G103">
        <f>IF($A103="","",IF('Ügyfelek'!G103="",'Beállítások'!$B$84,MIN(10,MAX(1,ROUND('Ügyfelek'!G103,0)))))</f>
        <v/>
      </c>
      <c r="H103">
        <f>IF($A103="","",IF('Ügyfelek'!H103="",'Beállítások'!$B$84,MIN(10,MAX(1,ROUND('Ügyfelek'!H103,0)))))</f>
        <v/>
      </c>
      <c r="I103">
        <f>IF($A103="","",IF('Ügyfelek'!I103="",'Beállítások'!$B$84,MIN(10,MAX(1,ROUND('Ügyfelek'!I103,0)))))</f>
        <v/>
      </c>
      <c r="J103">
        <f>IF($A103="","",IF('Ügyfelek'!J103="",'Beállítások'!$B$84,MIN(10,MAX(1,ROUND('Ügyfelek'!J103,0)))))</f>
        <v/>
      </c>
      <c r="K103">
        <f>IF($A103="","",IF('Ügyfelek'!K103="",'Beállítások'!$B$84,MIN(10,MAX(1,ROUND('Ügyfelek'!K103,0)))))</f>
        <v/>
      </c>
      <c r="L103">
        <f>IF($A103="","",IF('Ügyfelek'!L103="",'Beállítások'!$B$84,MIN(10,MAX(1,ROUND('Ügyfelek'!L103,0)))))</f>
        <v/>
      </c>
      <c r="M103">
        <f>IF($A103="","",IF('Ügyfelek'!M103="",'Beállítások'!$B$84,MIN(10,MAX(1,ROUND('Ügyfelek'!M103,0)))))</f>
        <v/>
      </c>
      <c r="N103">
        <f>IF($A103="","",IF('Ügyfelek'!N103="",'Beállítások'!$B$84,MIN(10,MAX(1,ROUND('Ügyfelek'!N103,0)))))</f>
        <v/>
      </c>
      <c r="O103">
        <f>IF($A103="","",IF('Ügyfelek'!O103="",'Beállítások'!$B$84,MIN(10,MAX(1,ROUND('Ügyfelek'!O103,0)))))</f>
        <v/>
      </c>
      <c r="P103">
        <f>IF($A103="","",IF('Ügyfelek'!P103="",'Beállítások'!$B$84,MIN(10,MAX(1,ROUND('Ügyfelek'!P103,0)))))</f>
        <v/>
      </c>
      <c r="Q103">
        <f>IF($A103="","",IF('Ügyfelek'!Q103="",'Beállítások'!$B$84,MIN(10,MAX(1,ROUND('Ügyfelek'!Q103,0)))))</f>
        <v/>
      </c>
      <c r="R103">
        <f>IF($A103="","",IF('Ügyfelek'!R103="",'Beállítások'!$B$84,MIN(10,MAX(1,ROUND('Ügyfelek'!R103,0)))))</f>
        <v/>
      </c>
      <c r="S103">
        <f>IF($A103="","",IF('Ügyfelek'!S103="",'Beállítások'!$B$84,MIN(10,MAX(1,ROUND('Ügyfelek'!S103,0)))))</f>
        <v/>
      </c>
      <c r="T103">
        <f>IF($A103="","",IF('Ügyfelek'!T103="",'Beállítások'!$B$84,VLOOKUP(MAX('Ügyfelek'!T103,'Beállítások'!$H$7),'Beállítások'!$H$7:$I$12,2,TRUE)))</f>
        <v/>
      </c>
      <c r="U103">
        <f>IF($A103="","",IF('Ügyfelek'!U103="",'Beállítások'!$B$84,VLOOKUP(MAX('Ügyfelek'!U103,'Beállítások'!$K$7),'Beállítások'!$K$7:$L$12,2,TRUE)))</f>
        <v/>
      </c>
      <c r="V103">
        <f>IF($A103="","",IF('Ügyfelek'!V103="",'Beállítások'!$B$84,MIN(10,MAX(1,ROUND('Ügyfelek'!V103,0)))))</f>
        <v/>
      </c>
      <c r="W103">
        <f>IF($A103="","",IF('Ügyfelek'!W103="",'Beállítások'!$B$84,VLOOKUP(MAX('Ügyfelek'!W103,'Beállítások'!$N$7),'Beállítások'!$N$7:$O$12,2,TRUE)))</f>
        <v/>
      </c>
      <c r="X103">
        <f>IF($A103="","",IF('Ügyfelek'!X103="",'Beállítások'!$B$84,MIN(10,MAX(1,ROUND('Ügyfelek'!X103,0)))))</f>
        <v/>
      </c>
      <c r="Y103">
        <f>IF($A103="","",IF('Ügyfelek'!Y103="",'Beállítások'!$B$84,IFERROR(VLOOKUP(TRIM('Ügyfelek'!Y103),'Beállítások'!$A$63:$B$69,2,FALSE),'Beállítások'!$B$84)))</f>
        <v/>
      </c>
      <c r="Z103">
        <f>IF($A103="","",IF('Ügyfelek'!Z103="",'Beállítások'!$B$84,VLOOKUP(MAX('Ügyfelek'!Z103,'Beállítások'!$Q$7),'Beállítások'!$Q$7:$R$12,2,TRUE)))</f>
        <v/>
      </c>
      <c r="AA103">
        <f>IF($A103="","",IF('Ügyfelek'!AA103="",'Beállítások'!$B$84,VLOOKUP(MAX('Ügyfelek'!AA103,'Beállítások'!$T$7),'Beállítások'!$T$7:$U$12,2,TRUE)))</f>
        <v/>
      </c>
      <c r="AB103">
        <f>IF($A103="","",IF('Ügyfelek'!AB103="",'Beállítások'!$B$84,MIN(10,MAX(1,ROUND('Ügyfelek'!AB103,0)))))</f>
        <v/>
      </c>
      <c r="AC103">
        <f>IF($A103="","",IF('Ügyfelek'!AC103="",'Beállítások'!$B$84,MIN(10,MAX(1,ROUND('Ügyfelek'!AC103,0)))))</f>
        <v/>
      </c>
      <c r="AD103">
        <f>IF($A103="","",IF('Ügyfelek'!AD103="",'Beállítások'!$B$84,MIN(10,MAX(1,ROUND('Ügyfelek'!AD103,0)))))</f>
        <v/>
      </c>
      <c r="AE103">
        <f>IF($A103="","",IF('Ügyfelek'!AE103="",'Beállítások'!$B$84,MIN(10,MAX(1,ROUND('Ügyfelek'!AE103,0)))))</f>
        <v/>
      </c>
      <c r="AF103">
        <f>IF($A103="","",IF('Ügyfelek'!AF103="",'Beállítások'!$B$84,MIN(10,MAX(1,ROUND('Ügyfelek'!AF103,0)))))</f>
        <v/>
      </c>
      <c r="AG103">
        <f>IF($A103="","",IF('Ügyfelek'!AG103="",'Beállítások'!$B$84,MIN(10,MAX(1,ROUND('Ügyfelek'!AG103,0)))))</f>
        <v/>
      </c>
      <c r="AH103">
        <f>IF($A103="","",IF('Ügyfelek'!AH103="",'Beállítások'!$B$84,IFERROR(VLOOKUP(TRIM('Ügyfelek'!AH103),'Beállítások'!$A$73:$B$79,2,FALSE),'Beállítások'!$B$84)))</f>
        <v/>
      </c>
      <c r="AI103" s="23">
        <f>IF($A103="","",ROUND(100*('Beállítások'!$E$6*(B103-1)+'Beállítások'!$E$7*(C103-1))/(9*'Beállítások'!$B$43),1))</f>
        <v/>
      </c>
      <c r="AJ103" s="23">
        <f>IF($A103="","",ROUND(100*('Beállítások'!$E$8*(D103-1)+'Beállítások'!$E$9*(E103-1)+'Beállítások'!$E$10*(F103-1)+'Beállítások'!$E$11*(G103-1)+'Beállítások'!$E$12*(H103-1)+'Beállítások'!$E$13*(I103-1)+'Beállítások'!$E$14*(J103-1)+'Beállítások'!$E$15*(K103-1)+'Beállítások'!$E$16*(L103-1)+'Beállítások'!$E$17*(M103-1)+'Beállítások'!$E$18*(N103-1)+'Beállítások'!$E$19*(O103-1)+'Beállítások'!$E$20*(P103-1)+'Beállítások'!$E$21*(Q103-1)+'Beállítások'!$E$22*(R103-1))/(9*'Beállítások'!$B$44),1))</f>
        <v/>
      </c>
      <c r="AK103" s="23">
        <f>IF($A103="","",ROUND(100*('Beállítások'!$E$23*(S103-1)+'Beállítások'!$E$24*(T103-1)+'Beállítások'!$E$25*(U103-1)+'Beállítások'!$E$26*(V103-1)+'Beállítások'!$E$27*(W103-1)+'Beállítások'!$E$28*(X103-1)+'Beállítások'!$E$29*(Y103-1))/(9*'Beállítások'!$B$45),1))</f>
        <v/>
      </c>
      <c r="AL103" s="23">
        <f>IF($A103="","",ROUND(100*('Beállítások'!$E$30*(Z103-1)+'Beállítások'!$E$31*(AA103-1)+'Beállítások'!$E$32*(AB103-1)+'Beállítások'!$E$33*(AC103-1)+'Beállítások'!$E$34*(AD103-1)+'Beállítások'!$E$35*(AE103-1)+'Beállítások'!$E$36*(AF103-1)+'Beállítások'!$E$37*(AG103-1)+'Beállítások'!$E$38*(AH103-1))/(9*'Beállítások'!$B$46),1))</f>
        <v/>
      </c>
      <c r="AM103" s="23">
        <f>IF($A103="","",ROUND(100*('Beállítások'!$E$6*(B103-1)+'Beállítások'!$E$7*(C103-1)+'Beállítások'!$E$8*(D103-1)+'Beállítások'!$E$9*(E103-1)+'Beállítások'!$E$10*(F103-1)+'Beállítások'!$E$11*(G103-1)+'Beállítások'!$E$12*(H103-1)+'Beállítások'!$E$13*(I103-1)+'Beállítások'!$E$14*(J103-1)+'Beállítások'!$E$15*(K103-1)+'Beállítások'!$E$16*(L103-1)+'Beállítások'!$E$17*(M103-1)+'Beállítások'!$E$18*(N103-1)+'Beállítások'!$E$19*(O103-1)+'Beállítások'!$E$20*(P103-1)+'Beállítások'!$E$21*(Q103-1)+'Beállítások'!$E$22*(R103-1)+'Beállítások'!$E$23*(S103-1)+'Beállítások'!$E$24*(T103-1)+'Beállítások'!$E$25*(U103-1)+'Beállítások'!$E$26*(V103-1)+'Beállítások'!$E$27*(W103-1)+'Beállítások'!$E$28*(X103-1)+'Beállítások'!$E$29*(Y103-1)+'Beállítások'!$E$30*(Z103-1)+'Beállítások'!$E$31*(AA103-1)+'Beállítások'!$E$32*(AB103-1)+'Beállítások'!$E$33*(AC103-1)+'Beállítások'!$E$34*(AD103-1)+'Beállítások'!$E$35*(AE103-1)+'Beállítások'!$E$36*(AF103-1)+'Beállítások'!$E$37*(AG103-1)+'Beállítások'!$E$38*(AH103-1))/(9*'Beállítások'!$E$39),1))</f>
        <v/>
      </c>
      <c r="AN103" s="23">
        <f>IF($A103="","",ROUND(100*('Beállítások'!$E$8*(D103-1)+'Beállítások'!$E$9*(E103-1)+'Beállítások'!$E$10*(F103-1)+'Beállítások'!$E$11*(G103-1)+'Beállítások'!$E$12*(H103-1)+'Beállítások'!$E$13*(I103-1)+'Beállítások'!$E$14*(J103-1)+'Beállítások'!$E$15*(K103-1)+'Beállítások'!$E$16*(L103-1)+'Beállítások'!$E$17*(M103-1)+'Beállítások'!$E$18*(N103-1)+'Beállítások'!$E$19*(O103-1)+'Beállítások'!$E$20*(P103-1)+'Beállítások'!$E$21*(Q103-1)+'Beállítások'!$E$22*(R103-1)+'Beállítások'!$E$23*(S103-1)+'Beállítások'!$E$24*(T103-1)+'Beállítások'!$E$25*(U103-1)+'Beállítások'!$E$26*(V103-1)+'Beállítások'!$E$27*(W103-1)+'Beállítások'!$E$28*(X103-1)+'Beállítások'!$E$29*(Y103-1))/(9*('Beállítások'!$B$44+'Beállítások'!$B$45)),1))</f>
        <v/>
      </c>
      <c r="AO103" s="24">
        <f>IF($A103="","",RANK(AM103,$AM$2:$AM$201))</f>
        <v/>
      </c>
      <c r="AP103">
        <f>IF($A103="","",IF(OR(AND('Ügyfelek'!B103&lt;&gt;"",B103&lt;='Beállítások'!$B$85),AND('Ügyfelek'!C103&lt;&gt;"",C103&lt;='Beállítások'!$B$86)),"Igen","Nem"))</f>
        <v/>
      </c>
      <c r="AQ103" s="24">
        <f>IF($A103="","",IF(AP103="Igen",5,IF(AN103&gt;='Beállítások'!$C$108,1,IF(AN103&gt;='Beállítások'!$C$109,2,IF(AN103&gt;='Beállítások'!$C$110,3,IF(AND(AN103&gt;='Beállítások'!$B$87,AI103&gt;='Beállítások'!$B$88,AL103&gt;='Beállítások'!$B$89),4,5))))))</f>
        <v/>
      </c>
      <c r="AR103">
        <f>IF($A103="","",INDEX('Beállítások'!$B$108:$B$112,AQ103))</f>
        <v/>
      </c>
      <c r="AS103">
        <f>IF($A103="","",IF(AQ103=5,"Elutasítjuk",IF(AND(AQ103=4,COUNTIFS('Eredmény'!$AQ$2:$AQ$201,4,'Eredmény'!$DY$2:$DY$201,"&gt;"&amp;DY103)&gt;='Beállítások'!$B$90),"Várólista (a 4-es hely foglalt)","Elfogadjuk")))</f>
        <v/>
      </c>
      <c r="AT103">
        <f>IF($A103="","",INDEX('Beállítások'!$F$108:$F$112,AQ103))</f>
        <v/>
      </c>
      <c r="AU103">
        <f>IF($A103="","",INDEX('Beállítások'!$B$6:$B$38,MATCH(MAX(BK103:CQ103),BK103:CQ103,0)))</f>
        <v/>
      </c>
      <c r="AV103">
        <f>IF($A103="","",IF(MAX(CR103:DX103)=0,"—",INDEX('Beállítások'!$B$6:$B$38,MATCH(MAX(CR103:DX103),CR103:DX103,0))))</f>
        <v/>
      </c>
      <c r="AW103" s="10">
        <f>IF($A103="","",'Beállítások'!$B$94*(TRIM('Ügyfelek'!AI103)="igen")+'Beállítások'!$B$95*(TRIM('Ügyfelek'!AJ103)="igen")+'Beállítások'!$B$96*N('Ügyfelek'!AK103)+'Beállítások'!$B$93*N('Ügyfelek'!AL103))</f>
        <v/>
      </c>
      <c r="AX103" s="25">
        <f>IF(OR($A103="",AQ103=5),"",INDEX('Beállítások'!$D$108:$D$112,AQ103))</f>
        <v/>
      </c>
      <c r="AY103" s="10">
        <f>IF($A103="","",N('Ügyfelek'!U103)*'Beállítások'!$B$98)</f>
        <v/>
      </c>
      <c r="AZ103" s="10">
        <f>IF(OR($A103="",AQ103=5),"",CEILING(ROUND(MAX('Beállítások'!$B$97,AW103*AX103,AY103),2),'Beállítások'!$B$99))</f>
        <v/>
      </c>
      <c r="BA103">
        <f>IF($A103="","",IF(AQ103=5,"Elutasítva",IF(MAX('Beállítások'!$B$97,AW103*AX103,AY103)=AW103*AX103,"Munkaigény × státuszszorzó",IF(MAX('Beállítások'!$B$97,AW103*AX103,AY103)=AY103,"Hirdetési keret arányában","Minimumdíj"))))</f>
        <v/>
      </c>
      <c r="BB103" s="10">
        <f>IF(OR($A103="",'Ügyfelek'!AM103=""),"",'Ügyfelek'!AM103)</f>
        <v/>
      </c>
      <c r="BC103" s="10">
        <f>IF(OR(BB103="",AZ103=""),"",AZ103-BB103)</f>
        <v/>
      </c>
      <c r="BD103" s="18">
        <f>IF(OR(BB103="",AZ103="",BB103=0),"",BC103/BB103)</f>
        <v/>
      </c>
      <c r="BE103">
        <f>IF(OR($A103="",AQ103=5),"",IF(AND(INDEX('Beállítások'!$E$108:$E$112,AQ103)&gt;0,Y103&gt;='Beállítások'!$B$91),"Igen","Nem"))</f>
        <v/>
      </c>
      <c r="BF103" s="10">
        <f>IF(BE103="Igen",CEILING(ROUND(AZ103*(1-'Beállítások'!$B$92),2),'Beállítások'!$B$99),"")</f>
        <v/>
      </c>
      <c r="BG103" s="20">
        <f>IF(BE103="Igen",INDEX('Beállítások'!$E$108:$E$112,AQ103),"")</f>
        <v/>
      </c>
      <c r="BH103" s="10">
        <f>IF(OR(BE103&lt;&gt;"Igen",'Ügyfelek'!AN103=""),"",'Ügyfelek'!AN103*BG103)</f>
        <v/>
      </c>
      <c r="BI103" s="24">
        <f>IF($A103="","",('Ügyfelek'!B103="")+('Ügyfelek'!C103="")+('Ügyfelek'!D103="")+('Ügyfelek'!E103="")+('Ügyfelek'!F103="")+('Ügyfelek'!G103="")+('Ügyfelek'!H103="")+('Ügyfelek'!I103="")+('Ügyfelek'!J103="")+('Ügyfelek'!K103="")+('Ügyfelek'!L103="")+('Ügyfelek'!M103="")+('Ügyfelek'!N103="")+('Ügyfelek'!O103="")+('Ügyfelek'!P103="")+('Ügyfelek'!Q103="")+('Ügyfelek'!R103="")+('Ügyfelek'!S103="")+('Ügyfelek'!T103="")+('Ügyfelek'!U103="")+('Ügyfelek'!V103="")+('Ügyfelek'!W103="")+('Ügyfelek'!X103="")+('Ügyfelek'!Y103="")+('Ügyfelek'!Z103="")+('Ügyfelek'!AA103="")+('Ügyfelek'!AB103="")+('Ügyfelek'!AC103="")+('Ügyfelek'!AD103="")+('Ügyfelek'!AE103="")+('Ügyfelek'!AF103="")+('Ügyfelek'!AG103="")+('Ügyfelek'!AH103=""))</f>
        <v/>
      </c>
      <c r="BK103">
        <f>IF($A103="","",B103+'Beállítások'!$E$6/1000)</f>
        <v/>
      </c>
      <c r="BL103">
        <f>IF($A103="","",C103+'Beállítások'!$E$7/1000)</f>
        <v/>
      </c>
      <c r="BM103">
        <f>IF($A103="","",D103+'Beállítások'!$E$8/1000)</f>
        <v/>
      </c>
      <c r="BN103">
        <f>IF($A103="","",E103+'Beállítások'!$E$9/1000)</f>
        <v/>
      </c>
      <c r="BO103">
        <f>IF($A103="","",F103+'Beállítások'!$E$10/1000)</f>
        <v/>
      </c>
      <c r="BP103">
        <f>IF($A103="","",G103+'Beállítások'!$E$11/1000)</f>
        <v/>
      </c>
      <c r="BQ103">
        <f>IF($A103="","",H103+'Beállítások'!$E$12/1000)</f>
        <v/>
      </c>
      <c r="BR103">
        <f>IF($A103="","",I103+'Beállítások'!$E$13/1000)</f>
        <v/>
      </c>
      <c r="BS103">
        <f>IF($A103="","",J103+'Beállítások'!$E$14/1000)</f>
        <v/>
      </c>
      <c r="BT103">
        <f>IF($A103="","",K103+'Beállítások'!$E$15/1000)</f>
        <v/>
      </c>
      <c r="BU103">
        <f>IF($A103="","",L103+'Beállítások'!$E$16/1000)</f>
        <v/>
      </c>
      <c r="BV103">
        <f>IF($A103="","",M103+'Beállítások'!$E$17/1000)</f>
        <v/>
      </c>
      <c r="BW103">
        <f>IF($A103="","",N103+'Beállítások'!$E$18/1000)</f>
        <v/>
      </c>
      <c r="BX103">
        <f>IF($A103="","",O103+'Beállítások'!$E$19/1000)</f>
        <v/>
      </c>
      <c r="BY103">
        <f>IF($A103="","",P103+'Beállítások'!$E$20/1000)</f>
        <v/>
      </c>
      <c r="BZ103">
        <f>IF($A103="","",Q103+'Beállítások'!$E$21/1000)</f>
        <v/>
      </c>
      <c r="CA103">
        <f>IF($A103="","",R103+'Beállítások'!$E$22/1000)</f>
        <v/>
      </c>
      <c r="CB103">
        <f>IF($A103="","",S103+'Beállítások'!$E$23/1000)</f>
        <v/>
      </c>
      <c r="CC103">
        <f>IF($A103="","",T103+'Beállítások'!$E$24/1000)</f>
        <v/>
      </c>
      <c r="CD103">
        <f>IF($A103="","",U103+'Beállítások'!$E$25/1000)</f>
        <v/>
      </c>
      <c r="CE103">
        <f>IF($A103="","",V103+'Beállítások'!$E$26/1000)</f>
        <v/>
      </c>
      <c r="CF103">
        <f>IF($A103="","",W103+'Beállítások'!$E$27/1000)</f>
        <v/>
      </c>
      <c r="CG103">
        <f>IF($A103="","",X103+'Beállítások'!$E$28/1000)</f>
        <v/>
      </c>
      <c r="CH103">
        <f>IF($A103="","",Y103+'Beállítások'!$E$29/1000)</f>
        <v/>
      </c>
      <c r="CI103">
        <f>IF($A103="","",Z103+'Beállítások'!$E$30/1000)</f>
        <v/>
      </c>
      <c r="CJ103">
        <f>IF($A103="","",AA103+'Beállítások'!$E$31/1000)</f>
        <v/>
      </c>
      <c r="CK103">
        <f>IF($A103="","",AB103+'Beállítások'!$E$32/1000)</f>
        <v/>
      </c>
      <c r="CL103">
        <f>IF($A103="","",AC103+'Beállítások'!$E$33/1000)</f>
        <v/>
      </c>
      <c r="CM103">
        <f>IF($A103="","",AD103+'Beállítások'!$E$34/1000)</f>
        <v/>
      </c>
      <c r="CN103">
        <f>IF($A103="","",AE103+'Beállítások'!$E$35/1000)</f>
        <v/>
      </c>
      <c r="CO103">
        <f>IF($A103="","",AF103+'Beállítások'!$E$36/1000)</f>
        <v/>
      </c>
      <c r="CP103">
        <f>IF($A103="","",AG103+'Beállítások'!$E$37/1000)</f>
        <v/>
      </c>
      <c r="CQ103">
        <f>IF($A103="","",AH103+'Beállítások'!$E$38/1000)</f>
        <v/>
      </c>
      <c r="CR103">
        <f>IF($A103="","",'Beállítások'!$E$6*(10-B103))</f>
        <v/>
      </c>
      <c r="CS103">
        <f>IF($A103="","",'Beállítások'!$E$7*(10-C103))</f>
        <v/>
      </c>
      <c r="CT103">
        <f>IF($A103="","",'Beállítások'!$E$8*(10-D103))</f>
        <v/>
      </c>
      <c r="CU103">
        <f>IF($A103="","",'Beállítások'!$E$9*(10-E103))</f>
        <v/>
      </c>
      <c r="CV103">
        <f>IF($A103="","",'Beállítások'!$E$10*(10-F103))</f>
        <v/>
      </c>
      <c r="CW103">
        <f>IF($A103="","",'Beállítások'!$E$11*(10-G103))</f>
        <v/>
      </c>
      <c r="CX103">
        <f>IF($A103="","",'Beállítások'!$E$12*(10-H103))</f>
        <v/>
      </c>
      <c r="CY103">
        <f>IF($A103="","",'Beállítások'!$E$13*(10-I103))</f>
        <v/>
      </c>
      <c r="CZ103">
        <f>IF($A103="","",'Beállítások'!$E$14*(10-J103))</f>
        <v/>
      </c>
      <c r="DA103">
        <f>IF($A103="","",'Beállítások'!$E$15*(10-K103))</f>
        <v/>
      </c>
      <c r="DB103">
        <f>IF($A103="","",'Beállítások'!$E$16*(10-L103))</f>
        <v/>
      </c>
      <c r="DC103">
        <f>IF($A103="","",'Beállítások'!$E$17*(10-M103))</f>
        <v/>
      </c>
      <c r="DD103">
        <f>IF($A103="","",'Beállítások'!$E$18*(10-N103))</f>
        <v/>
      </c>
      <c r="DE103">
        <f>IF($A103="","",'Beállítások'!$E$19*(10-O103))</f>
        <v/>
      </c>
      <c r="DF103">
        <f>IF($A103="","",'Beállítások'!$E$20*(10-P103))</f>
        <v/>
      </c>
      <c r="DG103">
        <f>IF($A103="","",'Beállítások'!$E$21*(10-Q103))</f>
        <v/>
      </c>
      <c r="DH103">
        <f>IF($A103="","",'Beállítások'!$E$22*(10-R103))</f>
        <v/>
      </c>
      <c r="DI103">
        <f>IF($A103="","",'Beállítások'!$E$23*(10-S103))</f>
        <v/>
      </c>
      <c r="DJ103">
        <f>IF($A103="","",'Beállítások'!$E$24*(10-T103))</f>
        <v/>
      </c>
      <c r="DK103">
        <f>IF($A103="","",'Beállítások'!$E$25*(10-U103))</f>
        <v/>
      </c>
      <c r="DL103">
        <f>IF($A103="","",'Beállítások'!$E$26*(10-V103))</f>
        <v/>
      </c>
      <c r="DM103">
        <f>IF($A103="","",'Beállítások'!$E$27*(10-W103))</f>
        <v/>
      </c>
      <c r="DN103">
        <f>IF($A103="","",'Beállítások'!$E$28*(10-X103))</f>
        <v/>
      </c>
      <c r="DO103">
        <f>IF($A103="","",'Beállítások'!$E$29*(10-Y103))</f>
        <v/>
      </c>
      <c r="DP103">
        <f>IF($A103="","",'Beállítások'!$E$30*(10-Z103))</f>
        <v/>
      </c>
      <c r="DQ103">
        <f>IF($A103="","",'Beállítások'!$E$31*(10-AA103))</f>
        <v/>
      </c>
      <c r="DR103">
        <f>IF($A103="","",'Beállítások'!$E$32*(10-AB103))</f>
        <v/>
      </c>
      <c r="DS103">
        <f>IF($A103="","",'Beállítások'!$E$33*(10-AC103))</f>
        <v/>
      </c>
      <c r="DT103">
        <f>IF($A103="","",'Beállítások'!$E$34*(10-AD103))</f>
        <v/>
      </c>
      <c r="DU103">
        <f>IF($A103="","",'Beállítások'!$E$35*(10-AE103))</f>
        <v/>
      </c>
      <c r="DV103">
        <f>IF($A103="","",'Beállítások'!$E$36*(10-AF103))</f>
        <v/>
      </c>
      <c r="DW103">
        <f>IF($A103="","",'Beállítások'!$E$37*(10-AG103))</f>
        <v/>
      </c>
      <c r="DX103">
        <f>IF($A103="","",'Beállítások'!$E$38*(10-AH103))</f>
        <v/>
      </c>
      <c r="DY103">
        <f>IF($A103="","",AM103-ROW()/100000)</f>
        <v/>
      </c>
    </row>
    <row r="104">
      <c r="A104">
        <f>IF('Ügyfelek'!A104="","",'Ügyfelek'!A104)</f>
        <v/>
      </c>
      <c r="B104">
        <f>IF($A104="","",IF('Ügyfelek'!B104="",'Beállítások'!$B$84,IFERROR(VLOOKUP(TRIM('Ügyfelek'!B104),'Beállítások'!$A$51:$B$59,2,FALSE),'Beállítások'!$B$84)))</f>
        <v/>
      </c>
      <c r="C104">
        <f>IF($A104="","",IF('Ügyfelek'!C104="",'Beállítások'!$B$84,MIN(10,MAX(1,ROUND('Ügyfelek'!C104,0)))))</f>
        <v/>
      </c>
      <c r="D104">
        <f>IF($A104="","",IF('Ügyfelek'!D104="",'Beállítások'!$B$84,MIN(10,MAX(1,ROUND('Ügyfelek'!D104,0)))))</f>
        <v/>
      </c>
      <c r="E104">
        <f>IF($A104="","",IF('Ügyfelek'!E104="",'Beállítások'!$B$84,MIN(10,MAX(1,ROUND('Ügyfelek'!E104,0)))))</f>
        <v/>
      </c>
      <c r="F104">
        <f>IF($A104="","",IF('Ügyfelek'!F104="",'Beállítások'!$B$84,MIN(10,MAX(1,ROUND('Ügyfelek'!F104,0)))))</f>
        <v/>
      </c>
      <c r="G104">
        <f>IF($A104="","",IF('Ügyfelek'!G104="",'Beállítások'!$B$84,MIN(10,MAX(1,ROUND('Ügyfelek'!G104,0)))))</f>
        <v/>
      </c>
      <c r="H104">
        <f>IF($A104="","",IF('Ügyfelek'!H104="",'Beállítások'!$B$84,MIN(10,MAX(1,ROUND('Ügyfelek'!H104,0)))))</f>
        <v/>
      </c>
      <c r="I104">
        <f>IF($A104="","",IF('Ügyfelek'!I104="",'Beállítások'!$B$84,MIN(10,MAX(1,ROUND('Ügyfelek'!I104,0)))))</f>
        <v/>
      </c>
      <c r="J104">
        <f>IF($A104="","",IF('Ügyfelek'!J104="",'Beállítások'!$B$84,MIN(10,MAX(1,ROUND('Ügyfelek'!J104,0)))))</f>
        <v/>
      </c>
      <c r="K104">
        <f>IF($A104="","",IF('Ügyfelek'!K104="",'Beállítások'!$B$84,MIN(10,MAX(1,ROUND('Ügyfelek'!K104,0)))))</f>
        <v/>
      </c>
      <c r="L104">
        <f>IF($A104="","",IF('Ügyfelek'!L104="",'Beállítások'!$B$84,MIN(10,MAX(1,ROUND('Ügyfelek'!L104,0)))))</f>
        <v/>
      </c>
      <c r="M104">
        <f>IF($A104="","",IF('Ügyfelek'!M104="",'Beállítások'!$B$84,MIN(10,MAX(1,ROUND('Ügyfelek'!M104,0)))))</f>
        <v/>
      </c>
      <c r="N104">
        <f>IF($A104="","",IF('Ügyfelek'!N104="",'Beállítások'!$B$84,MIN(10,MAX(1,ROUND('Ügyfelek'!N104,0)))))</f>
        <v/>
      </c>
      <c r="O104">
        <f>IF($A104="","",IF('Ügyfelek'!O104="",'Beállítások'!$B$84,MIN(10,MAX(1,ROUND('Ügyfelek'!O104,0)))))</f>
        <v/>
      </c>
      <c r="P104">
        <f>IF($A104="","",IF('Ügyfelek'!P104="",'Beállítások'!$B$84,MIN(10,MAX(1,ROUND('Ügyfelek'!P104,0)))))</f>
        <v/>
      </c>
      <c r="Q104">
        <f>IF($A104="","",IF('Ügyfelek'!Q104="",'Beállítások'!$B$84,MIN(10,MAX(1,ROUND('Ügyfelek'!Q104,0)))))</f>
        <v/>
      </c>
      <c r="R104">
        <f>IF($A104="","",IF('Ügyfelek'!R104="",'Beállítások'!$B$84,MIN(10,MAX(1,ROUND('Ügyfelek'!R104,0)))))</f>
        <v/>
      </c>
      <c r="S104">
        <f>IF($A104="","",IF('Ügyfelek'!S104="",'Beállítások'!$B$84,MIN(10,MAX(1,ROUND('Ügyfelek'!S104,0)))))</f>
        <v/>
      </c>
      <c r="T104">
        <f>IF($A104="","",IF('Ügyfelek'!T104="",'Beállítások'!$B$84,VLOOKUP(MAX('Ügyfelek'!T104,'Beállítások'!$H$7),'Beállítások'!$H$7:$I$12,2,TRUE)))</f>
        <v/>
      </c>
      <c r="U104">
        <f>IF($A104="","",IF('Ügyfelek'!U104="",'Beállítások'!$B$84,VLOOKUP(MAX('Ügyfelek'!U104,'Beállítások'!$K$7),'Beállítások'!$K$7:$L$12,2,TRUE)))</f>
        <v/>
      </c>
      <c r="V104">
        <f>IF($A104="","",IF('Ügyfelek'!V104="",'Beállítások'!$B$84,MIN(10,MAX(1,ROUND('Ügyfelek'!V104,0)))))</f>
        <v/>
      </c>
      <c r="W104">
        <f>IF($A104="","",IF('Ügyfelek'!W104="",'Beállítások'!$B$84,VLOOKUP(MAX('Ügyfelek'!W104,'Beállítások'!$N$7),'Beállítások'!$N$7:$O$12,2,TRUE)))</f>
        <v/>
      </c>
      <c r="X104">
        <f>IF($A104="","",IF('Ügyfelek'!X104="",'Beállítások'!$B$84,MIN(10,MAX(1,ROUND('Ügyfelek'!X104,0)))))</f>
        <v/>
      </c>
      <c r="Y104">
        <f>IF($A104="","",IF('Ügyfelek'!Y104="",'Beállítások'!$B$84,IFERROR(VLOOKUP(TRIM('Ügyfelek'!Y104),'Beállítások'!$A$63:$B$69,2,FALSE),'Beállítások'!$B$84)))</f>
        <v/>
      </c>
      <c r="Z104">
        <f>IF($A104="","",IF('Ügyfelek'!Z104="",'Beállítások'!$B$84,VLOOKUP(MAX('Ügyfelek'!Z104,'Beállítások'!$Q$7),'Beállítások'!$Q$7:$R$12,2,TRUE)))</f>
        <v/>
      </c>
      <c r="AA104">
        <f>IF($A104="","",IF('Ügyfelek'!AA104="",'Beállítások'!$B$84,VLOOKUP(MAX('Ügyfelek'!AA104,'Beállítások'!$T$7),'Beállítások'!$T$7:$U$12,2,TRUE)))</f>
        <v/>
      </c>
      <c r="AB104">
        <f>IF($A104="","",IF('Ügyfelek'!AB104="",'Beállítások'!$B$84,MIN(10,MAX(1,ROUND('Ügyfelek'!AB104,0)))))</f>
        <v/>
      </c>
      <c r="AC104">
        <f>IF($A104="","",IF('Ügyfelek'!AC104="",'Beállítások'!$B$84,MIN(10,MAX(1,ROUND('Ügyfelek'!AC104,0)))))</f>
        <v/>
      </c>
      <c r="AD104">
        <f>IF($A104="","",IF('Ügyfelek'!AD104="",'Beállítások'!$B$84,MIN(10,MAX(1,ROUND('Ügyfelek'!AD104,0)))))</f>
        <v/>
      </c>
      <c r="AE104">
        <f>IF($A104="","",IF('Ügyfelek'!AE104="",'Beállítások'!$B$84,MIN(10,MAX(1,ROUND('Ügyfelek'!AE104,0)))))</f>
        <v/>
      </c>
      <c r="AF104">
        <f>IF($A104="","",IF('Ügyfelek'!AF104="",'Beállítások'!$B$84,MIN(10,MAX(1,ROUND('Ügyfelek'!AF104,0)))))</f>
        <v/>
      </c>
      <c r="AG104">
        <f>IF($A104="","",IF('Ügyfelek'!AG104="",'Beállítások'!$B$84,MIN(10,MAX(1,ROUND('Ügyfelek'!AG104,0)))))</f>
        <v/>
      </c>
      <c r="AH104">
        <f>IF($A104="","",IF('Ügyfelek'!AH104="",'Beállítások'!$B$84,IFERROR(VLOOKUP(TRIM('Ügyfelek'!AH104),'Beállítások'!$A$73:$B$79,2,FALSE),'Beállítások'!$B$84)))</f>
        <v/>
      </c>
      <c r="AI104" s="23">
        <f>IF($A104="","",ROUND(100*('Beállítások'!$E$6*(B104-1)+'Beállítások'!$E$7*(C104-1))/(9*'Beállítások'!$B$43),1))</f>
        <v/>
      </c>
      <c r="AJ104" s="23">
        <f>IF($A104="","",ROUND(100*('Beállítások'!$E$8*(D104-1)+'Beállítások'!$E$9*(E104-1)+'Beállítások'!$E$10*(F104-1)+'Beállítások'!$E$11*(G104-1)+'Beállítások'!$E$12*(H104-1)+'Beállítások'!$E$13*(I104-1)+'Beállítások'!$E$14*(J104-1)+'Beállítások'!$E$15*(K104-1)+'Beállítások'!$E$16*(L104-1)+'Beállítások'!$E$17*(M104-1)+'Beállítások'!$E$18*(N104-1)+'Beállítások'!$E$19*(O104-1)+'Beállítások'!$E$20*(P104-1)+'Beállítások'!$E$21*(Q104-1)+'Beállítások'!$E$22*(R104-1))/(9*'Beállítások'!$B$44),1))</f>
        <v/>
      </c>
      <c r="AK104" s="23">
        <f>IF($A104="","",ROUND(100*('Beállítások'!$E$23*(S104-1)+'Beállítások'!$E$24*(T104-1)+'Beállítások'!$E$25*(U104-1)+'Beállítások'!$E$26*(V104-1)+'Beállítások'!$E$27*(W104-1)+'Beállítások'!$E$28*(X104-1)+'Beállítások'!$E$29*(Y104-1))/(9*'Beállítások'!$B$45),1))</f>
        <v/>
      </c>
      <c r="AL104" s="23">
        <f>IF($A104="","",ROUND(100*('Beállítások'!$E$30*(Z104-1)+'Beállítások'!$E$31*(AA104-1)+'Beállítások'!$E$32*(AB104-1)+'Beállítások'!$E$33*(AC104-1)+'Beállítások'!$E$34*(AD104-1)+'Beállítások'!$E$35*(AE104-1)+'Beállítások'!$E$36*(AF104-1)+'Beállítások'!$E$37*(AG104-1)+'Beállítások'!$E$38*(AH104-1))/(9*'Beállítások'!$B$46),1))</f>
        <v/>
      </c>
      <c r="AM104" s="23">
        <f>IF($A104="","",ROUND(100*('Beállítások'!$E$6*(B104-1)+'Beállítások'!$E$7*(C104-1)+'Beállítások'!$E$8*(D104-1)+'Beállítások'!$E$9*(E104-1)+'Beállítások'!$E$10*(F104-1)+'Beállítások'!$E$11*(G104-1)+'Beállítások'!$E$12*(H104-1)+'Beállítások'!$E$13*(I104-1)+'Beállítások'!$E$14*(J104-1)+'Beállítások'!$E$15*(K104-1)+'Beállítások'!$E$16*(L104-1)+'Beállítások'!$E$17*(M104-1)+'Beállítások'!$E$18*(N104-1)+'Beállítások'!$E$19*(O104-1)+'Beállítások'!$E$20*(P104-1)+'Beállítások'!$E$21*(Q104-1)+'Beállítások'!$E$22*(R104-1)+'Beállítások'!$E$23*(S104-1)+'Beállítások'!$E$24*(T104-1)+'Beállítások'!$E$25*(U104-1)+'Beállítások'!$E$26*(V104-1)+'Beállítások'!$E$27*(W104-1)+'Beállítások'!$E$28*(X104-1)+'Beállítások'!$E$29*(Y104-1)+'Beállítások'!$E$30*(Z104-1)+'Beállítások'!$E$31*(AA104-1)+'Beállítások'!$E$32*(AB104-1)+'Beállítások'!$E$33*(AC104-1)+'Beállítások'!$E$34*(AD104-1)+'Beállítások'!$E$35*(AE104-1)+'Beállítások'!$E$36*(AF104-1)+'Beállítások'!$E$37*(AG104-1)+'Beállítások'!$E$38*(AH104-1))/(9*'Beállítások'!$E$39),1))</f>
        <v/>
      </c>
      <c r="AN104" s="23">
        <f>IF($A104="","",ROUND(100*('Beállítások'!$E$8*(D104-1)+'Beállítások'!$E$9*(E104-1)+'Beállítások'!$E$10*(F104-1)+'Beállítások'!$E$11*(G104-1)+'Beállítások'!$E$12*(H104-1)+'Beállítások'!$E$13*(I104-1)+'Beállítások'!$E$14*(J104-1)+'Beállítások'!$E$15*(K104-1)+'Beállítások'!$E$16*(L104-1)+'Beállítások'!$E$17*(M104-1)+'Beállítások'!$E$18*(N104-1)+'Beállítások'!$E$19*(O104-1)+'Beállítások'!$E$20*(P104-1)+'Beállítások'!$E$21*(Q104-1)+'Beállítások'!$E$22*(R104-1)+'Beállítások'!$E$23*(S104-1)+'Beállítások'!$E$24*(T104-1)+'Beállítások'!$E$25*(U104-1)+'Beállítások'!$E$26*(V104-1)+'Beállítások'!$E$27*(W104-1)+'Beállítások'!$E$28*(X104-1)+'Beállítások'!$E$29*(Y104-1))/(9*('Beállítások'!$B$44+'Beállítások'!$B$45)),1))</f>
        <v/>
      </c>
      <c r="AO104" s="24">
        <f>IF($A104="","",RANK(AM104,$AM$2:$AM$201))</f>
        <v/>
      </c>
      <c r="AP104">
        <f>IF($A104="","",IF(OR(AND('Ügyfelek'!B104&lt;&gt;"",B104&lt;='Beállítások'!$B$85),AND('Ügyfelek'!C104&lt;&gt;"",C104&lt;='Beállítások'!$B$86)),"Igen","Nem"))</f>
        <v/>
      </c>
      <c r="AQ104" s="24">
        <f>IF($A104="","",IF(AP104="Igen",5,IF(AN104&gt;='Beállítások'!$C$108,1,IF(AN104&gt;='Beállítások'!$C$109,2,IF(AN104&gt;='Beállítások'!$C$110,3,IF(AND(AN104&gt;='Beállítások'!$B$87,AI104&gt;='Beállítások'!$B$88,AL104&gt;='Beállítások'!$B$89),4,5))))))</f>
        <v/>
      </c>
      <c r="AR104">
        <f>IF($A104="","",INDEX('Beállítások'!$B$108:$B$112,AQ104))</f>
        <v/>
      </c>
      <c r="AS104">
        <f>IF($A104="","",IF(AQ104=5,"Elutasítjuk",IF(AND(AQ104=4,COUNTIFS('Eredmény'!$AQ$2:$AQ$201,4,'Eredmény'!$DY$2:$DY$201,"&gt;"&amp;DY104)&gt;='Beállítások'!$B$90),"Várólista (a 4-es hely foglalt)","Elfogadjuk")))</f>
        <v/>
      </c>
      <c r="AT104">
        <f>IF($A104="","",INDEX('Beállítások'!$F$108:$F$112,AQ104))</f>
        <v/>
      </c>
      <c r="AU104">
        <f>IF($A104="","",INDEX('Beállítások'!$B$6:$B$38,MATCH(MAX(BK104:CQ104),BK104:CQ104,0)))</f>
        <v/>
      </c>
      <c r="AV104">
        <f>IF($A104="","",IF(MAX(CR104:DX104)=0,"—",INDEX('Beállítások'!$B$6:$B$38,MATCH(MAX(CR104:DX104),CR104:DX104,0))))</f>
        <v/>
      </c>
      <c r="AW104" s="10">
        <f>IF($A104="","",'Beállítások'!$B$94*(TRIM('Ügyfelek'!AI104)="igen")+'Beállítások'!$B$95*(TRIM('Ügyfelek'!AJ104)="igen")+'Beállítások'!$B$96*N('Ügyfelek'!AK104)+'Beállítások'!$B$93*N('Ügyfelek'!AL104))</f>
        <v/>
      </c>
      <c r="AX104" s="25">
        <f>IF(OR($A104="",AQ104=5),"",INDEX('Beállítások'!$D$108:$D$112,AQ104))</f>
        <v/>
      </c>
      <c r="AY104" s="10">
        <f>IF($A104="","",N('Ügyfelek'!U104)*'Beállítások'!$B$98)</f>
        <v/>
      </c>
      <c r="AZ104" s="10">
        <f>IF(OR($A104="",AQ104=5),"",CEILING(ROUND(MAX('Beállítások'!$B$97,AW104*AX104,AY104),2),'Beállítások'!$B$99))</f>
        <v/>
      </c>
      <c r="BA104">
        <f>IF($A104="","",IF(AQ104=5,"Elutasítva",IF(MAX('Beállítások'!$B$97,AW104*AX104,AY104)=AW104*AX104,"Munkaigény × státuszszorzó",IF(MAX('Beállítások'!$B$97,AW104*AX104,AY104)=AY104,"Hirdetési keret arányában","Minimumdíj"))))</f>
        <v/>
      </c>
      <c r="BB104" s="10">
        <f>IF(OR($A104="",'Ügyfelek'!AM104=""),"",'Ügyfelek'!AM104)</f>
        <v/>
      </c>
      <c r="BC104" s="10">
        <f>IF(OR(BB104="",AZ104=""),"",AZ104-BB104)</f>
        <v/>
      </c>
      <c r="BD104" s="18">
        <f>IF(OR(BB104="",AZ104="",BB104=0),"",BC104/BB104)</f>
        <v/>
      </c>
      <c r="BE104">
        <f>IF(OR($A104="",AQ104=5),"",IF(AND(INDEX('Beállítások'!$E$108:$E$112,AQ104)&gt;0,Y104&gt;='Beállítások'!$B$91),"Igen","Nem"))</f>
        <v/>
      </c>
      <c r="BF104" s="10">
        <f>IF(BE104="Igen",CEILING(ROUND(AZ104*(1-'Beállítások'!$B$92),2),'Beállítások'!$B$99),"")</f>
        <v/>
      </c>
      <c r="BG104" s="20">
        <f>IF(BE104="Igen",INDEX('Beállítások'!$E$108:$E$112,AQ104),"")</f>
        <v/>
      </c>
      <c r="BH104" s="10">
        <f>IF(OR(BE104&lt;&gt;"Igen",'Ügyfelek'!AN104=""),"",'Ügyfelek'!AN104*BG104)</f>
        <v/>
      </c>
      <c r="BI104" s="24">
        <f>IF($A104="","",('Ügyfelek'!B104="")+('Ügyfelek'!C104="")+('Ügyfelek'!D104="")+('Ügyfelek'!E104="")+('Ügyfelek'!F104="")+('Ügyfelek'!G104="")+('Ügyfelek'!H104="")+('Ügyfelek'!I104="")+('Ügyfelek'!J104="")+('Ügyfelek'!K104="")+('Ügyfelek'!L104="")+('Ügyfelek'!M104="")+('Ügyfelek'!N104="")+('Ügyfelek'!O104="")+('Ügyfelek'!P104="")+('Ügyfelek'!Q104="")+('Ügyfelek'!R104="")+('Ügyfelek'!S104="")+('Ügyfelek'!T104="")+('Ügyfelek'!U104="")+('Ügyfelek'!V104="")+('Ügyfelek'!W104="")+('Ügyfelek'!X104="")+('Ügyfelek'!Y104="")+('Ügyfelek'!Z104="")+('Ügyfelek'!AA104="")+('Ügyfelek'!AB104="")+('Ügyfelek'!AC104="")+('Ügyfelek'!AD104="")+('Ügyfelek'!AE104="")+('Ügyfelek'!AF104="")+('Ügyfelek'!AG104="")+('Ügyfelek'!AH104=""))</f>
        <v/>
      </c>
      <c r="BK104">
        <f>IF($A104="","",B104+'Beállítások'!$E$6/1000)</f>
        <v/>
      </c>
      <c r="BL104">
        <f>IF($A104="","",C104+'Beállítások'!$E$7/1000)</f>
        <v/>
      </c>
      <c r="BM104">
        <f>IF($A104="","",D104+'Beállítások'!$E$8/1000)</f>
        <v/>
      </c>
      <c r="BN104">
        <f>IF($A104="","",E104+'Beállítások'!$E$9/1000)</f>
        <v/>
      </c>
      <c r="BO104">
        <f>IF($A104="","",F104+'Beállítások'!$E$10/1000)</f>
        <v/>
      </c>
      <c r="BP104">
        <f>IF($A104="","",G104+'Beállítások'!$E$11/1000)</f>
        <v/>
      </c>
      <c r="BQ104">
        <f>IF($A104="","",H104+'Beállítások'!$E$12/1000)</f>
        <v/>
      </c>
      <c r="BR104">
        <f>IF($A104="","",I104+'Beállítások'!$E$13/1000)</f>
        <v/>
      </c>
      <c r="BS104">
        <f>IF($A104="","",J104+'Beállítások'!$E$14/1000)</f>
        <v/>
      </c>
      <c r="BT104">
        <f>IF($A104="","",K104+'Beállítások'!$E$15/1000)</f>
        <v/>
      </c>
      <c r="BU104">
        <f>IF($A104="","",L104+'Beállítások'!$E$16/1000)</f>
        <v/>
      </c>
      <c r="BV104">
        <f>IF($A104="","",M104+'Beállítások'!$E$17/1000)</f>
        <v/>
      </c>
      <c r="BW104">
        <f>IF($A104="","",N104+'Beállítások'!$E$18/1000)</f>
        <v/>
      </c>
      <c r="BX104">
        <f>IF($A104="","",O104+'Beállítások'!$E$19/1000)</f>
        <v/>
      </c>
      <c r="BY104">
        <f>IF($A104="","",P104+'Beállítások'!$E$20/1000)</f>
        <v/>
      </c>
      <c r="BZ104">
        <f>IF($A104="","",Q104+'Beállítások'!$E$21/1000)</f>
        <v/>
      </c>
      <c r="CA104">
        <f>IF($A104="","",R104+'Beállítások'!$E$22/1000)</f>
        <v/>
      </c>
      <c r="CB104">
        <f>IF($A104="","",S104+'Beállítások'!$E$23/1000)</f>
        <v/>
      </c>
      <c r="CC104">
        <f>IF($A104="","",T104+'Beállítások'!$E$24/1000)</f>
        <v/>
      </c>
      <c r="CD104">
        <f>IF($A104="","",U104+'Beállítások'!$E$25/1000)</f>
        <v/>
      </c>
      <c r="CE104">
        <f>IF($A104="","",V104+'Beállítások'!$E$26/1000)</f>
        <v/>
      </c>
      <c r="CF104">
        <f>IF($A104="","",W104+'Beállítások'!$E$27/1000)</f>
        <v/>
      </c>
      <c r="CG104">
        <f>IF($A104="","",X104+'Beállítások'!$E$28/1000)</f>
        <v/>
      </c>
      <c r="CH104">
        <f>IF($A104="","",Y104+'Beállítások'!$E$29/1000)</f>
        <v/>
      </c>
      <c r="CI104">
        <f>IF($A104="","",Z104+'Beállítások'!$E$30/1000)</f>
        <v/>
      </c>
      <c r="CJ104">
        <f>IF($A104="","",AA104+'Beállítások'!$E$31/1000)</f>
        <v/>
      </c>
      <c r="CK104">
        <f>IF($A104="","",AB104+'Beállítások'!$E$32/1000)</f>
        <v/>
      </c>
      <c r="CL104">
        <f>IF($A104="","",AC104+'Beállítások'!$E$33/1000)</f>
        <v/>
      </c>
      <c r="CM104">
        <f>IF($A104="","",AD104+'Beállítások'!$E$34/1000)</f>
        <v/>
      </c>
      <c r="CN104">
        <f>IF($A104="","",AE104+'Beállítások'!$E$35/1000)</f>
        <v/>
      </c>
      <c r="CO104">
        <f>IF($A104="","",AF104+'Beállítások'!$E$36/1000)</f>
        <v/>
      </c>
      <c r="CP104">
        <f>IF($A104="","",AG104+'Beállítások'!$E$37/1000)</f>
        <v/>
      </c>
      <c r="CQ104">
        <f>IF($A104="","",AH104+'Beállítások'!$E$38/1000)</f>
        <v/>
      </c>
      <c r="CR104">
        <f>IF($A104="","",'Beállítások'!$E$6*(10-B104))</f>
        <v/>
      </c>
      <c r="CS104">
        <f>IF($A104="","",'Beállítások'!$E$7*(10-C104))</f>
        <v/>
      </c>
      <c r="CT104">
        <f>IF($A104="","",'Beállítások'!$E$8*(10-D104))</f>
        <v/>
      </c>
      <c r="CU104">
        <f>IF($A104="","",'Beállítások'!$E$9*(10-E104))</f>
        <v/>
      </c>
      <c r="CV104">
        <f>IF($A104="","",'Beállítások'!$E$10*(10-F104))</f>
        <v/>
      </c>
      <c r="CW104">
        <f>IF($A104="","",'Beállítások'!$E$11*(10-G104))</f>
        <v/>
      </c>
      <c r="CX104">
        <f>IF($A104="","",'Beállítások'!$E$12*(10-H104))</f>
        <v/>
      </c>
      <c r="CY104">
        <f>IF($A104="","",'Beállítások'!$E$13*(10-I104))</f>
        <v/>
      </c>
      <c r="CZ104">
        <f>IF($A104="","",'Beállítások'!$E$14*(10-J104))</f>
        <v/>
      </c>
      <c r="DA104">
        <f>IF($A104="","",'Beállítások'!$E$15*(10-K104))</f>
        <v/>
      </c>
      <c r="DB104">
        <f>IF($A104="","",'Beállítások'!$E$16*(10-L104))</f>
        <v/>
      </c>
      <c r="DC104">
        <f>IF($A104="","",'Beállítások'!$E$17*(10-M104))</f>
        <v/>
      </c>
      <c r="DD104">
        <f>IF($A104="","",'Beállítások'!$E$18*(10-N104))</f>
        <v/>
      </c>
      <c r="DE104">
        <f>IF($A104="","",'Beállítások'!$E$19*(10-O104))</f>
        <v/>
      </c>
      <c r="DF104">
        <f>IF($A104="","",'Beállítások'!$E$20*(10-P104))</f>
        <v/>
      </c>
      <c r="DG104">
        <f>IF($A104="","",'Beállítások'!$E$21*(10-Q104))</f>
        <v/>
      </c>
      <c r="DH104">
        <f>IF($A104="","",'Beállítások'!$E$22*(10-R104))</f>
        <v/>
      </c>
      <c r="DI104">
        <f>IF($A104="","",'Beállítások'!$E$23*(10-S104))</f>
        <v/>
      </c>
      <c r="DJ104">
        <f>IF($A104="","",'Beállítások'!$E$24*(10-T104))</f>
        <v/>
      </c>
      <c r="DK104">
        <f>IF($A104="","",'Beállítások'!$E$25*(10-U104))</f>
        <v/>
      </c>
      <c r="DL104">
        <f>IF($A104="","",'Beállítások'!$E$26*(10-V104))</f>
        <v/>
      </c>
      <c r="DM104">
        <f>IF($A104="","",'Beállítások'!$E$27*(10-W104))</f>
        <v/>
      </c>
      <c r="DN104">
        <f>IF($A104="","",'Beállítások'!$E$28*(10-X104))</f>
        <v/>
      </c>
      <c r="DO104">
        <f>IF($A104="","",'Beállítások'!$E$29*(10-Y104))</f>
        <v/>
      </c>
      <c r="DP104">
        <f>IF($A104="","",'Beállítások'!$E$30*(10-Z104))</f>
        <v/>
      </c>
      <c r="DQ104">
        <f>IF($A104="","",'Beállítások'!$E$31*(10-AA104))</f>
        <v/>
      </c>
      <c r="DR104">
        <f>IF($A104="","",'Beállítások'!$E$32*(10-AB104))</f>
        <v/>
      </c>
      <c r="DS104">
        <f>IF($A104="","",'Beállítások'!$E$33*(10-AC104))</f>
        <v/>
      </c>
      <c r="DT104">
        <f>IF($A104="","",'Beállítások'!$E$34*(10-AD104))</f>
        <v/>
      </c>
      <c r="DU104">
        <f>IF($A104="","",'Beállítások'!$E$35*(10-AE104))</f>
        <v/>
      </c>
      <c r="DV104">
        <f>IF($A104="","",'Beállítások'!$E$36*(10-AF104))</f>
        <v/>
      </c>
      <c r="DW104">
        <f>IF($A104="","",'Beállítások'!$E$37*(10-AG104))</f>
        <v/>
      </c>
      <c r="DX104">
        <f>IF($A104="","",'Beállítások'!$E$38*(10-AH104))</f>
        <v/>
      </c>
      <c r="DY104">
        <f>IF($A104="","",AM104-ROW()/100000)</f>
        <v/>
      </c>
    </row>
    <row r="105">
      <c r="A105">
        <f>IF('Ügyfelek'!A105="","",'Ügyfelek'!A105)</f>
        <v/>
      </c>
      <c r="B105">
        <f>IF($A105="","",IF('Ügyfelek'!B105="",'Beállítások'!$B$84,IFERROR(VLOOKUP(TRIM('Ügyfelek'!B105),'Beállítások'!$A$51:$B$59,2,FALSE),'Beállítások'!$B$84)))</f>
        <v/>
      </c>
      <c r="C105">
        <f>IF($A105="","",IF('Ügyfelek'!C105="",'Beállítások'!$B$84,MIN(10,MAX(1,ROUND('Ügyfelek'!C105,0)))))</f>
        <v/>
      </c>
      <c r="D105">
        <f>IF($A105="","",IF('Ügyfelek'!D105="",'Beállítások'!$B$84,MIN(10,MAX(1,ROUND('Ügyfelek'!D105,0)))))</f>
        <v/>
      </c>
      <c r="E105">
        <f>IF($A105="","",IF('Ügyfelek'!E105="",'Beállítások'!$B$84,MIN(10,MAX(1,ROUND('Ügyfelek'!E105,0)))))</f>
        <v/>
      </c>
      <c r="F105">
        <f>IF($A105="","",IF('Ügyfelek'!F105="",'Beállítások'!$B$84,MIN(10,MAX(1,ROUND('Ügyfelek'!F105,0)))))</f>
        <v/>
      </c>
      <c r="G105">
        <f>IF($A105="","",IF('Ügyfelek'!G105="",'Beállítások'!$B$84,MIN(10,MAX(1,ROUND('Ügyfelek'!G105,0)))))</f>
        <v/>
      </c>
      <c r="H105">
        <f>IF($A105="","",IF('Ügyfelek'!H105="",'Beállítások'!$B$84,MIN(10,MAX(1,ROUND('Ügyfelek'!H105,0)))))</f>
        <v/>
      </c>
      <c r="I105">
        <f>IF($A105="","",IF('Ügyfelek'!I105="",'Beállítások'!$B$84,MIN(10,MAX(1,ROUND('Ügyfelek'!I105,0)))))</f>
        <v/>
      </c>
      <c r="J105">
        <f>IF($A105="","",IF('Ügyfelek'!J105="",'Beállítások'!$B$84,MIN(10,MAX(1,ROUND('Ügyfelek'!J105,0)))))</f>
        <v/>
      </c>
      <c r="K105">
        <f>IF($A105="","",IF('Ügyfelek'!K105="",'Beállítások'!$B$84,MIN(10,MAX(1,ROUND('Ügyfelek'!K105,0)))))</f>
        <v/>
      </c>
      <c r="L105">
        <f>IF($A105="","",IF('Ügyfelek'!L105="",'Beállítások'!$B$84,MIN(10,MAX(1,ROUND('Ügyfelek'!L105,0)))))</f>
        <v/>
      </c>
      <c r="M105">
        <f>IF($A105="","",IF('Ügyfelek'!M105="",'Beállítások'!$B$84,MIN(10,MAX(1,ROUND('Ügyfelek'!M105,0)))))</f>
        <v/>
      </c>
      <c r="N105">
        <f>IF($A105="","",IF('Ügyfelek'!N105="",'Beállítások'!$B$84,MIN(10,MAX(1,ROUND('Ügyfelek'!N105,0)))))</f>
        <v/>
      </c>
      <c r="O105">
        <f>IF($A105="","",IF('Ügyfelek'!O105="",'Beállítások'!$B$84,MIN(10,MAX(1,ROUND('Ügyfelek'!O105,0)))))</f>
        <v/>
      </c>
      <c r="P105">
        <f>IF($A105="","",IF('Ügyfelek'!P105="",'Beállítások'!$B$84,MIN(10,MAX(1,ROUND('Ügyfelek'!P105,0)))))</f>
        <v/>
      </c>
      <c r="Q105">
        <f>IF($A105="","",IF('Ügyfelek'!Q105="",'Beállítások'!$B$84,MIN(10,MAX(1,ROUND('Ügyfelek'!Q105,0)))))</f>
        <v/>
      </c>
      <c r="R105">
        <f>IF($A105="","",IF('Ügyfelek'!R105="",'Beállítások'!$B$84,MIN(10,MAX(1,ROUND('Ügyfelek'!R105,0)))))</f>
        <v/>
      </c>
      <c r="S105">
        <f>IF($A105="","",IF('Ügyfelek'!S105="",'Beállítások'!$B$84,MIN(10,MAX(1,ROUND('Ügyfelek'!S105,0)))))</f>
        <v/>
      </c>
      <c r="T105">
        <f>IF($A105="","",IF('Ügyfelek'!T105="",'Beállítások'!$B$84,VLOOKUP(MAX('Ügyfelek'!T105,'Beállítások'!$H$7),'Beállítások'!$H$7:$I$12,2,TRUE)))</f>
        <v/>
      </c>
      <c r="U105">
        <f>IF($A105="","",IF('Ügyfelek'!U105="",'Beállítások'!$B$84,VLOOKUP(MAX('Ügyfelek'!U105,'Beállítások'!$K$7),'Beállítások'!$K$7:$L$12,2,TRUE)))</f>
        <v/>
      </c>
      <c r="V105">
        <f>IF($A105="","",IF('Ügyfelek'!V105="",'Beállítások'!$B$84,MIN(10,MAX(1,ROUND('Ügyfelek'!V105,0)))))</f>
        <v/>
      </c>
      <c r="W105">
        <f>IF($A105="","",IF('Ügyfelek'!W105="",'Beállítások'!$B$84,VLOOKUP(MAX('Ügyfelek'!W105,'Beállítások'!$N$7),'Beállítások'!$N$7:$O$12,2,TRUE)))</f>
        <v/>
      </c>
      <c r="X105">
        <f>IF($A105="","",IF('Ügyfelek'!X105="",'Beállítások'!$B$84,MIN(10,MAX(1,ROUND('Ügyfelek'!X105,0)))))</f>
        <v/>
      </c>
      <c r="Y105">
        <f>IF($A105="","",IF('Ügyfelek'!Y105="",'Beállítások'!$B$84,IFERROR(VLOOKUP(TRIM('Ügyfelek'!Y105),'Beállítások'!$A$63:$B$69,2,FALSE),'Beállítások'!$B$84)))</f>
        <v/>
      </c>
      <c r="Z105">
        <f>IF($A105="","",IF('Ügyfelek'!Z105="",'Beállítások'!$B$84,VLOOKUP(MAX('Ügyfelek'!Z105,'Beállítások'!$Q$7),'Beállítások'!$Q$7:$R$12,2,TRUE)))</f>
        <v/>
      </c>
      <c r="AA105">
        <f>IF($A105="","",IF('Ügyfelek'!AA105="",'Beállítások'!$B$84,VLOOKUP(MAX('Ügyfelek'!AA105,'Beállítások'!$T$7),'Beállítások'!$T$7:$U$12,2,TRUE)))</f>
        <v/>
      </c>
      <c r="AB105">
        <f>IF($A105="","",IF('Ügyfelek'!AB105="",'Beállítások'!$B$84,MIN(10,MAX(1,ROUND('Ügyfelek'!AB105,0)))))</f>
        <v/>
      </c>
      <c r="AC105">
        <f>IF($A105="","",IF('Ügyfelek'!AC105="",'Beállítások'!$B$84,MIN(10,MAX(1,ROUND('Ügyfelek'!AC105,0)))))</f>
        <v/>
      </c>
      <c r="AD105">
        <f>IF($A105="","",IF('Ügyfelek'!AD105="",'Beállítások'!$B$84,MIN(10,MAX(1,ROUND('Ügyfelek'!AD105,0)))))</f>
        <v/>
      </c>
      <c r="AE105">
        <f>IF($A105="","",IF('Ügyfelek'!AE105="",'Beállítások'!$B$84,MIN(10,MAX(1,ROUND('Ügyfelek'!AE105,0)))))</f>
        <v/>
      </c>
      <c r="AF105">
        <f>IF($A105="","",IF('Ügyfelek'!AF105="",'Beállítások'!$B$84,MIN(10,MAX(1,ROUND('Ügyfelek'!AF105,0)))))</f>
        <v/>
      </c>
      <c r="AG105">
        <f>IF($A105="","",IF('Ügyfelek'!AG105="",'Beállítások'!$B$84,MIN(10,MAX(1,ROUND('Ügyfelek'!AG105,0)))))</f>
        <v/>
      </c>
      <c r="AH105">
        <f>IF($A105="","",IF('Ügyfelek'!AH105="",'Beállítások'!$B$84,IFERROR(VLOOKUP(TRIM('Ügyfelek'!AH105),'Beállítások'!$A$73:$B$79,2,FALSE),'Beállítások'!$B$84)))</f>
        <v/>
      </c>
      <c r="AI105" s="23">
        <f>IF($A105="","",ROUND(100*('Beállítások'!$E$6*(B105-1)+'Beállítások'!$E$7*(C105-1))/(9*'Beállítások'!$B$43),1))</f>
        <v/>
      </c>
      <c r="AJ105" s="23">
        <f>IF($A105="","",ROUND(100*('Beállítások'!$E$8*(D105-1)+'Beállítások'!$E$9*(E105-1)+'Beállítások'!$E$10*(F105-1)+'Beállítások'!$E$11*(G105-1)+'Beállítások'!$E$12*(H105-1)+'Beállítások'!$E$13*(I105-1)+'Beállítások'!$E$14*(J105-1)+'Beállítások'!$E$15*(K105-1)+'Beállítások'!$E$16*(L105-1)+'Beállítások'!$E$17*(M105-1)+'Beállítások'!$E$18*(N105-1)+'Beállítások'!$E$19*(O105-1)+'Beállítások'!$E$20*(P105-1)+'Beállítások'!$E$21*(Q105-1)+'Beállítások'!$E$22*(R105-1))/(9*'Beállítások'!$B$44),1))</f>
        <v/>
      </c>
      <c r="AK105" s="23">
        <f>IF($A105="","",ROUND(100*('Beállítások'!$E$23*(S105-1)+'Beállítások'!$E$24*(T105-1)+'Beállítások'!$E$25*(U105-1)+'Beállítások'!$E$26*(V105-1)+'Beállítások'!$E$27*(W105-1)+'Beállítások'!$E$28*(X105-1)+'Beállítások'!$E$29*(Y105-1))/(9*'Beállítások'!$B$45),1))</f>
        <v/>
      </c>
      <c r="AL105" s="23">
        <f>IF($A105="","",ROUND(100*('Beállítások'!$E$30*(Z105-1)+'Beállítások'!$E$31*(AA105-1)+'Beállítások'!$E$32*(AB105-1)+'Beállítások'!$E$33*(AC105-1)+'Beállítások'!$E$34*(AD105-1)+'Beállítások'!$E$35*(AE105-1)+'Beállítások'!$E$36*(AF105-1)+'Beállítások'!$E$37*(AG105-1)+'Beállítások'!$E$38*(AH105-1))/(9*'Beállítások'!$B$46),1))</f>
        <v/>
      </c>
      <c r="AM105" s="23">
        <f>IF($A105="","",ROUND(100*('Beállítások'!$E$6*(B105-1)+'Beállítások'!$E$7*(C105-1)+'Beállítások'!$E$8*(D105-1)+'Beállítások'!$E$9*(E105-1)+'Beállítások'!$E$10*(F105-1)+'Beállítások'!$E$11*(G105-1)+'Beállítások'!$E$12*(H105-1)+'Beállítások'!$E$13*(I105-1)+'Beállítások'!$E$14*(J105-1)+'Beállítások'!$E$15*(K105-1)+'Beállítások'!$E$16*(L105-1)+'Beállítások'!$E$17*(M105-1)+'Beállítások'!$E$18*(N105-1)+'Beállítások'!$E$19*(O105-1)+'Beállítások'!$E$20*(P105-1)+'Beállítások'!$E$21*(Q105-1)+'Beállítások'!$E$22*(R105-1)+'Beállítások'!$E$23*(S105-1)+'Beállítások'!$E$24*(T105-1)+'Beállítások'!$E$25*(U105-1)+'Beállítások'!$E$26*(V105-1)+'Beállítások'!$E$27*(W105-1)+'Beállítások'!$E$28*(X105-1)+'Beállítások'!$E$29*(Y105-1)+'Beállítások'!$E$30*(Z105-1)+'Beállítások'!$E$31*(AA105-1)+'Beállítások'!$E$32*(AB105-1)+'Beállítások'!$E$33*(AC105-1)+'Beállítások'!$E$34*(AD105-1)+'Beállítások'!$E$35*(AE105-1)+'Beállítások'!$E$36*(AF105-1)+'Beállítások'!$E$37*(AG105-1)+'Beállítások'!$E$38*(AH105-1))/(9*'Beállítások'!$E$39),1))</f>
        <v/>
      </c>
      <c r="AN105" s="23">
        <f>IF($A105="","",ROUND(100*('Beállítások'!$E$8*(D105-1)+'Beállítások'!$E$9*(E105-1)+'Beállítások'!$E$10*(F105-1)+'Beállítások'!$E$11*(G105-1)+'Beállítások'!$E$12*(H105-1)+'Beállítások'!$E$13*(I105-1)+'Beállítások'!$E$14*(J105-1)+'Beállítások'!$E$15*(K105-1)+'Beállítások'!$E$16*(L105-1)+'Beállítások'!$E$17*(M105-1)+'Beállítások'!$E$18*(N105-1)+'Beállítások'!$E$19*(O105-1)+'Beállítások'!$E$20*(P105-1)+'Beállítások'!$E$21*(Q105-1)+'Beállítások'!$E$22*(R105-1)+'Beállítások'!$E$23*(S105-1)+'Beállítások'!$E$24*(T105-1)+'Beállítások'!$E$25*(U105-1)+'Beállítások'!$E$26*(V105-1)+'Beállítások'!$E$27*(W105-1)+'Beállítások'!$E$28*(X105-1)+'Beállítások'!$E$29*(Y105-1))/(9*('Beállítások'!$B$44+'Beállítások'!$B$45)),1))</f>
        <v/>
      </c>
      <c r="AO105" s="24">
        <f>IF($A105="","",RANK(AM105,$AM$2:$AM$201))</f>
        <v/>
      </c>
      <c r="AP105">
        <f>IF($A105="","",IF(OR(AND('Ügyfelek'!B105&lt;&gt;"",B105&lt;='Beállítások'!$B$85),AND('Ügyfelek'!C105&lt;&gt;"",C105&lt;='Beállítások'!$B$86)),"Igen","Nem"))</f>
        <v/>
      </c>
      <c r="AQ105" s="24">
        <f>IF($A105="","",IF(AP105="Igen",5,IF(AN105&gt;='Beállítások'!$C$108,1,IF(AN105&gt;='Beállítások'!$C$109,2,IF(AN105&gt;='Beállítások'!$C$110,3,IF(AND(AN105&gt;='Beállítások'!$B$87,AI105&gt;='Beállítások'!$B$88,AL105&gt;='Beállítások'!$B$89),4,5))))))</f>
        <v/>
      </c>
      <c r="AR105">
        <f>IF($A105="","",INDEX('Beállítások'!$B$108:$B$112,AQ105))</f>
        <v/>
      </c>
      <c r="AS105">
        <f>IF($A105="","",IF(AQ105=5,"Elutasítjuk",IF(AND(AQ105=4,COUNTIFS('Eredmény'!$AQ$2:$AQ$201,4,'Eredmény'!$DY$2:$DY$201,"&gt;"&amp;DY105)&gt;='Beállítások'!$B$90),"Várólista (a 4-es hely foglalt)","Elfogadjuk")))</f>
        <v/>
      </c>
      <c r="AT105">
        <f>IF($A105="","",INDEX('Beállítások'!$F$108:$F$112,AQ105))</f>
        <v/>
      </c>
      <c r="AU105">
        <f>IF($A105="","",INDEX('Beállítások'!$B$6:$B$38,MATCH(MAX(BK105:CQ105),BK105:CQ105,0)))</f>
        <v/>
      </c>
      <c r="AV105">
        <f>IF($A105="","",IF(MAX(CR105:DX105)=0,"—",INDEX('Beállítások'!$B$6:$B$38,MATCH(MAX(CR105:DX105),CR105:DX105,0))))</f>
        <v/>
      </c>
      <c r="AW105" s="10">
        <f>IF($A105="","",'Beállítások'!$B$94*(TRIM('Ügyfelek'!AI105)="igen")+'Beállítások'!$B$95*(TRIM('Ügyfelek'!AJ105)="igen")+'Beállítások'!$B$96*N('Ügyfelek'!AK105)+'Beállítások'!$B$93*N('Ügyfelek'!AL105))</f>
        <v/>
      </c>
      <c r="AX105" s="25">
        <f>IF(OR($A105="",AQ105=5),"",INDEX('Beállítások'!$D$108:$D$112,AQ105))</f>
        <v/>
      </c>
      <c r="AY105" s="10">
        <f>IF($A105="","",N('Ügyfelek'!U105)*'Beállítások'!$B$98)</f>
        <v/>
      </c>
      <c r="AZ105" s="10">
        <f>IF(OR($A105="",AQ105=5),"",CEILING(ROUND(MAX('Beállítások'!$B$97,AW105*AX105,AY105),2),'Beállítások'!$B$99))</f>
        <v/>
      </c>
      <c r="BA105">
        <f>IF($A105="","",IF(AQ105=5,"Elutasítva",IF(MAX('Beállítások'!$B$97,AW105*AX105,AY105)=AW105*AX105,"Munkaigény × státuszszorzó",IF(MAX('Beállítások'!$B$97,AW105*AX105,AY105)=AY105,"Hirdetési keret arányában","Minimumdíj"))))</f>
        <v/>
      </c>
      <c r="BB105" s="10">
        <f>IF(OR($A105="",'Ügyfelek'!AM105=""),"",'Ügyfelek'!AM105)</f>
        <v/>
      </c>
      <c r="BC105" s="10">
        <f>IF(OR(BB105="",AZ105=""),"",AZ105-BB105)</f>
        <v/>
      </c>
      <c r="BD105" s="18">
        <f>IF(OR(BB105="",AZ105="",BB105=0),"",BC105/BB105)</f>
        <v/>
      </c>
      <c r="BE105">
        <f>IF(OR($A105="",AQ105=5),"",IF(AND(INDEX('Beállítások'!$E$108:$E$112,AQ105)&gt;0,Y105&gt;='Beállítások'!$B$91),"Igen","Nem"))</f>
        <v/>
      </c>
      <c r="BF105" s="10">
        <f>IF(BE105="Igen",CEILING(ROUND(AZ105*(1-'Beállítások'!$B$92),2),'Beállítások'!$B$99),"")</f>
        <v/>
      </c>
      <c r="BG105" s="20">
        <f>IF(BE105="Igen",INDEX('Beállítások'!$E$108:$E$112,AQ105),"")</f>
        <v/>
      </c>
      <c r="BH105" s="10">
        <f>IF(OR(BE105&lt;&gt;"Igen",'Ügyfelek'!AN105=""),"",'Ügyfelek'!AN105*BG105)</f>
        <v/>
      </c>
      <c r="BI105" s="24">
        <f>IF($A105="","",('Ügyfelek'!B105="")+('Ügyfelek'!C105="")+('Ügyfelek'!D105="")+('Ügyfelek'!E105="")+('Ügyfelek'!F105="")+('Ügyfelek'!G105="")+('Ügyfelek'!H105="")+('Ügyfelek'!I105="")+('Ügyfelek'!J105="")+('Ügyfelek'!K105="")+('Ügyfelek'!L105="")+('Ügyfelek'!M105="")+('Ügyfelek'!N105="")+('Ügyfelek'!O105="")+('Ügyfelek'!P105="")+('Ügyfelek'!Q105="")+('Ügyfelek'!R105="")+('Ügyfelek'!S105="")+('Ügyfelek'!T105="")+('Ügyfelek'!U105="")+('Ügyfelek'!V105="")+('Ügyfelek'!W105="")+('Ügyfelek'!X105="")+('Ügyfelek'!Y105="")+('Ügyfelek'!Z105="")+('Ügyfelek'!AA105="")+('Ügyfelek'!AB105="")+('Ügyfelek'!AC105="")+('Ügyfelek'!AD105="")+('Ügyfelek'!AE105="")+('Ügyfelek'!AF105="")+('Ügyfelek'!AG105="")+('Ügyfelek'!AH105=""))</f>
        <v/>
      </c>
      <c r="BK105">
        <f>IF($A105="","",B105+'Beállítások'!$E$6/1000)</f>
        <v/>
      </c>
      <c r="BL105">
        <f>IF($A105="","",C105+'Beállítások'!$E$7/1000)</f>
        <v/>
      </c>
      <c r="BM105">
        <f>IF($A105="","",D105+'Beállítások'!$E$8/1000)</f>
        <v/>
      </c>
      <c r="BN105">
        <f>IF($A105="","",E105+'Beállítások'!$E$9/1000)</f>
        <v/>
      </c>
      <c r="BO105">
        <f>IF($A105="","",F105+'Beállítások'!$E$10/1000)</f>
        <v/>
      </c>
      <c r="BP105">
        <f>IF($A105="","",G105+'Beállítások'!$E$11/1000)</f>
        <v/>
      </c>
      <c r="BQ105">
        <f>IF($A105="","",H105+'Beállítások'!$E$12/1000)</f>
        <v/>
      </c>
      <c r="BR105">
        <f>IF($A105="","",I105+'Beállítások'!$E$13/1000)</f>
        <v/>
      </c>
      <c r="BS105">
        <f>IF($A105="","",J105+'Beállítások'!$E$14/1000)</f>
        <v/>
      </c>
      <c r="BT105">
        <f>IF($A105="","",K105+'Beállítások'!$E$15/1000)</f>
        <v/>
      </c>
      <c r="BU105">
        <f>IF($A105="","",L105+'Beállítások'!$E$16/1000)</f>
        <v/>
      </c>
      <c r="BV105">
        <f>IF($A105="","",M105+'Beállítások'!$E$17/1000)</f>
        <v/>
      </c>
      <c r="BW105">
        <f>IF($A105="","",N105+'Beállítások'!$E$18/1000)</f>
        <v/>
      </c>
      <c r="BX105">
        <f>IF($A105="","",O105+'Beállítások'!$E$19/1000)</f>
        <v/>
      </c>
      <c r="BY105">
        <f>IF($A105="","",P105+'Beállítások'!$E$20/1000)</f>
        <v/>
      </c>
      <c r="BZ105">
        <f>IF($A105="","",Q105+'Beállítások'!$E$21/1000)</f>
        <v/>
      </c>
      <c r="CA105">
        <f>IF($A105="","",R105+'Beállítások'!$E$22/1000)</f>
        <v/>
      </c>
      <c r="CB105">
        <f>IF($A105="","",S105+'Beállítások'!$E$23/1000)</f>
        <v/>
      </c>
      <c r="CC105">
        <f>IF($A105="","",T105+'Beállítások'!$E$24/1000)</f>
        <v/>
      </c>
      <c r="CD105">
        <f>IF($A105="","",U105+'Beállítások'!$E$25/1000)</f>
        <v/>
      </c>
      <c r="CE105">
        <f>IF($A105="","",V105+'Beállítások'!$E$26/1000)</f>
        <v/>
      </c>
      <c r="CF105">
        <f>IF($A105="","",W105+'Beállítások'!$E$27/1000)</f>
        <v/>
      </c>
      <c r="CG105">
        <f>IF($A105="","",X105+'Beállítások'!$E$28/1000)</f>
        <v/>
      </c>
      <c r="CH105">
        <f>IF($A105="","",Y105+'Beállítások'!$E$29/1000)</f>
        <v/>
      </c>
      <c r="CI105">
        <f>IF($A105="","",Z105+'Beállítások'!$E$30/1000)</f>
        <v/>
      </c>
      <c r="CJ105">
        <f>IF($A105="","",AA105+'Beállítások'!$E$31/1000)</f>
        <v/>
      </c>
      <c r="CK105">
        <f>IF($A105="","",AB105+'Beállítások'!$E$32/1000)</f>
        <v/>
      </c>
      <c r="CL105">
        <f>IF($A105="","",AC105+'Beállítások'!$E$33/1000)</f>
        <v/>
      </c>
      <c r="CM105">
        <f>IF($A105="","",AD105+'Beállítások'!$E$34/1000)</f>
        <v/>
      </c>
      <c r="CN105">
        <f>IF($A105="","",AE105+'Beállítások'!$E$35/1000)</f>
        <v/>
      </c>
      <c r="CO105">
        <f>IF($A105="","",AF105+'Beállítások'!$E$36/1000)</f>
        <v/>
      </c>
      <c r="CP105">
        <f>IF($A105="","",AG105+'Beállítások'!$E$37/1000)</f>
        <v/>
      </c>
      <c r="CQ105">
        <f>IF($A105="","",AH105+'Beállítások'!$E$38/1000)</f>
        <v/>
      </c>
      <c r="CR105">
        <f>IF($A105="","",'Beállítások'!$E$6*(10-B105))</f>
        <v/>
      </c>
      <c r="CS105">
        <f>IF($A105="","",'Beállítások'!$E$7*(10-C105))</f>
        <v/>
      </c>
      <c r="CT105">
        <f>IF($A105="","",'Beállítások'!$E$8*(10-D105))</f>
        <v/>
      </c>
      <c r="CU105">
        <f>IF($A105="","",'Beállítások'!$E$9*(10-E105))</f>
        <v/>
      </c>
      <c r="CV105">
        <f>IF($A105="","",'Beállítások'!$E$10*(10-F105))</f>
        <v/>
      </c>
      <c r="CW105">
        <f>IF($A105="","",'Beállítások'!$E$11*(10-G105))</f>
        <v/>
      </c>
      <c r="CX105">
        <f>IF($A105="","",'Beállítások'!$E$12*(10-H105))</f>
        <v/>
      </c>
      <c r="CY105">
        <f>IF($A105="","",'Beállítások'!$E$13*(10-I105))</f>
        <v/>
      </c>
      <c r="CZ105">
        <f>IF($A105="","",'Beállítások'!$E$14*(10-J105))</f>
        <v/>
      </c>
      <c r="DA105">
        <f>IF($A105="","",'Beállítások'!$E$15*(10-K105))</f>
        <v/>
      </c>
      <c r="DB105">
        <f>IF($A105="","",'Beállítások'!$E$16*(10-L105))</f>
        <v/>
      </c>
      <c r="DC105">
        <f>IF($A105="","",'Beállítások'!$E$17*(10-M105))</f>
        <v/>
      </c>
      <c r="DD105">
        <f>IF($A105="","",'Beállítások'!$E$18*(10-N105))</f>
        <v/>
      </c>
      <c r="DE105">
        <f>IF($A105="","",'Beállítások'!$E$19*(10-O105))</f>
        <v/>
      </c>
      <c r="DF105">
        <f>IF($A105="","",'Beállítások'!$E$20*(10-P105))</f>
        <v/>
      </c>
      <c r="DG105">
        <f>IF($A105="","",'Beállítások'!$E$21*(10-Q105))</f>
        <v/>
      </c>
      <c r="DH105">
        <f>IF($A105="","",'Beállítások'!$E$22*(10-R105))</f>
        <v/>
      </c>
      <c r="DI105">
        <f>IF($A105="","",'Beállítások'!$E$23*(10-S105))</f>
        <v/>
      </c>
      <c r="DJ105">
        <f>IF($A105="","",'Beállítások'!$E$24*(10-T105))</f>
        <v/>
      </c>
      <c r="DK105">
        <f>IF($A105="","",'Beállítások'!$E$25*(10-U105))</f>
        <v/>
      </c>
      <c r="DL105">
        <f>IF($A105="","",'Beállítások'!$E$26*(10-V105))</f>
        <v/>
      </c>
      <c r="DM105">
        <f>IF($A105="","",'Beállítások'!$E$27*(10-W105))</f>
        <v/>
      </c>
      <c r="DN105">
        <f>IF($A105="","",'Beállítások'!$E$28*(10-X105))</f>
        <v/>
      </c>
      <c r="DO105">
        <f>IF($A105="","",'Beállítások'!$E$29*(10-Y105))</f>
        <v/>
      </c>
      <c r="DP105">
        <f>IF($A105="","",'Beállítások'!$E$30*(10-Z105))</f>
        <v/>
      </c>
      <c r="DQ105">
        <f>IF($A105="","",'Beállítások'!$E$31*(10-AA105))</f>
        <v/>
      </c>
      <c r="DR105">
        <f>IF($A105="","",'Beállítások'!$E$32*(10-AB105))</f>
        <v/>
      </c>
      <c r="DS105">
        <f>IF($A105="","",'Beállítások'!$E$33*(10-AC105))</f>
        <v/>
      </c>
      <c r="DT105">
        <f>IF($A105="","",'Beállítások'!$E$34*(10-AD105))</f>
        <v/>
      </c>
      <c r="DU105">
        <f>IF($A105="","",'Beállítások'!$E$35*(10-AE105))</f>
        <v/>
      </c>
      <c r="DV105">
        <f>IF($A105="","",'Beállítások'!$E$36*(10-AF105))</f>
        <v/>
      </c>
      <c r="DW105">
        <f>IF($A105="","",'Beállítások'!$E$37*(10-AG105))</f>
        <v/>
      </c>
      <c r="DX105">
        <f>IF($A105="","",'Beállítások'!$E$38*(10-AH105))</f>
        <v/>
      </c>
      <c r="DY105">
        <f>IF($A105="","",AM105-ROW()/100000)</f>
        <v/>
      </c>
    </row>
    <row r="106">
      <c r="A106">
        <f>IF('Ügyfelek'!A106="","",'Ügyfelek'!A106)</f>
        <v/>
      </c>
      <c r="B106">
        <f>IF($A106="","",IF('Ügyfelek'!B106="",'Beállítások'!$B$84,IFERROR(VLOOKUP(TRIM('Ügyfelek'!B106),'Beállítások'!$A$51:$B$59,2,FALSE),'Beállítások'!$B$84)))</f>
        <v/>
      </c>
      <c r="C106">
        <f>IF($A106="","",IF('Ügyfelek'!C106="",'Beállítások'!$B$84,MIN(10,MAX(1,ROUND('Ügyfelek'!C106,0)))))</f>
        <v/>
      </c>
      <c r="D106">
        <f>IF($A106="","",IF('Ügyfelek'!D106="",'Beállítások'!$B$84,MIN(10,MAX(1,ROUND('Ügyfelek'!D106,0)))))</f>
        <v/>
      </c>
      <c r="E106">
        <f>IF($A106="","",IF('Ügyfelek'!E106="",'Beállítások'!$B$84,MIN(10,MAX(1,ROUND('Ügyfelek'!E106,0)))))</f>
        <v/>
      </c>
      <c r="F106">
        <f>IF($A106="","",IF('Ügyfelek'!F106="",'Beállítások'!$B$84,MIN(10,MAX(1,ROUND('Ügyfelek'!F106,0)))))</f>
        <v/>
      </c>
      <c r="G106">
        <f>IF($A106="","",IF('Ügyfelek'!G106="",'Beállítások'!$B$84,MIN(10,MAX(1,ROUND('Ügyfelek'!G106,0)))))</f>
        <v/>
      </c>
      <c r="H106">
        <f>IF($A106="","",IF('Ügyfelek'!H106="",'Beállítások'!$B$84,MIN(10,MAX(1,ROUND('Ügyfelek'!H106,0)))))</f>
        <v/>
      </c>
      <c r="I106">
        <f>IF($A106="","",IF('Ügyfelek'!I106="",'Beállítások'!$B$84,MIN(10,MAX(1,ROUND('Ügyfelek'!I106,0)))))</f>
        <v/>
      </c>
      <c r="J106">
        <f>IF($A106="","",IF('Ügyfelek'!J106="",'Beállítások'!$B$84,MIN(10,MAX(1,ROUND('Ügyfelek'!J106,0)))))</f>
        <v/>
      </c>
      <c r="K106">
        <f>IF($A106="","",IF('Ügyfelek'!K106="",'Beállítások'!$B$84,MIN(10,MAX(1,ROUND('Ügyfelek'!K106,0)))))</f>
        <v/>
      </c>
      <c r="L106">
        <f>IF($A106="","",IF('Ügyfelek'!L106="",'Beállítások'!$B$84,MIN(10,MAX(1,ROUND('Ügyfelek'!L106,0)))))</f>
        <v/>
      </c>
      <c r="M106">
        <f>IF($A106="","",IF('Ügyfelek'!M106="",'Beállítások'!$B$84,MIN(10,MAX(1,ROUND('Ügyfelek'!M106,0)))))</f>
        <v/>
      </c>
      <c r="N106">
        <f>IF($A106="","",IF('Ügyfelek'!N106="",'Beállítások'!$B$84,MIN(10,MAX(1,ROUND('Ügyfelek'!N106,0)))))</f>
        <v/>
      </c>
      <c r="O106">
        <f>IF($A106="","",IF('Ügyfelek'!O106="",'Beállítások'!$B$84,MIN(10,MAX(1,ROUND('Ügyfelek'!O106,0)))))</f>
        <v/>
      </c>
      <c r="P106">
        <f>IF($A106="","",IF('Ügyfelek'!P106="",'Beállítások'!$B$84,MIN(10,MAX(1,ROUND('Ügyfelek'!P106,0)))))</f>
        <v/>
      </c>
      <c r="Q106">
        <f>IF($A106="","",IF('Ügyfelek'!Q106="",'Beállítások'!$B$84,MIN(10,MAX(1,ROUND('Ügyfelek'!Q106,0)))))</f>
        <v/>
      </c>
      <c r="R106">
        <f>IF($A106="","",IF('Ügyfelek'!R106="",'Beállítások'!$B$84,MIN(10,MAX(1,ROUND('Ügyfelek'!R106,0)))))</f>
        <v/>
      </c>
      <c r="S106">
        <f>IF($A106="","",IF('Ügyfelek'!S106="",'Beállítások'!$B$84,MIN(10,MAX(1,ROUND('Ügyfelek'!S106,0)))))</f>
        <v/>
      </c>
      <c r="T106">
        <f>IF($A106="","",IF('Ügyfelek'!T106="",'Beállítások'!$B$84,VLOOKUP(MAX('Ügyfelek'!T106,'Beállítások'!$H$7),'Beállítások'!$H$7:$I$12,2,TRUE)))</f>
        <v/>
      </c>
      <c r="U106">
        <f>IF($A106="","",IF('Ügyfelek'!U106="",'Beállítások'!$B$84,VLOOKUP(MAX('Ügyfelek'!U106,'Beállítások'!$K$7),'Beállítások'!$K$7:$L$12,2,TRUE)))</f>
        <v/>
      </c>
      <c r="V106">
        <f>IF($A106="","",IF('Ügyfelek'!V106="",'Beállítások'!$B$84,MIN(10,MAX(1,ROUND('Ügyfelek'!V106,0)))))</f>
        <v/>
      </c>
      <c r="W106">
        <f>IF($A106="","",IF('Ügyfelek'!W106="",'Beállítások'!$B$84,VLOOKUP(MAX('Ügyfelek'!W106,'Beállítások'!$N$7),'Beállítások'!$N$7:$O$12,2,TRUE)))</f>
        <v/>
      </c>
      <c r="X106">
        <f>IF($A106="","",IF('Ügyfelek'!X106="",'Beállítások'!$B$84,MIN(10,MAX(1,ROUND('Ügyfelek'!X106,0)))))</f>
        <v/>
      </c>
      <c r="Y106">
        <f>IF($A106="","",IF('Ügyfelek'!Y106="",'Beállítások'!$B$84,IFERROR(VLOOKUP(TRIM('Ügyfelek'!Y106),'Beállítások'!$A$63:$B$69,2,FALSE),'Beállítások'!$B$84)))</f>
        <v/>
      </c>
      <c r="Z106">
        <f>IF($A106="","",IF('Ügyfelek'!Z106="",'Beállítások'!$B$84,VLOOKUP(MAX('Ügyfelek'!Z106,'Beállítások'!$Q$7),'Beállítások'!$Q$7:$R$12,2,TRUE)))</f>
        <v/>
      </c>
      <c r="AA106">
        <f>IF($A106="","",IF('Ügyfelek'!AA106="",'Beállítások'!$B$84,VLOOKUP(MAX('Ügyfelek'!AA106,'Beállítások'!$T$7),'Beállítások'!$T$7:$U$12,2,TRUE)))</f>
        <v/>
      </c>
      <c r="AB106">
        <f>IF($A106="","",IF('Ügyfelek'!AB106="",'Beállítások'!$B$84,MIN(10,MAX(1,ROUND('Ügyfelek'!AB106,0)))))</f>
        <v/>
      </c>
      <c r="AC106">
        <f>IF($A106="","",IF('Ügyfelek'!AC106="",'Beállítások'!$B$84,MIN(10,MAX(1,ROUND('Ügyfelek'!AC106,0)))))</f>
        <v/>
      </c>
      <c r="AD106">
        <f>IF($A106="","",IF('Ügyfelek'!AD106="",'Beállítások'!$B$84,MIN(10,MAX(1,ROUND('Ügyfelek'!AD106,0)))))</f>
        <v/>
      </c>
      <c r="AE106">
        <f>IF($A106="","",IF('Ügyfelek'!AE106="",'Beállítások'!$B$84,MIN(10,MAX(1,ROUND('Ügyfelek'!AE106,0)))))</f>
        <v/>
      </c>
      <c r="AF106">
        <f>IF($A106="","",IF('Ügyfelek'!AF106="",'Beállítások'!$B$84,MIN(10,MAX(1,ROUND('Ügyfelek'!AF106,0)))))</f>
        <v/>
      </c>
      <c r="AG106">
        <f>IF($A106="","",IF('Ügyfelek'!AG106="",'Beállítások'!$B$84,MIN(10,MAX(1,ROUND('Ügyfelek'!AG106,0)))))</f>
        <v/>
      </c>
      <c r="AH106">
        <f>IF($A106="","",IF('Ügyfelek'!AH106="",'Beállítások'!$B$84,IFERROR(VLOOKUP(TRIM('Ügyfelek'!AH106),'Beállítások'!$A$73:$B$79,2,FALSE),'Beállítások'!$B$84)))</f>
        <v/>
      </c>
      <c r="AI106" s="23">
        <f>IF($A106="","",ROUND(100*('Beállítások'!$E$6*(B106-1)+'Beállítások'!$E$7*(C106-1))/(9*'Beállítások'!$B$43),1))</f>
        <v/>
      </c>
      <c r="AJ106" s="23">
        <f>IF($A106="","",ROUND(100*('Beállítások'!$E$8*(D106-1)+'Beállítások'!$E$9*(E106-1)+'Beállítások'!$E$10*(F106-1)+'Beállítások'!$E$11*(G106-1)+'Beállítások'!$E$12*(H106-1)+'Beállítások'!$E$13*(I106-1)+'Beállítások'!$E$14*(J106-1)+'Beállítások'!$E$15*(K106-1)+'Beállítások'!$E$16*(L106-1)+'Beállítások'!$E$17*(M106-1)+'Beállítások'!$E$18*(N106-1)+'Beállítások'!$E$19*(O106-1)+'Beállítások'!$E$20*(P106-1)+'Beállítások'!$E$21*(Q106-1)+'Beállítások'!$E$22*(R106-1))/(9*'Beállítások'!$B$44),1))</f>
        <v/>
      </c>
      <c r="AK106" s="23">
        <f>IF($A106="","",ROUND(100*('Beállítások'!$E$23*(S106-1)+'Beállítások'!$E$24*(T106-1)+'Beállítások'!$E$25*(U106-1)+'Beállítások'!$E$26*(V106-1)+'Beállítások'!$E$27*(W106-1)+'Beállítások'!$E$28*(X106-1)+'Beállítások'!$E$29*(Y106-1))/(9*'Beállítások'!$B$45),1))</f>
        <v/>
      </c>
      <c r="AL106" s="23">
        <f>IF($A106="","",ROUND(100*('Beállítások'!$E$30*(Z106-1)+'Beállítások'!$E$31*(AA106-1)+'Beállítások'!$E$32*(AB106-1)+'Beállítások'!$E$33*(AC106-1)+'Beállítások'!$E$34*(AD106-1)+'Beállítások'!$E$35*(AE106-1)+'Beállítások'!$E$36*(AF106-1)+'Beállítások'!$E$37*(AG106-1)+'Beállítások'!$E$38*(AH106-1))/(9*'Beállítások'!$B$46),1))</f>
        <v/>
      </c>
      <c r="AM106" s="23">
        <f>IF($A106="","",ROUND(100*('Beállítások'!$E$6*(B106-1)+'Beállítások'!$E$7*(C106-1)+'Beállítások'!$E$8*(D106-1)+'Beállítások'!$E$9*(E106-1)+'Beállítások'!$E$10*(F106-1)+'Beállítások'!$E$11*(G106-1)+'Beállítások'!$E$12*(H106-1)+'Beállítások'!$E$13*(I106-1)+'Beállítások'!$E$14*(J106-1)+'Beállítások'!$E$15*(K106-1)+'Beállítások'!$E$16*(L106-1)+'Beállítások'!$E$17*(M106-1)+'Beállítások'!$E$18*(N106-1)+'Beállítások'!$E$19*(O106-1)+'Beállítások'!$E$20*(P106-1)+'Beállítások'!$E$21*(Q106-1)+'Beállítások'!$E$22*(R106-1)+'Beállítások'!$E$23*(S106-1)+'Beállítások'!$E$24*(T106-1)+'Beállítások'!$E$25*(U106-1)+'Beállítások'!$E$26*(V106-1)+'Beállítások'!$E$27*(W106-1)+'Beállítások'!$E$28*(X106-1)+'Beállítások'!$E$29*(Y106-1)+'Beállítások'!$E$30*(Z106-1)+'Beállítások'!$E$31*(AA106-1)+'Beállítások'!$E$32*(AB106-1)+'Beállítások'!$E$33*(AC106-1)+'Beállítások'!$E$34*(AD106-1)+'Beállítások'!$E$35*(AE106-1)+'Beállítások'!$E$36*(AF106-1)+'Beállítások'!$E$37*(AG106-1)+'Beállítások'!$E$38*(AH106-1))/(9*'Beállítások'!$E$39),1))</f>
        <v/>
      </c>
      <c r="AN106" s="23">
        <f>IF($A106="","",ROUND(100*('Beállítások'!$E$8*(D106-1)+'Beállítások'!$E$9*(E106-1)+'Beállítások'!$E$10*(F106-1)+'Beállítások'!$E$11*(G106-1)+'Beállítások'!$E$12*(H106-1)+'Beállítások'!$E$13*(I106-1)+'Beállítások'!$E$14*(J106-1)+'Beállítások'!$E$15*(K106-1)+'Beállítások'!$E$16*(L106-1)+'Beállítások'!$E$17*(M106-1)+'Beállítások'!$E$18*(N106-1)+'Beállítások'!$E$19*(O106-1)+'Beállítások'!$E$20*(P106-1)+'Beállítások'!$E$21*(Q106-1)+'Beállítások'!$E$22*(R106-1)+'Beállítások'!$E$23*(S106-1)+'Beállítások'!$E$24*(T106-1)+'Beállítások'!$E$25*(U106-1)+'Beállítások'!$E$26*(V106-1)+'Beállítások'!$E$27*(W106-1)+'Beállítások'!$E$28*(X106-1)+'Beállítások'!$E$29*(Y106-1))/(9*('Beállítások'!$B$44+'Beállítások'!$B$45)),1))</f>
        <v/>
      </c>
      <c r="AO106" s="24">
        <f>IF($A106="","",RANK(AM106,$AM$2:$AM$201))</f>
        <v/>
      </c>
      <c r="AP106">
        <f>IF($A106="","",IF(OR(AND('Ügyfelek'!B106&lt;&gt;"",B106&lt;='Beállítások'!$B$85),AND('Ügyfelek'!C106&lt;&gt;"",C106&lt;='Beállítások'!$B$86)),"Igen","Nem"))</f>
        <v/>
      </c>
      <c r="AQ106" s="24">
        <f>IF($A106="","",IF(AP106="Igen",5,IF(AN106&gt;='Beállítások'!$C$108,1,IF(AN106&gt;='Beállítások'!$C$109,2,IF(AN106&gt;='Beállítások'!$C$110,3,IF(AND(AN106&gt;='Beállítások'!$B$87,AI106&gt;='Beállítások'!$B$88,AL106&gt;='Beállítások'!$B$89),4,5))))))</f>
        <v/>
      </c>
      <c r="AR106">
        <f>IF($A106="","",INDEX('Beállítások'!$B$108:$B$112,AQ106))</f>
        <v/>
      </c>
      <c r="AS106">
        <f>IF($A106="","",IF(AQ106=5,"Elutasítjuk",IF(AND(AQ106=4,COUNTIFS('Eredmény'!$AQ$2:$AQ$201,4,'Eredmény'!$DY$2:$DY$201,"&gt;"&amp;DY106)&gt;='Beállítások'!$B$90),"Várólista (a 4-es hely foglalt)","Elfogadjuk")))</f>
        <v/>
      </c>
      <c r="AT106">
        <f>IF($A106="","",INDEX('Beállítások'!$F$108:$F$112,AQ106))</f>
        <v/>
      </c>
      <c r="AU106">
        <f>IF($A106="","",INDEX('Beállítások'!$B$6:$B$38,MATCH(MAX(BK106:CQ106),BK106:CQ106,0)))</f>
        <v/>
      </c>
      <c r="AV106">
        <f>IF($A106="","",IF(MAX(CR106:DX106)=0,"—",INDEX('Beállítások'!$B$6:$B$38,MATCH(MAX(CR106:DX106),CR106:DX106,0))))</f>
        <v/>
      </c>
      <c r="AW106" s="10">
        <f>IF($A106="","",'Beállítások'!$B$94*(TRIM('Ügyfelek'!AI106)="igen")+'Beállítások'!$B$95*(TRIM('Ügyfelek'!AJ106)="igen")+'Beállítások'!$B$96*N('Ügyfelek'!AK106)+'Beállítások'!$B$93*N('Ügyfelek'!AL106))</f>
        <v/>
      </c>
      <c r="AX106" s="25">
        <f>IF(OR($A106="",AQ106=5),"",INDEX('Beállítások'!$D$108:$D$112,AQ106))</f>
        <v/>
      </c>
      <c r="AY106" s="10">
        <f>IF($A106="","",N('Ügyfelek'!U106)*'Beállítások'!$B$98)</f>
        <v/>
      </c>
      <c r="AZ106" s="10">
        <f>IF(OR($A106="",AQ106=5),"",CEILING(ROUND(MAX('Beállítások'!$B$97,AW106*AX106,AY106),2),'Beállítások'!$B$99))</f>
        <v/>
      </c>
      <c r="BA106">
        <f>IF($A106="","",IF(AQ106=5,"Elutasítva",IF(MAX('Beállítások'!$B$97,AW106*AX106,AY106)=AW106*AX106,"Munkaigény × státuszszorzó",IF(MAX('Beállítások'!$B$97,AW106*AX106,AY106)=AY106,"Hirdetési keret arányában","Minimumdíj"))))</f>
        <v/>
      </c>
      <c r="BB106" s="10">
        <f>IF(OR($A106="",'Ügyfelek'!AM106=""),"",'Ügyfelek'!AM106)</f>
        <v/>
      </c>
      <c r="BC106" s="10">
        <f>IF(OR(BB106="",AZ106=""),"",AZ106-BB106)</f>
        <v/>
      </c>
      <c r="BD106" s="18">
        <f>IF(OR(BB106="",AZ106="",BB106=0),"",BC106/BB106)</f>
        <v/>
      </c>
      <c r="BE106">
        <f>IF(OR($A106="",AQ106=5),"",IF(AND(INDEX('Beállítások'!$E$108:$E$112,AQ106)&gt;0,Y106&gt;='Beállítások'!$B$91),"Igen","Nem"))</f>
        <v/>
      </c>
      <c r="BF106" s="10">
        <f>IF(BE106="Igen",CEILING(ROUND(AZ106*(1-'Beállítások'!$B$92),2),'Beállítások'!$B$99),"")</f>
        <v/>
      </c>
      <c r="BG106" s="20">
        <f>IF(BE106="Igen",INDEX('Beállítások'!$E$108:$E$112,AQ106),"")</f>
        <v/>
      </c>
      <c r="BH106" s="10">
        <f>IF(OR(BE106&lt;&gt;"Igen",'Ügyfelek'!AN106=""),"",'Ügyfelek'!AN106*BG106)</f>
        <v/>
      </c>
      <c r="BI106" s="24">
        <f>IF($A106="","",('Ügyfelek'!B106="")+('Ügyfelek'!C106="")+('Ügyfelek'!D106="")+('Ügyfelek'!E106="")+('Ügyfelek'!F106="")+('Ügyfelek'!G106="")+('Ügyfelek'!H106="")+('Ügyfelek'!I106="")+('Ügyfelek'!J106="")+('Ügyfelek'!K106="")+('Ügyfelek'!L106="")+('Ügyfelek'!M106="")+('Ügyfelek'!N106="")+('Ügyfelek'!O106="")+('Ügyfelek'!P106="")+('Ügyfelek'!Q106="")+('Ügyfelek'!R106="")+('Ügyfelek'!S106="")+('Ügyfelek'!T106="")+('Ügyfelek'!U106="")+('Ügyfelek'!V106="")+('Ügyfelek'!W106="")+('Ügyfelek'!X106="")+('Ügyfelek'!Y106="")+('Ügyfelek'!Z106="")+('Ügyfelek'!AA106="")+('Ügyfelek'!AB106="")+('Ügyfelek'!AC106="")+('Ügyfelek'!AD106="")+('Ügyfelek'!AE106="")+('Ügyfelek'!AF106="")+('Ügyfelek'!AG106="")+('Ügyfelek'!AH106=""))</f>
        <v/>
      </c>
      <c r="BK106">
        <f>IF($A106="","",B106+'Beállítások'!$E$6/1000)</f>
        <v/>
      </c>
      <c r="BL106">
        <f>IF($A106="","",C106+'Beállítások'!$E$7/1000)</f>
        <v/>
      </c>
      <c r="BM106">
        <f>IF($A106="","",D106+'Beállítások'!$E$8/1000)</f>
        <v/>
      </c>
      <c r="BN106">
        <f>IF($A106="","",E106+'Beállítások'!$E$9/1000)</f>
        <v/>
      </c>
      <c r="BO106">
        <f>IF($A106="","",F106+'Beállítások'!$E$10/1000)</f>
        <v/>
      </c>
      <c r="BP106">
        <f>IF($A106="","",G106+'Beállítások'!$E$11/1000)</f>
        <v/>
      </c>
      <c r="BQ106">
        <f>IF($A106="","",H106+'Beállítások'!$E$12/1000)</f>
        <v/>
      </c>
      <c r="BR106">
        <f>IF($A106="","",I106+'Beállítások'!$E$13/1000)</f>
        <v/>
      </c>
      <c r="BS106">
        <f>IF($A106="","",J106+'Beállítások'!$E$14/1000)</f>
        <v/>
      </c>
      <c r="BT106">
        <f>IF($A106="","",K106+'Beállítások'!$E$15/1000)</f>
        <v/>
      </c>
      <c r="BU106">
        <f>IF($A106="","",L106+'Beállítások'!$E$16/1000)</f>
        <v/>
      </c>
      <c r="BV106">
        <f>IF($A106="","",M106+'Beállítások'!$E$17/1000)</f>
        <v/>
      </c>
      <c r="BW106">
        <f>IF($A106="","",N106+'Beállítások'!$E$18/1000)</f>
        <v/>
      </c>
      <c r="BX106">
        <f>IF($A106="","",O106+'Beállítások'!$E$19/1000)</f>
        <v/>
      </c>
      <c r="BY106">
        <f>IF($A106="","",P106+'Beállítások'!$E$20/1000)</f>
        <v/>
      </c>
      <c r="BZ106">
        <f>IF($A106="","",Q106+'Beállítások'!$E$21/1000)</f>
        <v/>
      </c>
      <c r="CA106">
        <f>IF($A106="","",R106+'Beállítások'!$E$22/1000)</f>
        <v/>
      </c>
      <c r="CB106">
        <f>IF($A106="","",S106+'Beállítások'!$E$23/1000)</f>
        <v/>
      </c>
      <c r="CC106">
        <f>IF($A106="","",T106+'Beállítások'!$E$24/1000)</f>
        <v/>
      </c>
      <c r="CD106">
        <f>IF($A106="","",U106+'Beállítások'!$E$25/1000)</f>
        <v/>
      </c>
      <c r="CE106">
        <f>IF($A106="","",V106+'Beállítások'!$E$26/1000)</f>
        <v/>
      </c>
      <c r="CF106">
        <f>IF($A106="","",W106+'Beállítások'!$E$27/1000)</f>
        <v/>
      </c>
      <c r="CG106">
        <f>IF($A106="","",X106+'Beállítások'!$E$28/1000)</f>
        <v/>
      </c>
      <c r="CH106">
        <f>IF($A106="","",Y106+'Beállítások'!$E$29/1000)</f>
        <v/>
      </c>
      <c r="CI106">
        <f>IF($A106="","",Z106+'Beállítások'!$E$30/1000)</f>
        <v/>
      </c>
      <c r="CJ106">
        <f>IF($A106="","",AA106+'Beállítások'!$E$31/1000)</f>
        <v/>
      </c>
      <c r="CK106">
        <f>IF($A106="","",AB106+'Beállítások'!$E$32/1000)</f>
        <v/>
      </c>
      <c r="CL106">
        <f>IF($A106="","",AC106+'Beállítások'!$E$33/1000)</f>
        <v/>
      </c>
      <c r="CM106">
        <f>IF($A106="","",AD106+'Beállítások'!$E$34/1000)</f>
        <v/>
      </c>
      <c r="CN106">
        <f>IF($A106="","",AE106+'Beállítások'!$E$35/1000)</f>
        <v/>
      </c>
      <c r="CO106">
        <f>IF($A106="","",AF106+'Beállítások'!$E$36/1000)</f>
        <v/>
      </c>
      <c r="CP106">
        <f>IF($A106="","",AG106+'Beállítások'!$E$37/1000)</f>
        <v/>
      </c>
      <c r="CQ106">
        <f>IF($A106="","",AH106+'Beállítások'!$E$38/1000)</f>
        <v/>
      </c>
      <c r="CR106">
        <f>IF($A106="","",'Beállítások'!$E$6*(10-B106))</f>
        <v/>
      </c>
      <c r="CS106">
        <f>IF($A106="","",'Beállítások'!$E$7*(10-C106))</f>
        <v/>
      </c>
      <c r="CT106">
        <f>IF($A106="","",'Beállítások'!$E$8*(10-D106))</f>
        <v/>
      </c>
      <c r="CU106">
        <f>IF($A106="","",'Beállítások'!$E$9*(10-E106))</f>
        <v/>
      </c>
      <c r="CV106">
        <f>IF($A106="","",'Beállítások'!$E$10*(10-F106))</f>
        <v/>
      </c>
      <c r="CW106">
        <f>IF($A106="","",'Beállítások'!$E$11*(10-G106))</f>
        <v/>
      </c>
      <c r="CX106">
        <f>IF($A106="","",'Beállítások'!$E$12*(10-H106))</f>
        <v/>
      </c>
      <c r="CY106">
        <f>IF($A106="","",'Beállítások'!$E$13*(10-I106))</f>
        <v/>
      </c>
      <c r="CZ106">
        <f>IF($A106="","",'Beállítások'!$E$14*(10-J106))</f>
        <v/>
      </c>
      <c r="DA106">
        <f>IF($A106="","",'Beállítások'!$E$15*(10-K106))</f>
        <v/>
      </c>
      <c r="DB106">
        <f>IF($A106="","",'Beállítások'!$E$16*(10-L106))</f>
        <v/>
      </c>
      <c r="DC106">
        <f>IF($A106="","",'Beállítások'!$E$17*(10-M106))</f>
        <v/>
      </c>
      <c r="DD106">
        <f>IF($A106="","",'Beállítások'!$E$18*(10-N106))</f>
        <v/>
      </c>
      <c r="DE106">
        <f>IF($A106="","",'Beállítások'!$E$19*(10-O106))</f>
        <v/>
      </c>
      <c r="DF106">
        <f>IF($A106="","",'Beállítások'!$E$20*(10-P106))</f>
        <v/>
      </c>
      <c r="DG106">
        <f>IF($A106="","",'Beállítások'!$E$21*(10-Q106))</f>
        <v/>
      </c>
      <c r="DH106">
        <f>IF($A106="","",'Beállítások'!$E$22*(10-R106))</f>
        <v/>
      </c>
      <c r="DI106">
        <f>IF($A106="","",'Beállítások'!$E$23*(10-S106))</f>
        <v/>
      </c>
      <c r="DJ106">
        <f>IF($A106="","",'Beállítások'!$E$24*(10-T106))</f>
        <v/>
      </c>
      <c r="DK106">
        <f>IF($A106="","",'Beállítások'!$E$25*(10-U106))</f>
        <v/>
      </c>
      <c r="DL106">
        <f>IF($A106="","",'Beállítások'!$E$26*(10-V106))</f>
        <v/>
      </c>
      <c r="DM106">
        <f>IF($A106="","",'Beállítások'!$E$27*(10-W106))</f>
        <v/>
      </c>
      <c r="DN106">
        <f>IF($A106="","",'Beállítások'!$E$28*(10-X106))</f>
        <v/>
      </c>
      <c r="DO106">
        <f>IF($A106="","",'Beállítások'!$E$29*(10-Y106))</f>
        <v/>
      </c>
      <c r="DP106">
        <f>IF($A106="","",'Beállítások'!$E$30*(10-Z106))</f>
        <v/>
      </c>
      <c r="DQ106">
        <f>IF($A106="","",'Beállítások'!$E$31*(10-AA106))</f>
        <v/>
      </c>
      <c r="DR106">
        <f>IF($A106="","",'Beállítások'!$E$32*(10-AB106))</f>
        <v/>
      </c>
      <c r="DS106">
        <f>IF($A106="","",'Beállítások'!$E$33*(10-AC106))</f>
        <v/>
      </c>
      <c r="DT106">
        <f>IF($A106="","",'Beállítások'!$E$34*(10-AD106))</f>
        <v/>
      </c>
      <c r="DU106">
        <f>IF($A106="","",'Beállítások'!$E$35*(10-AE106))</f>
        <v/>
      </c>
      <c r="DV106">
        <f>IF($A106="","",'Beállítások'!$E$36*(10-AF106))</f>
        <v/>
      </c>
      <c r="DW106">
        <f>IF($A106="","",'Beállítások'!$E$37*(10-AG106))</f>
        <v/>
      </c>
      <c r="DX106">
        <f>IF($A106="","",'Beállítások'!$E$38*(10-AH106))</f>
        <v/>
      </c>
      <c r="DY106">
        <f>IF($A106="","",AM106-ROW()/100000)</f>
        <v/>
      </c>
    </row>
    <row r="107">
      <c r="A107">
        <f>IF('Ügyfelek'!A107="","",'Ügyfelek'!A107)</f>
        <v/>
      </c>
      <c r="B107">
        <f>IF($A107="","",IF('Ügyfelek'!B107="",'Beállítások'!$B$84,IFERROR(VLOOKUP(TRIM('Ügyfelek'!B107),'Beállítások'!$A$51:$B$59,2,FALSE),'Beállítások'!$B$84)))</f>
        <v/>
      </c>
      <c r="C107">
        <f>IF($A107="","",IF('Ügyfelek'!C107="",'Beállítások'!$B$84,MIN(10,MAX(1,ROUND('Ügyfelek'!C107,0)))))</f>
        <v/>
      </c>
      <c r="D107">
        <f>IF($A107="","",IF('Ügyfelek'!D107="",'Beállítások'!$B$84,MIN(10,MAX(1,ROUND('Ügyfelek'!D107,0)))))</f>
        <v/>
      </c>
      <c r="E107">
        <f>IF($A107="","",IF('Ügyfelek'!E107="",'Beállítások'!$B$84,MIN(10,MAX(1,ROUND('Ügyfelek'!E107,0)))))</f>
        <v/>
      </c>
      <c r="F107">
        <f>IF($A107="","",IF('Ügyfelek'!F107="",'Beállítások'!$B$84,MIN(10,MAX(1,ROUND('Ügyfelek'!F107,0)))))</f>
        <v/>
      </c>
      <c r="G107">
        <f>IF($A107="","",IF('Ügyfelek'!G107="",'Beállítások'!$B$84,MIN(10,MAX(1,ROUND('Ügyfelek'!G107,0)))))</f>
        <v/>
      </c>
      <c r="H107">
        <f>IF($A107="","",IF('Ügyfelek'!H107="",'Beállítások'!$B$84,MIN(10,MAX(1,ROUND('Ügyfelek'!H107,0)))))</f>
        <v/>
      </c>
      <c r="I107">
        <f>IF($A107="","",IF('Ügyfelek'!I107="",'Beállítások'!$B$84,MIN(10,MAX(1,ROUND('Ügyfelek'!I107,0)))))</f>
        <v/>
      </c>
      <c r="J107">
        <f>IF($A107="","",IF('Ügyfelek'!J107="",'Beállítások'!$B$84,MIN(10,MAX(1,ROUND('Ügyfelek'!J107,0)))))</f>
        <v/>
      </c>
      <c r="K107">
        <f>IF($A107="","",IF('Ügyfelek'!K107="",'Beállítások'!$B$84,MIN(10,MAX(1,ROUND('Ügyfelek'!K107,0)))))</f>
        <v/>
      </c>
      <c r="L107">
        <f>IF($A107="","",IF('Ügyfelek'!L107="",'Beállítások'!$B$84,MIN(10,MAX(1,ROUND('Ügyfelek'!L107,0)))))</f>
        <v/>
      </c>
      <c r="M107">
        <f>IF($A107="","",IF('Ügyfelek'!M107="",'Beállítások'!$B$84,MIN(10,MAX(1,ROUND('Ügyfelek'!M107,0)))))</f>
        <v/>
      </c>
      <c r="N107">
        <f>IF($A107="","",IF('Ügyfelek'!N107="",'Beállítások'!$B$84,MIN(10,MAX(1,ROUND('Ügyfelek'!N107,0)))))</f>
        <v/>
      </c>
      <c r="O107">
        <f>IF($A107="","",IF('Ügyfelek'!O107="",'Beállítások'!$B$84,MIN(10,MAX(1,ROUND('Ügyfelek'!O107,0)))))</f>
        <v/>
      </c>
      <c r="P107">
        <f>IF($A107="","",IF('Ügyfelek'!P107="",'Beállítások'!$B$84,MIN(10,MAX(1,ROUND('Ügyfelek'!P107,0)))))</f>
        <v/>
      </c>
      <c r="Q107">
        <f>IF($A107="","",IF('Ügyfelek'!Q107="",'Beállítások'!$B$84,MIN(10,MAX(1,ROUND('Ügyfelek'!Q107,0)))))</f>
        <v/>
      </c>
      <c r="R107">
        <f>IF($A107="","",IF('Ügyfelek'!R107="",'Beállítások'!$B$84,MIN(10,MAX(1,ROUND('Ügyfelek'!R107,0)))))</f>
        <v/>
      </c>
      <c r="S107">
        <f>IF($A107="","",IF('Ügyfelek'!S107="",'Beállítások'!$B$84,MIN(10,MAX(1,ROUND('Ügyfelek'!S107,0)))))</f>
        <v/>
      </c>
      <c r="T107">
        <f>IF($A107="","",IF('Ügyfelek'!T107="",'Beállítások'!$B$84,VLOOKUP(MAX('Ügyfelek'!T107,'Beállítások'!$H$7),'Beállítások'!$H$7:$I$12,2,TRUE)))</f>
        <v/>
      </c>
      <c r="U107">
        <f>IF($A107="","",IF('Ügyfelek'!U107="",'Beállítások'!$B$84,VLOOKUP(MAX('Ügyfelek'!U107,'Beállítások'!$K$7),'Beállítások'!$K$7:$L$12,2,TRUE)))</f>
        <v/>
      </c>
      <c r="V107">
        <f>IF($A107="","",IF('Ügyfelek'!V107="",'Beállítások'!$B$84,MIN(10,MAX(1,ROUND('Ügyfelek'!V107,0)))))</f>
        <v/>
      </c>
      <c r="W107">
        <f>IF($A107="","",IF('Ügyfelek'!W107="",'Beállítások'!$B$84,VLOOKUP(MAX('Ügyfelek'!W107,'Beállítások'!$N$7),'Beállítások'!$N$7:$O$12,2,TRUE)))</f>
        <v/>
      </c>
      <c r="X107">
        <f>IF($A107="","",IF('Ügyfelek'!X107="",'Beállítások'!$B$84,MIN(10,MAX(1,ROUND('Ügyfelek'!X107,0)))))</f>
        <v/>
      </c>
      <c r="Y107">
        <f>IF($A107="","",IF('Ügyfelek'!Y107="",'Beállítások'!$B$84,IFERROR(VLOOKUP(TRIM('Ügyfelek'!Y107),'Beállítások'!$A$63:$B$69,2,FALSE),'Beállítások'!$B$84)))</f>
        <v/>
      </c>
      <c r="Z107">
        <f>IF($A107="","",IF('Ügyfelek'!Z107="",'Beállítások'!$B$84,VLOOKUP(MAX('Ügyfelek'!Z107,'Beállítások'!$Q$7),'Beállítások'!$Q$7:$R$12,2,TRUE)))</f>
        <v/>
      </c>
      <c r="AA107">
        <f>IF($A107="","",IF('Ügyfelek'!AA107="",'Beállítások'!$B$84,VLOOKUP(MAX('Ügyfelek'!AA107,'Beállítások'!$T$7),'Beállítások'!$T$7:$U$12,2,TRUE)))</f>
        <v/>
      </c>
      <c r="AB107">
        <f>IF($A107="","",IF('Ügyfelek'!AB107="",'Beállítások'!$B$84,MIN(10,MAX(1,ROUND('Ügyfelek'!AB107,0)))))</f>
        <v/>
      </c>
      <c r="AC107">
        <f>IF($A107="","",IF('Ügyfelek'!AC107="",'Beállítások'!$B$84,MIN(10,MAX(1,ROUND('Ügyfelek'!AC107,0)))))</f>
        <v/>
      </c>
      <c r="AD107">
        <f>IF($A107="","",IF('Ügyfelek'!AD107="",'Beállítások'!$B$84,MIN(10,MAX(1,ROUND('Ügyfelek'!AD107,0)))))</f>
        <v/>
      </c>
      <c r="AE107">
        <f>IF($A107="","",IF('Ügyfelek'!AE107="",'Beállítások'!$B$84,MIN(10,MAX(1,ROUND('Ügyfelek'!AE107,0)))))</f>
        <v/>
      </c>
      <c r="AF107">
        <f>IF($A107="","",IF('Ügyfelek'!AF107="",'Beállítások'!$B$84,MIN(10,MAX(1,ROUND('Ügyfelek'!AF107,0)))))</f>
        <v/>
      </c>
      <c r="AG107">
        <f>IF($A107="","",IF('Ügyfelek'!AG107="",'Beállítások'!$B$84,MIN(10,MAX(1,ROUND('Ügyfelek'!AG107,0)))))</f>
        <v/>
      </c>
      <c r="AH107">
        <f>IF($A107="","",IF('Ügyfelek'!AH107="",'Beállítások'!$B$84,IFERROR(VLOOKUP(TRIM('Ügyfelek'!AH107),'Beállítások'!$A$73:$B$79,2,FALSE),'Beállítások'!$B$84)))</f>
        <v/>
      </c>
      <c r="AI107" s="23">
        <f>IF($A107="","",ROUND(100*('Beállítások'!$E$6*(B107-1)+'Beállítások'!$E$7*(C107-1))/(9*'Beállítások'!$B$43),1))</f>
        <v/>
      </c>
      <c r="AJ107" s="23">
        <f>IF($A107="","",ROUND(100*('Beállítások'!$E$8*(D107-1)+'Beállítások'!$E$9*(E107-1)+'Beállítások'!$E$10*(F107-1)+'Beállítások'!$E$11*(G107-1)+'Beállítások'!$E$12*(H107-1)+'Beállítások'!$E$13*(I107-1)+'Beállítások'!$E$14*(J107-1)+'Beállítások'!$E$15*(K107-1)+'Beállítások'!$E$16*(L107-1)+'Beállítások'!$E$17*(M107-1)+'Beállítások'!$E$18*(N107-1)+'Beállítások'!$E$19*(O107-1)+'Beállítások'!$E$20*(P107-1)+'Beállítások'!$E$21*(Q107-1)+'Beállítások'!$E$22*(R107-1))/(9*'Beállítások'!$B$44),1))</f>
        <v/>
      </c>
      <c r="AK107" s="23">
        <f>IF($A107="","",ROUND(100*('Beállítások'!$E$23*(S107-1)+'Beállítások'!$E$24*(T107-1)+'Beállítások'!$E$25*(U107-1)+'Beállítások'!$E$26*(V107-1)+'Beállítások'!$E$27*(W107-1)+'Beállítások'!$E$28*(X107-1)+'Beállítások'!$E$29*(Y107-1))/(9*'Beállítások'!$B$45),1))</f>
        <v/>
      </c>
      <c r="AL107" s="23">
        <f>IF($A107="","",ROUND(100*('Beállítások'!$E$30*(Z107-1)+'Beállítások'!$E$31*(AA107-1)+'Beállítások'!$E$32*(AB107-1)+'Beállítások'!$E$33*(AC107-1)+'Beállítások'!$E$34*(AD107-1)+'Beállítások'!$E$35*(AE107-1)+'Beállítások'!$E$36*(AF107-1)+'Beállítások'!$E$37*(AG107-1)+'Beállítások'!$E$38*(AH107-1))/(9*'Beállítások'!$B$46),1))</f>
        <v/>
      </c>
      <c r="AM107" s="23">
        <f>IF($A107="","",ROUND(100*('Beállítások'!$E$6*(B107-1)+'Beállítások'!$E$7*(C107-1)+'Beállítások'!$E$8*(D107-1)+'Beállítások'!$E$9*(E107-1)+'Beállítások'!$E$10*(F107-1)+'Beállítások'!$E$11*(G107-1)+'Beállítások'!$E$12*(H107-1)+'Beállítások'!$E$13*(I107-1)+'Beállítások'!$E$14*(J107-1)+'Beállítások'!$E$15*(K107-1)+'Beállítások'!$E$16*(L107-1)+'Beállítások'!$E$17*(M107-1)+'Beállítások'!$E$18*(N107-1)+'Beállítások'!$E$19*(O107-1)+'Beállítások'!$E$20*(P107-1)+'Beállítások'!$E$21*(Q107-1)+'Beállítások'!$E$22*(R107-1)+'Beállítások'!$E$23*(S107-1)+'Beállítások'!$E$24*(T107-1)+'Beállítások'!$E$25*(U107-1)+'Beállítások'!$E$26*(V107-1)+'Beállítások'!$E$27*(W107-1)+'Beállítások'!$E$28*(X107-1)+'Beállítások'!$E$29*(Y107-1)+'Beállítások'!$E$30*(Z107-1)+'Beállítások'!$E$31*(AA107-1)+'Beállítások'!$E$32*(AB107-1)+'Beállítások'!$E$33*(AC107-1)+'Beállítások'!$E$34*(AD107-1)+'Beállítások'!$E$35*(AE107-1)+'Beállítások'!$E$36*(AF107-1)+'Beállítások'!$E$37*(AG107-1)+'Beállítások'!$E$38*(AH107-1))/(9*'Beállítások'!$E$39),1))</f>
        <v/>
      </c>
      <c r="AN107" s="23">
        <f>IF($A107="","",ROUND(100*('Beállítások'!$E$8*(D107-1)+'Beállítások'!$E$9*(E107-1)+'Beállítások'!$E$10*(F107-1)+'Beállítások'!$E$11*(G107-1)+'Beállítások'!$E$12*(H107-1)+'Beállítások'!$E$13*(I107-1)+'Beállítások'!$E$14*(J107-1)+'Beállítások'!$E$15*(K107-1)+'Beállítások'!$E$16*(L107-1)+'Beállítások'!$E$17*(M107-1)+'Beállítások'!$E$18*(N107-1)+'Beállítások'!$E$19*(O107-1)+'Beállítások'!$E$20*(P107-1)+'Beállítások'!$E$21*(Q107-1)+'Beállítások'!$E$22*(R107-1)+'Beállítások'!$E$23*(S107-1)+'Beállítások'!$E$24*(T107-1)+'Beállítások'!$E$25*(U107-1)+'Beállítások'!$E$26*(V107-1)+'Beállítások'!$E$27*(W107-1)+'Beállítások'!$E$28*(X107-1)+'Beállítások'!$E$29*(Y107-1))/(9*('Beállítások'!$B$44+'Beállítások'!$B$45)),1))</f>
        <v/>
      </c>
      <c r="AO107" s="24">
        <f>IF($A107="","",RANK(AM107,$AM$2:$AM$201))</f>
        <v/>
      </c>
      <c r="AP107">
        <f>IF($A107="","",IF(OR(AND('Ügyfelek'!B107&lt;&gt;"",B107&lt;='Beállítások'!$B$85),AND('Ügyfelek'!C107&lt;&gt;"",C107&lt;='Beállítások'!$B$86)),"Igen","Nem"))</f>
        <v/>
      </c>
      <c r="AQ107" s="24">
        <f>IF($A107="","",IF(AP107="Igen",5,IF(AN107&gt;='Beállítások'!$C$108,1,IF(AN107&gt;='Beállítások'!$C$109,2,IF(AN107&gt;='Beállítások'!$C$110,3,IF(AND(AN107&gt;='Beállítások'!$B$87,AI107&gt;='Beállítások'!$B$88,AL107&gt;='Beállítások'!$B$89),4,5))))))</f>
        <v/>
      </c>
      <c r="AR107">
        <f>IF($A107="","",INDEX('Beállítások'!$B$108:$B$112,AQ107))</f>
        <v/>
      </c>
      <c r="AS107">
        <f>IF($A107="","",IF(AQ107=5,"Elutasítjuk",IF(AND(AQ107=4,COUNTIFS('Eredmény'!$AQ$2:$AQ$201,4,'Eredmény'!$DY$2:$DY$201,"&gt;"&amp;DY107)&gt;='Beállítások'!$B$90),"Várólista (a 4-es hely foglalt)","Elfogadjuk")))</f>
        <v/>
      </c>
      <c r="AT107">
        <f>IF($A107="","",INDEX('Beállítások'!$F$108:$F$112,AQ107))</f>
        <v/>
      </c>
      <c r="AU107">
        <f>IF($A107="","",INDEX('Beállítások'!$B$6:$B$38,MATCH(MAX(BK107:CQ107),BK107:CQ107,0)))</f>
        <v/>
      </c>
      <c r="AV107">
        <f>IF($A107="","",IF(MAX(CR107:DX107)=0,"—",INDEX('Beállítások'!$B$6:$B$38,MATCH(MAX(CR107:DX107),CR107:DX107,0))))</f>
        <v/>
      </c>
      <c r="AW107" s="10">
        <f>IF($A107="","",'Beállítások'!$B$94*(TRIM('Ügyfelek'!AI107)="igen")+'Beállítások'!$B$95*(TRIM('Ügyfelek'!AJ107)="igen")+'Beállítások'!$B$96*N('Ügyfelek'!AK107)+'Beállítások'!$B$93*N('Ügyfelek'!AL107))</f>
        <v/>
      </c>
      <c r="AX107" s="25">
        <f>IF(OR($A107="",AQ107=5),"",INDEX('Beállítások'!$D$108:$D$112,AQ107))</f>
        <v/>
      </c>
      <c r="AY107" s="10">
        <f>IF($A107="","",N('Ügyfelek'!U107)*'Beállítások'!$B$98)</f>
        <v/>
      </c>
      <c r="AZ107" s="10">
        <f>IF(OR($A107="",AQ107=5),"",CEILING(ROUND(MAX('Beállítások'!$B$97,AW107*AX107,AY107),2),'Beállítások'!$B$99))</f>
        <v/>
      </c>
      <c r="BA107">
        <f>IF($A107="","",IF(AQ107=5,"Elutasítva",IF(MAX('Beállítások'!$B$97,AW107*AX107,AY107)=AW107*AX107,"Munkaigény × státuszszorzó",IF(MAX('Beállítások'!$B$97,AW107*AX107,AY107)=AY107,"Hirdetési keret arányában","Minimumdíj"))))</f>
        <v/>
      </c>
      <c r="BB107" s="10">
        <f>IF(OR($A107="",'Ügyfelek'!AM107=""),"",'Ügyfelek'!AM107)</f>
        <v/>
      </c>
      <c r="BC107" s="10">
        <f>IF(OR(BB107="",AZ107=""),"",AZ107-BB107)</f>
        <v/>
      </c>
      <c r="BD107" s="18">
        <f>IF(OR(BB107="",AZ107="",BB107=0),"",BC107/BB107)</f>
        <v/>
      </c>
      <c r="BE107">
        <f>IF(OR($A107="",AQ107=5),"",IF(AND(INDEX('Beállítások'!$E$108:$E$112,AQ107)&gt;0,Y107&gt;='Beállítások'!$B$91),"Igen","Nem"))</f>
        <v/>
      </c>
      <c r="BF107" s="10">
        <f>IF(BE107="Igen",CEILING(ROUND(AZ107*(1-'Beállítások'!$B$92),2),'Beállítások'!$B$99),"")</f>
        <v/>
      </c>
      <c r="BG107" s="20">
        <f>IF(BE107="Igen",INDEX('Beállítások'!$E$108:$E$112,AQ107),"")</f>
        <v/>
      </c>
      <c r="BH107" s="10">
        <f>IF(OR(BE107&lt;&gt;"Igen",'Ügyfelek'!AN107=""),"",'Ügyfelek'!AN107*BG107)</f>
        <v/>
      </c>
      <c r="BI107" s="24">
        <f>IF($A107="","",('Ügyfelek'!B107="")+('Ügyfelek'!C107="")+('Ügyfelek'!D107="")+('Ügyfelek'!E107="")+('Ügyfelek'!F107="")+('Ügyfelek'!G107="")+('Ügyfelek'!H107="")+('Ügyfelek'!I107="")+('Ügyfelek'!J107="")+('Ügyfelek'!K107="")+('Ügyfelek'!L107="")+('Ügyfelek'!M107="")+('Ügyfelek'!N107="")+('Ügyfelek'!O107="")+('Ügyfelek'!P107="")+('Ügyfelek'!Q107="")+('Ügyfelek'!R107="")+('Ügyfelek'!S107="")+('Ügyfelek'!T107="")+('Ügyfelek'!U107="")+('Ügyfelek'!V107="")+('Ügyfelek'!W107="")+('Ügyfelek'!X107="")+('Ügyfelek'!Y107="")+('Ügyfelek'!Z107="")+('Ügyfelek'!AA107="")+('Ügyfelek'!AB107="")+('Ügyfelek'!AC107="")+('Ügyfelek'!AD107="")+('Ügyfelek'!AE107="")+('Ügyfelek'!AF107="")+('Ügyfelek'!AG107="")+('Ügyfelek'!AH107=""))</f>
        <v/>
      </c>
      <c r="BK107">
        <f>IF($A107="","",B107+'Beállítások'!$E$6/1000)</f>
        <v/>
      </c>
      <c r="BL107">
        <f>IF($A107="","",C107+'Beállítások'!$E$7/1000)</f>
        <v/>
      </c>
      <c r="BM107">
        <f>IF($A107="","",D107+'Beállítások'!$E$8/1000)</f>
        <v/>
      </c>
      <c r="BN107">
        <f>IF($A107="","",E107+'Beállítások'!$E$9/1000)</f>
        <v/>
      </c>
      <c r="BO107">
        <f>IF($A107="","",F107+'Beállítások'!$E$10/1000)</f>
        <v/>
      </c>
      <c r="BP107">
        <f>IF($A107="","",G107+'Beállítások'!$E$11/1000)</f>
        <v/>
      </c>
      <c r="BQ107">
        <f>IF($A107="","",H107+'Beállítások'!$E$12/1000)</f>
        <v/>
      </c>
      <c r="BR107">
        <f>IF($A107="","",I107+'Beállítások'!$E$13/1000)</f>
        <v/>
      </c>
      <c r="BS107">
        <f>IF($A107="","",J107+'Beállítások'!$E$14/1000)</f>
        <v/>
      </c>
      <c r="BT107">
        <f>IF($A107="","",K107+'Beállítások'!$E$15/1000)</f>
        <v/>
      </c>
      <c r="BU107">
        <f>IF($A107="","",L107+'Beállítások'!$E$16/1000)</f>
        <v/>
      </c>
      <c r="BV107">
        <f>IF($A107="","",M107+'Beállítások'!$E$17/1000)</f>
        <v/>
      </c>
      <c r="BW107">
        <f>IF($A107="","",N107+'Beállítások'!$E$18/1000)</f>
        <v/>
      </c>
      <c r="BX107">
        <f>IF($A107="","",O107+'Beállítások'!$E$19/1000)</f>
        <v/>
      </c>
      <c r="BY107">
        <f>IF($A107="","",P107+'Beállítások'!$E$20/1000)</f>
        <v/>
      </c>
      <c r="BZ107">
        <f>IF($A107="","",Q107+'Beállítások'!$E$21/1000)</f>
        <v/>
      </c>
      <c r="CA107">
        <f>IF($A107="","",R107+'Beállítások'!$E$22/1000)</f>
        <v/>
      </c>
      <c r="CB107">
        <f>IF($A107="","",S107+'Beállítások'!$E$23/1000)</f>
        <v/>
      </c>
      <c r="CC107">
        <f>IF($A107="","",T107+'Beállítások'!$E$24/1000)</f>
        <v/>
      </c>
      <c r="CD107">
        <f>IF($A107="","",U107+'Beállítások'!$E$25/1000)</f>
        <v/>
      </c>
      <c r="CE107">
        <f>IF($A107="","",V107+'Beállítások'!$E$26/1000)</f>
        <v/>
      </c>
      <c r="CF107">
        <f>IF($A107="","",W107+'Beállítások'!$E$27/1000)</f>
        <v/>
      </c>
      <c r="CG107">
        <f>IF($A107="","",X107+'Beállítások'!$E$28/1000)</f>
        <v/>
      </c>
      <c r="CH107">
        <f>IF($A107="","",Y107+'Beállítások'!$E$29/1000)</f>
        <v/>
      </c>
      <c r="CI107">
        <f>IF($A107="","",Z107+'Beállítások'!$E$30/1000)</f>
        <v/>
      </c>
      <c r="CJ107">
        <f>IF($A107="","",AA107+'Beállítások'!$E$31/1000)</f>
        <v/>
      </c>
      <c r="CK107">
        <f>IF($A107="","",AB107+'Beállítások'!$E$32/1000)</f>
        <v/>
      </c>
      <c r="CL107">
        <f>IF($A107="","",AC107+'Beállítások'!$E$33/1000)</f>
        <v/>
      </c>
      <c r="CM107">
        <f>IF($A107="","",AD107+'Beállítások'!$E$34/1000)</f>
        <v/>
      </c>
      <c r="CN107">
        <f>IF($A107="","",AE107+'Beállítások'!$E$35/1000)</f>
        <v/>
      </c>
      <c r="CO107">
        <f>IF($A107="","",AF107+'Beállítások'!$E$36/1000)</f>
        <v/>
      </c>
      <c r="CP107">
        <f>IF($A107="","",AG107+'Beállítások'!$E$37/1000)</f>
        <v/>
      </c>
      <c r="CQ107">
        <f>IF($A107="","",AH107+'Beállítások'!$E$38/1000)</f>
        <v/>
      </c>
      <c r="CR107">
        <f>IF($A107="","",'Beállítások'!$E$6*(10-B107))</f>
        <v/>
      </c>
      <c r="CS107">
        <f>IF($A107="","",'Beállítások'!$E$7*(10-C107))</f>
        <v/>
      </c>
      <c r="CT107">
        <f>IF($A107="","",'Beállítások'!$E$8*(10-D107))</f>
        <v/>
      </c>
      <c r="CU107">
        <f>IF($A107="","",'Beállítások'!$E$9*(10-E107))</f>
        <v/>
      </c>
      <c r="CV107">
        <f>IF($A107="","",'Beállítások'!$E$10*(10-F107))</f>
        <v/>
      </c>
      <c r="CW107">
        <f>IF($A107="","",'Beállítások'!$E$11*(10-G107))</f>
        <v/>
      </c>
      <c r="CX107">
        <f>IF($A107="","",'Beállítások'!$E$12*(10-H107))</f>
        <v/>
      </c>
      <c r="CY107">
        <f>IF($A107="","",'Beállítások'!$E$13*(10-I107))</f>
        <v/>
      </c>
      <c r="CZ107">
        <f>IF($A107="","",'Beállítások'!$E$14*(10-J107))</f>
        <v/>
      </c>
      <c r="DA107">
        <f>IF($A107="","",'Beállítások'!$E$15*(10-K107))</f>
        <v/>
      </c>
      <c r="DB107">
        <f>IF($A107="","",'Beállítások'!$E$16*(10-L107))</f>
        <v/>
      </c>
      <c r="DC107">
        <f>IF($A107="","",'Beállítások'!$E$17*(10-M107))</f>
        <v/>
      </c>
      <c r="DD107">
        <f>IF($A107="","",'Beállítások'!$E$18*(10-N107))</f>
        <v/>
      </c>
      <c r="DE107">
        <f>IF($A107="","",'Beállítások'!$E$19*(10-O107))</f>
        <v/>
      </c>
      <c r="DF107">
        <f>IF($A107="","",'Beállítások'!$E$20*(10-P107))</f>
        <v/>
      </c>
      <c r="DG107">
        <f>IF($A107="","",'Beállítások'!$E$21*(10-Q107))</f>
        <v/>
      </c>
      <c r="DH107">
        <f>IF($A107="","",'Beállítások'!$E$22*(10-R107))</f>
        <v/>
      </c>
      <c r="DI107">
        <f>IF($A107="","",'Beállítások'!$E$23*(10-S107))</f>
        <v/>
      </c>
      <c r="DJ107">
        <f>IF($A107="","",'Beállítások'!$E$24*(10-T107))</f>
        <v/>
      </c>
      <c r="DK107">
        <f>IF($A107="","",'Beállítások'!$E$25*(10-U107))</f>
        <v/>
      </c>
      <c r="DL107">
        <f>IF($A107="","",'Beállítások'!$E$26*(10-V107))</f>
        <v/>
      </c>
      <c r="DM107">
        <f>IF($A107="","",'Beállítások'!$E$27*(10-W107))</f>
        <v/>
      </c>
      <c r="DN107">
        <f>IF($A107="","",'Beállítások'!$E$28*(10-X107))</f>
        <v/>
      </c>
      <c r="DO107">
        <f>IF($A107="","",'Beállítások'!$E$29*(10-Y107))</f>
        <v/>
      </c>
      <c r="DP107">
        <f>IF($A107="","",'Beállítások'!$E$30*(10-Z107))</f>
        <v/>
      </c>
      <c r="DQ107">
        <f>IF($A107="","",'Beállítások'!$E$31*(10-AA107))</f>
        <v/>
      </c>
      <c r="DR107">
        <f>IF($A107="","",'Beállítások'!$E$32*(10-AB107))</f>
        <v/>
      </c>
      <c r="DS107">
        <f>IF($A107="","",'Beállítások'!$E$33*(10-AC107))</f>
        <v/>
      </c>
      <c r="DT107">
        <f>IF($A107="","",'Beállítások'!$E$34*(10-AD107))</f>
        <v/>
      </c>
      <c r="DU107">
        <f>IF($A107="","",'Beállítások'!$E$35*(10-AE107))</f>
        <v/>
      </c>
      <c r="DV107">
        <f>IF($A107="","",'Beállítások'!$E$36*(10-AF107))</f>
        <v/>
      </c>
      <c r="DW107">
        <f>IF($A107="","",'Beállítások'!$E$37*(10-AG107))</f>
        <v/>
      </c>
      <c r="DX107">
        <f>IF($A107="","",'Beállítások'!$E$38*(10-AH107))</f>
        <v/>
      </c>
      <c r="DY107">
        <f>IF($A107="","",AM107-ROW()/100000)</f>
        <v/>
      </c>
    </row>
    <row r="108">
      <c r="A108">
        <f>IF('Ügyfelek'!A108="","",'Ügyfelek'!A108)</f>
        <v/>
      </c>
      <c r="B108">
        <f>IF($A108="","",IF('Ügyfelek'!B108="",'Beállítások'!$B$84,IFERROR(VLOOKUP(TRIM('Ügyfelek'!B108),'Beállítások'!$A$51:$B$59,2,FALSE),'Beállítások'!$B$84)))</f>
        <v/>
      </c>
      <c r="C108">
        <f>IF($A108="","",IF('Ügyfelek'!C108="",'Beállítások'!$B$84,MIN(10,MAX(1,ROUND('Ügyfelek'!C108,0)))))</f>
        <v/>
      </c>
      <c r="D108">
        <f>IF($A108="","",IF('Ügyfelek'!D108="",'Beállítások'!$B$84,MIN(10,MAX(1,ROUND('Ügyfelek'!D108,0)))))</f>
        <v/>
      </c>
      <c r="E108">
        <f>IF($A108="","",IF('Ügyfelek'!E108="",'Beállítások'!$B$84,MIN(10,MAX(1,ROUND('Ügyfelek'!E108,0)))))</f>
        <v/>
      </c>
      <c r="F108">
        <f>IF($A108="","",IF('Ügyfelek'!F108="",'Beállítások'!$B$84,MIN(10,MAX(1,ROUND('Ügyfelek'!F108,0)))))</f>
        <v/>
      </c>
      <c r="G108">
        <f>IF($A108="","",IF('Ügyfelek'!G108="",'Beállítások'!$B$84,MIN(10,MAX(1,ROUND('Ügyfelek'!G108,0)))))</f>
        <v/>
      </c>
      <c r="H108">
        <f>IF($A108="","",IF('Ügyfelek'!H108="",'Beállítások'!$B$84,MIN(10,MAX(1,ROUND('Ügyfelek'!H108,0)))))</f>
        <v/>
      </c>
      <c r="I108">
        <f>IF($A108="","",IF('Ügyfelek'!I108="",'Beállítások'!$B$84,MIN(10,MAX(1,ROUND('Ügyfelek'!I108,0)))))</f>
        <v/>
      </c>
      <c r="J108">
        <f>IF($A108="","",IF('Ügyfelek'!J108="",'Beállítások'!$B$84,MIN(10,MAX(1,ROUND('Ügyfelek'!J108,0)))))</f>
        <v/>
      </c>
      <c r="K108">
        <f>IF($A108="","",IF('Ügyfelek'!K108="",'Beállítások'!$B$84,MIN(10,MAX(1,ROUND('Ügyfelek'!K108,0)))))</f>
        <v/>
      </c>
      <c r="L108">
        <f>IF($A108="","",IF('Ügyfelek'!L108="",'Beállítások'!$B$84,MIN(10,MAX(1,ROUND('Ügyfelek'!L108,0)))))</f>
        <v/>
      </c>
      <c r="M108">
        <f>IF($A108="","",IF('Ügyfelek'!M108="",'Beállítások'!$B$84,MIN(10,MAX(1,ROUND('Ügyfelek'!M108,0)))))</f>
        <v/>
      </c>
      <c r="N108">
        <f>IF($A108="","",IF('Ügyfelek'!N108="",'Beállítások'!$B$84,MIN(10,MAX(1,ROUND('Ügyfelek'!N108,0)))))</f>
        <v/>
      </c>
      <c r="O108">
        <f>IF($A108="","",IF('Ügyfelek'!O108="",'Beállítások'!$B$84,MIN(10,MAX(1,ROUND('Ügyfelek'!O108,0)))))</f>
        <v/>
      </c>
      <c r="P108">
        <f>IF($A108="","",IF('Ügyfelek'!P108="",'Beállítások'!$B$84,MIN(10,MAX(1,ROUND('Ügyfelek'!P108,0)))))</f>
        <v/>
      </c>
      <c r="Q108">
        <f>IF($A108="","",IF('Ügyfelek'!Q108="",'Beállítások'!$B$84,MIN(10,MAX(1,ROUND('Ügyfelek'!Q108,0)))))</f>
        <v/>
      </c>
      <c r="R108">
        <f>IF($A108="","",IF('Ügyfelek'!R108="",'Beállítások'!$B$84,MIN(10,MAX(1,ROUND('Ügyfelek'!R108,0)))))</f>
        <v/>
      </c>
      <c r="S108">
        <f>IF($A108="","",IF('Ügyfelek'!S108="",'Beállítások'!$B$84,MIN(10,MAX(1,ROUND('Ügyfelek'!S108,0)))))</f>
        <v/>
      </c>
      <c r="T108">
        <f>IF($A108="","",IF('Ügyfelek'!T108="",'Beállítások'!$B$84,VLOOKUP(MAX('Ügyfelek'!T108,'Beállítások'!$H$7),'Beállítások'!$H$7:$I$12,2,TRUE)))</f>
        <v/>
      </c>
      <c r="U108">
        <f>IF($A108="","",IF('Ügyfelek'!U108="",'Beállítások'!$B$84,VLOOKUP(MAX('Ügyfelek'!U108,'Beállítások'!$K$7),'Beállítások'!$K$7:$L$12,2,TRUE)))</f>
        <v/>
      </c>
      <c r="V108">
        <f>IF($A108="","",IF('Ügyfelek'!V108="",'Beállítások'!$B$84,MIN(10,MAX(1,ROUND('Ügyfelek'!V108,0)))))</f>
        <v/>
      </c>
      <c r="W108">
        <f>IF($A108="","",IF('Ügyfelek'!W108="",'Beállítások'!$B$84,VLOOKUP(MAX('Ügyfelek'!W108,'Beállítások'!$N$7),'Beállítások'!$N$7:$O$12,2,TRUE)))</f>
        <v/>
      </c>
      <c r="X108">
        <f>IF($A108="","",IF('Ügyfelek'!X108="",'Beállítások'!$B$84,MIN(10,MAX(1,ROUND('Ügyfelek'!X108,0)))))</f>
        <v/>
      </c>
      <c r="Y108">
        <f>IF($A108="","",IF('Ügyfelek'!Y108="",'Beállítások'!$B$84,IFERROR(VLOOKUP(TRIM('Ügyfelek'!Y108),'Beállítások'!$A$63:$B$69,2,FALSE),'Beállítások'!$B$84)))</f>
        <v/>
      </c>
      <c r="Z108">
        <f>IF($A108="","",IF('Ügyfelek'!Z108="",'Beállítások'!$B$84,VLOOKUP(MAX('Ügyfelek'!Z108,'Beállítások'!$Q$7),'Beállítások'!$Q$7:$R$12,2,TRUE)))</f>
        <v/>
      </c>
      <c r="AA108">
        <f>IF($A108="","",IF('Ügyfelek'!AA108="",'Beállítások'!$B$84,VLOOKUP(MAX('Ügyfelek'!AA108,'Beállítások'!$T$7),'Beállítások'!$T$7:$U$12,2,TRUE)))</f>
        <v/>
      </c>
      <c r="AB108">
        <f>IF($A108="","",IF('Ügyfelek'!AB108="",'Beállítások'!$B$84,MIN(10,MAX(1,ROUND('Ügyfelek'!AB108,0)))))</f>
        <v/>
      </c>
      <c r="AC108">
        <f>IF($A108="","",IF('Ügyfelek'!AC108="",'Beállítások'!$B$84,MIN(10,MAX(1,ROUND('Ügyfelek'!AC108,0)))))</f>
        <v/>
      </c>
      <c r="AD108">
        <f>IF($A108="","",IF('Ügyfelek'!AD108="",'Beállítások'!$B$84,MIN(10,MAX(1,ROUND('Ügyfelek'!AD108,0)))))</f>
        <v/>
      </c>
      <c r="AE108">
        <f>IF($A108="","",IF('Ügyfelek'!AE108="",'Beállítások'!$B$84,MIN(10,MAX(1,ROUND('Ügyfelek'!AE108,0)))))</f>
        <v/>
      </c>
      <c r="AF108">
        <f>IF($A108="","",IF('Ügyfelek'!AF108="",'Beállítások'!$B$84,MIN(10,MAX(1,ROUND('Ügyfelek'!AF108,0)))))</f>
        <v/>
      </c>
      <c r="AG108">
        <f>IF($A108="","",IF('Ügyfelek'!AG108="",'Beállítások'!$B$84,MIN(10,MAX(1,ROUND('Ügyfelek'!AG108,0)))))</f>
        <v/>
      </c>
      <c r="AH108">
        <f>IF($A108="","",IF('Ügyfelek'!AH108="",'Beállítások'!$B$84,IFERROR(VLOOKUP(TRIM('Ügyfelek'!AH108),'Beállítások'!$A$73:$B$79,2,FALSE),'Beállítások'!$B$84)))</f>
        <v/>
      </c>
      <c r="AI108" s="23">
        <f>IF($A108="","",ROUND(100*('Beállítások'!$E$6*(B108-1)+'Beállítások'!$E$7*(C108-1))/(9*'Beállítások'!$B$43),1))</f>
        <v/>
      </c>
      <c r="AJ108" s="23">
        <f>IF($A108="","",ROUND(100*('Beállítások'!$E$8*(D108-1)+'Beállítások'!$E$9*(E108-1)+'Beállítások'!$E$10*(F108-1)+'Beállítások'!$E$11*(G108-1)+'Beállítások'!$E$12*(H108-1)+'Beállítások'!$E$13*(I108-1)+'Beállítások'!$E$14*(J108-1)+'Beállítások'!$E$15*(K108-1)+'Beállítások'!$E$16*(L108-1)+'Beállítások'!$E$17*(M108-1)+'Beállítások'!$E$18*(N108-1)+'Beállítások'!$E$19*(O108-1)+'Beállítások'!$E$20*(P108-1)+'Beállítások'!$E$21*(Q108-1)+'Beállítások'!$E$22*(R108-1))/(9*'Beállítások'!$B$44),1))</f>
        <v/>
      </c>
      <c r="AK108" s="23">
        <f>IF($A108="","",ROUND(100*('Beállítások'!$E$23*(S108-1)+'Beállítások'!$E$24*(T108-1)+'Beállítások'!$E$25*(U108-1)+'Beállítások'!$E$26*(V108-1)+'Beállítások'!$E$27*(W108-1)+'Beállítások'!$E$28*(X108-1)+'Beállítások'!$E$29*(Y108-1))/(9*'Beállítások'!$B$45),1))</f>
        <v/>
      </c>
      <c r="AL108" s="23">
        <f>IF($A108="","",ROUND(100*('Beállítások'!$E$30*(Z108-1)+'Beállítások'!$E$31*(AA108-1)+'Beállítások'!$E$32*(AB108-1)+'Beállítások'!$E$33*(AC108-1)+'Beállítások'!$E$34*(AD108-1)+'Beállítások'!$E$35*(AE108-1)+'Beállítások'!$E$36*(AF108-1)+'Beállítások'!$E$37*(AG108-1)+'Beállítások'!$E$38*(AH108-1))/(9*'Beállítások'!$B$46),1))</f>
        <v/>
      </c>
      <c r="AM108" s="23">
        <f>IF($A108="","",ROUND(100*('Beállítások'!$E$6*(B108-1)+'Beállítások'!$E$7*(C108-1)+'Beállítások'!$E$8*(D108-1)+'Beállítások'!$E$9*(E108-1)+'Beállítások'!$E$10*(F108-1)+'Beállítások'!$E$11*(G108-1)+'Beállítások'!$E$12*(H108-1)+'Beállítások'!$E$13*(I108-1)+'Beállítások'!$E$14*(J108-1)+'Beállítások'!$E$15*(K108-1)+'Beállítások'!$E$16*(L108-1)+'Beállítások'!$E$17*(M108-1)+'Beállítások'!$E$18*(N108-1)+'Beállítások'!$E$19*(O108-1)+'Beállítások'!$E$20*(P108-1)+'Beállítások'!$E$21*(Q108-1)+'Beállítások'!$E$22*(R108-1)+'Beállítások'!$E$23*(S108-1)+'Beállítások'!$E$24*(T108-1)+'Beállítások'!$E$25*(U108-1)+'Beállítások'!$E$26*(V108-1)+'Beállítások'!$E$27*(W108-1)+'Beállítások'!$E$28*(X108-1)+'Beállítások'!$E$29*(Y108-1)+'Beállítások'!$E$30*(Z108-1)+'Beállítások'!$E$31*(AA108-1)+'Beállítások'!$E$32*(AB108-1)+'Beállítások'!$E$33*(AC108-1)+'Beállítások'!$E$34*(AD108-1)+'Beállítások'!$E$35*(AE108-1)+'Beállítások'!$E$36*(AF108-1)+'Beállítások'!$E$37*(AG108-1)+'Beállítások'!$E$38*(AH108-1))/(9*'Beállítások'!$E$39),1))</f>
        <v/>
      </c>
      <c r="AN108" s="23">
        <f>IF($A108="","",ROUND(100*('Beállítások'!$E$8*(D108-1)+'Beállítások'!$E$9*(E108-1)+'Beállítások'!$E$10*(F108-1)+'Beállítások'!$E$11*(G108-1)+'Beállítások'!$E$12*(H108-1)+'Beállítások'!$E$13*(I108-1)+'Beállítások'!$E$14*(J108-1)+'Beállítások'!$E$15*(K108-1)+'Beállítások'!$E$16*(L108-1)+'Beállítások'!$E$17*(M108-1)+'Beállítások'!$E$18*(N108-1)+'Beállítások'!$E$19*(O108-1)+'Beállítások'!$E$20*(P108-1)+'Beállítások'!$E$21*(Q108-1)+'Beállítások'!$E$22*(R108-1)+'Beállítások'!$E$23*(S108-1)+'Beállítások'!$E$24*(T108-1)+'Beállítások'!$E$25*(U108-1)+'Beállítások'!$E$26*(V108-1)+'Beállítások'!$E$27*(W108-1)+'Beállítások'!$E$28*(X108-1)+'Beállítások'!$E$29*(Y108-1))/(9*('Beállítások'!$B$44+'Beállítások'!$B$45)),1))</f>
        <v/>
      </c>
      <c r="AO108" s="24">
        <f>IF($A108="","",RANK(AM108,$AM$2:$AM$201))</f>
        <v/>
      </c>
      <c r="AP108">
        <f>IF($A108="","",IF(OR(AND('Ügyfelek'!B108&lt;&gt;"",B108&lt;='Beállítások'!$B$85),AND('Ügyfelek'!C108&lt;&gt;"",C108&lt;='Beállítások'!$B$86)),"Igen","Nem"))</f>
        <v/>
      </c>
      <c r="AQ108" s="24">
        <f>IF($A108="","",IF(AP108="Igen",5,IF(AN108&gt;='Beállítások'!$C$108,1,IF(AN108&gt;='Beállítások'!$C$109,2,IF(AN108&gt;='Beállítások'!$C$110,3,IF(AND(AN108&gt;='Beállítások'!$B$87,AI108&gt;='Beállítások'!$B$88,AL108&gt;='Beállítások'!$B$89),4,5))))))</f>
        <v/>
      </c>
      <c r="AR108">
        <f>IF($A108="","",INDEX('Beállítások'!$B$108:$B$112,AQ108))</f>
        <v/>
      </c>
      <c r="AS108">
        <f>IF($A108="","",IF(AQ108=5,"Elutasítjuk",IF(AND(AQ108=4,COUNTIFS('Eredmény'!$AQ$2:$AQ$201,4,'Eredmény'!$DY$2:$DY$201,"&gt;"&amp;DY108)&gt;='Beállítások'!$B$90),"Várólista (a 4-es hely foglalt)","Elfogadjuk")))</f>
        <v/>
      </c>
      <c r="AT108">
        <f>IF($A108="","",INDEX('Beállítások'!$F$108:$F$112,AQ108))</f>
        <v/>
      </c>
      <c r="AU108">
        <f>IF($A108="","",INDEX('Beállítások'!$B$6:$B$38,MATCH(MAX(BK108:CQ108),BK108:CQ108,0)))</f>
        <v/>
      </c>
      <c r="AV108">
        <f>IF($A108="","",IF(MAX(CR108:DX108)=0,"—",INDEX('Beállítások'!$B$6:$B$38,MATCH(MAX(CR108:DX108),CR108:DX108,0))))</f>
        <v/>
      </c>
      <c r="AW108" s="10">
        <f>IF($A108="","",'Beállítások'!$B$94*(TRIM('Ügyfelek'!AI108)="igen")+'Beállítások'!$B$95*(TRIM('Ügyfelek'!AJ108)="igen")+'Beállítások'!$B$96*N('Ügyfelek'!AK108)+'Beállítások'!$B$93*N('Ügyfelek'!AL108))</f>
        <v/>
      </c>
      <c r="AX108" s="25">
        <f>IF(OR($A108="",AQ108=5),"",INDEX('Beállítások'!$D$108:$D$112,AQ108))</f>
        <v/>
      </c>
      <c r="AY108" s="10">
        <f>IF($A108="","",N('Ügyfelek'!U108)*'Beállítások'!$B$98)</f>
        <v/>
      </c>
      <c r="AZ108" s="10">
        <f>IF(OR($A108="",AQ108=5),"",CEILING(ROUND(MAX('Beállítások'!$B$97,AW108*AX108,AY108),2),'Beállítások'!$B$99))</f>
        <v/>
      </c>
      <c r="BA108">
        <f>IF($A108="","",IF(AQ108=5,"Elutasítva",IF(MAX('Beállítások'!$B$97,AW108*AX108,AY108)=AW108*AX108,"Munkaigény × státuszszorzó",IF(MAX('Beállítások'!$B$97,AW108*AX108,AY108)=AY108,"Hirdetési keret arányában","Minimumdíj"))))</f>
        <v/>
      </c>
      <c r="BB108" s="10">
        <f>IF(OR($A108="",'Ügyfelek'!AM108=""),"",'Ügyfelek'!AM108)</f>
        <v/>
      </c>
      <c r="BC108" s="10">
        <f>IF(OR(BB108="",AZ108=""),"",AZ108-BB108)</f>
        <v/>
      </c>
      <c r="BD108" s="18">
        <f>IF(OR(BB108="",AZ108="",BB108=0),"",BC108/BB108)</f>
        <v/>
      </c>
      <c r="BE108">
        <f>IF(OR($A108="",AQ108=5),"",IF(AND(INDEX('Beállítások'!$E$108:$E$112,AQ108)&gt;0,Y108&gt;='Beállítások'!$B$91),"Igen","Nem"))</f>
        <v/>
      </c>
      <c r="BF108" s="10">
        <f>IF(BE108="Igen",CEILING(ROUND(AZ108*(1-'Beállítások'!$B$92),2),'Beállítások'!$B$99),"")</f>
        <v/>
      </c>
      <c r="BG108" s="20">
        <f>IF(BE108="Igen",INDEX('Beállítások'!$E$108:$E$112,AQ108),"")</f>
        <v/>
      </c>
      <c r="BH108" s="10">
        <f>IF(OR(BE108&lt;&gt;"Igen",'Ügyfelek'!AN108=""),"",'Ügyfelek'!AN108*BG108)</f>
        <v/>
      </c>
      <c r="BI108" s="24">
        <f>IF($A108="","",('Ügyfelek'!B108="")+('Ügyfelek'!C108="")+('Ügyfelek'!D108="")+('Ügyfelek'!E108="")+('Ügyfelek'!F108="")+('Ügyfelek'!G108="")+('Ügyfelek'!H108="")+('Ügyfelek'!I108="")+('Ügyfelek'!J108="")+('Ügyfelek'!K108="")+('Ügyfelek'!L108="")+('Ügyfelek'!M108="")+('Ügyfelek'!N108="")+('Ügyfelek'!O108="")+('Ügyfelek'!P108="")+('Ügyfelek'!Q108="")+('Ügyfelek'!R108="")+('Ügyfelek'!S108="")+('Ügyfelek'!T108="")+('Ügyfelek'!U108="")+('Ügyfelek'!V108="")+('Ügyfelek'!W108="")+('Ügyfelek'!X108="")+('Ügyfelek'!Y108="")+('Ügyfelek'!Z108="")+('Ügyfelek'!AA108="")+('Ügyfelek'!AB108="")+('Ügyfelek'!AC108="")+('Ügyfelek'!AD108="")+('Ügyfelek'!AE108="")+('Ügyfelek'!AF108="")+('Ügyfelek'!AG108="")+('Ügyfelek'!AH108=""))</f>
        <v/>
      </c>
      <c r="BK108">
        <f>IF($A108="","",B108+'Beállítások'!$E$6/1000)</f>
        <v/>
      </c>
      <c r="BL108">
        <f>IF($A108="","",C108+'Beállítások'!$E$7/1000)</f>
        <v/>
      </c>
      <c r="BM108">
        <f>IF($A108="","",D108+'Beállítások'!$E$8/1000)</f>
        <v/>
      </c>
      <c r="BN108">
        <f>IF($A108="","",E108+'Beállítások'!$E$9/1000)</f>
        <v/>
      </c>
      <c r="BO108">
        <f>IF($A108="","",F108+'Beállítások'!$E$10/1000)</f>
        <v/>
      </c>
      <c r="BP108">
        <f>IF($A108="","",G108+'Beállítások'!$E$11/1000)</f>
        <v/>
      </c>
      <c r="BQ108">
        <f>IF($A108="","",H108+'Beállítások'!$E$12/1000)</f>
        <v/>
      </c>
      <c r="BR108">
        <f>IF($A108="","",I108+'Beállítások'!$E$13/1000)</f>
        <v/>
      </c>
      <c r="BS108">
        <f>IF($A108="","",J108+'Beállítások'!$E$14/1000)</f>
        <v/>
      </c>
      <c r="BT108">
        <f>IF($A108="","",K108+'Beállítások'!$E$15/1000)</f>
        <v/>
      </c>
      <c r="BU108">
        <f>IF($A108="","",L108+'Beállítások'!$E$16/1000)</f>
        <v/>
      </c>
      <c r="BV108">
        <f>IF($A108="","",M108+'Beállítások'!$E$17/1000)</f>
        <v/>
      </c>
      <c r="BW108">
        <f>IF($A108="","",N108+'Beállítások'!$E$18/1000)</f>
        <v/>
      </c>
      <c r="BX108">
        <f>IF($A108="","",O108+'Beállítások'!$E$19/1000)</f>
        <v/>
      </c>
      <c r="BY108">
        <f>IF($A108="","",P108+'Beállítások'!$E$20/1000)</f>
        <v/>
      </c>
      <c r="BZ108">
        <f>IF($A108="","",Q108+'Beállítások'!$E$21/1000)</f>
        <v/>
      </c>
      <c r="CA108">
        <f>IF($A108="","",R108+'Beállítások'!$E$22/1000)</f>
        <v/>
      </c>
      <c r="CB108">
        <f>IF($A108="","",S108+'Beállítások'!$E$23/1000)</f>
        <v/>
      </c>
      <c r="CC108">
        <f>IF($A108="","",T108+'Beállítások'!$E$24/1000)</f>
        <v/>
      </c>
      <c r="CD108">
        <f>IF($A108="","",U108+'Beállítások'!$E$25/1000)</f>
        <v/>
      </c>
      <c r="CE108">
        <f>IF($A108="","",V108+'Beállítások'!$E$26/1000)</f>
        <v/>
      </c>
      <c r="CF108">
        <f>IF($A108="","",W108+'Beállítások'!$E$27/1000)</f>
        <v/>
      </c>
      <c r="CG108">
        <f>IF($A108="","",X108+'Beállítások'!$E$28/1000)</f>
        <v/>
      </c>
      <c r="CH108">
        <f>IF($A108="","",Y108+'Beállítások'!$E$29/1000)</f>
        <v/>
      </c>
      <c r="CI108">
        <f>IF($A108="","",Z108+'Beállítások'!$E$30/1000)</f>
        <v/>
      </c>
      <c r="CJ108">
        <f>IF($A108="","",AA108+'Beállítások'!$E$31/1000)</f>
        <v/>
      </c>
      <c r="CK108">
        <f>IF($A108="","",AB108+'Beállítások'!$E$32/1000)</f>
        <v/>
      </c>
      <c r="CL108">
        <f>IF($A108="","",AC108+'Beállítások'!$E$33/1000)</f>
        <v/>
      </c>
      <c r="CM108">
        <f>IF($A108="","",AD108+'Beállítások'!$E$34/1000)</f>
        <v/>
      </c>
      <c r="CN108">
        <f>IF($A108="","",AE108+'Beállítások'!$E$35/1000)</f>
        <v/>
      </c>
      <c r="CO108">
        <f>IF($A108="","",AF108+'Beállítások'!$E$36/1000)</f>
        <v/>
      </c>
      <c r="CP108">
        <f>IF($A108="","",AG108+'Beállítások'!$E$37/1000)</f>
        <v/>
      </c>
      <c r="CQ108">
        <f>IF($A108="","",AH108+'Beállítások'!$E$38/1000)</f>
        <v/>
      </c>
      <c r="CR108">
        <f>IF($A108="","",'Beállítások'!$E$6*(10-B108))</f>
        <v/>
      </c>
      <c r="CS108">
        <f>IF($A108="","",'Beállítások'!$E$7*(10-C108))</f>
        <v/>
      </c>
      <c r="CT108">
        <f>IF($A108="","",'Beállítások'!$E$8*(10-D108))</f>
        <v/>
      </c>
      <c r="CU108">
        <f>IF($A108="","",'Beállítások'!$E$9*(10-E108))</f>
        <v/>
      </c>
      <c r="CV108">
        <f>IF($A108="","",'Beállítások'!$E$10*(10-F108))</f>
        <v/>
      </c>
      <c r="CW108">
        <f>IF($A108="","",'Beállítások'!$E$11*(10-G108))</f>
        <v/>
      </c>
      <c r="CX108">
        <f>IF($A108="","",'Beállítások'!$E$12*(10-H108))</f>
        <v/>
      </c>
      <c r="CY108">
        <f>IF($A108="","",'Beállítások'!$E$13*(10-I108))</f>
        <v/>
      </c>
      <c r="CZ108">
        <f>IF($A108="","",'Beállítások'!$E$14*(10-J108))</f>
        <v/>
      </c>
      <c r="DA108">
        <f>IF($A108="","",'Beállítások'!$E$15*(10-K108))</f>
        <v/>
      </c>
      <c r="DB108">
        <f>IF($A108="","",'Beállítások'!$E$16*(10-L108))</f>
        <v/>
      </c>
      <c r="DC108">
        <f>IF($A108="","",'Beállítások'!$E$17*(10-M108))</f>
        <v/>
      </c>
      <c r="DD108">
        <f>IF($A108="","",'Beállítások'!$E$18*(10-N108))</f>
        <v/>
      </c>
      <c r="DE108">
        <f>IF($A108="","",'Beállítások'!$E$19*(10-O108))</f>
        <v/>
      </c>
      <c r="DF108">
        <f>IF($A108="","",'Beállítások'!$E$20*(10-P108))</f>
        <v/>
      </c>
      <c r="DG108">
        <f>IF($A108="","",'Beállítások'!$E$21*(10-Q108))</f>
        <v/>
      </c>
      <c r="DH108">
        <f>IF($A108="","",'Beállítások'!$E$22*(10-R108))</f>
        <v/>
      </c>
      <c r="DI108">
        <f>IF($A108="","",'Beállítások'!$E$23*(10-S108))</f>
        <v/>
      </c>
      <c r="DJ108">
        <f>IF($A108="","",'Beállítások'!$E$24*(10-T108))</f>
        <v/>
      </c>
      <c r="DK108">
        <f>IF($A108="","",'Beállítások'!$E$25*(10-U108))</f>
        <v/>
      </c>
      <c r="DL108">
        <f>IF($A108="","",'Beállítások'!$E$26*(10-V108))</f>
        <v/>
      </c>
      <c r="DM108">
        <f>IF($A108="","",'Beállítások'!$E$27*(10-W108))</f>
        <v/>
      </c>
      <c r="DN108">
        <f>IF($A108="","",'Beállítások'!$E$28*(10-X108))</f>
        <v/>
      </c>
      <c r="DO108">
        <f>IF($A108="","",'Beállítások'!$E$29*(10-Y108))</f>
        <v/>
      </c>
      <c r="DP108">
        <f>IF($A108="","",'Beállítások'!$E$30*(10-Z108))</f>
        <v/>
      </c>
      <c r="DQ108">
        <f>IF($A108="","",'Beállítások'!$E$31*(10-AA108))</f>
        <v/>
      </c>
      <c r="DR108">
        <f>IF($A108="","",'Beállítások'!$E$32*(10-AB108))</f>
        <v/>
      </c>
      <c r="DS108">
        <f>IF($A108="","",'Beállítások'!$E$33*(10-AC108))</f>
        <v/>
      </c>
      <c r="DT108">
        <f>IF($A108="","",'Beállítások'!$E$34*(10-AD108))</f>
        <v/>
      </c>
      <c r="DU108">
        <f>IF($A108="","",'Beállítások'!$E$35*(10-AE108))</f>
        <v/>
      </c>
      <c r="DV108">
        <f>IF($A108="","",'Beállítások'!$E$36*(10-AF108))</f>
        <v/>
      </c>
      <c r="DW108">
        <f>IF($A108="","",'Beállítások'!$E$37*(10-AG108))</f>
        <v/>
      </c>
      <c r="DX108">
        <f>IF($A108="","",'Beállítások'!$E$38*(10-AH108))</f>
        <v/>
      </c>
      <c r="DY108">
        <f>IF($A108="","",AM108-ROW()/100000)</f>
        <v/>
      </c>
    </row>
    <row r="109">
      <c r="A109">
        <f>IF('Ügyfelek'!A109="","",'Ügyfelek'!A109)</f>
        <v/>
      </c>
      <c r="B109">
        <f>IF($A109="","",IF('Ügyfelek'!B109="",'Beállítások'!$B$84,IFERROR(VLOOKUP(TRIM('Ügyfelek'!B109),'Beállítások'!$A$51:$B$59,2,FALSE),'Beállítások'!$B$84)))</f>
        <v/>
      </c>
      <c r="C109">
        <f>IF($A109="","",IF('Ügyfelek'!C109="",'Beállítások'!$B$84,MIN(10,MAX(1,ROUND('Ügyfelek'!C109,0)))))</f>
        <v/>
      </c>
      <c r="D109">
        <f>IF($A109="","",IF('Ügyfelek'!D109="",'Beállítások'!$B$84,MIN(10,MAX(1,ROUND('Ügyfelek'!D109,0)))))</f>
        <v/>
      </c>
      <c r="E109">
        <f>IF($A109="","",IF('Ügyfelek'!E109="",'Beállítások'!$B$84,MIN(10,MAX(1,ROUND('Ügyfelek'!E109,0)))))</f>
        <v/>
      </c>
      <c r="F109">
        <f>IF($A109="","",IF('Ügyfelek'!F109="",'Beállítások'!$B$84,MIN(10,MAX(1,ROUND('Ügyfelek'!F109,0)))))</f>
        <v/>
      </c>
      <c r="G109">
        <f>IF($A109="","",IF('Ügyfelek'!G109="",'Beállítások'!$B$84,MIN(10,MAX(1,ROUND('Ügyfelek'!G109,0)))))</f>
        <v/>
      </c>
      <c r="H109">
        <f>IF($A109="","",IF('Ügyfelek'!H109="",'Beállítások'!$B$84,MIN(10,MAX(1,ROUND('Ügyfelek'!H109,0)))))</f>
        <v/>
      </c>
      <c r="I109">
        <f>IF($A109="","",IF('Ügyfelek'!I109="",'Beállítások'!$B$84,MIN(10,MAX(1,ROUND('Ügyfelek'!I109,0)))))</f>
        <v/>
      </c>
      <c r="J109">
        <f>IF($A109="","",IF('Ügyfelek'!J109="",'Beállítások'!$B$84,MIN(10,MAX(1,ROUND('Ügyfelek'!J109,0)))))</f>
        <v/>
      </c>
      <c r="K109">
        <f>IF($A109="","",IF('Ügyfelek'!K109="",'Beállítások'!$B$84,MIN(10,MAX(1,ROUND('Ügyfelek'!K109,0)))))</f>
        <v/>
      </c>
      <c r="L109">
        <f>IF($A109="","",IF('Ügyfelek'!L109="",'Beállítások'!$B$84,MIN(10,MAX(1,ROUND('Ügyfelek'!L109,0)))))</f>
        <v/>
      </c>
      <c r="M109">
        <f>IF($A109="","",IF('Ügyfelek'!M109="",'Beállítások'!$B$84,MIN(10,MAX(1,ROUND('Ügyfelek'!M109,0)))))</f>
        <v/>
      </c>
      <c r="N109">
        <f>IF($A109="","",IF('Ügyfelek'!N109="",'Beállítások'!$B$84,MIN(10,MAX(1,ROUND('Ügyfelek'!N109,0)))))</f>
        <v/>
      </c>
      <c r="O109">
        <f>IF($A109="","",IF('Ügyfelek'!O109="",'Beállítások'!$B$84,MIN(10,MAX(1,ROUND('Ügyfelek'!O109,0)))))</f>
        <v/>
      </c>
      <c r="P109">
        <f>IF($A109="","",IF('Ügyfelek'!P109="",'Beállítások'!$B$84,MIN(10,MAX(1,ROUND('Ügyfelek'!P109,0)))))</f>
        <v/>
      </c>
      <c r="Q109">
        <f>IF($A109="","",IF('Ügyfelek'!Q109="",'Beállítások'!$B$84,MIN(10,MAX(1,ROUND('Ügyfelek'!Q109,0)))))</f>
        <v/>
      </c>
      <c r="R109">
        <f>IF($A109="","",IF('Ügyfelek'!R109="",'Beállítások'!$B$84,MIN(10,MAX(1,ROUND('Ügyfelek'!R109,0)))))</f>
        <v/>
      </c>
      <c r="S109">
        <f>IF($A109="","",IF('Ügyfelek'!S109="",'Beállítások'!$B$84,MIN(10,MAX(1,ROUND('Ügyfelek'!S109,0)))))</f>
        <v/>
      </c>
      <c r="T109">
        <f>IF($A109="","",IF('Ügyfelek'!T109="",'Beállítások'!$B$84,VLOOKUP(MAX('Ügyfelek'!T109,'Beállítások'!$H$7),'Beállítások'!$H$7:$I$12,2,TRUE)))</f>
        <v/>
      </c>
      <c r="U109">
        <f>IF($A109="","",IF('Ügyfelek'!U109="",'Beállítások'!$B$84,VLOOKUP(MAX('Ügyfelek'!U109,'Beállítások'!$K$7),'Beállítások'!$K$7:$L$12,2,TRUE)))</f>
        <v/>
      </c>
      <c r="V109">
        <f>IF($A109="","",IF('Ügyfelek'!V109="",'Beállítások'!$B$84,MIN(10,MAX(1,ROUND('Ügyfelek'!V109,0)))))</f>
        <v/>
      </c>
      <c r="W109">
        <f>IF($A109="","",IF('Ügyfelek'!W109="",'Beállítások'!$B$84,VLOOKUP(MAX('Ügyfelek'!W109,'Beállítások'!$N$7),'Beállítások'!$N$7:$O$12,2,TRUE)))</f>
        <v/>
      </c>
      <c r="X109">
        <f>IF($A109="","",IF('Ügyfelek'!X109="",'Beállítások'!$B$84,MIN(10,MAX(1,ROUND('Ügyfelek'!X109,0)))))</f>
        <v/>
      </c>
      <c r="Y109">
        <f>IF($A109="","",IF('Ügyfelek'!Y109="",'Beállítások'!$B$84,IFERROR(VLOOKUP(TRIM('Ügyfelek'!Y109),'Beállítások'!$A$63:$B$69,2,FALSE),'Beállítások'!$B$84)))</f>
        <v/>
      </c>
      <c r="Z109">
        <f>IF($A109="","",IF('Ügyfelek'!Z109="",'Beállítások'!$B$84,VLOOKUP(MAX('Ügyfelek'!Z109,'Beállítások'!$Q$7),'Beállítások'!$Q$7:$R$12,2,TRUE)))</f>
        <v/>
      </c>
      <c r="AA109">
        <f>IF($A109="","",IF('Ügyfelek'!AA109="",'Beállítások'!$B$84,VLOOKUP(MAX('Ügyfelek'!AA109,'Beállítások'!$T$7),'Beállítások'!$T$7:$U$12,2,TRUE)))</f>
        <v/>
      </c>
      <c r="AB109">
        <f>IF($A109="","",IF('Ügyfelek'!AB109="",'Beállítások'!$B$84,MIN(10,MAX(1,ROUND('Ügyfelek'!AB109,0)))))</f>
        <v/>
      </c>
      <c r="AC109">
        <f>IF($A109="","",IF('Ügyfelek'!AC109="",'Beállítások'!$B$84,MIN(10,MAX(1,ROUND('Ügyfelek'!AC109,0)))))</f>
        <v/>
      </c>
      <c r="AD109">
        <f>IF($A109="","",IF('Ügyfelek'!AD109="",'Beállítások'!$B$84,MIN(10,MAX(1,ROUND('Ügyfelek'!AD109,0)))))</f>
        <v/>
      </c>
      <c r="AE109">
        <f>IF($A109="","",IF('Ügyfelek'!AE109="",'Beállítások'!$B$84,MIN(10,MAX(1,ROUND('Ügyfelek'!AE109,0)))))</f>
        <v/>
      </c>
      <c r="AF109">
        <f>IF($A109="","",IF('Ügyfelek'!AF109="",'Beállítások'!$B$84,MIN(10,MAX(1,ROUND('Ügyfelek'!AF109,0)))))</f>
        <v/>
      </c>
      <c r="AG109">
        <f>IF($A109="","",IF('Ügyfelek'!AG109="",'Beállítások'!$B$84,MIN(10,MAX(1,ROUND('Ügyfelek'!AG109,0)))))</f>
        <v/>
      </c>
      <c r="AH109">
        <f>IF($A109="","",IF('Ügyfelek'!AH109="",'Beállítások'!$B$84,IFERROR(VLOOKUP(TRIM('Ügyfelek'!AH109),'Beállítások'!$A$73:$B$79,2,FALSE),'Beállítások'!$B$84)))</f>
        <v/>
      </c>
      <c r="AI109" s="23">
        <f>IF($A109="","",ROUND(100*('Beállítások'!$E$6*(B109-1)+'Beállítások'!$E$7*(C109-1))/(9*'Beállítások'!$B$43),1))</f>
        <v/>
      </c>
      <c r="AJ109" s="23">
        <f>IF($A109="","",ROUND(100*('Beállítások'!$E$8*(D109-1)+'Beállítások'!$E$9*(E109-1)+'Beállítások'!$E$10*(F109-1)+'Beállítások'!$E$11*(G109-1)+'Beállítások'!$E$12*(H109-1)+'Beállítások'!$E$13*(I109-1)+'Beállítások'!$E$14*(J109-1)+'Beállítások'!$E$15*(K109-1)+'Beállítások'!$E$16*(L109-1)+'Beállítások'!$E$17*(M109-1)+'Beállítások'!$E$18*(N109-1)+'Beállítások'!$E$19*(O109-1)+'Beállítások'!$E$20*(P109-1)+'Beállítások'!$E$21*(Q109-1)+'Beállítások'!$E$22*(R109-1))/(9*'Beállítások'!$B$44),1))</f>
        <v/>
      </c>
      <c r="AK109" s="23">
        <f>IF($A109="","",ROUND(100*('Beállítások'!$E$23*(S109-1)+'Beállítások'!$E$24*(T109-1)+'Beállítások'!$E$25*(U109-1)+'Beállítások'!$E$26*(V109-1)+'Beállítások'!$E$27*(W109-1)+'Beállítások'!$E$28*(X109-1)+'Beállítások'!$E$29*(Y109-1))/(9*'Beállítások'!$B$45),1))</f>
        <v/>
      </c>
      <c r="AL109" s="23">
        <f>IF($A109="","",ROUND(100*('Beállítások'!$E$30*(Z109-1)+'Beállítások'!$E$31*(AA109-1)+'Beállítások'!$E$32*(AB109-1)+'Beállítások'!$E$33*(AC109-1)+'Beállítások'!$E$34*(AD109-1)+'Beállítások'!$E$35*(AE109-1)+'Beállítások'!$E$36*(AF109-1)+'Beállítások'!$E$37*(AG109-1)+'Beállítások'!$E$38*(AH109-1))/(9*'Beállítások'!$B$46),1))</f>
        <v/>
      </c>
      <c r="AM109" s="23">
        <f>IF($A109="","",ROUND(100*('Beállítások'!$E$6*(B109-1)+'Beállítások'!$E$7*(C109-1)+'Beállítások'!$E$8*(D109-1)+'Beállítások'!$E$9*(E109-1)+'Beállítások'!$E$10*(F109-1)+'Beállítások'!$E$11*(G109-1)+'Beállítások'!$E$12*(H109-1)+'Beállítások'!$E$13*(I109-1)+'Beállítások'!$E$14*(J109-1)+'Beállítások'!$E$15*(K109-1)+'Beállítások'!$E$16*(L109-1)+'Beállítások'!$E$17*(M109-1)+'Beállítások'!$E$18*(N109-1)+'Beállítások'!$E$19*(O109-1)+'Beállítások'!$E$20*(P109-1)+'Beállítások'!$E$21*(Q109-1)+'Beállítások'!$E$22*(R109-1)+'Beállítások'!$E$23*(S109-1)+'Beállítások'!$E$24*(T109-1)+'Beállítások'!$E$25*(U109-1)+'Beállítások'!$E$26*(V109-1)+'Beállítások'!$E$27*(W109-1)+'Beállítások'!$E$28*(X109-1)+'Beállítások'!$E$29*(Y109-1)+'Beállítások'!$E$30*(Z109-1)+'Beállítások'!$E$31*(AA109-1)+'Beállítások'!$E$32*(AB109-1)+'Beállítások'!$E$33*(AC109-1)+'Beállítások'!$E$34*(AD109-1)+'Beállítások'!$E$35*(AE109-1)+'Beállítások'!$E$36*(AF109-1)+'Beállítások'!$E$37*(AG109-1)+'Beállítások'!$E$38*(AH109-1))/(9*'Beállítások'!$E$39),1))</f>
        <v/>
      </c>
      <c r="AN109" s="23">
        <f>IF($A109="","",ROUND(100*('Beállítások'!$E$8*(D109-1)+'Beállítások'!$E$9*(E109-1)+'Beállítások'!$E$10*(F109-1)+'Beállítások'!$E$11*(G109-1)+'Beállítások'!$E$12*(H109-1)+'Beállítások'!$E$13*(I109-1)+'Beállítások'!$E$14*(J109-1)+'Beállítások'!$E$15*(K109-1)+'Beállítások'!$E$16*(L109-1)+'Beállítások'!$E$17*(M109-1)+'Beállítások'!$E$18*(N109-1)+'Beállítások'!$E$19*(O109-1)+'Beállítások'!$E$20*(P109-1)+'Beállítások'!$E$21*(Q109-1)+'Beállítások'!$E$22*(R109-1)+'Beállítások'!$E$23*(S109-1)+'Beállítások'!$E$24*(T109-1)+'Beállítások'!$E$25*(U109-1)+'Beállítások'!$E$26*(V109-1)+'Beállítások'!$E$27*(W109-1)+'Beállítások'!$E$28*(X109-1)+'Beállítások'!$E$29*(Y109-1))/(9*('Beállítások'!$B$44+'Beállítások'!$B$45)),1))</f>
        <v/>
      </c>
      <c r="AO109" s="24">
        <f>IF($A109="","",RANK(AM109,$AM$2:$AM$201))</f>
        <v/>
      </c>
      <c r="AP109">
        <f>IF($A109="","",IF(OR(AND('Ügyfelek'!B109&lt;&gt;"",B109&lt;='Beállítások'!$B$85),AND('Ügyfelek'!C109&lt;&gt;"",C109&lt;='Beállítások'!$B$86)),"Igen","Nem"))</f>
        <v/>
      </c>
      <c r="AQ109" s="24">
        <f>IF($A109="","",IF(AP109="Igen",5,IF(AN109&gt;='Beállítások'!$C$108,1,IF(AN109&gt;='Beállítások'!$C$109,2,IF(AN109&gt;='Beállítások'!$C$110,3,IF(AND(AN109&gt;='Beállítások'!$B$87,AI109&gt;='Beállítások'!$B$88,AL109&gt;='Beállítások'!$B$89),4,5))))))</f>
        <v/>
      </c>
      <c r="AR109">
        <f>IF($A109="","",INDEX('Beállítások'!$B$108:$B$112,AQ109))</f>
        <v/>
      </c>
      <c r="AS109">
        <f>IF($A109="","",IF(AQ109=5,"Elutasítjuk",IF(AND(AQ109=4,COUNTIFS('Eredmény'!$AQ$2:$AQ$201,4,'Eredmény'!$DY$2:$DY$201,"&gt;"&amp;DY109)&gt;='Beállítások'!$B$90),"Várólista (a 4-es hely foglalt)","Elfogadjuk")))</f>
        <v/>
      </c>
      <c r="AT109">
        <f>IF($A109="","",INDEX('Beállítások'!$F$108:$F$112,AQ109))</f>
        <v/>
      </c>
      <c r="AU109">
        <f>IF($A109="","",INDEX('Beállítások'!$B$6:$B$38,MATCH(MAX(BK109:CQ109),BK109:CQ109,0)))</f>
        <v/>
      </c>
      <c r="AV109">
        <f>IF($A109="","",IF(MAX(CR109:DX109)=0,"—",INDEX('Beállítások'!$B$6:$B$38,MATCH(MAX(CR109:DX109),CR109:DX109,0))))</f>
        <v/>
      </c>
      <c r="AW109" s="10">
        <f>IF($A109="","",'Beállítások'!$B$94*(TRIM('Ügyfelek'!AI109)="igen")+'Beállítások'!$B$95*(TRIM('Ügyfelek'!AJ109)="igen")+'Beállítások'!$B$96*N('Ügyfelek'!AK109)+'Beállítások'!$B$93*N('Ügyfelek'!AL109))</f>
        <v/>
      </c>
      <c r="AX109" s="25">
        <f>IF(OR($A109="",AQ109=5),"",INDEX('Beállítások'!$D$108:$D$112,AQ109))</f>
        <v/>
      </c>
      <c r="AY109" s="10">
        <f>IF($A109="","",N('Ügyfelek'!U109)*'Beállítások'!$B$98)</f>
        <v/>
      </c>
      <c r="AZ109" s="10">
        <f>IF(OR($A109="",AQ109=5),"",CEILING(ROUND(MAX('Beállítások'!$B$97,AW109*AX109,AY109),2),'Beállítások'!$B$99))</f>
        <v/>
      </c>
      <c r="BA109">
        <f>IF($A109="","",IF(AQ109=5,"Elutasítva",IF(MAX('Beállítások'!$B$97,AW109*AX109,AY109)=AW109*AX109,"Munkaigény × státuszszorzó",IF(MAX('Beállítások'!$B$97,AW109*AX109,AY109)=AY109,"Hirdetési keret arányában","Minimumdíj"))))</f>
        <v/>
      </c>
      <c r="BB109" s="10">
        <f>IF(OR($A109="",'Ügyfelek'!AM109=""),"",'Ügyfelek'!AM109)</f>
        <v/>
      </c>
      <c r="BC109" s="10">
        <f>IF(OR(BB109="",AZ109=""),"",AZ109-BB109)</f>
        <v/>
      </c>
      <c r="BD109" s="18">
        <f>IF(OR(BB109="",AZ109="",BB109=0),"",BC109/BB109)</f>
        <v/>
      </c>
      <c r="BE109">
        <f>IF(OR($A109="",AQ109=5),"",IF(AND(INDEX('Beállítások'!$E$108:$E$112,AQ109)&gt;0,Y109&gt;='Beállítások'!$B$91),"Igen","Nem"))</f>
        <v/>
      </c>
      <c r="BF109" s="10">
        <f>IF(BE109="Igen",CEILING(ROUND(AZ109*(1-'Beállítások'!$B$92),2),'Beállítások'!$B$99),"")</f>
        <v/>
      </c>
      <c r="BG109" s="20">
        <f>IF(BE109="Igen",INDEX('Beállítások'!$E$108:$E$112,AQ109),"")</f>
        <v/>
      </c>
      <c r="BH109" s="10">
        <f>IF(OR(BE109&lt;&gt;"Igen",'Ügyfelek'!AN109=""),"",'Ügyfelek'!AN109*BG109)</f>
        <v/>
      </c>
      <c r="BI109" s="24">
        <f>IF($A109="","",('Ügyfelek'!B109="")+('Ügyfelek'!C109="")+('Ügyfelek'!D109="")+('Ügyfelek'!E109="")+('Ügyfelek'!F109="")+('Ügyfelek'!G109="")+('Ügyfelek'!H109="")+('Ügyfelek'!I109="")+('Ügyfelek'!J109="")+('Ügyfelek'!K109="")+('Ügyfelek'!L109="")+('Ügyfelek'!M109="")+('Ügyfelek'!N109="")+('Ügyfelek'!O109="")+('Ügyfelek'!P109="")+('Ügyfelek'!Q109="")+('Ügyfelek'!R109="")+('Ügyfelek'!S109="")+('Ügyfelek'!T109="")+('Ügyfelek'!U109="")+('Ügyfelek'!V109="")+('Ügyfelek'!W109="")+('Ügyfelek'!X109="")+('Ügyfelek'!Y109="")+('Ügyfelek'!Z109="")+('Ügyfelek'!AA109="")+('Ügyfelek'!AB109="")+('Ügyfelek'!AC109="")+('Ügyfelek'!AD109="")+('Ügyfelek'!AE109="")+('Ügyfelek'!AF109="")+('Ügyfelek'!AG109="")+('Ügyfelek'!AH109=""))</f>
        <v/>
      </c>
      <c r="BK109">
        <f>IF($A109="","",B109+'Beállítások'!$E$6/1000)</f>
        <v/>
      </c>
      <c r="BL109">
        <f>IF($A109="","",C109+'Beállítások'!$E$7/1000)</f>
        <v/>
      </c>
      <c r="BM109">
        <f>IF($A109="","",D109+'Beállítások'!$E$8/1000)</f>
        <v/>
      </c>
      <c r="BN109">
        <f>IF($A109="","",E109+'Beállítások'!$E$9/1000)</f>
        <v/>
      </c>
      <c r="BO109">
        <f>IF($A109="","",F109+'Beállítások'!$E$10/1000)</f>
        <v/>
      </c>
      <c r="BP109">
        <f>IF($A109="","",G109+'Beállítások'!$E$11/1000)</f>
        <v/>
      </c>
      <c r="BQ109">
        <f>IF($A109="","",H109+'Beállítások'!$E$12/1000)</f>
        <v/>
      </c>
      <c r="BR109">
        <f>IF($A109="","",I109+'Beállítások'!$E$13/1000)</f>
        <v/>
      </c>
      <c r="BS109">
        <f>IF($A109="","",J109+'Beállítások'!$E$14/1000)</f>
        <v/>
      </c>
      <c r="BT109">
        <f>IF($A109="","",K109+'Beállítások'!$E$15/1000)</f>
        <v/>
      </c>
      <c r="BU109">
        <f>IF($A109="","",L109+'Beállítások'!$E$16/1000)</f>
        <v/>
      </c>
      <c r="BV109">
        <f>IF($A109="","",M109+'Beállítások'!$E$17/1000)</f>
        <v/>
      </c>
      <c r="BW109">
        <f>IF($A109="","",N109+'Beállítások'!$E$18/1000)</f>
        <v/>
      </c>
      <c r="BX109">
        <f>IF($A109="","",O109+'Beállítások'!$E$19/1000)</f>
        <v/>
      </c>
      <c r="BY109">
        <f>IF($A109="","",P109+'Beállítások'!$E$20/1000)</f>
        <v/>
      </c>
      <c r="BZ109">
        <f>IF($A109="","",Q109+'Beállítások'!$E$21/1000)</f>
        <v/>
      </c>
      <c r="CA109">
        <f>IF($A109="","",R109+'Beállítások'!$E$22/1000)</f>
        <v/>
      </c>
      <c r="CB109">
        <f>IF($A109="","",S109+'Beállítások'!$E$23/1000)</f>
        <v/>
      </c>
      <c r="CC109">
        <f>IF($A109="","",T109+'Beállítások'!$E$24/1000)</f>
        <v/>
      </c>
      <c r="CD109">
        <f>IF($A109="","",U109+'Beállítások'!$E$25/1000)</f>
        <v/>
      </c>
      <c r="CE109">
        <f>IF($A109="","",V109+'Beállítások'!$E$26/1000)</f>
        <v/>
      </c>
      <c r="CF109">
        <f>IF($A109="","",W109+'Beállítások'!$E$27/1000)</f>
        <v/>
      </c>
      <c r="CG109">
        <f>IF($A109="","",X109+'Beállítások'!$E$28/1000)</f>
        <v/>
      </c>
      <c r="CH109">
        <f>IF($A109="","",Y109+'Beállítások'!$E$29/1000)</f>
        <v/>
      </c>
      <c r="CI109">
        <f>IF($A109="","",Z109+'Beállítások'!$E$30/1000)</f>
        <v/>
      </c>
      <c r="CJ109">
        <f>IF($A109="","",AA109+'Beállítások'!$E$31/1000)</f>
        <v/>
      </c>
      <c r="CK109">
        <f>IF($A109="","",AB109+'Beállítások'!$E$32/1000)</f>
        <v/>
      </c>
      <c r="CL109">
        <f>IF($A109="","",AC109+'Beállítások'!$E$33/1000)</f>
        <v/>
      </c>
      <c r="CM109">
        <f>IF($A109="","",AD109+'Beállítások'!$E$34/1000)</f>
        <v/>
      </c>
      <c r="CN109">
        <f>IF($A109="","",AE109+'Beállítások'!$E$35/1000)</f>
        <v/>
      </c>
      <c r="CO109">
        <f>IF($A109="","",AF109+'Beállítások'!$E$36/1000)</f>
        <v/>
      </c>
      <c r="CP109">
        <f>IF($A109="","",AG109+'Beállítások'!$E$37/1000)</f>
        <v/>
      </c>
      <c r="CQ109">
        <f>IF($A109="","",AH109+'Beállítások'!$E$38/1000)</f>
        <v/>
      </c>
      <c r="CR109">
        <f>IF($A109="","",'Beállítások'!$E$6*(10-B109))</f>
        <v/>
      </c>
      <c r="CS109">
        <f>IF($A109="","",'Beállítások'!$E$7*(10-C109))</f>
        <v/>
      </c>
      <c r="CT109">
        <f>IF($A109="","",'Beállítások'!$E$8*(10-D109))</f>
        <v/>
      </c>
      <c r="CU109">
        <f>IF($A109="","",'Beállítások'!$E$9*(10-E109))</f>
        <v/>
      </c>
      <c r="CV109">
        <f>IF($A109="","",'Beállítások'!$E$10*(10-F109))</f>
        <v/>
      </c>
      <c r="CW109">
        <f>IF($A109="","",'Beállítások'!$E$11*(10-G109))</f>
        <v/>
      </c>
      <c r="CX109">
        <f>IF($A109="","",'Beállítások'!$E$12*(10-H109))</f>
        <v/>
      </c>
      <c r="CY109">
        <f>IF($A109="","",'Beállítások'!$E$13*(10-I109))</f>
        <v/>
      </c>
      <c r="CZ109">
        <f>IF($A109="","",'Beállítások'!$E$14*(10-J109))</f>
        <v/>
      </c>
      <c r="DA109">
        <f>IF($A109="","",'Beállítások'!$E$15*(10-K109))</f>
        <v/>
      </c>
      <c r="DB109">
        <f>IF($A109="","",'Beállítások'!$E$16*(10-L109))</f>
        <v/>
      </c>
      <c r="DC109">
        <f>IF($A109="","",'Beállítások'!$E$17*(10-M109))</f>
        <v/>
      </c>
      <c r="DD109">
        <f>IF($A109="","",'Beállítások'!$E$18*(10-N109))</f>
        <v/>
      </c>
      <c r="DE109">
        <f>IF($A109="","",'Beállítások'!$E$19*(10-O109))</f>
        <v/>
      </c>
      <c r="DF109">
        <f>IF($A109="","",'Beállítások'!$E$20*(10-P109))</f>
        <v/>
      </c>
      <c r="DG109">
        <f>IF($A109="","",'Beállítások'!$E$21*(10-Q109))</f>
        <v/>
      </c>
      <c r="DH109">
        <f>IF($A109="","",'Beállítások'!$E$22*(10-R109))</f>
        <v/>
      </c>
      <c r="DI109">
        <f>IF($A109="","",'Beállítások'!$E$23*(10-S109))</f>
        <v/>
      </c>
      <c r="DJ109">
        <f>IF($A109="","",'Beállítások'!$E$24*(10-T109))</f>
        <v/>
      </c>
      <c r="DK109">
        <f>IF($A109="","",'Beállítások'!$E$25*(10-U109))</f>
        <v/>
      </c>
      <c r="DL109">
        <f>IF($A109="","",'Beállítások'!$E$26*(10-V109))</f>
        <v/>
      </c>
      <c r="DM109">
        <f>IF($A109="","",'Beállítások'!$E$27*(10-W109))</f>
        <v/>
      </c>
      <c r="DN109">
        <f>IF($A109="","",'Beállítások'!$E$28*(10-X109))</f>
        <v/>
      </c>
      <c r="DO109">
        <f>IF($A109="","",'Beállítások'!$E$29*(10-Y109))</f>
        <v/>
      </c>
      <c r="DP109">
        <f>IF($A109="","",'Beállítások'!$E$30*(10-Z109))</f>
        <v/>
      </c>
      <c r="DQ109">
        <f>IF($A109="","",'Beállítások'!$E$31*(10-AA109))</f>
        <v/>
      </c>
      <c r="DR109">
        <f>IF($A109="","",'Beállítások'!$E$32*(10-AB109))</f>
        <v/>
      </c>
      <c r="DS109">
        <f>IF($A109="","",'Beállítások'!$E$33*(10-AC109))</f>
        <v/>
      </c>
      <c r="DT109">
        <f>IF($A109="","",'Beállítások'!$E$34*(10-AD109))</f>
        <v/>
      </c>
      <c r="DU109">
        <f>IF($A109="","",'Beállítások'!$E$35*(10-AE109))</f>
        <v/>
      </c>
      <c r="DV109">
        <f>IF($A109="","",'Beállítások'!$E$36*(10-AF109))</f>
        <v/>
      </c>
      <c r="DW109">
        <f>IF($A109="","",'Beállítások'!$E$37*(10-AG109))</f>
        <v/>
      </c>
      <c r="DX109">
        <f>IF($A109="","",'Beállítások'!$E$38*(10-AH109))</f>
        <v/>
      </c>
      <c r="DY109">
        <f>IF($A109="","",AM109-ROW()/100000)</f>
        <v/>
      </c>
    </row>
    <row r="110">
      <c r="A110">
        <f>IF('Ügyfelek'!A110="","",'Ügyfelek'!A110)</f>
        <v/>
      </c>
      <c r="B110">
        <f>IF($A110="","",IF('Ügyfelek'!B110="",'Beállítások'!$B$84,IFERROR(VLOOKUP(TRIM('Ügyfelek'!B110),'Beállítások'!$A$51:$B$59,2,FALSE),'Beállítások'!$B$84)))</f>
        <v/>
      </c>
      <c r="C110">
        <f>IF($A110="","",IF('Ügyfelek'!C110="",'Beállítások'!$B$84,MIN(10,MAX(1,ROUND('Ügyfelek'!C110,0)))))</f>
        <v/>
      </c>
      <c r="D110">
        <f>IF($A110="","",IF('Ügyfelek'!D110="",'Beállítások'!$B$84,MIN(10,MAX(1,ROUND('Ügyfelek'!D110,0)))))</f>
        <v/>
      </c>
      <c r="E110">
        <f>IF($A110="","",IF('Ügyfelek'!E110="",'Beállítások'!$B$84,MIN(10,MAX(1,ROUND('Ügyfelek'!E110,0)))))</f>
        <v/>
      </c>
      <c r="F110">
        <f>IF($A110="","",IF('Ügyfelek'!F110="",'Beállítások'!$B$84,MIN(10,MAX(1,ROUND('Ügyfelek'!F110,0)))))</f>
        <v/>
      </c>
      <c r="G110">
        <f>IF($A110="","",IF('Ügyfelek'!G110="",'Beállítások'!$B$84,MIN(10,MAX(1,ROUND('Ügyfelek'!G110,0)))))</f>
        <v/>
      </c>
      <c r="H110">
        <f>IF($A110="","",IF('Ügyfelek'!H110="",'Beállítások'!$B$84,MIN(10,MAX(1,ROUND('Ügyfelek'!H110,0)))))</f>
        <v/>
      </c>
      <c r="I110">
        <f>IF($A110="","",IF('Ügyfelek'!I110="",'Beállítások'!$B$84,MIN(10,MAX(1,ROUND('Ügyfelek'!I110,0)))))</f>
        <v/>
      </c>
      <c r="J110">
        <f>IF($A110="","",IF('Ügyfelek'!J110="",'Beállítások'!$B$84,MIN(10,MAX(1,ROUND('Ügyfelek'!J110,0)))))</f>
        <v/>
      </c>
      <c r="K110">
        <f>IF($A110="","",IF('Ügyfelek'!K110="",'Beállítások'!$B$84,MIN(10,MAX(1,ROUND('Ügyfelek'!K110,0)))))</f>
        <v/>
      </c>
      <c r="L110">
        <f>IF($A110="","",IF('Ügyfelek'!L110="",'Beállítások'!$B$84,MIN(10,MAX(1,ROUND('Ügyfelek'!L110,0)))))</f>
        <v/>
      </c>
      <c r="M110">
        <f>IF($A110="","",IF('Ügyfelek'!M110="",'Beállítások'!$B$84,MIN(10,MAX(1,ROUND('Ügyfelek'!M110,0)))))</f>
        <v/>
      </c>
      <c r="N110">
        <f>IF($A110="","",IF('Ügyfelek'!N110="",'Beállítások'!$B$84,MIN(10,MAX(1,ROUND('Ügyfelek'!N110,0)))))</f>
        <v/>
      </c>
      <c r="O110">
        <f>IF($A110="","",IF('Ügyfelek'!O110="",'Beállítások'!$B$84,MIN(10,MAX(1,ROUND('Ügyfelek'!O110,0)))))</f>
        <v/>
      </c>
      <c r="P110">
        <f>IF($A110="","",IF('Ügyfelek'!P110="",'Beállítások'!$B$84,MIN(10,MAX(1,ROUND('Ügyfelek'!P110,0)))))</f>
        <v/>
      </c>
      <c r="Q110">
        <f>IF($A110="","",IF('Ügyfelek'!Q110="",'Beállítások'!$B$84,MIN(10,MAX(1,ROUND('Ügyfelek'!Q110,0)))))</f>
        <v/>
      </c>
      <c r="R110">
        <f>IF($A110="","",IF('Ügyfelek'!R110="",'Beállítások'!$B$84,MIN(10,MAX(1,ROUND('Ügyfelek'!R110,0)))))</f>
        <v/>
      </c>
      <c r="S110">
        <f>IF($A110="","",IF('Ügyfelek'!S110="",'Beállítások'!$B$84,MIN(10,MAX(1,ROUND('Ügyfelek'!S110,0)))))</f>
        <v/>
      </c>
      <c r="T110">
        <f>IF($A110="","",IF('Ügyfelek'!T110="",'Beállítások'!$B$84,VLOOKUP(MAX('Ügyfelek'!T110,'Beállítások'!$H$7),'Beállítások'!$H$7:$I$12,2,TRUE)))</f>
        <v/>
      </c>
      <c r="U110">
        <f>IF($A110="","",IF('Ügyfelek'!U110="",'Beállítások'!$B$84,VLOOKUP(MAX('Ügyfelek'!U110,'Beállítások'!$K$7),'Beállítások'!$K$7:$L$12,2,TRUE)))</f>
        <v/>
      </c>
      <c r="V110">
        <f>IF($A110="","",IF('Ügyfelek'!V110="",'Beállítások'!$B$84,MIN(10,MAX(1,ROUND('Ügyfelek'!V110,0)))))</f>
        <v/>
      </c>
      <c r="W110">
        <f>IF($A110="","",IF('Ügyfelek'!W110="",'Beállítások'!$B$84,VLOOKUP(MAX('Ügyfelek'!W110,'Beállítások'!$N$7),'Beállítások'!$N$7:$O$12,2,TRUE)))</f>
        <v/>
      </c>
      <c r="X110">
        <f>IF($A110="","",IF('Ügyfelek'!X110="",'Beállítások'!$B$84,MIN(10,MAX(1,ROUND('Ügyfelek'!X110,0)))))</f>
        <v/>
      </c>
      <c r="Y110">
        <f>IF($A110="","",IF('Ügyfelek'!Y110="",'Beállítások'!$B$84,IFERROR(VLOOKUP(TRIM('Ügyfelek'!Y110),'Beállítások'!$A$63:$B$69,2,FALSE),'Beállítások'!$B$84)))</f>
        <v/>
      </c>
      <c r="Z110">
        <f>IF($A110="","",IF('Ügyfelek'!Z110="",'Beállítások'!$B$84,VLOOKUP(MAX('Ügyfelek'!Z110,'Beállítások'!$Q$7),'Beállítások'!$Q$7:$R$12,2,TRUE)))</f>
        <v/>
      </c>
      <c r="AA110">
        <f>IF($A110="","",IF('Ügyfelek'!AA110="",'Beállítások'!$B$84,VLOOKUP(MAX('Ügyfelek'!AA110,'Beállítások'!$T$7),'Beállítások'!$T$7:$U$12,2,TRUE)))</f>
        <v/>
      </c>
      <c r="AB110">
        <f>IF($A110="","",IF('Ügyfelek'!AB110="",'Beállítások'!$B$84,MIN(10,MAX(1,ROUND('Ügyfelek'!AB110,0)))))</f>
        <v/>
      </c>
      <c r="AC110">
        <f>IF($A110="","",IF('Ügyfelek'!AC110="",'Beállítások'!$B$84,MIN(10,MAX(1,ROUND('Ügyfelek'!AC110,0)))))</f>
        <v/>
      </c>
      <c r="AD110">
        <f>IF($A110="","",IF('Ügyfelek'!AD110="",'Beállítások'!$B$84,MIN(10,MAX(1,ROUND('Ügyfelek'!AD110,0)))))</f>
        <v/>
      </c>
      <c r="AE110">
        <f>IF($A110="","",IF('Ügyfelek'!AE110="",'Beállítások'!$B$84,MIN(10,MAX(1,ROUND('Ügyfelek'!AE110,0)))))</f>
        <v/>
      </c>
      <c r="AF110">
        <f>IF($A110="","",IF('Ügyfelek'!AF110="",'Beállítások'!$B$84,MIN(10,MAX(1,ROUND('Ügyfelek'!AF110,0)))))</f>
        <v/>
      </c>
      <c r="AG110">
        <f>IF($A110="","",IF('Ügyfelek'!AG110="",'Beállítások'!$B$84,MIN(10,MAX(1,ROUND('Ügyfelek'!AG110,0)))))</f>
        <v/>
      </c>
      <c r="AH110">
        <f>IF($A110="","",IF('Ügyfelek'!AH110="",'Beállítások'!$B$84,IFERROR(VLOOKUP(TRIM('Ügyfelek'!AH110),'Beállítások'!$A$73:$B$79,2,FALSE),'Beállítások'!$B$84)))</f>
        <v/>
      </c>
      <c r="AI110" s="23">
        <f>IF($A110="","",ROUND(100*('Beállítások'!$E$6*(B110-1)+'Beállítások'!$E$7*(C110-1))/(9*'Beállítások'!$B$43),1))</f>
        <v/>
      </c>
      <c r="AJ110" s="23">
        <f>IF($A110="","",ROUND(100*('Beállítások'!$E$8*(D110-1)+'Beállítások'!$E$9*(E110-1)+'Beállítások'!$E$10*(F110-1)+'Beállítások'!$E$11*(G110-1)+'Beállítások'!$E$12*(H110-1)+'Beállítások'!$E$13*(I110-1)+'Beállítások'!$E$14*(J110-1)+'Beállítások'!$E$15*(K110-1)+'Beállítások'!$E$16*(L110-1)+'Beállítások'!$E$17*(M110-1)+'Beállítások'!$E$18*(N110-1)+'Beállítások'!$E$19*(O110-1)+'Beállítások'!$E$20*(P110-1)+'Beállítások'!$E$21*(Q110-1)+'Beállítások'!$E$22*(R110-1))/(9*'Beállítások'!$B$44),1))</f>
        <v/>
      </c>
      <c r="AK110" s="23">
        <f>IF($A110="","",ROUND(100*('Beállítások'!$E$23*(S110-1)+'Beállítások'!$E$24*(T110-1)+'Beállítások'!$E$25*(U110-1)+'Beállítások'!$E$26*(V110-1)+'Beállítások'!$E$27*(W110-1)+'Beállítások'!$E$28*(X110-1)+'Beállítások'!$E$29*(Y110-1))/(9*'Beállítások'!$B$45),1))</f>
        <v/>
      </c>
      <c r="AL110" s="23">
        <f>IF($A110="","",ROUND(100*('Beállítások'!$E$30*(Z110-1)+'Beállítások'!$E$31*(AA110-1)+'Beállítások'!$E$32*(AB110-1)+'Beállítások'!$E$33*(AC110-1)+'Beállítások'!$E$34*(AD110-1)+'Beállítások'!$E$35*(AE110-1)+'Beállítások'!$E$36*(AF110-1)+'Beállítások'!$E$37*(AG110-1)+'Beállítások'!$E$38*(AH110-1))/(9*'Beállítások'!$B$46),1))</f>
        <v/>
      </c>
      <c r="AM110" s="23">
        <f>IF($A110="","",ROUND(100*('Beállítások'!$E$6*(B110-1)+'Beállítások'!$E$7*(C110-1)+'Beállítások'!$E$8*(D110-1)+'Beállítások'!$E$9*(E110-1)+'Beállítások'!$E$10*(F110-1)+'Beállítások'!$E$11*(G110-1)+'Beállítások'!$E$12*(H110-1)+'Beállítások'!$E$13*(I110-1)+'Beállítások'!$E$14*(J110-1)+'Beállítások'!$E$15*(K110-1)+'Beállítások'!$E$16*(L110-1)+'Beállítások'!$E$17*(M110-1)+'Beállítások'!$E$18*(N110-1)+'Beállítások'!$E$19*(O110-1)+'Beállítások'!$E$20*(P110-1)+'Beállítások'!$E$21*(Q110-1)+'Beállítások'!$E$22*(R110-1)+'Beállítások'!$E$23*(S110-1)+'Beállítások'!$E$24*(T110-1)+'Beállítások'!$E$25*(U110-1)+'Beállítások'!$E$26*(V110-1)+'Beállítások'!$E$27*(W110-1)+'Beállítások'!$E$28*(X110-1)+'Beállítások'!$E$29*(Y110-1)+'Beállítások'!$E$30*(Z110-1)+'Beállítások'!$E$31*(AA110-1)+'Beállítások'!$E$32*(AB110-1)+'Beállítások'!$E$33*(AC110-1)+'Beállítások'!$E$34*(AD110-1)+'Beállítások'!$E$35*(AE110-1)+'Beállítások'!$E$36*(AF110-1)+'Beállítások'!$E$37*(AG110-1)+'Beállítások'!$E$38*(AH110-1))/(9*'Beállítások'!$E$39),1))</f>
        <v/>
      </c>
      <c r="AN110" s="23">
        <f>IF($A110="","",ROUND(100*('Beállítások'!$E$8*(D110-1)+'Beállítások'!$E$9*(E110-1)+'Beállítások'!$E$10*(F110-1)+'Beállítások'!$E$11*(G110-1)+'Beállítások'!$E$12*(H110-1)+'Beállítások'!$E$13*(I110-1)+'Beállítások'!$E$14*(J110-1)+'Beállítások'!$E$15*(K110-1)+'Beállítások'!$E$16*(L110-1)+'Beállítások'!$E$17*(M110-1)+'Beállítások'!$E$18*(N110-1)+'Beállítások'!$E$19*(O110-1)+'Beállítások'!$E$20*(P110-1)+'Beállítások'!$E$21*(Q110-1)+'Beállítások'!$E$22*(R110-1)+'Beállítások'!$E$23*(S110-1)+'Beállítások'!$E$24*(T110-1)+'Beállítások'!$E$25*(U110-1)+'Beállítások'!$E$26*(V110-1)+'Beállítások'!$E$27*(W110-1)+'Beállítások'!$E$28*(X110-1)+'Beállítások'!$E$29*(Y110-1))/(9*('Beállítások'!$B$44+'Beállítások'!$B$45)),1))</f>
        <v/>
      </c>
      <c r="AO110" s="24">
        <f>IF($A110="","",RANK(AM110,$AM$2:$AM$201))</f>
        <v/>
      </c>
      <c r="AP110">
        <f>IF($A110="","",IF(OR(AND('Ügyfelek'!B110&lt;&gt;"",B110&lt;='Beállítások'!$B$85),AND('Ügyfelek'!C110&lt;&gt;"",C110&lt;='Beállítások'!$B$86)),"Igen","Nem"))</f>
        <v/>
      </c>
      <c r="AQ110" s="24">
        <f>IF($A110="","",IF(AP110="Igen",5,IF(AN110&gt;='Beállítások'!$C$108,1,IF(AN110&gt;='Beállítások'!$C$109,2,IF(AN110&gt;='Beállítások'!$C$110,3,IF(AND(AN110&gt;='Beállítások'!$B$87,AI110&gt;='Beállítások'!$B$88,AL110&gt;='Beállítások'!$B$89),4,5))))))</f>
        <v/>
      </c>
      <c r="AR110">
        <f>IF($A110="","",INDEX('Beállítások'!$B$108:$B$112,AQ110))</f>
        <v/>
      </c>
      <c r="AS110">
        <f>IF($A110="","",IF(AQ110=5,"Elutasítjuk",IF(AND(AQ110=4,COUNTIFS('Eredmény'!$AQ$2:$AQ$201,4,'Eredmény'!$DY$2:$DY$201,"&gt;"&amp;DY110)&gt;='Beállítások'!$B$90),"Várólista (a 4-es hely foglalt)","Elfogadjuk")))</f>
        <v/>
      </c>
      <c r="AT110">
        <f>IF($A110="","",INDEX('Beállítások'!$F$108:$F$112,AQ110))</f>
        <v/>
      </c>
      <c r="AU110">
        <f>IF($A110="","",INDEX('Beállítások'!$B$6:$B$38,MATCH(MAX(BK110:CQ110),BK110:CQ110,0)))</f>
        <v/>
      </c>
      <c r="AV110">
        <f>IF($A110="","",IF(MAX(CR110:DX110)=0,"—",INDEX('Beállítások'!$B$6:$B$38,MATCH(MAX(CR110:DX110),CR110:DX110,0))))</f>
        <v/>
      </c>
      <c r="AW110" s="10">
        <f>IF($A110="","",'Beállítások'!$B$94*(TRIM('Ügyfelek'!AI110)="igen")+'Beállítások'!$B$95*(TRIM('Ügyfelek'!AJ110)="igen")+'Beállítások'!$B$96*N('Ügyfelek'!AK110)+'Beállítások'!$B$93*N('Ügyfelek'!AL110))</f>
        <v/>
      </c>
      <c r="AX110" s="25">
        <f>IF(OR($A110="",AQ110=5),"",INDEX('Beállítások'!$D$108:$D$112,AQ110))</f>
        <v/>
      </c>
      <c r="AY110" s="10">
        <f>IF($A110="","",N('Ügyfelek'!U110)*'Beállítások'!$B$98)</f>
        <v/>
      </c>
      <c r="AZ110" s="10">
        <f>IF(OR($A110="",AQ110=5),"",CEILING(ROUND(MAX('Beállítások'!$B$97,AW110*AX110,AY110),2),'Beállítások'!$B$99))</f>
        <v/>
      </c>
      <c r="BA110">
        <f>IF($A110="","",IF(AQ110=5,"Elutasítva",IF(MAX('Beállítások'!$B$97,AW110*AX110,AY110)=AW110*AX110,"Munkaigény × státuszszorzó",IF(MAX('Beállítások'!$B$97,AW110*AX110,AY110)=AY110,"Hirdetési keret arányában","Minimumdíj"))))</f>
        <v/>
      </c>
      <c r="BB110" s="10">
        <f>IF(OR($A110="",'Ügyfelek'!AM110=""),"",'Ügyfelek'!AM110)</f>
        <v/>
      </c>
      <c r="BC110" s="10">
        <f>IF(OR(BB110="",AZ110=""),"",AZ110-BB110)</f>
        <v/>
      </c>
      <c r="BD110" s="18">
        <f>IF(OR(BB110="",AZ110="",BB110=0),"",BC110/BB110)</f>
        <v/>
      </c>
      <c r="BE110">
        <f>IF(OR($A110="",AQ110=5),"",IF(AND(INDEX('Beállítások'!$E$108:$E$112,AQ110)&gt;0,Y110&gt;='Beállítások'!$B$91),"Igen","Nem"))</f>
        <v/>
      </c>
      <c r="BF110" s="10">
        <f>IF(BE110="Igen",CEILING(ROUND(AZ110*(1-'Beállítások'!$B$92),2),'Beállítások'!$B$99),"")</f>
        <v/>
      </c>
      <c r="BG110" s="20">
        <f>IF(BE110="Igen",INDEX('Beállítások'!$E$108:$E$112,AQ110),"")</f>
        <v/>
      </c>
      <c r="BH110" s="10">
        <f>IF(OR(BE110&lt;&gt;"Igen",'Ügyfelek'!AN110=""),"",'Ügyfelek'!AN110*BG110)</f>
        <v/>
      </c>
      <c r="BI110" s="24">
        <f>IF($A110="","",('Ügyfelek'!B110="")+('Ügyfelek'!C110="")+('Ügyfelek'!D110="")+('Ügyfelek'!E110="")+('Ügyfelek'!F110="")+('Ügyfelek'!G110="")+('Ügyfelek'!H110="")+('Ügyfelek'!I110="")+('Ügyfelek'!J110="")+('Ügyfelek'!K110="")+('Ügyfelek'!L110="")+('Ügyfelek'!M110="")+('Ügyfelek'!N110="")+('Ügyfelek'!O110="")+('Ügyfelek'!P110="")+('Ügyfelek'!Q110="")+('Ügyfelek'!R110="")+('Ügyfelek'!S110="")+('Ügyfelek'!T110="")+('Ügyfelek'!U110="")+('Ügyfelek'!V110="")+('Ügyfelek'!W110="")+('Ügyfelek'!X110="")+('Ügyfelek'!Y110="")+('Ügyfelek'!Z110="")+('Ügyfelek'!AA110="")+('Ügyfelek'!AB110="")+('Ügyfelek'!AC110="")+('Ügyfelek'!AD110="")+('Ügyfelek'!AE110="")+('Ügyfelek'!AF110="")+('Ügyfelek'!AG110="")+('Ügyfelek'!AH110=""))</f>
        <v/>
      </c>
      <c r="BK110">
        <f>IF($A110="","",B110+'Beállítások'!$E$6/1000)</f>
        <v/>
      </c>
      <c r="BL110">
        <f>IF($A110="","",C110+'Beállítások'!$E$7/1000)</f>
        <v/>
      </c>
      <c r="BM110">
        <f>IF($A110="","",D110+'Beállítások'!$E$8/1000)</f>
        <v/>
      </c>
      <c r="BN110">
        <f>IF($A110="","",E110+'Beállítások'!$E$9/1000)</f>
        <v/>
      </c>
      <c r="BO110">
        <f>IF($A110="","",F110+'Beállítások'!$E$10/1000)</f>
        <v/>
      </c>
      <c r="BP110">
        <f>IF($A110="","",G110+'Beállítások'!$E$11/1000)</f>
        <v/>
      </c>
      <c r="BQ110">
        <f>IF($A110="","",H110+'Beállítások'!$E$12/1000)</f>
        <v/>
      </c>
      <c r="BR110">
        <f>IF($A110="","",I110+'Beállítások'!$E$13/1000)</f>
        <v/>
      </c>
      <c r="BS110">
        <f>IF($A110="","",J110+'Beállítások'!$E$14/1000)</f>
        <v/>
      </c>
      <c r="BT110">
        <f>IF($A110="","",K110+'Beállítások'!$E$15/1000)</f>
        <v/>
      </c>
      <c r="BU110">
        <f>IF($A110="","",L110+'Beállítások'!$E$16/1000)</f>
        <v/>
      </c>
      <c r="BV110">
        <f>IF($A110="","",M110+'Beállítások'!$E$17/1000)</f>
        <v/>
      </c>
      <c r="BW110">
        <f>IF($A110="","",N110+'Beállítások'!$E$18/1000)</f>
        <v/>
      </c>
      <c r="BX110">
        <f>IF($A110="","",O110+'Beállítások'!$E$19/1000)</f>
        <v/>
      </c>
      <c r="BY110">
        <f>IF($A110="","",P110+'Beállítások'!$E$20/1000)</f>
        <v/>
      </c>
      <c r="BZ110">
        <f>IF($A110="","",Q110+'Beállítások'!$E$21/1000)</f>
        <v/>
      </c>
      <c r="CA110">
        <f>IF($A110="","",R110+'Beállítások'!$E$22/1000)</f>
        <v/>
      </c>
      <c r="CB110">
        <f>IF($A110="","",S110+'Beállítások'!$E$23/1000)</f>
        <v/>
      </c>
      <c r="CC110">
        <f>IF($A110="","",T110+'Beállítások'!$E$24/1000)</f>
        <v/>
      </c>
      <c r="CD110">
        <f>IF($A110="","",U110+'Beállítások'!$E$25/1000)</f>
        <v/>
      </c>
      <c r="CE110">
        <f>IF($A110="","",V110+'Beállítások'!$E$26/1000)</f>
        <v/>
      </c>
      <c r="CF110">
        <f>IF($A110="","",W110+'Beállítások'!$E$27/1000)</f>
        <v/>
      </c>
      <c r="CG110">
        <f>IF($A110="","",X110+'Beállítások'!$E$28/1000)</f>
        <v/>
      </c>
      <c r="CH110">
        <f>IF($A110="","",Y110+'Beállítások'!$E$29/1000)</f>
        <v/>
      </c>
      <c r="CI110">
        <f>IF($A110="","",Z110+'Beállítások'!$E$30/1000)</f>
        <v/>
      </c>
      <c r="CJ110">
        <f>IF($A110="","",AA110+'Beállítások'!$E$31/1000)</f>
        <v/>
      </c>
      <c r="CK110">
        <f>IF($A110="","",AB110+'Beállítások'!$E$32/1000)</f>
        <v/>
      </c>
      <c r="CL110">
        <f>IF($A110="","",AC110+'Beállítások'!$E$33/1000)</f>
        <v/>
      </c>
      <c r="CM110">
        <f>IF($A110="","",AD110+'Beállítások'!$E$34/1000)</f>
        <v/>
      </c>
      <c r="CN110">
        <f>IF($A110="","",AE110+'Beállítások'!$E$35/1000)</f>
        <v/>
      </c>
      <c r="CO110">
        <f>IF($A110="","",AF110+'Beállítások'!$E$36/1000)</f>
        <v/>
      </c>
      <c r="CP110">
        <f>IF($A110="","",AG110+'Beállítások'!$E$37/1000)</f>
        <v/>
      </c>
      <c r="CQ110">
        <f>IF($A110="","",AH110+'Beállítások'!$E$38/1000)</f>
        <v/>
      </c>
      <c r="CR110">
        <f>IF($A110="","",'Beállítások'!$E$6*(10-B110))</f>
        <v/>
      </c>
      <c r="CS110">
        <f>IF($A110="","",'Beállítások'!$E$7*(10-C110))</f>
        <v/>
      </c>
      <c r="CT110">
        <f>IF($A110="","",'Beállítások'!$E$8*(10-D110))</f>
        <v/>
      </c>
      <c r="CU110">
        <f>IF($A110="","",'Beállítások'!$E$9*(10-E110))</f>
        <v/>
      </c>
      <c r="CV110">
        <f>IF($A110="","",'Beállítások'!$E$10*(10-F110))</f>
        <v/>
      </c>
      <c r="CW110">
        <f>IF($A110="","",'Beállítások'!$E$11*(10-G110))</f>
        <v/>
      </c>
      <c r="CX110">
        <f>IF($A110="","",'Beállítások'!$E$12*(10-H110))</f>
        <v/>
      </c>
      <c r="CY110">
        <f>IF($A110="","",'Beállítások'!$E$13*(10-I110))</f>
        <v/>
      </c>
      <c r="CZ110">
        <f>IF($A110="","",'Beállítások'!$E$14*(10-J110))</f>
        <v/>
      </c>
      <c r="DA110">
        <f>IF($A110="","",'Beállítások'!$E$15*(10-K110))</f>
        <v/>
      </c>
      <c r="DB110">
        <f>IF($A110="","",'Beállítások'!$E$16*(10-L110))</f>
        <v/>
      </c>
      <c r="DC110">
        <f>IF($A110="","",'Beállítások'!$E$17*(10-M110))</f>
        <v/>
      </c>
      <c r="DD110">
        <f>IF($A110="","",'Beállítások'!$E$18*(10-N110))</f>
        <v/>
      </c>
      <c r="DE110">
        <f>IF($A110="","",'Beállítások'!$E$19*(10-O110))</f>
        <v/>
      </c>
      <c r="DF110">
        <f>IF($A110="","",'Beállítások'!$E$20*(10-P110))</f>
        <v/>
      </c>
      <c r="DG110">
        <f>IF($A110="","",'Beállítások'!$E$21*(10-Q110))</f>
        <v/>
      </c>
      <c r="DH110">
        <f>IF($A110="","",'Beállítások'!$E$22*(10-R110))</f>
        <v/>
      </c>
      <c r="DI110">
        <f>IF($A110="","",'Beállítások'!$E$23*(10-S110))</f>
        <v/>
      </c>
      <c r="DJ110">
        <f>IF($A110="","",'Beállítások'!$E$24*(10-T110))</f>
        <v/>
      </c>
      <c r="DK110">
        <f>IF($A110="","",'Beállítások'!$E$25*(10-U110))</f>
        <v/>
      </c>
      <c r="DL110">
        <f>IF($A110="","",'Beállítások'!$E$26*(10-V110))</f>
        <v/>
      </c>
      <c r="DM110">
        <f>IF($A110="","",'Beállítások'!$E$27*(10-W110))</f>
        <v/>
      </c>
      <c r="DN110">
        <f>IF($A110="","",'Beállítások'!$E$28*(10-X110))</f>
        <v/>
      </c>
      <c r="DO110">
        <f>IF($A110="","",'Beállítások'!$E$29*(10-Y110))</f>
        <v/>
      </c>
      <c r="DP110">
        <f>IF($A110="","",'Beállítások'!$E$30*(10-Z110))</f>
        <v/>
      </c>
      <c r="DQ110">
        <f>IF($A110="","",'Beállítások'!$E$31*(10-AA110))</f>
        <v/>
      </c>
      <c r="DR110">
        <f>IF($A110="","",'Beállítások'!$E$32*(10-AB110))</f>
        <v/>
      </c>
      <c r="DS110">
        <f>IF($A110="","",'Beállítások'!$E$33*(10-AC110))</f>
        <v/>
      </c>
      <c r="DT110">
        <f>IF($A110="","",'Beállítások'!$E$34*(10-AD110))</f>
        <v/>
      </c>
      <c r="DU110">
        <f>IF($A110="","",'Beállítások'!$E$35*(10-AE110))</f>
        <v/>
      </c>
      <c r="DV110">
        <f>IF($A110="","",'Beállítások'!$E$36*(10-AF110))</f>
        <v/>
      </c>
      <c r="DW110">
        <f>IF($A110="","",'Beállítások'!$E$37*(10-AG110))</f>
        <v/>
      </c>
      <c r="DX110">
        <f>IF($A110="","",'Beállítások'!$E$38*(10-AH110))</f>
        <v/>
      </c>
      <c r="DY110">
        <f>IF($A110="","",AM110-ROW()/100000)</f>
        <v/>
      </c>
    </row>
    <row r="111">
      <c r="A111">
        <f>IF('Ügyfelek'!A111="","",'Ügyfelek'!A111)</f>
        <v/>
      </c>
      <c r="B111">
        <f>IF($A111="","",IF('Ügyfelek'!B111="",'Beállítások'!$B$84,IFERROR(VLOOKUP(TRIM('Ügyfelek'!B111),'Beállítások'!$A$51:$B$59,2,FALSE),'Beállítások'!$B$84)))</f>
        <v/>
      </c>
      <c r="C111">
        <f>IF($A111="","",IF('Ügyfelek'!C111="",'Beállítások'!$B$84,MIN(10,MAX(1,ROUND('Ügyfelek'!C111,0)))))</f>
        <v/>
      </c>
      <c r="D111">
        <f>IF($A111="","",IF('Ügyfelek'!D111="",'Beállítások'!$B$84,MIN(10,MAX(1,ROUND('Ügyfelek'!D111,0)))))</f>
        <v/>
      </c>
      <c r="E111">
        <f>IF($A111="","",IF('Ügyfelek'!E111="",'Beállítások'!$B$84,MIN(10,MAX(1,ROUND('Ügyfelek'!E111,0)))))</f>
        <v/>
      </c>
      <c r="F111">
        <f>IF($A111="","",IF('Ügyfelek'!F111="",'Beállítások'!$B$84,MIN(10,MAX(1,ROUND('Ügyfelek'!F111,0)))))</f>
        <v/>
      </c>
      <c r="G111">
        <f>IF($A111="","",IF('Ügyfelek'!G111="",'Beállítások'!$B$84,MIN(10,MAX(1,ROUND('Ügyfelek'!G111,0)))))</f>
        <v/>
      </c>
      <c r="H111">
        <f>IF($A111="","",IF('Ügyfelek'!H111="",'Beállítások'!$B$84,MIN(10,MAX(1,ROUND('Ügyfelek'!H111,0)))))</f>
        <v/>
      </c>
      <c r="I111">
        <f>IF($A111="","",IF('Ügyfelek'!I111="",'Beállítások'!$B$84,MIN(10,MAX(1,ROUND('Ügyfelek'!I111,0)))))</f>
        <v/>
      </c>
      <c r="J111">
        <f>IF($A111="","",IF('Ügyfelek'!J111="",'Beállítások'!$B$84,MIN(10,MAX(1,ROUND('Ügyfelek'!J111,0)))))</f>
        <v/>
      </c>
      <c r="K111">
        <f>IF($A111="","",IF('Ügyfelek'!K111="",'Beállítások'!$B$84,MIN(10,MAX(1,ROUND('Ügyfelek'!K111,0)))))</f>
        <v/>
      </c>
      <c r="L111">
        <f>IF($A111="","",IF('Ügyfelek'!L111="",'Beállítások'!$B$84,MIN(10,MAX(1,ROUND('Ügyfelek'!L111,0)))))</f>
        <v/>
      </c>
      <c r="M111">
        <f>IF($A111="","",IF('Ügyfelek'!M111="",'Beállítások'!$B$84,MIN(10,MAX(1,ROUND('Ügyfelek'!M111,0)))))</f>
        <v/>
      </c>
      <c r="N111">
        <f>IF($A111="","",IF('Ügyfelek'!N111="",'Beállítások'!$B$84,MIN(10,MAX(1,ROUND('Ügyfelek'!N111,0)))))</f>
        <v/>
      </c>
      <c r="O111">
        <f>IF($A111="","",IF('Ügyfelek'!O111="",'Beállítások'!$B$84,MIN(10,MAX(1,ROUND('Ügyfelek'!O111,0)))))</f>
        <v/>
      </c>
      <c r="P111">
        <f>IF($A111="","",IF('Ügyfelek'!P111="",'Beállítások'!$B$84,MIN(10,MAX(1,ROUND('Ügyfelek'!P111,0)))))</f>
        <v/>
      </c>
      <c r="Q111">
        <f>IF($A111="","",IF('Ügyfelek'!Q111="",'Beállítások'!$B$84,MIN(10,MAX(1,ROUND('Ügyfelek'!Q111,0)))))</f>
        <v/>
      </c>
      <c r="R111">
        <f>IF($A111="","",IF('Ügyfelek'!R111="",'Beállítások'!$B$84,MIN(10,MAX(1,ROUND('Ügyfelek'!R111,0)))))</f>
        <v/>
      </c>
      <c r="S111">
        <f>IF($A111="","",IF('Ügyfelek'!S111="",'Beállítások'!$B$84,MIN(10,MAX(1,ROUND('Ügyfelek'!S111,0)))))</f>
        <v/>
      </c>
      <c r="T111">
        <f>IF($A111="","",IF('Ügyfelek'!T111="",'Beállítások'!$B$84,VLOOKUP(MAX('Ügyfelek'!T111,'Beállítások'!$H$7),'Beállítások'!$H$7:$I$12,2,TRUE)))</f>
        <v/>
      </c>
      <c r="U111">
        <f>IF($A111="","",IF('Ügyfelek'!U111="",'Beállítások'!$B$84,VLOOKUP(MAX('Ügyfelek'!U111,'Beállítások'!$K$7),'Beállítások'!$K$7:$L$12,2,TRUE)))</f>
        <v/>
      </c>
      <c r="V111">
        <f>IF($A111="","",IF('Ügyfelek'!V111="",'Beállítások'!$B$84,MIN(10,MAX(1,ROUND('Ügyfelek'!V111,0)))))</f>
        <v/>
      </c>
      <c r="W111">
        <f>IF($A111="","",IF('Ügyfelek'!W111="",'Beállítások'!$B$84,VLOOKUP(MAX('Ügyfelek'!W111,'Beállítások'!$N$7),'Beállítások'!$N$7:$O$12,2,TRUE)))</f>
        <v/>
      </c>
      <c r="X111">
        <f>IF($A111="","",IF('Ügyfelek'!X111="",'Beállítások'!$B$84,MIN(10,MAX(1,ROUND('Ügyfelek'!X111,0)))))</f>
        <v/>
      </c>
      <c r="Y111">
        <f>IF($A111="","",IF('Ügyfelek'!Y111="",'Beállítások'!$B$84,IFERROR(VLOOKUP(TRIM('Ügyfelek'!Y111),'Beállítások'!$A$63:$B$69,2,FALSE),'Beállítások'!$B$84)))</f>
        <v/>
      </c>
      <c r="Z111">
        <f>IF($A111="","",IF('Ügyfelek'!Z111="",'Beállítások'!$B$84,VLOOKUP(MAX('Ügyfelek'!Z111,'Beállítások'!$Q$7),'Beállítások'!$Q$7:$R$12,2,TRUE)))</f>
        <v/>
      </c>
      <c r="AA111">
        <f>IF($A111="","",IF('Ügyfelek'!AA111="",'Beállítások'!$B$84,VLOOKUP(MAX('Ügyfelek'!AA111,'Beállítások'!$T$7),'Beállítások'!$T$7:$U$12,2,TRUE)))</f>
        <v/>
      </c>
      <c r="AB111">
        <f>IF($A111="","",IF('Ügyfelek'!AB111="",'Beállítások'!$B$84,MIN(10,MAX(1,ROUND('Ügyfelek'!AB111,0)))))</f>
        <v/>
      </c>
      <c r="AC111">
        <f>IF($A111="","",IF('Ügyfelek'!AC111="",'Beállítások'!$B$84,MIN(10,MAX(1,ROUND('Ügyfelek'!AC111,0)))))</f>
        <v/>
      </c>
      <c r="AD111">
        <f>IF($A111="","",IF('Ügyfelek'!AD111="",'Beállítások'!$B$84,MIN(10,MAX(1,ROUND('Ügyfelek'!AD111,0)))))</f>
        <v/>
      </c>
      <c r="AE111">
        <f>IF($A111="","",IF('Ügyfelek'!AE111="",'Beállítások'!$B$84,MIN(10,MAX(1,ROUND('Ügyfelek'!AE111,0)))))</f>
        <v/>
      </c>
      <c r="AF111">
        <f>IF($A111="","",IF('Ügyfelek'!AF111="",'Beállítások'!$B$84,MIN(10,MAX(1,ROUND('Ügyfelek'!AF111,0)))))</f>
        <v/>
      </c>
      <c r="AG111">
        <f>IF($A111="","",IF('Ügyfelek'!AG111="",'Beállítások'!$B$84,MIN(10,MAX(1,ROUND('Ügyfelek'!AG111,0)))))</f>
        <v/>
      </c>
      <c r="AH111">
        <f>IF($A111="","",IF('Ügyfelek'!AH111="",'Beállítások'!$B$84,IFERROR(VLOOKUP(TRIM('Ügyfelek'!AH111),'Beállítások'!$A$73:$B$79,2,FALSE),'Beállítások'!$B$84)))</f>
        <v/>
      </c>
      <c r="AI111" s="23">
        <f>IF($A111="","",ROUND(100*('Beállítások'!$E$6*(B111-1)+'Beállítások'!$E$7*(C111-1))/(9*'Beállítások'!$B$43),1))</f>
        <v/>
      </c>
      <c r="AJ111" s="23">
        <f>IF($A111="","",ROUND(100*('Beállítások'!$E$8*(D111-1)+'Beállítások'!$E$9*(E111-1)+'Beállítások'!$E$10*(F111-1)+'Beállítások'!$E$11*(G111-1)+'Beállítások'!$E$12*(H111-1)+'Beállítások'!$E$13*(I111-1)+'Beállítások'!$E$14*(J111-1)+'Beállítások'!$E$15*(K111-1)+'Beállítások'!$E$16*(L111-1)+'Beállítások'!$E$17*(M111-1)+'Beállítások'!$E$18*(N111-1)+'Beállítások'!$E$19*(O111-1)+'Beállítások'!$E$20*(P111-1)+'Beállítások'!$E$21*(Q111-1)+'Beállítások'!$E$22*(R111-1))/(9*'Beállítások'!$B$44),1))</f>
        <v/>
      </c>
      <c r="AK111" s="23">
        <f>IF($A111="","",ROUND(100*('Beállítások'!$E$23*(S111-1)+'Beállítások'!$E$24*(T111-1)+'Beállítások'!$E$25*(U111-1)+'Beállítások'!$E$26*(V111-1)+'Beállítások'!$E$27*(W111-1)+'Beállítások'!$E$28*(X111-1)+'Beállítások'!$E$29*(Y111-1))/(9*'Beállítások'!$B$45),1))</f>
        <v/>
      </c>
      <c r="AL111" s="23">
        <f>IF($A111="","",ROUND(100*('Beállítások'!$E$30*(Z111-1)+'Beállítások'!$E$31*(AA111-1)+'Beállítások'!$E$32*(AB111-1)+'Beállítások'!$E$33*(AC111-1)+'Beállítások'!$E$34*(AD111-1)+'Beállítások'!$E$35*(AE111-1)+'Beállítások'!$E$36*(AF111-1)+'Beállítások'!$E$37*(AG111-1)+'Beállítások'!$E$38*(AH111-1))/(9*'Beállítások'!$B$46),1))</f>
        <v/>
      </c>
      <c r="AM111" s="23">
        <f>IF($A111="","",ROUND(100*('Beállítások'!$E$6*(B111-1)+'Beállítások'!$E$7*(C111-1)+'Beállítások'!$E$8*(D111-1)+'Beállítások'!$E$9*(E111-1)+'Beállítások'!$E$10*(F111-1)+'Beállítások'!$E$11*(G111-1)+'Beállítások'!$E$12*(H111-1)+'Beállítások'!$E$13*(I111-1)+'Beállítások'!$E$14*(J111-1)+'Beállítások'!$E$15*(K111-1)+'Beállítások'!$E$16*(L111-1)+'Beállítások'!$E$17*(M111-1)+'Beállítások'!$E$18*(N111-1)+'Beállítások'!$E$19*(O111-1)+'Beállítások'!$E$20*(P111-1)+'Beállítások'!$E$21*(Q111-1)+'Beállítások'!$E$22*(R111-1)+'Beállítások'!$E$23*(S111-1)+'Beállítások'!$E$24*(T111-1)+'Beállítások'!$E$25*(U111-1)+'Beállítások'!$E$26*(V111-1)+'Beállítások'!$E$27*(W111-1)+'Beállítások'!$E$28*(X111-1)+'Beállítások'!$E$29*(Y111-1)+'Beállítások'!$E$30*(Z111-1)+'Beállítások'!$E$31*(AA111-1)+'Beállítások'!$E$32*(AB111-1)+'Beállítások'!$E$33*(AC111-1)+'Beállítások'!$E$34*(AD111-1)+'Beállítások'!$E$35*(AE111-1)+'Beállítások'!$E$36*(AF111-1)+'Beállítások'!$E$37*(AG111-1)+'Beállítások'!$E$38*(AH111-1))/(9*'Beállítások'!$E$39),1))</f>
        <v/>
      </c>
      <c r="AN111" s="23">
        <f>IF($A111="","",ROUND(100*('Beállítások'!$E$8*(D111-1)+'Beállítások'!$E$9*(E111-1)+'Beállítások'!$E$10*(F111-1)+'Beállítások'!$E$11*(G111-1)+'Beállítások'!$E$12*(H111-1)+'Beállítások'!$E$13*(I111-1)+'Beállítások'!$E$14*(J111-1)+'Beállítások'!$E$15*(K111-1)+'Beállítások'!$E$16*(L111-1)+'Beállítások'!$E$17*(M111-1)+'Beállítások'!$E$18*(N111-1)+'Beállítások'!$E$19*(O111-1)+'Beállítások'!$E$20*(P111-1)+'Beállítások'!$E$21*(Q111-1)+'Beállítások'!$E$22*(R111-1)+'Beállítások'!$E$23*(S111-1)+'Beállítások'!$E$24*(T111-1)+'Beállítások'!$E$25*(U111-1)+'Beállítások'!$E$26*(V111-1)+'Beállítások'!$E$27*(W111-1)+'Beállítások'!$E$28*(X111-1)+'Beállítások'!$E$29*(Y111-1))/(9*('Beállítások'!$B$44+'Beállítások'!$B$45)),1))</f>
        <v/>
      </c>
      <c r="AO111" s="24">
        <f>IF($A111="","",RANK(AM111,$AM$2:$AM$201))</f>
        <v/>
      </c>
      <c r="AP111">
        <f>IF($A111="","",IF(OR(AND('Ügyfelek'!B111&lt;&gt;"",B111&lt;='Beállítások'!$B$85),AND('Ügyfelek'!C111&lt;&gt;"",C111&lt;='Beállítások'!$B$86)),"Igen","Nem"))</f>
        <v/>
      </c>
      <c r="AQ111" s="24">
        <f>IF($A111="","",IF(AP111="Igen",5,IF(AN111&gt;='Beállítások'!$C$108,1,IF(AN111&gt;='Beállítások'!$C$109,2,IF(AN111&gt;='Beállítások'!$C$110,3,IF(AND(AN111&gt;='Beállítások'!$B$87,AI111&gt;='Beállítások'!$B$88,AL111&gt;='Beállítások'!$B$89),4,5))))))</f>
        <v/>
      </c>
      <c r="AR111">
        <f>IF($A111="","",INDEX('Beállítások'!$B$108:$B$112,AQ111))</f>
        <v/>
      </c>
      <c r="AS111">
        <f>IF($A111="","",IF(AQ111=5,"Elutasítjuk",IF(AND(AQ111=4,COUNTIFS('Eredmény'!$AQ$2:$AQ$201,4,'Eredmény'!$DY$2:$DY$201,"&gt;"&amp;DY111)&gt;='Beállítások'!$B$90),"Várólista (a 4-es hely foglalt)","Elfogadjuk")))</f>
        <v/>
      </c>
      <c r="AT111">
        <f>IF($A111="","",INDEX('Beállítások'!$F$108:$F$112,AQ111))</f>
        <v/>
      </c>
      <c r="AU111">
        <f>IF($A111="","",INDEX('Beállítások'!$B$6:$B$38,MATCH(MAX(BK111:CQ111),BK111:CQ111,0)))</f>
        <v/>
      </c>
      <c r="AV111">
        <f>IF($A111="","",IF(MAX(CR111:DX111)=0,"—",INDEX('Beállítások'!$B$6:$B$38,MATCH(MAX(CR111:DX111),CR111:DX111,0))))</f>
        <v/>
      </c>
      <c r="AW111" s="10">
        <f>IF($A111="","",'Beállítások'!$B$94*(TRIM('Ügyfelek'!AI111)="igen")+'Beállítások'!$B$95*(TRIM('Ügyfelek'!AJ111)="igen")+'Beállítások'!$B$96*N('Ügyfelek'!AK111)+'Beállítások'!$B$93*N('Ügyfelek'!AL111))</f>
        <v/>
      </c>
      <c r="AX111" s="25">
        <f>IF(OR($A111="",AQ111=5),"",INDEX('Beállítások'!$D$108:$D$112,AQ111))</f>
        <v/>
      </c>
      <c r="AY111" s="10">
        <f>IF($A111="","",N('Ügyfelek'!U111)*'Beállítások'!$B$98)</f>
        <v/>
      </c>
      <c r="AZ111" s="10">
        <f>IF(OR($A111="",AQ111=5),"",CEILING(ROUND(MAX('Beállítások'!$B$97,AW111*AX111,AY111),2),'Beállítások'!$B$99))</f>
        <v/>
      </c>
      <c r="BA111">
        <f>IF($A111="","",IF(AQ111=5,"Elutasítva",IF(MAX('Beállítások'!$B$97,AW111*AX111,AY111)=AW111*AX111,"Munkaigény × státuszszorzó",IF(MAX('Beállítások'!$B$97,AW111*AX111,AY111)=AY111,"Hirdetési keret arányában","Minimumdíj"))))</f>
        <v/>
      </c>
      <c r="BB111" s="10">
        <f>IF(OR($A111="",'Ügyfelek'!AM111=""),"",'Ügyfelek'!AM111)</f>
        <v/>
      </c>
      <c r="BC111" s="10">
        <f>IF(OR(BB111="",AZ111=""),"",AZ111-BB111)</f>
        <v/>
      </c>
      <c r="BD111" s="18">
        <f>IF(OR(BB111="",AZ111="",BB111=0),"",BC111/BB111)</f>
        <v/>
      </c>
      <c r="BE111">
        <f>IF(OR($A111="",AQ111=5),"",IF(AND(INDEX('Beállítások'!$E$108:$E$112,AQ111)&gt;0,Y111&gt;='Beállítások'!$B$91),"Igen","Nem"))</f>
        <v/>
      </c>
      <c r="BF111" s="10">
        <f>IF(BE111="Igen",CEILING(ROUND(AZ111*(1-'Beállítások'!$B$92),2),'Beállítások'!$B$99),"")</f>
        <v/>
      </c>
      <c r="BG111" s="20">
        <f>IF(BE111="Igen",INDEX('Beállítások'!$E$108:$E$112,AQ111),"")</f>
        <v/>
      </c>
      <c r="BH111" s="10">
        <f>IF(OR(BE111&lt;&gt;"Igen",'Ügyfelek'!AN111=""),"",'Ügyfelek'!AN111*BG111)</f>
        <v/>
      </c>
      <c r="BI111" s="24">
        <f>IF($A111="","",('Ügyfelek'!B111="")+('Ügyfelek'!C111="")+('Ügyfelek'!D111="")+('Ügyfelek'!E111="")+('Ügyfelek'!F111="")+('Ügyfelek'!G111="")+('Ügyfelek'!H111="")+('Ügyfelek'!I111="")+('Ügyfelek'!J111="")+('Ügyfelek'!K111="")+('Ügyfelek'!L111="")+('Ügyfelek'!M111="")+('Ügyfelek'!N111="")+('Ügyfelek'!O111="")+('Ügyfelek'!P111="")+('Ügyfelek'!Q111="")+('Ügyfelek'!R111="")+('Ügyfelek'!S111="")+('Ügyfelek'!T111="")+('Ügyfelek'!U111="")+('Ügyfelek'!V111="")+('Ügyfelek'!W111="")+('Ügyfelek'!X111="")+('Ügyfelek'!Y111="")+('Ügyfelek'!Z111="")+('Ügyfelek'!AA111="")+('Ügyfelek'!AB111="")+('Ügyfelek'!AC111="")+('Ügyfelek'!AD111="")+('Ügyfelek'!AE111="")+('Ügyfelek'!AF111="")+('Ügyfelek'!AG111="")+('Ügyfelek'!AH111=""))</f>
        <v/>
      </c>
      <c r="BK111">
        <f>IF($A111="","",B111+'Beállítások'!$E$6/1000)</f>
        <v/>
      </c>
      <c r="BL111">
        <f>IF($A111="","",C111+'Beállítások'!$E$7/1000)</f>
        <v/>
      </c>
      <c r="BM111">
        <f>IF($A111="","",D111+'Beállítások'!$E$8/1000)</f>
        <v/>
      </c>
      <c r="BN111">
        <f>IF($A111="","",E111+'Beállítások'!$E$9/1000)</f>
        <v/>
      </c>
      <c r="BO111">
        <f>IF($A111="","",F111+'Beállítások'!$E$10/1000)</f>
        <v/>
      </c>
      <c r="BP111">
        <f>IF($A111="","",G111+'Beállítások'!$E$11/1000)</f>
        <v/>
      </c>
      <c r="BQ111">
        <f>IF($A111="","",H111+'Beállítások'!$E$12/1000)</f>
        <v/>
      </c>
      <c r="BR111">
        <f>IF($A111="","",I111+'Beállítások'!$E$13/1000)</f>
        <v/>
      </c>
      <c r="BS111">
        <f>IF($A111="","",J111+'Beállítások'!$E$14/1000)</f>
        <v/>
      </c>
      <c r="BT111">
        <f>IF($A111="","",K111+'Beállítások'!$E$15/1000)</f>
        <v/>
      </c>
      <c r="BU111">
        <f>IF($A111="","",L111+'Beállítások'!$E$16/1000)</f>
        <v/>
      </c>
      <c r="BV111">
        <f>IF($A111="","",M111+'Beállítások'!$E$17/1000)</f>
        <v/>
      </c>
      <c r="BW111">
        <f>IF($A111="","",N111+'Beállítások'!$E$18/1000)</f>
        <v/>
      </c>
      <c r="BX111">
        <f>IF($A111="","",O111+'Beállítások'!$E$19/1000)</f>
        <v/>
      </c>
      <c r="BY111">
        <f>IF($A111="","",P111+'Beállítások'!$E$20/1000)</f>
        <v/>
      </c>
      <c r="BZ111">
        <f>IF($A111="","",Q111+'Beállítások'!$E$21/1000)</f>
        <v/>
      </c>
      <c r="CA111">
        <f>IF($A111="","",R111+'Beállítások'!$E$22/1000)</f>
        <v/>
      </c>
      <c r="CB111">
        <f>IF($A111="","",S111+'Beállítások'!$E$23/1000)</f>
        <v/>
      </c>
      <c r="CC111">
        <f>IF($A111="","",T111+'Beállítások'!$E$24/1000)</f>
        <v/>
      </c>
      <c r="CD111">
        <f>IF($A111="","",U111+'Beállítások'!$E$25/1000)</f>
        <v/>
      </c>
      <c r="CE111">
        <f>IF($A111="","",V111+'Beállítások'!$E$26/1000)</f>
        <v/>
      </c>
      <c r="CF111">
        <f>IF($A111="","",W111+'Beállítások'!$E$27/1000)</f>
        <v/>
      </c>
      <c r="CG111">
        <f>IF($A111="","",X111+'Beállítások'!$E$28/1000)</f>
        <v/>
      </c>
      <c r="CH111">
        <f>IF($A111="","",Y111+'Beállítások'!$E$29/1000)</f>
        <v/>
      </c>
      <c r="CI111">
        <f>IF($A111="","",Z111+'Beállítások'!$E$30/1000)</f>
        <v/>
      </c>
      <c r="CJ111">
        <f>IF($A111="","",AA111+'Beállítások'!$E$31/1000)</f>
        <v/>
      </c>
      <c r="CK111">
        <f>IF($A111="","",AB111+'Beállítások'!$E$32/1000)</f>
        <v/>
      </c>
      <c r="CL111">
        <f>IF($A111="","",AC111+'Beállítások'!$E$33/1000)</f>
        <v/>
      </c>
      <c r="CM111">
        <f>IF($A111="","",AD111+'Beállítások'!$E$34/1000)</f>
        <v/>
      </c>
      <c r="CN111">
        <f>IF($A111="","",AE111+'Beállítások'!$E$35/1000)</f>
        <v/>
      </c>
      <c r="CO111">
        <f>IF($A111="","",AF111+'Beállítások'!$E$36/1000)</f>
        <v/>
      </c>
      <c r="CP111">
        <f>IF($A111="","",AG111+'Beállítások'!$E$37/1000)</f>
        <v/>
      </c>
      <c r="CQ111">
        <f>IF($A111="","",AH111+'Beállítások'!$E$38/1000)</f>
        <v/>
      </c>
      <c r="CR111">
        <f>IF($A111="","",'Beállítások'!$E$6*(10-B111))</f>
        <v/>
      </c>
      <c r="CS111">
        <f>IF($A111="","",'Beállítások'!$E$7*(10-C111))</f>
        <v/>
      </c>
      <c r="CT111">
        <f>IF($A111="","",'Beállítások'!$E$8*(10-D111))</f>
        <v/>
      </c>
      <c r="CU111">
        <f>IF($A111="","",'Beállítások'!$E$9*(10-E111))</f>
        <v/>
      </c>
      <c r="CV111">
        <f>IF($A111="","",'Beállítások'!$E$10*(10-F111))</f>
        <v/>
      </c>
      <c r="CW111">
        <f>IF($A111="","",'Beállítások'!$E$11*(10-G111))</f>
        <v/>
      </c>
      <c r="CX111">
        <f>IF($A111="","",'Beállítások'!$E$12*(10-H111))</f>
        <v/>
      </c>
      <c r="CY111">
        <f>IF($A111="","",'Beállítások'!$E$13*(10-I111))</f>
        <v/>
      </c>
      <c r="CZ111">
        <f>IF($A111="","",'Beállítások'!$E$14*(10-J111))</f>
        <v/>
      </c>
      <c r="DA111">
        <f>IF($A111="","",'Beállítások'!$E$15*(10-K111))</f>
        <v/>
      </c>
      <c r="DB111">
        <f>IF($A111="","",'Beállítások'!$E$16*(10-L111))</f>
        <v/>
      </c>
      <c r="DC111">
        <f>IF($A111="","",'Beállítások'!$E$17*(10-M111))</f>
        <v/>
      </c>
      <c r="DD111">
        <f>IF($A111="","",'Beállítások'!$E$18*(10-N111))</f>
        <v/>
      </c>
      <c r="DE111">
        <f>IF($A111="","",'Beállítások'!$E$19*(10-O111))</f>
        <v/>
      </c>
      <c r="DF111">
        <f>IF($A111="","",'Beállítások'!$E$20*(10-P111))</f>
        <v/>
      </c>
      <c r="DG111">
        <f>IF($A111="","",'Beállítások'!$E$21*(10-Q111))</f>
        <v/>
      </c>
      <c r="DH111">
        <f>IF($A111="","",'Beállítások'!$E$22*(10-R111))</f>
        <v/>
      </c>
      <c r="DI111">
        <f>IF($A111="","",'Beállítások'!$E$23*(10-S111))</f>
        <v/>
      </c>
      <c r="DJ111">
        <f>IF($A111="","",'Beállítások'!$E$24*(10-T111))</f>
        <v/>
      </c>
      <c r="DK111">
        <f>IF($A111="","",'Beállítások'!$E$25*(10-U111))</f>
        <v/>
      </c>
      <c r="DL111">
        <f>IF($A111="","",'Beállítások'!$E$26*(10-V111))</f>
        <v/>
      </c>
      <c r="DM111">
        <f>IF($A111="","",'Beállítások'!$E$27*(10-W111))</f>
        <v/>
      </c>
      <c r="DN111">
        <f>IF($A111="","",'Beállítások'!$E$28*(10-X111))</f>
        <v/>
      </c>
      <c r="DO111">
        <f>IF($A111="","",'Beállítások'!$E$29*(10-Y111))</f>
        <v/>
      </c>
      <c r="DP111">
        <f>IF($A111="","",'Beállítások'!$E$30*(10-Z111))</f>
        <v/>
      </c>
      <c r="DQ111">
        <f>IF($A111="","",'Beállítások'!$E$31*(10-AA111))</f>
        <v/>
      </c>
      <c r="DR111">
        <f>IF($A111="","",'Beállítások'!$E$32*(10-AB111))</f>
        <v/>
      </c>
      <c r="DS111">
        <f>IF($A111="","",'Beállítások'!$E$33*(10-AC111))</f>
        <v/>
      </c>
      <c r="DT111">
        <f>IF($A111="","",'Beállítások'!$E$34*(10-AD111))</f>
        <v/>
      </c>
      <c r="DU111">
        <f>IF($A111="","",'Beállítások'!$E$35*(10-AE111))</f>
        <v/>
      </c>
      <c r="DV111">
        <f>IF($A111="","",'Beállítások'!$E$36*(10-AF111))</f>
        <v/>
      </c>
      <c r="DW111">
        <f>IF($A111="","",'Beállítások'!$E$37*(10-AG111))</f>
        <v/>
      </c>
      <c r="DX111">
        <f>IF($A111="","",'Beállítások'!$E$38*(10-AH111))</f>
        <v/>
      </c>
      <c r="DY111">
        <f>IF($A111="","",AM111-ROW()/100000)</f>
        <v/>
      </c>
    </row>
    <row r="112">
      <c r="A112">
        <f>IF('Ügyfelek'!A112="","",'Ügyfelek'!A112)</f>
        <v/>
      </c>
      <c r="B112">
        <f>IF($A112="","",IF('Ügyfelek'!B112="",'Beállítások'!$B$84,IFERROR(VLOOKUP(TRIM('Ügyfelek'!B112),'Beállítások'!$A$51:$B$59,2,FALSE),'Beállítások'!$B$84)))</f>
        <v/>
      </c>
      <c r="C112">
        <f>IF($A112="","",IF('Ügyfelek'!C112="",'Beállítások'!$B$84,MIN(10,MAX(1,ROUND('Ügyfelek'!C112,0)))))</f>
        <v/>
      </c>
      <c r="D112">
        <f>IF($A112="","",IF('Ügyfelek'!D112="",'Beállítások'!$B$84,MIN(10,MAX(1,ROUND('Ügyfelek'!D112,0)))))</f>
        <v/>
      </c>
      <c r="E112">
        <f>IF($A112="","",IF('Ügyfelek'!E112="",'Beállítások'!$B$84,MIN(10,MAX(1,ROUND('Ügyfelek'!E112,0)))))</f>
        <v/>
      </c>
      <c r="F112">
        <f>IF($A112="","",IF('Ügyfelek'!F112="",'Beállítások'!$B$84,MIN(10,MAX(1,ROUND('Ügyfelek'!F112,0)))))</f>
        <v/>
      </c>
      <c r="G112">
        <f>IF($A112="","",IF('Ügyfelek'!G112="",'Beállítások'!$B$84,MIN(10,MAX(1,ROUND('Ügyfelek'!G112,0)))))</f>
        <v/>
      </c>
      <c r="H112">
        <f>IF($A112="","",IF('Ügyfelek'!H112="",'Beállítások'!$B$84,MIN(10,MAX(1,ROUND('Ügyfelek'!H112,0)))))</f>
        <v/>
      </c>
      <c r="I112">
        <f>IF($A112="","",IF('Ügyfelek'!I112="",'Beállítások'!$B$84,MIN(10,MAX(1,ROUND('Ügyfelek'!I112,0)))))</f>
        <v/>
      </c>
      <c r="J112">
        <f>IF($A112="","",IF('Ügyfelek'!J112="",'Beállítások'!$B$84,MIN(10,MAX(1,ROUND('Ügyfelek'!J112,0)))))</f>
        <v/>
      </c>
      <c r="K112">
        <f>IF($A112="","",IF('Ügyfelek'!K112="",'Beállítások'!$B$84,MIN(10,MAX(1,ROUND('Ügyfelek'!K112,0)))))</f>
        <v/>
      </c>
      <c r="L112">
        <f>IF($A112="","",IF('Ügyfelek'!L112="",'Beállítások'!$B$84,MIN(10,MAX(1,ROUND('Ügyfelek'!L112,0)))))</f>
        <v/>
      </c>
      <c r="M112">
        <f>IF($A112="","",IF('Ügyfelek'!M112="",'Beállítások'!$B$84,MIN(10,MAX(1,ROUND('Ügyfelek'!M112,0)))))</f>
        <v/>
      </c>
      <c r="N112">
        <f>IF($A112="","",IF('Ügyfelek'!N112="",'Beállítások'!$B$84,MIN(10,MAX(1,ROUND('Ügyfelek'!N112,0)))))</f>
        <v/>
      </c>
      <c r="O112">
        <f>IF($A112="","",IF('Ügyfelek'!O112="",'Beállítások'!$B$84,MIN(10,MAX(1,ROUND('Ügyfelek'!O112,0)))))</f>
        <v/>
      </c>
      <c r="P112">
        <f>IF($A112="","",IF('Ügyfelek'!P112="",'Beállítások'!$B$84,MIN(10,MAX(1,ROUND('Ügyfelek'!P112,0)))))</f>
        <v/>
      </c>
      <c r="Q112">
        <f>IF($A112="","",IF('Ügyfelek'!Q112="",'Beállítások'!$B$84,MIN(10,MAX(1,ROUND('Ügyfelek'!Q112,0)))))</f>
        <v/>
      </c>
      <c r="R112">
        <f>IF($A112="","",IF('Ügyfelek'!R112="",'Beállítások'!$B$84,MIN(10,MAX(1,ROUND('Ügyfelek'!R112,0)))))</f>
        <v/>
      </c>
      <c r="S112">
        <f>IF($A112="","",IF('Ügyfelek'!S112="",'Beállítások'!$B$84,MIN(10,MAX(1,ROUND('Ügyfelek'!S112,0)))))</f>
        <v/>
      </c>
      <c r="T112">
        <f>IF($A112="","",IF('Ügyfelek'!T112="",'Beállítások'!$B$84,VLOOKUP(MAX('Ügyfelek'!T112,'Beállítások'!$H$7),'Beállítások'!$H$7:$I$12,2,TRUE)))</f>
        <v/>
      </c>
      <c r="U112">
        <f>IF($A112="","",IF('Ügyfelek'!U112="",'Beállítások'!$B$84,VLOOKUP(MAX('Ügyfelek'!U112,'Beállítások'!$K$7),'Beállítások'!$K$7:$L$12,2,TRUE)))</f>
        <v/>
      </c>
      <c r="V112">
        <f>IF($A112="","",IF('Ügyfelek'!V112="",'Beállítások'!$B$84,MIN(10,MAX(1,ROUND('Ügyfelek'!V112,0)))))</f>
        <v/>
      </c>
      <c r="W112">
        <f>IF($A112="","",IF('Ügyfelek'!W112="",'Beállítások'!$B$84,VLOOKUP(MAX('Ügyfelek'!W112,'Beállítások'!$N$7),'Beállítások'!$N$7:$O$12,2,TRUE)))</f>
        <v/>
      </c>
      <c r="X112">
        <f>IF($A112="","",IF('Ügyfelek'!X112="",'Beállítások'!$B$84,MIN(10,MAX(1,ROUND('Ügyfelek'!X112,0)))))</f>
        <v/>
      </c>
      <c r="Y112">
        <f>IF($A112="","",IF('Ügyfelek'!Y112="",'Beállítások'!$B$84,IFERROR(VLOOKUP(TRIM('Ügyfelek'!Y112),'Beállítások'!$A$63:$B$69,2,FALSE),'Beállítások'!$B$84)))</f>
        <v/>
      </c>
      <c r="Z112">
        <f>IF($A112="","",IF('Ügyfelek'!Z112="",'Beállítások'!$B$84,VLOOKUP(MAX('Ügyfelek'!Z112,'Beállítások'!$Q$7),'Beállítások'!$Q$7:$R$12,2,TRUE)))</f>
        <v/>
      </c>
      <c r="AA112">
        <f>IF($A112="","",IF('Ügyfelek'!AA112="",'Beállítások'!$B$84,VLOOKUP(MAX('Ügyfelek'!AA112,'Beállítások'!$T$7),'Beállítások'!$T$7:$U$12,2,TRUE)))</f>
        <v/>
      </c>
      <c r="AB112">
        <f>IF($A112="","",IF('Ügyfelek'!AB112="",'Beállítások'!$B$84,MIN(10,MAX(1,ROUND('Ügyfelek'!AB112,0)))))</f>
        <v/>
      </c>
      <c r="AC112">
        <f>IF($A112="","",IF('Ügyfelek'!AC112="",'Beállítások'!$B$84,MIN(10,MAX(1,ROUND('Ügyfelek'!AC112,0)))))</f>
        <v/>
      </c>
      <c r="AD112">
        <f>IF($A112="","",IF('Ügyfelek'!AD112="",'Beállítások'!$B$84,MIN(10,MAX(1,ROUND('Ügyfelek'!AD112,0)))))</f>
        <v/>
      </c>
      <c r="AE112">
        <f>IF($A112="","",IF('Ügyfelek'!AE112="",'Beállítások'!$B$84,MIN(10,MAX(1,ROUND('Ügyfelek'!AE112,0)))))</f>
        <v/>
      </c>
      <c r="AF112">
        <f>IF($A112="","",IF('Ügyfelek'!AF112="",'Beállítások'!$B$84,MIN(10,MAX(1,ROUND('Ügyfelek'!AF112,0)))))</f>
        <v/>
      </c>
      <c r="AG112">
        <f>IF($A112="","",IF('Ügyfelek'!AG112="",'Beállítások'!$B$84,MIN(10,MAX(1,ROUND('Ügyfelek'!AG112,0)))))</f>
        <v/>
      </c>
      <c r="AH112">
        <f>IF($A112="","",IF('Ügyfelek'!AH112="",'Beállítások'!$B$84,IFERROR(VLOOKUP(TRIM('Ügyfelek'!AH112),'Beállítások'!$A$73:$B$79,2,FALSE),'Beállítások'!$B$84)))</f>
        <v/>
      </c>
      <c r="AI112" s="23">
        <f>IF($A112="","",ROUND(100*('Beállítások'!$E$6*(B112-1)+'Beállítások'!$E$7*(C112-1))/(9*'Beállítások'!$B$43),1))</f>
        <v/>
      </c>
      <c r="AJ112" s="23">
        <f>IF($A112="","",ROUND(100*('Beállítások'!$E$8*(D112-1)+'Beállítások'!$E$9*(E112-1)+'Beállítások'!$E$10*(F112-1)+'Beállítások'!$E$11*(G112-1)+'Beállítások'!$E$12*(H112-1)+'Beállítások'!$E$13*(I112-1)+'Beállítások'!$E$14*(J112-1)+'Beállítások'!$E$15*(K112-1)+'Beállítások'!$E$16*(L112-1)+'Beállítások'!$E$17*(M112-1)+'Beállítások'!$E$18*(N112-1)+'Beállítások'!$E$19*(O112-1)+'Beállítások'!$E$20*(P112-1)+'Beállítások'!$E$21*(Q112-1)+'Beállítások'!$E$22*(R112-1))/(9*'Beállítások'!$B$44),1))</f>
        <v/>
      </c>
      <c r="AK112" s="23">
        <f>IF($A112="","",ROUND(100*('Beállítások'!$E$23*(S112-1)+'Beállítások'!$E$24*(T112-1)+'Beállítások'!$E$25*(U112-1)+'Beállítások'!$E$26*(V112-1)+'Beállítások'!$E$27*(W112-1)+'Beállítások'!$E$28*(X112-1)+'Beállítások'!$E$29*(Y112-1))/(9*'Beállítások'!$B$45),1))</f>
        <v/>
      </c>
      <c r="AL112" s="23">
        <f>IF($A112="","",ROUND(100*('Beállítások'!$E$30*(Z112-1)+'Beállítások'!$E$31*(AA112-1)+'Beállítások'!$E$32*(AB112-1)+'Beállítások'!$E$33*(AC112-1)+'Beállítások'!$E$34*(AD112-1)+'Beállítások'!$E$35*(AE112-1)+'Beállítások'!$E$36*(AF112-1)+'Beállítások'!$E$37*(AG112-1)+'Beállítások'!$E$38*(AH112-1))/(9*'Beállítások'!$B$46),1))</f>
        <v/>
      </c>
      <c r="AM112" s="23">
        <f>IF($A112="","",ROUND(100*('Beállítások'!$E$6*(B112-1)+'Beállítások'!$E$7*(C112-1)+'Beállítások'!$E$8*(D112-1)+'Beállítások'!$E$9*(E112-1)+'Beállítások'!$E$10*(F112-1)+'Beállítások'!$E$11*(G112-1)+'Beállítások'!$E$12*(H112-1)+'Beállítások'!$E$13*(I112-1)+'Beállítások'!$E$14*(J112-1)+'Beállítások'!$E$15*(K112-1)+'Beállítások'!$E$16*(L112-1)+'Beállítások'!$E$17*(M112-1)+'Beállítások'!$E$18*(N112-1)+'Beállítások'!$E$19*(O112-1)+'Beállítások'!$E$20*(P112-1)+'Beállítások'!$E$21*(Q112-1)+'Beállítások'!$E$22*(R112-1)+'Beállítások'!$E$23*(S112-1)+'Beállítások'!$E$24*(T112-1)+'Beállítások'!$E$25*(U112-1)+'Beállítások'!$E$26*(V112-1)+'Beállítások'!$E$27*(W112-1)+'Beállítások'!$E$28*(X112-1)+'Beállítások'!$E$29*(Y112-1)+'Beállítások'!$E$30*(Z112-1)+'Beállítások'!$E$31*(AA112-1)+'Beállítások'!$E$32*(AB112-1)+'Beállítások'!$E$33*(AC112-1)+'Beállítások'!$E$34*(AD112-1)+'Beállítások'!$E$35*(AE112-1)+'Beállítások'!$E$36*(AF112-1)+'Beállítások'!$E$37*(AG112-1)+'Beállítások'!$E$38*(AH112-1))/(9*'Beállítások'!$E$39),1))</f>
        <v/>
      </c>
      <c r="AN112" s="23">
        <f>IF($A112="","",ROUND(100*('Beállítások'!$E$8*(D112-1)+'Beállítások'!$E$9*(E112-1)+'Beállítások'!$E$10*(F112-1)+'Beállítások'!$E$11*(G112-1)+'Beállítások'!$E$12*(H112-1)+'Beállítások'!$E$13*(I112-1)+'Beállítások'!$E$14*(J112-1)+'Beállítások'!$E$15*(K112-1)+'Beállítások'!$E$16*(L112-1)+'Beállítások'!$E$17*(M112-1)+'Beállítások'!$E$18*(N112-1)+'Beállítások'!$E$19*(O112-1)+'Beállítások'!$E$20*(P112-1)+'Beállítások'!$E$21*(Q112-1)+'Beállítások'!$E$22*(R112-1)+'Beállítások'!$E$23*(S112-1)+'Beállítások'!$E$24*(T112-1)+'Beállítások'!$E$25*(U112-1)+'Beállítások'!$E$26*(V112-1)+'Beállítások'!$E$27*(W112-1)+'Beállítások'!$E$28*(X112-1)+'Beállítások'!$E$29*(Y112-1))/(9*('Beállítások'!$B$44+'Beállítások'!$B$45)),1))</f>
        <v/>
      </c>
      <c r="AO112" s="24">
        <f>IF($A112="","",RANK(AM112,$AM$2:$AM$201))</f>
        <v/>
      </c>
      <c r="AP112">
        <f>IF($A112="","",IF(OR(AND('Ügyfelek'!B112&lt;&gt;"",B112&lt;='Beállítások'!$B$85),AND('Ügyfelek'!C112&lt;&gt;"",C112&lt;='Beállítások'!$B$86)),"Igen","Nem"))</f>
        <v/>
      </c>
      <c r="AQ112" s="24">
        <f>IF($A112="","",IF(AP112="Igen",5,IF(AN112&gt;='Beállítások'!$C$108,1,IF(AN112&gt;='Beállítások'!$C$109,2,IF(AN112&gt;='Beállítások'!$C$110,3,IF(AND(AN112&gt;='Beállítások'!$B$87,AI112&gt;='Beállítások'!$B$88,AL112&gt;='Beállítások'!$B$89),4,5))))))</f>
        <v/>
      </c>
      <c r="AR112">
        <f>IF($A112="","",INDEX('Beállítások'!$B$108:$B$112,AQ112))</f>
        <v/>
      </c>
      <c r="AS112">
        <f>IF($A112="","",IF(AQ112=5,"Elutasítjuk",IF(AND(AQ112=4,COUNTIFS('Eredmény'!$AQ$2:$AQ$201,4,'Eredmény'!$DY$2:$DY$201,"&gt;"&amp;DY112)&gt;='Beállítások'!$B$90),"Várólista (a 4-es hely foglalt)","Elfogadjuk")))</f>
        <v/>
      </c>
      <c r="AT112">
        <f>IF($A112="","",INDEX('Beállítások'!$F$108:$F$112,AQ112))</f>
        <v/>
      </c>
      <c r="AU112">
        <f>IF($A112="","",INDEX('Beállítások'!$B$6:$B$38,MATCH(MAX(BK112:CQ112),BK112:CQ112,0)))</f>
        <v/>
      </c>
      <c r="AV112">
        <f>IF($A112="","",IF(MAX(CR112:DX112)=0,"—",INDEX('Beállítások'!$B$6:$B$38,MATCH(MAX(CR112:DX112),CR112:DX112,0))))</f>
        <v/>
      </c>
      <c r="AW112" s="10">
        <f>IF($A112="","",'Beállítások'!$B$94*(TRIM('Ügyfelek'!AI112)="igen")+'Beállítások'!$B$95*(TRIM('Ügyfelek'!AJ112)="igen")+'Beállítások'!$B$96*N('Ügyfelek'!AK112)+'Beállítások'!$B$93*N('Ügyfelek'!AL112))</f>
        <v/>
      </c>
      <c r="AX112" s="25">
        <f>IF(OR($A112="",AQ112=5),"",INDEX('Beállítások'!$D$108:$D$112,AQ112))</f>
        <v/>
      </c>
      <c r="AY112" s="10">
        <f>IF($A112="","",N('Ügyfelek'!U112)*'Beállítások'!$B$98)</f>
        <v/>
      </c>
      <c r="AZ112" s="10">
        <f>IF(OR($A112="",AQ112=5),"",CEILING(ROUND(MAX('Beállítások'!$B$97,AW112*AX112,AY112),2),'Beállítások'!$B$99))</f>
        <v/>
      </c>
      <c r="BA112">
        <f>IF($A112="","",IF(AQ112=5,"Elutasítva",IF(MAX('Beállítások'!$B$97,AW112*AX112,AY112)=AW112*AX112,"Munkaigény × státuszszorzó",IF(MAX('Beállítások'!$B$97,AW112*AX112,AY112)=AY112,"Hirdetési keret arányában","Minimumdíj"))))</f>
        <v/>
      </c>
      <c r="BB112" s="10">
        <f>IF(OR($A112="",'Ügyfelek'!AM112=""),"",'Ügyfelek'!AM112)</f>
        <v/>
      </c>
      <c r="BC112" s="10">
        <f>IF(OR(BB112="",AZ112=""),"",AZ112-BB112)</f>
        <v/>
      </c>
      <c r="BD112" s="18">
        <f>IF(OR(BB112="",AZ112="",BB112=0),"",BC112/BB112)</f>
        <v/>
      </c>
      <c r="BE112">
        <f>IF(OR($A112="",AQ112=5),"",IF(AND(INDEX('Beállítások'!$E$108:$E$112,AQ112)&gt;0,Y112&gt;='Beállítások'!$B$91),"Igen","Nem"))</f>
        <v/>
      </c>
      <c r="BF112" s="10">
        <f>IF(BE112="Igen",CEILING(ROUND(AZ112*(1-'Beállítások'!$B$92),2),'Beállítások'!$B$99),"")</f>
        <v/>
      </c>
      <c r="BG112" s="20">
        <f>IF(BE112="Igen",INDEX('Beállítások'!$E$108:$E$112,AQ112),"")</f>
        <v/>
      </c>
      <c r="BH112" s="10">
        <f>IF(OR(BE112&lt;&gt;"Igen",'Ügyfelek'!AN112=""),"",'Ügyfelek'!AN112*BG112)</f>
        <v/>
      </c>
      <c r="BI112" s="24">
        <f>IF($A112="","",('Ügyfelek'!B112="")+('Ügyfelek'!C112="")+('Ügyfelek'!D112="")+('Ügyfelek'!E112="")+('Ügyfelek'!F112="")+('Ügyfelek'!G112="")+('Ügyfelek'!H112="")+('Ügyfelek'!I112="")+('Ügyfelek'!J112="")+('Ügyfelek'!K112="")+('Ügyfelek'!L112="")+('Ügyfelek'!M112="")+('Ügyfelek'!N112="")+('Ügyfelek'!O112="")+('Ügyfelek'!P112="")+('Ügyfelek'!Q112="")+('Ügyfelek'!R112="")+('Ügyfelek'!S112="")+('Ügyfelek'!T112="")+('Ügyfelek'!U112="")+('Ügyfelek'!V112="")+('Ügyfelek'!W112="")+('Ügyfelek'!X112="")+('Ügyfelek'!Y112="")+('Ügyfelek'!Z112="")+('Ügyfelek'!AA112="")+('Ügyfelek'!AB112="")+('Ügyfelek'!AC112="")+('Ügyfelek'!AD112="")+('Ügyfelek'!AE112="")+('Ügyfelek'!AF112="")+('Ügyfelek'!AG112="")+('Ügyfelek'!AH112=""))</f>
        <v/>
      </c>
      <c r="BK112">
        <f>IF($A112="","",B112+'Beállítások'!$E$6/1000)</f>
        <v/>
      </c>
      <c r="BL112">
        <f>IF($A112="","",C112+'Beállítások'!$E$7/1000)</f>
        <v/>
      </c>
      <c r="BM112">
        <f>IF($A112="","",D112+'Beállítások'!$E$8/1000)</f>
        <v/>
      </c>
      <c r="BN112">
        <f>IF($A112="","",E112+'Beállítások'!$E$9/1000)</f>
        <v/>
      </c>
      <c r="BO112">
        <f>IF($A112="","",F112+'Beállítások'!$E$10/1000)</f>
        <v/>
      </c>
      <c r="BP112">
        <f>IF($A112="","",G112+'Beállítások'!$E$11/1000)</f>
        <v/>
      </c>
      <c r="BQ112">
        <f>IF($A112="","",H112+'Beállítások'!$E$12/1000)</f>
        <v/>
      </c>
      <c r="BR112">
        <f>IF($A112="","",I112+'Beállítások'!$E$13/1000)</f>
        <v/>
      </c>
      <c r="BS112">
        <f>IF($A112="","",J112+'Beállítások'!$E$14/1000)</f>
        <v/>
      </c>
      <c r="BT112">
        <f>IF($A112="","",K112+'Beállítások'!$E$15/1000)</f>
        <v/>
      </c>
      <c r="BU112">
        <f>IF($A112="","",L112+'Beállítások'!$E$16/1000)</f>
        <v/>
      </c>
      <c r="BV112">
        <f>IF($A112="","",M112+'Beállítások'!$E$17/1000)</f>
        <v/>
      </c>
      <c r="BW112">
        <f>IF($A112="","",N112+'Beállítások'!$E$18/1000)</f>
        <v/>
      </c>
      <c r="BX112">
        <f>IF($A112="","",O112+'Beállítások'!$E$19/1000)</f>
        <v/>
      </c>
      <c r="BY112">
        <f>IF($A112="","",P112+'Beállítások'!$E$20/1000)</f>
        <v/>
      </c>
      <c r="BZ112">
        <f>IF($A112="","",Q112+'Beállítások'!$E$21/1000)</f>
        <v/>
      </c>
      <c r="CA112">
        <f>IF($A112="","",R112+'Beállítások'!$E$22/1000)</f>
        <v/>
      </c>
      <c r="CB112">
        <f>IF($A112="","",S112+'Beállítások'!$E$23/1000)</f>
        <v/>
      </c>
      <c r="CC112">
        <f>IF($A112="","",T112+'Beállítások'!$E$24/1000)</f>
        <v/>
      </c>
      <c r="CD112">
        <f>IF($A112="","",U112+'Beállítások'!$E$25/1000)</f>
        <v/>
      </c>
      <c r="CE112">
        <f>IF($A112="","",V112+'Beállítások'!$E$26/1000)</f>
        <v/>
      </c>
      <c r="CF112">
        <f>IF($A112="","",W112+'Beállítások'!$E$27/1000)</f>
        <v/>
      </c>
      <c r="CG112">
        <f>IF($A112="","",X112+'Beállítások'!$E$28/1000)</f>
        <v/>
      </c>
      <c r="CH112">
        <f>IF($A112="","",Y112+'Beállítások'!$E$29/1000)</f>
        <v/>
      </c>
      <c r="CI112">
        <f>IF($A112="","",Z112+'Beállítások'!$E$30/1000)</f>
        <v/>
      </c>
      <c r="CJ112">
        <f>IF($A112="","",AA112+'Beállítások'!$E$31/1000)</f>
        <v/>
      </c>
      <c r="CK112">
        <f>IF($A112="","",AB112+'Beállítások'!$E$32/1000)</f>
        <v/>
      </c>
      <c r="CL112">
        <f>IF($A112="","",AC112+'Beállítások'!$E$33/1000)</f>
        <v/>
      </c>
      <c r="CM112">
        <f>IF($A112="","",AD112+'Beállítások'!$E$34/1000)</f>
        <v/>
      </c>
      <c r="CN112">
        <f>IF($A112="","",AE112+'Beállítások'!$E$35/1000)</f>
        <v/>
      </c>
      <c r="CO112">
        <f>IF($A112="","",AF112+'Beállítások'!$E$36/1000)</f>
        <v/>
      </c>
      <c r="CP112">
        <f>IF($A112="","",AG112+'Beállítások'!$E$37/1000)</f>
        <v/>
      </c>
      <c r="CQ112">
        <f>IF($A112="","",AH112+'Beállítások'!$E$38/1000)</f>
        <v/>
      </c>
      <c r="CR112">
        <f>IF($A112="","",'Beállítások'!$E$6*(10-B112))</f>
        <v/>
      </c>
      <c r="CS112">
        <f>IF($A112="","",'Beállítások'!$E$7*(10-C112))</f>
        <v/>
      </c>
      <c r="CT112">
        <f>IF($A112="","",'Beállítások'!$E$8*(10-D112))</f>
        <v/>
      </c>
      <c r="CU112">
        <f>IF($A112="","",'Beállítások'!$E$9*(10-E112))</f>
        <v/>
      </c>
      <c r="CV112">
        <f>IF($A112="","",'Beállítások'!$E$10*(10-F112))</f>
        <v/>
      </c>
      <c r="CW112">
        <f>IF($A112="","",'Beállítások'!$E$11*(10-G112))</f>
        <v/>
      </c>
      <c r="CX112">
        <f>IF($A112="","",'Beállítások'!$E$12*(10-H112))</f>
        <v/>
      </c>
      <c r="CY112">
        <f>IF($A112="","",'Beállítások'!$E$13*(10-I112))</f>
        <v/>
      </c>
      <c r="CZ112">
        <f>IF($A112="","",'Beállítások'!$E$14*(10-J112))</f>
        <v/>
      </c>
      <c r="DA112">
        <f>IF($A112="","",'Beállítások'!$E$15*(10-K112))</f>
        <v/>
      </c>
      <c r="DB112">
        <f>IF($A112="","",'Beállítások'!$E$16*(10-L112))</f>
        <v/>
      </c>
      <c r="DC112">
        <f>IF($A112="","",'Beállítások'!$E$17*(10-M112))</f>
        <v/>
      </c>
      <c r="DD112">
        <f>IF($A112="","",'Beállítások'!$E$18*(10-N112))</f>
        <v/>
      </c>
      <c r="DE112">
        <f>IF($A112="","",'Beállítások'!$E$19*(10-O112))</f>
        <v/>
      </c>
      <c r="DF112">
        <f>IF($A112="","",'Beállítások'!$E$20*(10-P112))</f>
        <v/>
      </c>
      <c r="DG112">
        <f>IF($A112="","",'Beállítások'!$E$21*(10-Q112))</f>
        <v/>
      </c>
      <c r="DH112">
        <f>IF($A112="","",'Beállítások'!$E$22*(10-R112))</f>
        <v/>
      </c>
      <c r="DI112">
        <f>IF($A112="","",'Beállítások'!$E$23*(10-S112))</f>
        <v/>
      </c>
      <c r="DJ112">
        <f>IF($A112="","",'Beállítások'!$E$24*(10-T112))</f>
        <v/>
      </c>
      <c r="DK112">
        <f>IF($A112="","",'Beállítások'!$E$25*(10-U112))</f>
        <v/>
      </c>
      <c r="DL112">
        <f>IF($A112="","",'Beállítások'!$E$26*(10-V112))</f>
        <v/>
      </c>
      <c r="DM112">
        <f>IF($A112="","",'Beállítások'!$E$27*(10-W112))</f>
        <v/>
      </c>
      <c r="DN112">
        <f>IF($A112="","",'Beállítások'!$E$28*(10-X112))</f>
        <v/>
      </c>
      <c r="DO112">
        <f>IF($A112="","",'Beállítások'!$E$29*(10-Y112))</f>
        <v/>
      </c>
      <c r="DP112">
        <f>IF($A112="","",'Beállítások'!$E$30*(10-Z112))</f>
        <v/>
      </c>
      <c r="DQ112">
        <f>IF($A112="","",'Beállítások'!$E$31*(10-AA112))</f>
        <v/>
      </c>
      <c r="DR112">
        <f>IF($A112="","",'Beállítások'!$E$32*(10-AB112))</f>
        <v/>
      </c>
      <c r="DS112">
        <f>IF($A112="","",'Beállítások'!$E$33*(10-AC112))</f>
        <v/>
      </c>
      <c r="DT112">
        <f>IF($A112="","",'Beállítások'!$E$34*(10-AD112))</f>
        <v/>
      </c>
      <c r="DU112">
        <f>IF($A112="","",'Beállítások'!$E$35*(10-AE112))</f>
        <v/>
      </c>
      <c r="DV112">
        <f>IF($A112="","",'Beállítások'!$E$36*(10-AF112))</f>
        <v/>
      </c>
      <c r="DW112">
        <f>IF($A112="","",'Beállítások'!$E$37*(10-AG112))</f>
        <v/>
      </c>
      <c r="DX112">
        <f>IF($A112="","",'Beállítások'!$E$38*(10-AH112))</f>
        <v/>
      </c>
      <c r="DY112">
        <f>IF($A112="","",AM112-ROW()/100000)</f>
        <v/>
      </c>
    </row>
    <row r="113">
      <c r="A113">
        <f>IF('Ügyfelek'!A113="","",'Ügyfelek'!A113)</f>
        <v/>
      </c>
      <c r="B113">
        <f>IF($A113="","",IF('Ügyfelek'!B113="",'Beállítások'!$B$84,IFERROR(VLOOKUP(TRIM('Ügyfelek'!B113),'Beállítások'!$A$51:$B$59,2,FALSE),'Beállítások'!$B$84)))</f>
        <v/>
      </c>
      <c r="C113">
        <f>IF($A113="","",IF('Ügyfelek'!C113="",'Beállítások'!$B$84,MIN(10,MAX(1,ROUND('Ügyfelek'!C113,0)))))</f>
        <v/>
      </c>
      <c r="D113">
        <f>IF($A113="","",IF('Ügyfelek'!D113="",'Beállítások'!$B$84,MIN(10,MAX(1,ROUND('Ügyfelek'!D113,0)))))</f>
        <v/>
      </c>
      <c r="E113">
        <f>IF($A113="","",IF('Ügyfelek'!E113="",'Beállítások'!$B$84,MIN(10,MAX(1,ROUND('Ügyfelek'!E113,0)))))</f>
        <v/>
      </c>
      <c r="F113">
        <f>IF($A113="","",IF('Ügyfelek'!F113="",'Beállítások'!$B$84,MIN(10,MAX(1,ROUND('Ügyfelek'!F113,0)))))</f>
        <v/>
      </c>
      <c r="G113">
        <f>IF($A113="","",IF('Ügyfelek'!G113="",'Beállítások'!$B$84,MIN(10,MAX(1,ROUND('Ügyfelek'!G113,0)))))</f>
        <v/>
      </c>
      <c r="H113">
        <f>IF($A113="","",IF('Ügyfelek'!H113="",'Beállítások'!$B$84,MIN(10,MAX(1,ROUND('Ügyfelek'!H113,0)))))</f>
        <v/>
      </c>
      <c r="I113">
        <f>IF($A113="","",IF('Ügyfelek'!I113="",'Beállítások'!$B$84,MIN(10,MAX(1,ROUND('Ügyfelek'!I113,0)))))</f>
        <v/>
      </c>
      <c r="J113">
        <f>IF($A113="","",IF('Ügyfelek'!J113="",'Beállítások'!$B$84,MIN(10,MAX(1,ROUND('Ügyfelek'!J113,0)))))</f>
        <v/>
      </c>
      <c r="K113">
        <f>IF($A113="","",IF('Ügyfelek'!K113="",'Beállítások'!$B$84,MIN(10,MAX(1,ROUND('Ügyfelek'!K113,0)))))</f>
        <v/>
      </c>
      <c r="L113">
        <f>IF($A113="","",IF('Ügyfelek'!L113="",'Beállítások'!$B$84,MIN(10,MAX(1,ROUND('Ügyfelek'!L113,0)))))</f>
        <v/>
      </c>
      <c r="M113">
        <f>IF($A113="","",IF('Ügyfelek'!M113="",'Beállítások'!$B$84,MIN(10,MAX(1,ROUND('Ügyfelek'!M113,0)))))</f>
        <v/>
      </c>
      <c r="N113">
        <f>IF($A113="","",IF('Ügyfelek'!N113="",'Beállítások'!$B$84,MIN(10,MAX(1,ROUND('Ügyfelek'!N113,0)))))</f>
        <v/>
      </c>
      <c r="O113">
        <f>IF($A113="","",IF('Ügyfelek'!O113="",'Beállítások'!$B$84,MIN(10,MAX(1,ROUND('Ügyfelek'!O113,0)))))</f>
        <v/>
      </c>
      <c r="P113">
        <f>IF($A113="","",IF('Ügyfelek'!P113="",'Beállítások'!$B$84,MIN(10,MAX(1,ROUND('Ügyfelek'!P113,0)))))</f>
        <v/>
      </c>
      <c r="Q113">
        <f>IF($A113="","",IF('Ügyfelek'!Q113="",'Beállítások'!$B$84,MIN(10,MAX(1,ROUND('Ügyfelek'!Q113,0)))))</f>
        <v/>
      </c>
      <c r="R113">
        <f>IF($A113="","",IF('Ügyfelek'!R113="",'Beállítások'!$B$84,MIN(10,MAX(1,ROUND('Ügyfelek'!R113,0)))))</f>
        <v/>
      </c>
      <c r="S113">
        <f>IF($A113="","",IF('Ügyfelek'!S113="",'Beállítások'!$B$84,MIN(10,MAX(1,ROUND('Ügyfelek'!S113,0)))))</f>
        <v/>
      </c>
      <c r="T113">
        <f>IF($A113="","",IF('Ügyfelek'!T113="",'Beállítások'!$B$84,VLOOKUP(MAX('Ügyfelek'!T113,'Beállítások'!$H$7),'Beállítások'!$H$7:$I$12,2,TRUE)))</f>
        <v/>
      </c>
      <c r="U113">
        <f>IF($A113="","",IF('Ügyfelek'!U113="",'Beállítások'!$B$84,VLOOKUP(MAX('Ügyfelek'!U113,'Beállítások'!$K$7),'Beállítások'!$K$7:$L$12,2,TRUE)))</f>
        <v/>
      </c>
      <c r="V113">
        <f>IF($A113="","",IF('Ügyfelek'!V113="",'Beállítások'!$B$84,MIN(10,MAX(1,ROUND('Ügyfelek'!V113,0)))))</f>
        <v/>
      </c>
      <c r="W113">
        <f>IF($A113="","",IF('Ügyfelek'!W113="",'Beállítások'!$B$84,VLOOKUP(MAX('Ügyfelek'!W113,'Beállítások'!$N$7),'Beállítások'!$N$7:$O$12,2,TRUE)))</f>
        <v/>
      </c>
      <c r="X113">
        <f>IF($A113="","",IF('Ügyfelek'!X113="",'Beállítások'!$B$84,MIN(10,MAX(1,ROUND('Ügyfelek'!X113,0)))))</f>
        <v/>
      </c>
      <c r="Y113">
        <f>IF($A113="","",IF('Ügyfelek'!Y113="",'Beállítások'!$B$84,IFERROR(VLOOKUP(TRIM('Ügyfelek'!Y113),'Beállítások'!$A$63:$B$69,2,FALSE),'Beállítások'!$B$84)))</f>
        <v/>
      </c>
      <c r="Z113">
        <f>IF($A113="","",IF('Ügyfelek'!Z113="",'Beállítások'!$B$84,VLOOKUP(MAX('Ügyfelek'!Z113,'Beállítások'!$Q$7),'Beállítások'!$Q$7:$R$12,2,TRUE)))</f>
        <v/>
      </c>
      <c r="AA113">
        <f>IF($A113="","",IF('Ügyfelek'!AA113="",'Beállítások'!$B$84,VLOOKUP(MAX('Ügyfelek'!AA113,'Beállítások'!$T$7),'Beállítások'!$T$7:$U$12,2,TRUE)))</f>
        <v/>
      </c>
      <c r="AB113">
        <f>IF($A113="","",IF('Ügyfelek'!AB113="",'Beállítások'!$B$84,MIN(10,MAX(1,ROUND('Ügyfelek'!AB113,0)))))</f>
        <v/>
      </c>
      <c r="AC113">
        <f>IF($A113="","",IF('Ügyfelek'!AC113="",'Beállítások'!$B$84,MIN(10,MAX(1,ROUND('Ügyfelek'!AC113,0)))))</f>
        <v/>
      </c>
      <c r="AD113">
        <f>IF($A113="","",IF('Ügyfelek'!AD113="",'Beállítások'!$B$84,MIN(10,MAX(1,ROUND('Ügyfelek'!AD113,0)))))</f>
        <v/>
      </c>
      <c r="AE113">
        <f>IF($A113="","",IF('Ügyfelek'!AE113="",'Beállítások'!$B$84,MIN(10,MAX(1,ROUND('Ügyfelek'!AE113,0)))))</f>
        <v/>
      </c>
      <c r="AF113">
        <f>IF($A113="","",IF('Ügyfelek'!AF113="",'Beállítások'!$B$84,MIN(10,MAX(1,ROUND('Ügyfelek'!AF113,0)))))</f>
        <v/>
      </c>
      <c r="AG113">
        <f>IF($A113="","",IF('Ügyfelek'!AG113="",'Beállítások'!$B$84,MIN(10,MAX(1,ROUND('Ügyfelek'!AG113,0)))))</f>
        <v/>
      </c>
      <c r="AH113">
        <f>IF($A113="","",IF('Ügyfelek'!AH113="",'Beállítások'!$B$84,IFERROR(VLOOKUP(TRIM('Ügyfelek'!AH113),'Beállítások'!$A$73:$B$79,2,FALSE),'Beállítások'!$B$84)))</f>
        <v/>
      </c>
      <c r="AI113" s="23">
        <f>IF($A113="","",ROUND(100*('Beállítások'!$E$6*(B113-1)+'Beállítások'!$E$7*(C113-1))/(9*'Beállítások'!$B$43),1))</f>
        <v/>
      </c>
      <c r="AJ113" s="23">
        <f>IF($A113="","",ROUND(100*('Beállítások'!$E$8*(D113-1)+'Beállítások'!$E$9*(E113-1)+'Beállítások'!$E$10*(F113-1)+'Beállítások'!$E$11*(G113-1)+'Beállítások'!$E$12*(H113-1)+'Beállítások'!$E$13*(I113-1)+'Beállítások'!$E$14*(J113-1)+'Beállítások'!$E$15*(K113-1)+'Beállítások'!$E$16*(L113-1)+'Beállítások'!$E$17*(M113-1)+'Beállítások'!$E$18*(N113-1)+'Beállítások'!$E$19*(O113-1)+'Beállítások'!$E$20*(P113-1)+'Beállítások'!$E$21*(Q113-1)+'Beállítások'!$E$22*(R113-1))/(9*'Beállítások'!$B$44),1))</f>
        <v/>
      </c>
      <c r="AK113" s="23">
        <f>IF($A113="","",ROUND(100*('Beállítások'!$E$23*(S113-1)+'Beállítások'!$E$24*(T113-1)+'Beállítások'!$E$25*(U113-1)+'Beállítások'!$E$26*(V113-1)+'Beállítások'!$E$27*(W113-1)+'Beállítások'!$E$28*(X113-1)+'Beállítások'!$E$29*(Y113-1))/(9*'Beállítások'!$B$45),1))</f>
        <v/>
      </c>
      <c r="AL113" s="23">
        <f>IF($A113="","",ROUND(100*('Beállítások'!$E$30*(Z113-1)+'Beállítások'!$E$31*(AA113-1)+'Beállítások'!$E$32*(AB113-1)+'Beállítások'!$E$33*(AC113-1)+'Beállítások'!$E$34*(AD113-1)+'Beállítások'!$E$35*(AE113-1)+'Beállítások'!$E$36*(AF113-1)+'Beállítások'!$E$37*(AG113-1)+'Beállítások'!$E$38*(AH113-1))/(9*'Beállítások'!$B$46),1))</f>
        <v/>
      </c>
      <c r="AM113" s="23">
        <f>IF($A113="","",ROUND(100*('Beállítások'!$E$6*(B113-1)+'Beállítások'!$E$7*(C113-1)+'Beállítások'!$E$8*(D113-1)+'Beállítások'!$E$9*(E113-1)+'Beállítások'!$E$10*(F113-1)+'Beállítások'!$E$11*(G113-1)+'Beállítások'!$E$12*(H113-1)+'Beállítások'!$E$13*(I113-1)+'Beállítások'!$E$14*(J113-1)+'Beállítások'!$E$15*(K113-1)+'Beállítások'!$E$16*(L113-1)+'Beállítások'!$E$17*(M113-1)+'Beállítások'!$E$18*(N113-1)+'Beállítások'!$E$19*(O113-1)+'Beállítások'!$E$20*(P113-1)+'Beállítások'!$E$21*(Q113-1)+'Beállítások'!$E$22*(R113-1)+'Beállítások'!$E$23*(S113-1)+'Beállítások'!$E$24*(T113-1)+'Beállítások'!$E$25*(U113-1)+'Beállítások'!$E$26*(V113-1)+'Beállítások'!$E$27*(W113-1)+'Beállítások'!$E$28*(X113-1)+'Beállítások'!$E$29*(Y113-1)+'Beállítások'!$E$30*(Z113-1)+'Beállítások'!$E$31*(AA113-1)+'Beállítások'!$E$32*(AB113-1)+'Beállítások'!$E$33*(AC113-1)+'Beállítások'!$E$34*(AD113-1)+'Beállítások'!$E$35*(AE113-1)+'Beállítások'!$E$36*(AF113-1)+'Beállítások'!$E$37*(AG113-1)+'Beállítások'!$E$38*(AH113-1))/(9*'Beállítások'!$E$39),1))</f>
        <v/>
      </c>
      <c r="AN113" s="23">
        <f>IF($A113="","",ROUND(100*('Beállítások'!$E$8*(D113-1)+'Beállítások'!$E$9*(E113-1)+'Beállítások'!$E$10*(F113-1)+'Beállítások'!$E$11*(G113-1)+'Beállítások'!$E$12*(H113-1)+'Beállítások'!$E$13*(I113-1)+'Beállítások'!$E$14*(J113-1)+'Beállítások'!$E$15*(K113-1)+'Beállítások'!$E$16*(L113-1)+'Beállítások'!$E$17*(M113-1)+'Beállítások'!$E$18*(N113-1)+'Beállítások'!$E$19*(O113-1)+'Beállítások'!$E$20*(P113-1)+'Beállítások'!$E$21*(Q113-1)+'Beállítások'!$E$22*(R113-1)+'Beállítások'!$E$23*(S113-1)+'Beállítások'!$E$24*(T113-1)+'Beállítások'!$E$25*(U113-1)+'Beállítások'!$E$26*(V113-1)+'Beállítások'!$E$27*(W113-1)+'Beállítások'!$E$28*(X113-1)+'Beállítások'!$E$29*(Y113-1))/(9*('Beállítások'!$B$44+'Beállítások'!$B$45)),1))</f>
        <v/>
      </c>
      <c r="AO113" s="24">
        <f>IF($A113="","",RANK(AM113,$AM$2:$AM$201))</f>
        <v/>
      </c>
      <c r="AP113">
        <f>IF($A113="","",IF(OR(AND('Ügyfelek'!B113&lt;&gt;"",B113&lt;='Beállítások'!$B$85),AND('Ügyfelek'!C113&lt;&gt;"",C113&lt;='Beállítások'!$B$86)),"Igen","Nem"))</f>
        <v/>
      </c>
      <c r="AQ113" s="24">
        <f>IF($A113="","",IF(AP113="Igen",5,IF(AN113&gt;='Beállítások'!$C$108,1,IF(AN113&gt;='Beállítások'!$C$109,2,IF(AN113&gt;='Beállítások'!$C$110,3,IF(AND(AN113&gt;='Beállítások'!$B$87,AI113&gt;='Beállítások'!$B$88,AL113&gt;='Beállítások'!$B$89),4,5))))))</f>
        <v/>
      </c>
      <c r="AR113">
        <f>IF($A113="","",INDEX('Beállítások'!$B$108:$B$112,AQ113))</f>
        <v/>
      </c>
      <c r="AS113">
        <f>IF($A113="","",IF(AQ113=5,"Elutasítjuk",IF(AND(AQ113=4,COUNTIFS('Eredmény'!$AQ$2:$AQ$201,4,'Eredmény'!$DY$2:$DY$201,"&gt;"&amp;DY113)&gt;='Beállítások'!$B$90),"Várólista (a 4-es hely foglalt)","Elfogadjuk")))</f>
        <v/>
      </c>
      <c r="AT113">
        <f>IF($A113="","",INDEX('Beállítások'!$F$108:$F$112,AQ113))</f>
        <v/>
      </c>
      <c r="AU113">
        <f>IF($A113="","",INDEX('Beállítások'!$B$6:$B$38,MATCH(MAX(BK113:CQ113),BK113:CQ113,0)))</f>
        <v/>
      </c>
      <c r="AV113">
        <f>IF($A113="","",IF(MAX(CR113:DX113)=0,"—",INDEX('Beállítások'!$B$6:$B$38,MATCH(MAX(CR113:DX113),CR113:DX113,0))))</f>
        <v/>
      </c>
      <c r="AW113" s="10">
        <f>IF($A113="","",'Beállítások'!$B$94*(TRIM('Ügyfelek'!AI113)="igen")+'Beállítások'!$B$95*(TRIM('Ügyfelek'!AJ113)="igen")+'Beállítások'!$B$96*N('Ügyfelek'!AK113)+'Beállítások'!$B$93*N('Ügyfelek'!AL113))</f>
        <v/>
      </c>
      <c r="AX113" s="25">
        <f>IF(OR($A113="",AQ113=5),"",INDEX('Beállítások'!$D$108:$D$112,AQ113))</f>
        <v/>
      </c>
      <c r="AY113" s="10">
        <f>IF($A113="","",N('Ügyfelek'!U113)*'Beállítások'!$B$98)</f>
        <v/>
      </c>
      <c r="AZ113" s="10">
        <f>IF(OR($A113="",AQ113=5),"",CEILING(ROUND(MAX('Beállítások'!$B$97,AW113*AX113,AY113),2),'Beállítások'!$B$99))</f>
        <v/>
      </c>
      <c r="BA113">
        <f>IF($A113="","",IF(AQ113=5,"Elutasítva",IF(MAX('Beállítások'!$B$97,AW113*AX113,AY113)=AW113*AX113,"Munkaigény × státuszszorzó",IF(MAX('Beállítások'!$B$97,AW113*AX113,AY113)=AY113,"Hirdetési keret arányában","Minimumdíj"))))</f>
        <v/>
      </c>
      <c r="BB113" s="10">
        <f>IF(OR($A113="",'Ügyfelek'!AM113=""),"",'Ügyfelek'!AM113)</f>
        <v/>
      </c>
      <c r="BC113" s="10">
        <f>IF(OR(BB113="",AZ113=""),"",AZ113-BB113)</f>
        <v/>
      </c>
      <c r="BD113" s="18">
        <f>IF(OR(BB113="",AZ113="",BB113=0),"",BC113/BB113)</f>
        <v/>
      </c>
      <c r="BE113">
        <f>IF(OR($A113="",AQ113=5),"",IF(AND(INDEX('Beállítások'!$E$108:$E$112,AQ113)&gt;0,Y113&gt;='Beállítások'!$B$91),"Igen","Nem"))</f>
        <v/>
      </c>
      <c r="BF113" s="10">
        <f>IF(BE113="Igen",CEILING(ROUND(AZ113*(1-'Beállítások'!$B$92),2),'Beállítások'!$B$99),"")</f>
        <v/>
      </c>
      <c r="BG113" s="20">
        <f>IF(BE113="Igen",INDEX('Beállítások'!$E$108:$E$112,AQ113),"")</f>
        <v/>
      </c>
      <c r="BH113" s="10">
        <f>IF(OR(BE113&lt;&gt;"Igen",'Ügyfelek'!AN113=""),"",'Ügyfelek'!AN113*BG113)</f>
        <v/>
      </c>
      <c r="BI113" s="24">
        <f>IF($A113="","",('Ügyfelek'!B113="")+('Ügyfelek'!C113="")+('Ügyfelek'!D113="")+('Ügyfelek'!E113="")+('Ügyfelek'!F113="")+('Ügyfelek'!G113="")+('Ügyfelek'!H113="")+('Ügyfelek'!I113="")+('Ügyfelek'!J113="")+('Ügyfelek'!K113="")+('Ügyfelek'!L113="")+('Ügyfelek'!M113="")+('Ügyfelek'!N113="")+('Ügyfelek'!O113="")+('Ügyfelek'!P113="")+('Ügyfelek'!Q113="")+('Ügyfelek'!R113="")+('Ügyfelek'!S113="")+('Ügyfelek'!T113="")+('Ügyfelek'!U113="")+('Ügyfelek'!V113="")+('Ügyfelek'!W113="")+('Ügyfelek'!X113="")+('Ügyfelek'!Y113="")+('Ügyfelek'!Z113="")+('Ügyfelek'!AA113="")+('Ügyfelek'!AB113="")+('Ügyfelek'!AC113="")+('Ügyfelek'!AD113="")+('Ügyfelek'!AE113="")+('Ügyfelek'!AF113="")+('Ügyfelek'!AG113="")+('Ügyfelek'!AH113=""))</f>
        <v/>
      </c>
      <c r="BK113">
        <f>IF($A113="","",B113+'Beállítások'!$E$6/1000)</f>
        <v/>
      </c>
      <c r="BL113">
        <f>IF($A113="","",C113+'Beállítások'!$E$7/1000)</f>
        <v/>
      </c>
      <c r="BM113">
        <f>IF($A113="","",D113+'Beállítások'!$E$8/1000)</f>
        <v/>
      </c>
      <c r="BN113">
        <f>IF($A113="","",E113+'Beállítások'!$E$9/1000)</f>
        <v/>
      </c>
      <c r="BO113">
        <f>IF($A113="","",F113+'Beállítások'!$E$10/1000)</f>
        <v/>
      </c>
      <c r="BP113">
        <f>IF($A113="","",G113+'Beállítások'!$E$11/1000)</f>
        <v/>
      </c>
      <c r="BQ113">
        <f>IF($A113="","",H113+'Beállítások'!$E$12/1000)</f>
        <v/>
      </c>
      <c r="BR113">
        <f>IF($A113="","",I113+'Beállítások'!$E$13/1000)</f>
        <v/>
      </c>
      <c r="BS113">
        <f>IF($A113="","",J113+'Beállítások'!$E$14/1000)</f>
        <v/>
      </c>
      <c r="BT113">
        <f>IF($A113="","",K113+'Beállítások'!$E$15/1000)</f>
        <v/>
      </c>
      <c r="BU113">
        <f>IF($A113="","",L113+'Beállítások'!$E$16/1000)</f>
        <v/>
      </c>
      <c r="BV113">
        <f>IF($A113="","",M113+'Beállítások'!$E$17/1000)</f>
        <v/>
      </c>
      <c r="BW113">
        <f>IF($A113="","",N113+'Beállítások'!$E$18/1000)</f>
        <v/>
      </c>
      <c r="BX113">
        <f>IF($A113="","",O113+'Beállítások'!$E$19/1000)</f>
        <v/>
      </c>
      <c r="BY113">
        <f>IF($A113="","",P113+'Beállítások'!$E$20/1000)</f>
        <v/>
      </c>
      <c r="BZ113">
        <f>IF($A113="","",Q113+'Beállítások'!$E$21/1000)</f>
        <v/>
      </c>
      <c r="CA113">
        <f>IF($A113="","",R113+'Beállítások'!$E$22/1000)</f>
        <v/>
      </c>
      <c r="CB113">
        <f>IF($A113="","",S113+'Beállítások'!$E$23/1000)</f>
        <v/>
      </c>
      <c r="CC113">
        <f>IF($A113="","",T113+'Beállítások'!$E$24/1000)</f>
        <v/>
      </c>
      <c r="CD113">
        <f>IF($A113="","",U113+'Beállítások'!$E$25/1000)</f>
        <v/>
      </c>
      <c r="CE113">
        <f>IF($A113="","",V113+'Beállítások'!$E$26/1000)</f>
        <v/>
      </c>
      <c r="CF113">
        <f>IF($A113="","",W113+'Beállítások'!$E$27/1000)</f>
        <v/>
      </c>
      <c r="CG113">
        <f>IF($A113="","",X113+'Beállítások'!$E$28/1000)</f>
        <v/>
      </c>
      <c r="CH113">
        <f>IF($A113="","",Y113+'Beállítások'!$E$29/1000)</f>
        <v/>
      </c>
      <c r="CI113">
        <f>IF($A113="","",Z113+'Beállítások'!$E$30/1000)</f>
        <v/>
      </c>
      <c r="CJ113">
        <f>IF($A113="","",AA113+'Beállítások'!$E$31/1000)</f>
        <v/>
      </c>
      <c r="CK113">
        <f>IF($A113="","",AB113+'Beállítások'!$E$32/1000)</f>
        <v/>
      </c>
      <c r="CL113">
        <f>IF($A113="","",AC113+'Beállítások'!$E$33/1000)</f>
        <v/>
      </c>
      <c r="CM113">
        <f>IF($A113="","",AD113+'Beállítások'!$E$34/1000)</f>
        <v/>
      </c>
      <c r="CN113">
        <f>IF($A113="","",AE113+'Beállítások'!$E$35/1000)</f>
        <v/>
      </c>
      <c r="CO113">
        <f>IF($A113="","",AF113+'Beállítások'!$E$36/1000)</f>
        <v/>
      </c>
      <c r="CP113">
        <f>IF($A113="","",AG113+'Beállítások'!$E$37/1000)</f>
        <v/>
      </c>
      <c r="CQ113">
        <f>IF($A113="","",AH113+'Beállítások'!$E$38/1000)</f>
        <v/>
      </c>
      <c r="CR113">
        <f>IF($A113="","",'Beállítások'!$E$6*(10-B113))</f>
        <v/>
      </c>
      <c r="CS113">
        <f>IF($A113="","",'Beállítások'!$E$7*(10-C113))</f>
        <v/>
      </c>
      <c r="CT113">
        <f>IF($A113="","",'Beállítások'!$E$8*(10-D113))</f>
        <v/>
      </c>
      <c r="CU113">
        <f>IF($A113="","",'Beállítások'!$E$9*(10-E113))</f>
        <v/>
      </c>
      <c r="CV113">
        <f>IF($A113="","",'Beállítások'!$E$10*(10-F113))</f>
        <v/>
      </c>
      <c r="CW113">
        <f>IF($A113="","",'Beállítások'!$E$11*(10-G113))</f>
        <v/>
      </c>
      <c r="CX113">
        <f>IF($A113="","",'Beállítások'!$E$12*(10-H113))</f>
        <v/>
      </c>
      <c r="CY113">
        <f>IF($A113="","",'Beállítások'!$E$13*(10-I113))</f>
        <v/>
      </c>
      <c r="CZ113">
        <f>IF($A113="","",'Beállítások'!$E$14*(10-J113))</f>
        <v/>
      </c>
      <c r="DA113">
        <f>IF($A113="","",'Beállítások'!$E$15*(10-K113))</f>
        <v/>
      </c>
      <c r="DB113">
        <f>IF($A113="","",'Beállítások'!$E$16*(10-L113))</f>
        <v/>
      </c>
      <c r="DC113">
        <f>IF($A113="","",'Beállítások'!$E$17*(10-M113))</f>
        <v/>
      </c>
      <c r="DD113">
        <f>IF($A113="","",'Beállítások'!$E$18*(10-N113))</f>
        <v/>
      </c>
      <c r="DE113">
        <f>IF($A113="","",'Beállítások'!$E$19*(10-O113))</f>
        <v/>
      </c>
      <c r="DF113">
        <f>IF($A113="","",'Beállítások'!$E$20*(10-P113))</f>
        <v/>
      </c>
      <c r="DG113">
        <f>IF($A113="","",'Beállítások'!$E$21*(10-Q113))</f>
        <v/>
      </c>
      <c r="DH113">
        <f>IF($A113="","",'Beállítások'!$E$22*(10-R113))</f>
        <v/>
      </c>
      <c r="DI113">
        <f>IF($A113="","",'Beállítások'!$E$23*(10-S113))</f>
        <v/>
      </c>
      <c r="DJ113">
        <f>IF($A113="","",'Beállítások'!$E$24*(10-T113))</f>
        <v/>
      </c>
      <c r="DK113">
        <f>IF($A113="","",'Beállítások'!$E$25*(10-U113))</f>
        <v/>
      </c>
      <c r="DL113">
        <f>IF($A113="","",'Beállítások'!$E$26*(10-V113))</f>
        <v/>
      </c>
      <c r="DM113">
        <f>IF($A113="","",'Beállítások'!$E$27*(10-W113))</f>
        <v/>
      </c>
      <c r="DN113">
        <f>IF($A113="","",'Beállítások'!$E$28*(10-X113))</f>
        <v/>
      </c>
      <c r="DO113">
        <f>IF($A113="","",'Beállítások'!$E$29*(10-Y113))</f>
        <v/>
      </c>
      <c r="DP113">
        <f>IF($A113="","",'Beállítások'!$E$30*(10-Z113))</f>
        <v/>
      </c>
      <c r="DQ113">
        <f>IF($A113="","",'Beállítások'!$E$31*(10-AA113))</f>
        <v/>
      </c>
      <c r="DR113">
        <f>IF($A113="","",'Beállítások'!$E$32*(10-AB113))</f>
        <v/>
      </c>
      <c r="DS113">
        <f>IF($A113="","",'Beállítások'!$E$33*(10-AC113))</f>
        <v/>
      </c>
      <c r="DT113">
        <f>IF($A113="","",'Beállítások'!$E$34*(10-AD113))</f>
        <v/>
      </c>
      <c r="DU113">
        <f>IF($A113="","",'Beállítások'!$E$35*(10-AE113))</f>
        <v/>
      </c>
      <c r="DV113">
        <f>IF($A113="","",'Beállítások'!$E$36*(10-AF113))</f>
        <v/>
      </c>
      <c r="DW113">
        <f>IF($A113="","",'Beállítások'!$E$37*(10-AG113))</f>
        <v/>
      </c>
      <c r="DX113">
        <f>IF($A113="","",'Beállítások'!$E$38*(10-AH113))</f>
        <v/>
      </c>
      <c r="DY113">
        <f>IF($A113="","",AM113-ROW()/100000)</f>
        <v/>
      </c>
    </row>
    <row r="114">
      <c r="A114">
        <f>IF('Ügyfelek'!A114="","",'Ügyfelek'!A114)</f>
        <v/>
      </c>
      <c r="B114">
        <f>IF($A114="","",IF('Ügyfelek'!B114="",'Beállítások'!$B$84,IFERROR(VLOOKUP(TRIM('Ügyfelek'!B114),'Beállítások'!$A$51:$B$59,2,FALSE),'Beállítások'!$B$84)))</f>
        <v/>
      </c>
      <c r="C114">
        <f>IF($A114="","",IF('Ügyfelek'!C114="",'Beállítások'!$B$84,MIN(10,MAX(1,ROUND('Ügyfelek'!C114,0)))))</f>
        <v/>
      </c>
      <c r="D114">
        <f>IF($A114="","",IF('Ügyfelek'!D114="",'Beállítások'!$B$84,MIN(10,MAX(1,ROUND('Ügyfelek'!D114,0)))))</f>
        <v/>
      </c>
      <c r="E114">
        <f>IF($A114="","",IF('Ügyfelek'!E114="",'Beállítások'!$B$84,MIN(10,MAX(1,ROUND('Ügyfelek'!E114,0)))))</f>
        <v/>
      </c>
      <c r="F114">
        <f>IF($A114="","",IF('Ügyfelek'!F114="",'Beállítások'!$B$84,MIN(10,MAX(1,ROUND('Ügyfelek'!F114,0)))))</f>
        <v/>
      </c>
      <c r="G114">
        <f>IF($A114="","",IF('Ügyfelek'!G114="",'Beállítások'!$B$84,MIN(10,MAX(1,ROUND('Ügyfelek'!G114,0)))))</f>
        <v/>
      </c>
      <c r="H114">
        <f>IF($A114="","",IF('Ügyfelek'!H114="",'Beállítások'!$B$84,MIN(10,MAX(1,ROUND('Ügyfelek'!H114,0)))))</f>
        <v/>
      </c>
      <c r="I114">
        <f>IF($A114="","",IF('Ügyfelek'!I114="",'Beállítások'!$B$84,MIN(10,MAX(1,ROUND('Ügyfelek'!I114,0)))))</f>
        <v/>
      </c>
      <c r="J114">
        <f>IF($A114="","",IF('Ügyfelek'!J114="",'Beállítások'!$B$84,MIN(10,MAX(1,ROUND('Ügyfelek'!J114,0)))))</f>
        <v/>
      </c>
      <c r="K114">
        <f>IF($A114="","",IF('Ügyfelek'!K114="",'Beállítások'!$B$84,MIN(10,MAX(1,ROUND('Ügyfelek'!K114,0)))))</f>
        <v/>
      </c>
      <c r="L114">
        <f>IF($A114="","",IF('Ügyfelek'!L114="",'Beállítások'!$B$84,MIN(10,MAX(1,ROUND('Ügyfelek'!L114,0)))))</f>
        <v/>
      </c>
      <c r="M114">
        <f>IF($A114="","",IF('Ügyfelek'!M114="",'Beállítások'!$B$84,MIN(10,MAX(1,ROUND('Ügyfelek'!M114,0)))))</f>
        <v/>
      </c>
      <c r="N114">
        <f>IF($A114="","",IF('Ügyfelek'!N114="",'Beállítások'!$B$84,MIN(10,MAX(1,ROUND('Ügyfelek'!N114,0)))))</f>
        <v/>
      </c>
      <c r="O114">
        <f>IF($A114="","",IF('Ügyfelek'!O114="",'Beállítások'!$B$84,MIN(10,MAX(1,ROUND('Ügyfelek'!O114,0)))))</f>
        <v/>
      </c>
      <c r="P114">
        <f>IF($A114="","",IF('Ügyfelek'!P114="",'Beállítások'!$B$84,MIN(10,MAX(1,ROUND('Ügyfelek'!P114,0)))))</f>
        <v/>
      </c>
      <c r="Q114">
        <f>IF($A114="","",IF('Ügyfelek'!Q114="",'Beállítások'!$B$84,MIN(10,MAX(1,ROUND('Ügyfelek'!Q114,0)))))</f>
        <v/>
      </c>
      <c r="R114">
        <f>IF($A114="","",IF('Ügyfelek'!R114="",'Beállítások'!$B$84,MIN(10,MAX(1,ROUND('Ügyfelek'!R114,0)))))</f>
        <v/>
      </c>
      <c r="S114">
        <f>IF($A114="","",IF('Ügyfelek'!S114="",'Beállítások'!$B$84,MIN(10,MAX(1,ROUND('Ügyfelek'!S114,0)))))</f>
        <v/>
      </c>
      <c r="T114">
        <f>IF($A114="","",IF('Ügyfelek'!T114="",'Beállítások'!$B$84,VLOOKUP(MAX('Ügyfelek'!T114,'Beállítások'!$H$7),'Beállítások'!$H$7:$I$12,2,TRUE)))</f>
        <v/>
      </c>
      <c r="U114">
        <f>IF($A114="","",IF('Ügyfelek'!U114="",'Beállítások'!$B$84,VLOOKUP(MAX('Ügyfelek'!U114,'Beállítások'!$K$7),'Beállítások'!$K$7:$L$12,2,TRUE)))</f>
        <v/>
      </c>
      <c r="V114">
        <f>IF($A114="","",IF('Ügyfelek'!V114="",'Beállítások'!$B$84,MIN(10,MAX(1,ROUND('Ügyfelek'!V114,0)))))</f>
        <v/>
      </c>
      <c r="W114">
        <f>IF($A114="","",IF('Ügyfelek'!W114="",'Beállítások'!$B$84,VLOOKUP(MAX('Ügyfelek'!W114,'Beállítások'!$N$7),'Beállítások'!$N$7:$O$12,2,TRUE)))</f>
        <v/>
      </c>
      <c r="X114">
        <f>IF($A114="","",IF('Ügyfelek'!X114="",'Beállítások'!$B$84,MIN(10,MAX(1,ROUND('Ügyfelek'!X114,0)))))</f>
        <v/>
      </c>
      <c r="Y114">
        <f>IF($A114="","",IF('Ügyfelek'!Y114="",'Beállítások'!$B$84,IFERROR(VLOOKUP(TRIM('Ügyfelek'!Y114),'Beállítások'!$A$63:$B$69,2,FALSE),'Beállítások'!$B$84)))</f>
        <v/>
      </c>
      <c r="Z114">
        <f>IF($A114="","",IF('Ügyfelek'!Z114="",'Beállítások'!$B$84,VLOOKUP(MAX('Ügyfelek'!Z114,'Beállítások'!$Q$7),'Beállítások'!$Q$7:$R$12,2,TRUE)))</f>
        <v/>
      </c>
      <c r="AA114">
        <f>IF($A114="","",IF('Ügyfelek'!AA114="",'Beállítások'!$B$84,VLOOKUP(MAX('Ügyfelek'!AA114,'Beállítások'!$T$7),'Beállítások'!$T$7:$U$12,2,TRUE)))</f>
        <v/>
      </c>
      <c r="AB114">
        <f>IF($A114="","",IF('Ügyfelek'!AB114="",'Beállítások'!$B$84,MIN(10,MAX(1,ROUND('Ügyfelek'!AB114,0)))))</f>
        <v/>
      </c>
      <c r="AC114">
        <f>IF($A114="","",IF('Ügyfelek'!AC114="",'Beállítások'!$B$84,MIN(10,MAX(1,ROUND('Ügyfelek'!AC114,0)))))</f>
        <v/>
      </c>
      <c r="AD114">
        <f>IF($A114="","",IF('Ügyfelek'!AD114="",'Beállítások'!$B$84,MIN(10,MAX(1,ROUND('Ügyfelek'!AD114,0)))))</f>
        <v/>
      </c>
      <c r="AE114">
        <f>IF($A114="","",IF('Ügyfelek'!AE114="",'Beállítások'!$B$84,MIN(10,MAX(1,ROUND('Ügyfelek'!AE114,0)))))</f>
        <v/>
      </c>
      <c r="AF114">
        <f>IF($A114="","",IF('Ügyfelek'!AF114="",'Beállítások'!$B$84,MIN(10,MAX(1,ROUND('Ügyfelek'!AF114,0)))))</f>
        <v/>
      </c>
      <c r="AG114">
        <f>IF($A114="","",IF('Ügyfelek'!AG114="",'Beállítások'!$B$84,MIN(10,MAX(1,ROUND('Ügyfelek'!AG114,0)))))</f>
        <v/>
      </c>
      <c r="AH114">
        <f>IF($A114="","",IF('Ügyfelek'!AH114="",'Beállítások'!$B$84,IFERROR(VLOOKUP(TRIM('Ügyfelek'!AH114),'Beállítások'!$A$73:$B$79,2,FALSE),'Beállítások'!$B$84)))</f>
        <v/>
      </c>
      <c r="AI114" s="23">
        <f>IF($A114="","",ROUND(100*('Beállítások'!$E$6*(B114-1)+'Beállítások'!$E$7*(C114-1))/(9*'Beállítások'!$B$43),1))</f>
        <v/>
      </c>
      <c r="AJ114" s="23">
        <f>IF($A114="","",ROUND(100*('Beállítások'!$E$8*(D114-1)+'Beállítások'!$E$9*(E114-1)+'Beállítások'!$E$10*(F114-1)+'Beállítások'!$E$11*(G114-1)+'Beállítások'!$E$12*(H114-1)+'Beállítások'!$E$13*(I114-1)+'Beállítások'!$E$14*(J114-1)+'Beállítások'!$E$15*(K114-1)+'Beállítások'!$E$16*(L114-1)+'Beállítások'!$E$17*(M114-1)+'Beállítások'!$E$18*(N114-1)+'Beállítások'!$E$19*(O114-1)+'Beállítások'!$E$20*(P114-1)+'Beállítások'!$E$21*(Q114-1)+'Beállítások'!$E$22*(R114-1))/(9*'Beállítások'!$B$44),1))</f>
        <v/>
      </c>
      <c r="AK114" s="23">
        <f>IF($A114="","",ROUND(100*('Beállítások'!$E$23*(S114-1)+'Beállítások'!$E$24*(T114-1)+'Beállítások'!$E$25*(U114-1)+'Beállítások'!$E$26*(V114-1)+'Beállítások'!$E$27*(W114-1)+'Beállítások'!$E$28*(X114-1)+'Beállítások'!$E$29*(Y114-1))/(9*'Beállítások'!$B$45),1))</f>
        <v/>
      </c>
      <c r="AL114" s="23">
        <f>IF($A114="","",ROUND(100*('Beállítások'!$E$30*(Z114-1)+'Beállítások'!$E$31*(AA114-1)+'Beállítások'!$E$32*(AB114-1)+'Beállítások'!$E$33*(AC114-1)+'Beállítások'!$E$34*(AD114-1)+'Beállítások'!$E$35*(AE114-1)+'Beállítások'!$E$36*(AF114-1)+'Beállítások'!$E$37*(AG114-1)+'Beállítások'!$E$38*(AH114-1))/(9*'Beállítások'!$B$46),1))</f>
        <v/>
      </c>
      <c r="AM114" s="23">
        <f>IF($A114="","",ROUND(100*('Beállítások'!$E$6*(B114-1)+'Beállítások'!$E$7*(C114-1)+'Beállítások'!$E$8*(D114-1)+'Beállítások'!$E$9*(E114-1)+'Beállítások'!$E$10*(F114-1)+'Beállítások'!$E$11*(G114-1)+'Beállítások'!$E$12*(H114-1)+'Beállítások'!$E$13*(I114-1)+'Beállítások'!$E$14*(J114-1)+'Beállítások'!$E$15*(K114-1)+'Beállítások'!$E$16*(L114-1)+'Beállítások'!$E$17*(M114-1)+'Beállítások'!$E$18*(N114-1)+'Beállítások'!$E$19*(O114-1)+'Beállítások'!$E$20*(P114-1)+'Beállítások'!$E$21*(Q114-1)+'Beállítások'!$E$22*(R114-1)+'Beállítások'!$E$23*(S114-1)+'Beállítások'!$E$24*(T114-1)+'Beállítások'!$E$25*(U114-1)+'Beállítások'!$E$26*(V114-1)+'Beállítások'!$E$27*(W114-1)+'Beállítások'!$E$28*(X114-1)+'Beállítások'!$E$29*(Y114-1)+'Beállítások'!$E$30*(Z114-1)+'Beállítások'!$E$31*(AA114-1)+'Beállítások'!$E$32*(AB114-1)+'Beállítások'!$E$33*(AC114-1)+'Beállítások'!$E$34*(AD114-1)+'Beállítások'!$E$35*(AE114-1)+'Beállítások'!$E$36*(AF114-1)+'Beállítások'!$E$37*(AG114-1)+'Beállítások'!$E$38*(AH114-1))/(9*'Beállítások'!$E$39),1))</f>
        <v/>
      </c>
      <c r="AN114" s="23">
        <f>IF($A114="","",ROUND(100*('Beállítások'!$E$8*(D114-1)+'Beállítások'!$E$9*(E114-1)+'Beállítások'!$E$10*(F114-1)+'Beállítások'!$E$11*(G114-1)+'Beállítások'!$E$12*(H114-1)+'Beállítások'!$E$13*(I114-1)+'Beállítások'!$E$14*(J114-1)+'Beállítások'!$E$15*(K114-1)+'Beállítások'!$E$16*(L114-1)+'Beállítások'!$E$17*(M114-1)+'Beállítások'!$E$18*(N114-1)+'Beállítások'!$E$19*(O114-1)+'Beállítások'!$E$20*(P114-1)+'Beállítások'!$E$21*(Q114-1)+'Beállítások'!$E$22*(R114-1)+'Beállítások'!$E$23*(S114-1)+'Beállítások'!$E$24*(T114-1)+'Beállítások'!$E$25*(U114-1)+'Beállítások'!$E$26*(V114-1)+'Beállítások'!$E$27*(W114-1)+'Beállítások'!$E$28*(X114-1)+'Beállítások'!$E$29*(Y114-1))/(9*('Beállítások'!$B$44+'Beállítások'!$B$45)),1))</f>
        <v/>
      </c>
      <c r="AO114" s="24">
        <f>IF($A114="","",RANK(AM114,$AM$2:$AM$201))</f>
        <v/>
      </c>
      <c r="AP114">
        <f>IF($A114="","",IF(OR(AND('Ügyfelek'!B114&lt;&gt;"",B114&lt;='Beállítások'!$B$85),AND('Ügyfelek'!C114&lt;&gt;"",C114&lt;='Beállítások'!$B$86)),"Igen","Nem"))</f>
        <v/>
      </c>
      <c r="AQ114" s="24">
        <f>IF($A114="","",IF(AP114="Igen",5,IF(AN114&gt;='Beállítások'!$C$108,1,IF(AN114&gt;='Beállítások'!$C$109,2,IF(AN114&gt;='Beállítások'!$C$110,3,IF(AND(AN114&gt;='Beállítások'!$B$87,AI114&gt;='Beállítások'!$B$88,AL114&gt;='Beállítások'!$B$89),4,5))))))</f>
        <v/>
      </c>
      <c r="AR114">
        <f>IF($A114="","",INDEX('Beállítások'!$B$108:$B$112,AQ114))</f>
        <v/>
      </c>
      <c r="AS114">
        <f>IF($A114="","",IF(AQ114=5,"Elutasítjuk",IF(AND(AQ114=4,COUNTIFS('Eredmény'!$AQ$2:$AQ$201,4,'Eredmény'!$DY$2:$DY$201,"&gt;"&amp;DY114)&gt;='Beállítások'!$B$90),"Várólista (a 4-es hely foglalt)","Elfogadjuk")))</f>
        <v/>
      </c>
      <c r="AT114">
        <f>IF($A114="","",INDEX('Beállítások'!$F$108:$F$112,AQ114))</f>
        <v/>
      </c>
      <c r="AU114">
        <f>IF($A114="","",INDEX('Beállítások'!$B$6:$B$38,MATCH(MAX(BK114:CQ114),BK114:CQ114,0)))</f>
        <v/>
      </c>
      <c r="AV114">
        <f>IF($A114="","",IF(MAX(CR114:DX114)=0,"—",INDEX('Beállítások'!$B$6:$B$38,MATCH(MAX(CR114:DX114),CR114:DX114,0))))</f>
        <v/>
      </c>
      <c r="AW114" s="10">
        <f>IF($A114="","",'Beállítások'!$B$94*(TRIM('Ügyfelek'!AI114)="igen")+'Beállítások'!$B$95*(TRIM('Ügyfelek'!AJ114)="igen")+'Beállítások'!$B$96*N('Ügyfelek'!AK114)+'Beállítások'!$B$93*N('Ügyfelek'!AL114))</f>
        <v/>
      </c>
      <c r="AX114" s="25">
        <f>IF(OR($A114="",AQ114=5),"",INDEX('Beállítások'!$D$108:$D$112,AQ114))</f>
        <v/>
      </c>
      <c r="AY114" s="10">
        <f>IF($A114="","",N('Ügyfelek'!U114)*'Beállítások'!$B$98)</f>
        <v/>
      </c>
      <c r="AZ114" s="10">
        <f>IF(OR($A114="",AQ114=5),"",CEILING(ROUND(MAX('Beállítások'!$B$97,AW114*AX114,AY114),2),'Beállítások'!$B$99))</f>
        <v/>
      </c>
      <c r="BA114">
        <f>IF($A114="","",IF(AQ114=5,"Elutasítva",IF(MAX('Beállítások'!$B$97,AW114*AX114,AY114)=AW114*AX114,"Munkaigény × státuszszorzó",IF(MAX('Beállítások'!$B$97,AW114*AX114,AY114)=AY114,"Hirdetési keret arányában","Minimumdíj"))))</f>
        <v/>
      </c>
      <c r="BB114" s="10">
        <f>IF(OR($A114="",'Ügyfelek'!AM114=""),"",'Ügyfelek'!AM114)</f>
        <v/>
      </c>
      <c r="BC114" s="10">
        <f>IF(OR(BB114="",AZ114=""),"",AZ114-BB114)</f>
        <v/>
      </c>
      <c r="BD114" s="18">
        <f>IF(OR(BB114="",AZ114="",BB114=0),"",BC114/BB114)</f>
        <v/>
      </c>
      <c r="BE114">
        <f>IF(OR($A114="",AQ114=5),"",IF(AND(INDEX('Beállítások'!$E$108:$E$112,AQ114)&gt;0,Y114&gt;='Beállítások'!$B$91),"Igen","Nem"))</f>
        <v/>
      </c>
      <c r="BF114" s="10">
        <f>IF(BE114="Igen",CEILING(ROUND(AZ114*(1-'Beállítások'!$B$92),2),'Beállítások'!$B$99),"")</f>
        <v/>
      </c>
      <c r="BG114" s="20">
        <f>IF(BE114="Igen",INDEX('Beállítások'!$E$108:$E$112,AQ114),"")</f>
        <v/>
      </c>
      <c r="BH114" s="10">
        <f>IF(OR(BE114&lt;&gt;"Igen",'Ügyfelek'!AN114=""),"",'Ügyfelek'!AN114*BG114)</f>
        <v/>
      </c>
      <c r="BI114" s="24">
        <f>IF($A114="","",('Ügyfelek'!B114="")+('Ügyfelek'!C114="")+('Ügyfelek'!D114="")+('Ügyfelek'!E114="")+('Ügyfelek'!F114="")+('Ügyfelek'!G114="")+('Ügyfelek'!H114="")+('Ügyfelek'!I114="")+('Ügyfelek'!J114="")+('Ügyfelek'!K114="")+('Ügyfelek'!L114="")+('Ügyfelek'!M114="")+('Ügyfelek'!N114="")+('Ügyfelek'!O114="")+('Ügyfelek'!P114="")+('Ügyfelek'!Q114="")+('Ügyfelek'!R114="")+('Ügyfelek'!S114="")+('Ügyfelek'!T114="")+('Ügyfelek'!U114="")+('Ügyfelek'!V114="")+('Ügyfelek'!W114="")+('Ügyfelek'!X114="")+('Ügyfelek'!Y114="")+('Ügyfelek'!Z114="")+('Ügyfelek'!AA114="")+('Ügyfelek'!AB114="")+('Ügyfelek'!AC114="")+('Ügyfelek'!AD114="")+('Ügyfelek'!AE114="")+('Ügyfelek'!AF114="")+('Ügyfelek'!AG114="")+('Ügyfelek'!AH114=""))</f>
        <v/>
      </c>
      <c r="BK114">
        <f>IF($A114="","",B114+'Beállítások'!$E$6/1000)</f>
        <v/>
      </c>
      <c r="BL114">
        <f>IF($A114="","",C114+'Beállítások'!$E$7/1000)</f>
        <v/>
      </c>
      <c r="BM114">
        <f>IF($A114="","",D114+'Beállítások'!$E$8/1000)</f>
        <v/>
      </c>
      <c r="BN114">
        <f>IF($A114="","",E114+'Beállítások'!$E$9/1000)</f>
        <v/>
      </c>
      <c r="BO114">
        <f>IF($A114="","",F114+'Beállítások'!$E$10/1000)</f>
        <v/>
      </c>
      <c r="BP114">
        <f>IF($A114="","",G114+'Beállítások'!$E$11/1000)</f>
        <v/>
      </c>
      <c r="BQ114">
        <f>IF($A114="","",H114+'Beállítások'!$E$12/1000)</f>
        <v/>
      </c>
      <c r="BR114">
        <f>IF($A114="","",I114+'Beállítások'!$E$13/1000)</f>
        <v/>
      </c>
      <c r="BS114">
        <f>IF($A114="","",J114+'Beállítások'!$E$14/1000)</f>
        <v/>
      </c>
      <c r="BT114">
        <f>IF($A114="","",K114+'Beállítások'!$E$15/1000)</f>
        <v/>
      </c>
      <c r="BU114">
        <f>IF($A114="","",L114+'Beállítások'!$E$16/1000)</f>
        <v/>
      </c>
      <c r="BV114">
        <f>IF($A114="","",M114+'Beállítások'!$E$17/1000)</f>
        <v/>
      </c>
      <c r="BW114">
        <f>IF($A114="","",N114+'Beállítások'!$E$18/1000)</f>
        <v/>
      </c>
      <c r="BX114">
        <f>IF($A114="","",O114+'Beállítások'!$E$19/1000)</f>
        <v/>
      </c>
      <c r="BY114">
        <f>IF($A114="","",P114+'Beállítások'!$E$20/1000)</f>
        <v/>
      </c>
      <c r="BZ114">
        <f>IF($A114="","",Q114+'Beállítások'!$E$21/1000)</f>
        <v/>
      </c>
      <c r="CA114">
        <f>IF($A114="","",R114+'Beállítások'!$E$22/1000)</f>
        <v/>
      </c>
      <c r="CB114">
        <f>IF($A114="","",S114+'Beállítások'!$E$23/1000)</f>
        <v/>
      </c>
      <c r="CC114">
        <f>IF($A114="","",T114+'Beállítások'!$E$24/1000)</f>
        <v/>
      </c>
      <c r="CD114">
        <f>IF($A114="","",U114+'Beállítások'!$E$25/1000)</f>
        <v/>
      </c>
      <c r="CE114">
        <f>IF($A114="","",V114+'Beállítások'!$E$26/1000)</f>
        <v/>
      </c>
      <c r="CF114">
        <f>IF($A114="","",W114+'Beállítások'!$E$27/1000)</f>
        <v/>
      </c>
      <c r="CG114">
        <f>IF($A114="","",X114+'Beállítások'!$E$28/1000)</f>
        <v/>
      </c>
      <c r="CH114">
        <f>IF($A114="","",Y114+'Beállítások'!$E$29/1000)</f>
        <v/>
      </c>
      <c r="CI114">
        <f>IF($A114="","",Z114+'Beállítások'!$E$30/1000)</f>
        <v/>
      </c>
      <c r="CJ114">
        <f>IF($A114="","",AA114+'Beállítások'!$E$31/1000)</f>
        <v/>
      </c>
      <c r="CK114">
        <f>IF($A114="","",AB114+'Beállítások'!$E$32/1000)</f>
        <v/>
      </c>
      <c r="CL114">
        <f>IF($A114="","",AC114+'Beállítások'!$E$33/1000)</f>
        <v/>
      </c>
      <c r="CM114">
        <f>IF($A114="","",AD114+'Beállítások'!$E$34/1000)</f>
        <v/>
      </c>
      <c r="CN114">
        <f>IF($A114="","",AE114+'Beállítások'!$E$35/1000)</f>
        <v/>
      </c>
      <c r="CO114">
        <f>IF($A114="","",AF114+'Beállítások'!$E$36/1000)</f>
        <v/>
      </c>
      <c r="CP114">
        <f>IF($A114="","",AG114+'Beállítások'!$E$37/1000)</f>
        <v/>
      </c>
      <c r="CQ114">
        <f>IF($A114="","",AH114+'Beállítások'!$E$38/1000)</f>
        <v/>
      </c>
      <c r="CR114">
        <f>IF($A114="","",'Beállítások'!$E$6*(10-B114))</f>
        <v/>
      </c>
      <c r="CS114">
        <f>IF($A114="","",'Beállítások'!$E$7*(10-C114))</f>
        <v/>
      </c>
      <c r="CT114">
        <f>IF($A114="","",'Beállítások'!$E$8*(10-D114))</f>
        <v/>
      </c>
      <c r="CU114">
        <f>IF($A114="","",'Beállítások'!$E$9*(10-E114))</f>
        <v/>
      </c>
      <c r="CV114">
        <f>IF($A114="","",'Beállítások'!$E$10*(10-F114))</f>
        <v/>
      </c>
      <c r="CW114">
        <f>IF($A114="","",'Beállítások'!$E$11*(10-G114))</f>
        <v/>
      </c>
      <c r="CX114">
        <f>IF($A114="","",'Beállítások'!$E$12*(10-H114))</f>
        <v/>
      </c>
      <c r="CY114">
        <f>IF($A114="","",'Beállítások'!$E$13*(10-I114))</f>
        <v/>
      </c>
      <c r="CZ114">
        <f>IF($A114="","",'Beállítások'!$E$14*(10-J114))</f>
        <v/>
      </c>
      <c r="DA114">
        <f>IF($A114="","",'Beállítások'!$E$15*(10-K114))</f>
        <v/>
      </c>
      <c r="DB114">
        <f>IF($A114="","",'Beállítások'!$E$16*(10-L114))</f>
        <v/>
      </c>
      <c r="DC114">
        <f>IF($A114="","",'Beállítások'!$E$17*(10-M114))</f>
        <v/>
      </c>
      <c r="DD114">
        <f>IF($A114="","",'Beállítások'!$E$18*(10-N114))</f>
        <v/>
      </c>
      <c r="DE114">
        <f>IF($A114="","",'Beállítások'!$E$19*(10-O114))</f>
        <v/>
      </c>
      <c r="DF114">
        <f>IF($A114="","",'Beállítások'!$E$20*(10-P114))</f>
        <v/>
      </c>
      <c r="DG114">
        <f>IF($A114="","",'Beállítások'!$E$21*(10-Q114))</f>
        <v/>
      </c>
      <c r="DH114">
        <f>IF($A114="","",'Beállítások'!$E$22*(10-R114))</f>
        <v/>
      </c>
      <c r="DI114">
        <f>IF($A114="","",'Beállítások'!$E$23*(10-S114))</f>
        <v/>
      </c>
      <c r="DJ114">
        <f>IF($A114="","",'Beállítások'!$E$24*(10-T114))</f>
        <v/>
      </c>
      <c r="DK114">
        <f>IF($A114="","",'Beállítások'!$E$25*(10-U114))</f>
        <v/>
      </c>
      <c r="DL114">
        <f>IF($A114="","",'Beállítások'!$E$26*(10-V114))</f>
        <v/>
      </c>
      <c r="DM114">
        <f>IF($A114="","",'Beállítások'!$E$27*(10-W114))</f>
        <v/>
      </c>
      <c r="DN114">
        <f>IF($A114="","",'Beállítások'!$E$28*(10-X114))</f>
        <v/>
      </c>
      <c r="DO114">
        <f>IF($A114="","",'Beállítások'!$E$29*(10-Y114))</f>
        <v/>
      </c>
      <c r="DP114">
        <f>IF($A114="","",'Beállítások'!$E$30*(10-Z114))</f>
        <v/>
      </c>
      <c r="DQ114">
        <f>IF($A114="","",'Beállítások'!$E$31*(10-AA114))</f>
        <v/>
      </c>
      <c r="DR114">
        <f>IF($A114="","",'Beállítások'!$E$32*(10-AB114))</f>
        <v/>
      </c>
      <c r="DS114">
        <f>IF($A114="","",'Beállítások'!$E$33*(10-AC114))</f>
        <v/>
      </c>
      <c r="DT114">
        <f>IF($A114="","",'Beállítások'!$E$34*(10-AD114))</f>
        <v/>
      </c>
      <c r="DU114">
        <f>IF($A114="","",'Beállítások'!$E$35*(10-AE114))</f>
        <v/>
      </c>
      <c r="DV114">
        <f>IF($A114="","",'Beállítások'!$E$36*(10-AF114))</f>
        <v/>
      </c>
      <c r="DW114">
        <f>IF($A114="","",'Beállítások'!$E$37*(10-AG114))</f>
        <v/>
      </c>
      <c r="DX114">
        <f>IF($A114="","",'Beállítások'!$E$38*(10-AH114))</f>
        <v/>
      </c>
      <c r="DY114">
        <f>IF($A114="","",AM114-ROW()/100000)</f>
        <v/>
      </c>
    </row>
    <row r="115">
      <c r="A115">
        <f>IF('Ügyfelek'!A115="","",'Ügyfelek'!A115)</f>
        <v/>
      </c>
      <c r="B115">
        <f>IF($A115="","",IF('Ügyfelek'!B115="",'Beállítások'!$B$84,IFERROR(VLOOKUP(TRIM('Ügyfelek'!B115),'Beállítások'!$A$51:$B$59,2,FALSE),'Beállítások'!$B$84)))</f>
        <v/>
      </c>
      <c r="C115">
        <f>IF($A115="","",IF('Ügyfelek'!C115="",'Beállítások'!$B$84,MIN(10,MAX(1,ROUND('Ügyfelek'!C115,0)))))</f>
        <v/>
      </c>
      <c r="D115">
        <f>IF($A115="","",IF('Ügyfelek'!D115="",'Beállítások'!$B$84,MIN(10,MAX(1,ROUND('Ügyfelek'!D115,0)))))</f>
        <v/>
      </c>
      <c r="E115">
        <f>IF($A115="","",IF('Ügyfelek'!E115="",'Beállítások'!$B$84,MIN(10,MAX(1,ROUND('Ügyfelek'!E115,0)))))</f>
        <v/>
      </c>
      <c r="F115">
        <f>IF($A115="","",IF('Ügyfelek'!F115="",'Beállítások'!$B$84,MIN(10,MAX(1,ROUND('Ügyfelek'!F115,0)))))</f>
        <v/>
      </c>
      <c r="G115">
        <f>IF($A115="","",IF('Ügyfelek'!G115="",'Beállítások'!$B$84,MIN(10,MAX(1,ROUND('Ügyfelek'!G115,0)))))</f>
        <v/>
      </c>
      <c r="H115">
        <f>IF($A115="","",IF('Ügyfelek'!H115="",'Beállítások'!$B$84,MIN(10,MAX(1,ROUND('Ügyfelek'!H115,0)))))</f>
        <v/>
      </c>
      <c r="I115">
        <f>IF($A115="","",IF('Ügyfelek'!I115="",'Beállítások'!$B$84,MIN(10,MAX(1,ROUND('Ügyfelek'!I115,0)))))</f>
        <v/>
      </c>
      <c r="J115">
        <f>IF($A115="","",IF('Ügyfelek'!J115="",'Beállítások'!$B$84,MIN(10,MAX(1,ROUND('Ügyfelek'!J115,0)))))</f>
        <v/>
      </c>
      <c r="K115">
        <f>IF($A115="","",IF('Ügyfelek'!K115="",'Beállítások'!$B$84,MIN(10,MAX(1,ROUND('Ügyfelek'!K115,0)))))</f>
        <v/>
      </c>
      <c r="L115">
        <f>IF($A115="","",IF('Ügyfelek'!L115="",'Beállítások'!$B$84,MIN(10,MAX(1,ROUND('Ügyfelek'!L115,0)))))</f>
        <v/>
      </c>
      <c r="M115">
        <f>IF($A115="","",IF('Ügyfelek'!M115="",'Beállítások'!$B$84,MIN(10,MAX(1,ROUND('Ügyfelek'!M115,0)))))</f>
        <v/>
      </c>
      <c r="N115">
        <f>IF($A115="","",IF('Ügyfelek'!N115="",'Beállítások'!$B$84,MIN(10,MAX(1,ROUND('Ügyfelek'!N115,0)))))</f>
        <v/>
      </c>
      <c r="O115">
        <f>IF($A115="","",IF('Ügyfelek'!O115="",'Beállítások'!$B$84,MIN(10,MAX(1,ROUND('Ügyfelek'!O115,0)))))</f>
        <v/>
      </c>
      <c r="P115">
        <f>IF($A115="","",IF('Ügyfelek'!P115="",'Beállítások'!$B$84,MIN(10,MAX(1,ROUND('Ügyfelek'!P115,0)))))</f>
        <v/>
      </c>
      <c r="Q115">
        <f>IF($A115="","",IF('Ügyfelek'!Q115="",'Beállítások'!$B$84,MIN(10,MAX(1,ROUND('Ügyfelek'!Q115,0)))))</f>
        <v/>
      </c>
      <c r="R115">
        <f>IF($A115="","",IF('Ügyfelek'!R115="",'Beállítások'!$B$84,MIN(10,MAX(1,ROUND('Ügyfelek'!R115,0)))))</f>
        <v/>
      </c>
      <c r="S115">
        <f>IF($A115="","",IF('Ügyfelek'!S115="",'Beállítások'!$B$84,MIN(10,MAX(1,ROUND('Ügyfelek'!S115,0)))))</f>
        <v/>
      </c>
      <c r="T115">
        <f>IF($A115="","",IF('Ügyfelek'!T115="",'Beállítások'!$B$84,VLOOKUP(MAX('Ügyfelek'!T115,'Beállítások'!$H$7),'Beállítások'!$H$7:$I$12,2,TRUE)))</f>
        <v/>
      </c>
      <c r="U115">
        <f>IF($A115="","",IF('Ügyfelek'!U115="",'Beállítások'!$B$84,VLOOKUP(MAX('Ügyfelek'!U115,'Beállítások'!$K$7),'Beállítások'!$K$7:$L$12,2,TRUE)))</f>
        <v/>
      </c>
      <c r="V115">
        <f>IF($A115="","",IF('Ügyfelek'!V115="",'Beállítások'!$B$84,MIN(10,MAX(1,ROUND('Ügyfelek'!V115,0)))))</f>
        <v/>
      </c>
      <c r="W115">
        <f>IF($A115="","",IF('Ügyfelek'!W115="",'Beállítások'!$B$84,VLOOKUP(MAX('Ügyfelek'!W115,'Beállítások'!$N$7),'Beállítások'!$N$7:$O$12,2,TRUE)))</f>
        <v/>
      </c>
      <c r="X115">
        <f>IF($A115="","",IF('Ügyfelek'!X115="",'Beállítások'!$B$84,MIN(10,MAX(1,ROUND('Ügyfelek'!X115,0)))))</f>
        <v/>
      </c>
      <c r="Y115">
        <f>IF($A115="","",IF('Ügyfelek'!Y115="",'Beállítások'!$B$84,IFERROR(VLOOKUP(TRIM('Ügyfelek'!Y115),'Beállítások'!$A$63:$B$69,2,FALSE),'Beállítások'!$B$84)))</f>
        <v/>
      </c>
      <c r="Z115">
        <f>IF($A115="","",IF('Ügyfelek'!Z115="",'Beállítások'!$B$84,VLOOKUP(MAX('Ügyfelek'!Z115,'Beállítások'!$Q$7),'Beállítások'!$Q$7:$R$12,2,TRUE)))</f>
        <v/>
      </c>
      <c r="AA115">
        <f>IF($A115="","",IF('Ügyfelek'!AA115="",'Beállítások'!$B$84,VLOOKUP(MAX('Ügyfelek'!AA115,'Beállítások'!$T$7),'Beállítások'!$T$7:$U$12,2,TRUE)))</f>
        <v/>
      </c>
      <c r="AB115">
        <f>IF($A115="","",IF('Ügyfelek'!AB115="",'Beállítások'!$B$84,MIN(10,MAX(1,ROUND('Ügyfelek'!AB115,0)))))</f>
        <v/>
      </c>
      <c r="AC115">
        <f>IF($A115="","",IF('Ügyfelek'!AC115="",'Beállítások'!$B$84,MIN(10,MAX(1,ROUND('Ügyfelek'!AC115,0)))))</f>
        <v/>
      </c>
      <c r="AD115">
        <f>IF($A115="","",IF('Ügyfelek'!AD115="",'Beállítások'!$B$84,MIN(10,MAX(1,ROUND('Ügyfelek'!AD115,0)))))</f>
        <v/>
      </c>
      <c r="AE115">
        <f>IF($A115="","",IF('Ügyfelek'!AE115="",'Beállítások'!$B$84,MIN(10,MAX(1,ROUND('Ügyfelek'!AE115,0)))))</f>
        <v/>
      </c>
      <c r="AF115">
        <f>IF($A115="","",IF('Ügyfelek'!AF115="",'Beállítások'!$B$84,MIN(10,MAX(1,ROUND('Ügyfelek'!AF115,0)))))</f>
        <v/>
      </c>
      <c r="AG115">
        <f>IF($A115="","",IF('Ügyfelek'!AG115="",'Beállítások'!$B$84,MIN(10,MAX(1,ROUND('Ügyfelek'!AG115,0)))))</f>
        <v/>
      </c>
      <c r="AH115">
        <f>IF($A115="","",IF('Ügyfelek'!AH115="",'Beállítások'!$B$84,IFERROR(VLOOKUP(TRIM('Ügyfelek'!AH115),'Beállítások'!$A$73:$B$79,2,FALSE),'Beállítások'!$B$84)))</f>
        <v/>
      </c>
      <c r="AI115" s="23">
        <f>IF($A115="","",ROUND(100*('Beállítások'!$E$6*(B115-1)+'Beállítások'!$E$7*(C115-1))/(9*'Beállítások'!$B$43),1))</f>
        <v/>
      </c>
      <c r="AJ115" s="23">
        <f>IF($A115="","",ROUND(100*('Beállítások'!$E$8*(D115-1)+'Beállítások'!$E$9*(E115-1)+'Beállítások'!$E$10*(F115-1)+'Beállítások'!$E$11*(G115-1)+'Beállítások'!$E$12*(H115-1)+'Beállítások'!$E$13*(I115-1)+'Beállítások'!$E$14*(J115-1)+'Beállítások'!$E$15*(K115-1)+'Beállítások'!$E$16*(L115-1)+'Beállítások'!$E$17*(M115-1)+'Beállítások'!$E$18*(N115-1)+'Beállítások'!$E$19*(O115-1)+'Beállítások'!$E$20*(P115-1)+'Beállítások'!$E$21*(Q115-1)+'Beállítások'!$E$22*(R115-1))/(9*'Beállítások'!$B$44),1))</f>
        <v/>
      </c>
      <c r="AK115" s="23">
        <f>IF($A115="","",ROUND(100*('Beállítások'!$E$23*(S115-1)+'Beállítások'!$E$24*(T115-1)+'Beállítások'!$E$25*(U115-1)+'Beállítások'!$E$26*(V115-1)+'Beállítások'!$E$27*(W115-1)+'Beállítások'!$E$28*(X115-1)+'Beállítások'!$E$29*(Y115-1))/(9*'Beállítások'!$B$45),1))</f>
        <v/>
      </c>
      <c r="AL115" s="23">
        <f>IF($A115="","",ROUND(100*('Beállítások'!$E$30*(Z115-1)+'Beállítások'!$E$31*(AA115-1)+'Beállítások'!$E$32*(AB115-1)+'Beállítások'!$E$33*(AC115-1)+'Beállítások'!$E$34*(AD115-1)+'Beállítások'!$E$35*(AE115-1)+'Beállítások'!$E$36*(AF115-1)+'Beállítások'!$E$37*(AG115-1)+'Beállítások'!$E$38*(AH115-1))/(9*'Beállítások'!$B$46),1))</f>
        <v/>
      </c>
      <c r="AM115" s="23">
        <f>IF($A115="","",ROUND(100*('Beállítások'!$E$6*(B115-1)+'Beállítások'!$E$7*(C115-1)+'Beállítások'!$E$8*(D115-1)+'Beállítások'!$E$9*(E115-1)+'Beállítások'!$E$10*(F115-1)+'Beállítások'!$E$11*(G115-1)+'Beállítások'!$E$12*(H115-1)+'Beállítások'!$E$13*(I115-1)+'Beállítások'!$E$14*(J115-1)+'Beállítások'!$E$15*(K115-1)+'Beállítások'!$E$16*(L115-1)+'Beállítások'!$E$17*(M115-1)+'Beállítások'!$E$18*(N115-1)+'Beállítások'!$E$19*(O115-1)+'Beállítások'!$E$20*(P115-1)+'Beállítások'!$E$21*(Q115-1)+'Beállítások'!$E$22*(R115-1)+'Beállítások'!$E$23*(S115-1)+'Beállítások'!$E$24*(T115-1)+'Beállítások'!$E$25*(U115-1)+'Beállítások'!$E$26*(V115-1)+'Beállítások'!$E$27*(W115-1)+'Beállítások'!$E$28*(X115-1)+'Beállítások'!$E$29*(Y115-1)+'Beállítások'!$E$30*(Z115-1)+'Beállítások'!$E$31*(AA115-1)+'Beállítások'!$E$32*(AB115-1)+'Beállítások'!$E$33*(AC115-1)+'Beállítások'!$E$34*(AD115-1)+'Beállítások'!$E$35*(AE115-1)+'Beállítások'!$E$36*(AF115-1)+'Beállítások'!$E$37*(AG115-1)+'Beállítások'!$E$38*(AH115-1))/(9*'Beállítások'!$E$39),1))</f>
        <v/>
      </c>
      <c r="AN115" s="23">
        <f>IF($A115="","",ROUND(100*('Beállítások'!$E$8*(D115-1)+'Beállítások'!$E$9*(E115-1)+'Beállítások'!$E$10*(F115-1)+'Beállítások'!$E$11*(G115-1)+'Beállítások'!$E$12*(H115-1)+'Beállítások'!$E$13*(I115-1)+'Beállítások'!$E$14*(J115-1)+'Beállítások'!$E$15*(K115-1)+'Beállítások'!$E$16*(L115-1)+'Beállítások'!$E$17*(M115-1)+'Beállítások'!$E$18*(N115-1)+'Beállítások'!$E$19*(O115-1)+'Beállítások'!$E$20*(P115-1)+'Beállítások'!$E$21*(Q115-1)+'Beállítások'!$E$22*(R115-1)+'Beállítások'!$E$23*(S115-1)+'Beállítások'!$E$24*(T115-1)+'Beállítások'!$E$25*(U115-1)+'Beállítások'!$E$26*(V115-1)+'Beállítások'!$E$27*(W115-1)+'Beállítások'!$E$28*(X115-1)+'Beállítások'!$E$29*(Y115-1))/(9*('Beállítások'!$B$44+'Beállítások'!$B$45)),1))</f>
        <v/>
      </c>
      <c r="AO115" s="24">
        <f>IF($A115="","",RANK(AM115,$AM$2:$AM$201))</f>
        <v/>
      </c>
      <c r="AP115">
        <f>IF($A115="","",IF(OR(AND('Ügyfelek'!B115&lt;&gt;"",B115&lt;='Beállítások'!$B$85),AND('Ügyfelek'!C115&lt;&gt;"",C115&lt;='Beállítások'!$B$86)),"Igen","Nem"))</f>
        <v/>
      </c>
      <c r="AQ115" s="24">
        <f>IF($A115="","",IF(AP115="Igen",5,IF(AN115&gt;='Beállítások'!$C$108,1,IF(AN115&gt;='Beállítások'!$C$109,2,IF(AN115&gt;='Beállítások'!$C$110,3,IF(AND(AN115&gt;='Beállítások'!$B$87,AI115&gt;='Beállítások'!$B$88,AL115&gt;='Beállítások'!$B$89),4,5))))))</f>
        <v/>
      </c>
      <c r="AR115">
        <f>IF($A115="","",INDEX('Beállítások'!$B$108:$B$112,AQ115))</f>
        <v/>
      </c>
      <c r="AS115">
        <f>IF($A115="","",IF(AQ115=5,"Elutasítjuk",IF(AND(AQ115=4,COUNTIFS('Eredmény'!$AQ$2:$AQ$201,4,'Eredmény'!$DY$2:$DY$201,"&gt;"&amp;DY115)&gt;='Beállítások'!$B$90),"Várólista (a 4-es hely foglalt)","Elfogadjuk")))</f>
        <v/>
      </c>
      <c r="AT115">
        <f>IF($A115="","",INDEX('Beállítások'!$F$108:$F$112,AQ115))</f>
        <v/>
      </c>
      <c r="AU115">
        <f>IF($A115="","",INDEX('Beállítások'!$B$6:$B$38,MATCH(MAX(BK115:CQ115),BK115:CQ115,0)))</f>
        <v/>
      </c>
      <c r="AV115">
        <f>IF($A115="","",IF(MAX(CR115:DX115)=0,"—",INDEX('Beállítások'!$B$6:$B$38,MATCH(MAX(CR115:DX115),CR115:DX115,0))))</f>
        <v/>
      </c>
      <c r="AW115" s="10">
        <f>IF($A115="","",'Beállítások'!$B$94*(TRIM('Ügyfelek'!AI115)="igen")+'Beállítások'!$B$95*(TRIM('Ügyfelek'!AJ115)="igen")+'Beállítások'!$B$96*N('Ügyfelek'!AK115)+'Beállítások'!$B$93*N('Ügyfelek'!AL115))</f>
        <v/>
      </c>
      <c r="AX115" s="25">
        <f>IF(OR($A115="",AQ115=5),"",INDEX('Beállítások'!$D$108:$D$112,AQ115))</f>
        <v/>
      </c>
      <c r="AY115" s="10">
        <f>IF($A115="","",N('Ügyfelek'!U115)*'Beállítások'!$B$98)</f>
        <v/>
      </c>
      <c r="AZ115" s="10">
        <f>IF(OR($A115="",AQ115=5),"",CEILING(ROUND(MAX('Beállítások'!$B$97,AW115*AX115,AY115),2),'Beállítások'!$B$99))</f>
        <v/>
      </c>
      <c r="BA115">
        <f>IF($A115="","",IF(AQ115=5,"Elutasítva",IF(MAX('Beállítások'!$B$97,AW115*AX115,AY115)=AW115*AX115,"Munkaigény × státuszszorzó",IF(MAX('Beállítások'!$B$97,AW115*AX115,AY115)=AY115,"Hirdetési keret arányában","Minimumdíj"))))</f>
        <v/>
      </c>
      <c r="BB115" s="10">
        <f>IF(OR($A115="",'Ügyfelek'!AM115=""),"",'Ügyfelek'!AM115)</f>
        <v/>
      </c>
      <c r="BC115" s="10">
        <f>IF(OR(BB115="",AZ115=""),"",AZ115-BB115)</f>
        <v/>
      </c>
      <c r="BD115" s="18">
        <f>IF(OR(BB115="",AZ115="",BB115=0),"",BC115/BB115)</f>
        <v/>
      </c>
      <c r="BE115">
        <f>IF(OR($A115="",AQ115=5),"",IF(AND(INDEX('Beállítások'!$E$108:$E$112,AQ115)&gt;0,Y115&gt;='Beállítások'!$B$91),"Igen","Nem"))</f>
        <v/>
      </c>
      <c r="BF115" s="10">
        <f>IF(BE115="Igen",CEILING(ROUND(AZ115*(1-'Beállítások'!$B$92),2),'Beállítások'!$B$99),"")</f>
        <v/>
      </c>
      <c r="BG115" s="20">
        <f>IF(BE115="Igen",INDEX('Beállítások'!$E$108:$E$112,AQ115),"")</f>
        <v/>
      </c>
      <c r="BH115" s="10">
        <f>IF(OR(BE115&lt;&gt;"Igen",'Ügyfelek'!AN115=""),"",'Ügyfelek'!AN115*BG115)</f>
        <v/>
      </c>
      <c r="BI115" s="24">
        <f>IF($A115="","",('Ügyfelek'!B115="")+('Ügyfelek'!C115="")+('Ügyfelek'!D115="")+('Ügyfelek'!E115="")+('Ügyfelek'!F115="")+('Ügyfelek'!G115="")+('Ügyfelek'!H115="")+('Ügyfelek'!I115="")+('Ügyfelek'!J115="")+('Ügyfelek'!K115="")+('Ügyfelek'!L115="")+('Ügyfelek'!M115="")+('Ügyfelek'!N115="")+('Ügyfelek'!O115="")+('Ügyfelek'!P115="")+('Ügyfelek'!Q115="")+('Ügyfelek'!R115="")+('Ügyfelek'!S115="")+('Ügyfelek'!T115="")+('Ügyfelek'!U115="")+('Ügyfelek'!V115="")+('Ügyfelek'!W115="")+('Ügyfelek'!X115="")+('Ügyfelek'!Y115="")+('Ügyfelek'!Z115="")+('Ügyfelek'!AA115="")+('Ügyfelek'!AB115="")+('Ügyfelek'!AC115="")+('Ügyfelek'!AD115="")+('Ügyfelek'!AE115="")+('Ügyfelek'!AF115="")+('Ügyfelek'!AG115="")+('Ügyfelek'!AH115=""))</f>
        <v/>
      </c>
      <c r="BK115">
        <f>IF($A115="","",B115+'Beállítások'!$E$6/1000)</f>
        <v/>
      </c>
      <c r="BL115">
        <f>IF($A115="","",C115+'Beállítások'!$E$7/1000)</f>
        <v/>
      </c>
      <c r="BM115">
        <f>IF($A115="","",D115+'Beállítások'!$E$8/1000)</f>
        <v/>
      </c>
      <c r="BN115">
        <f>IF($A115="","",E115+'Beállítások'!$E$9/1000)</f>
        <v/>
      </c>
      <c r="BO115">
        <f>IF($A115="","",F115+'Beállítások'!$E$10/1000)</f>
        <v/>
      </c>
      <c r="BP115">
        <f>IF($A115="","",G115+'Beállítások'!$E$11/1000)</f>
        <v/>
      </c>
      <c r="BQ115">
        <f>IF($A115="","",H115+'Beállítások'!$E$12/1000)</f>
        <v/>
      </c>
      <c r="BR115">
        <f>IF($A115="","",I115+'Beállítások'!$E$13/1000)</f>
        <v/>
      </c>
      <c r="BS115">
        <f>IF($A115="","",J115+'Beállítások'!$E$14/1000)</f>
        <v/>
      </c>
      <c r="BT115">
        <f>IF($A115="","",K115+'Beállítások'!$E$15/1000)</f>
        <v/>
      </c>
      <c r="BU115">
        <f>IF($A115="","",L115+'Beállítások'!$E$16/1000)</f>
        <v/>
      </c>
      <c r="BV115">
        <f>IF($A115="","",M115+'Beállítások'!$E$17/1000)</f>
        <v/>
      </c>
      <c r="BW115">
        <f>IF($A115="","",N115+'Beállítások'!$E$18/1000)</f>
        <v/>
      </c>
      <c r="BX115">
        <f>IF($A115="","",O115+'Beállítások'!$E$19/1000)</f>
        <v/>
      </c>
      <c r="BY115">
        <f>IF($A115="","",P115+'Beállítások'!$E$20/1000)</f>
        <v/>
      </c>
      <c r="BZ115">
        <f>IF($A115="","",Q115+'Beállítások'!$E$21/1000)</f>
        <v/>
      </c>
      <c r="CA115">
        <f>IF($A115="","",R115+'Beállítások'!$E$22/1000)</f>
        <v/>
      </c>
      <c r="CB115">
        <f>IF($A115="","",S115+'Beállítások'!$E$23/1000)</f>
        <v/>
      </c>
      <c r="CC115">
        <f>IF($A115="","",T115+'Beállítások'!$E$24/1000)</f>
        <v/>
      </c>
      <c r="CD115">
        <f>IF($A115="","",U115+'Beállítások'!$E$25/1000)</f>
        <v/>
      </c>
      <c r="CE115">
        <f>IF($A115="","",V115+'Beállítások'!$E$26/1000)</f>
        <v/>
      </c>
      <c r="CF115">
        <f>IF($A115="","",W115+'Beállítások'!$E$27/1000)</f>
        <v/>
      </c>
      <c r="CG115">
        <f>IF($A115="","",X115+'Beállítások'!$E$28/1000)</f>
        <v/>
      </c>
      <c r="CH115">
        <f>IF($A115="","",Y115+'Beállítások'!$E$29/1000)</f>
        <v/>
      </c>
      <c r="CI115">
        <f>IF($A115="","",Z115+'Beállítások'!$E$30/1000)</f>
        <v/>
      </c>
      <c r="CJ115">
        <f>IF($A115="","",AA115+'Beállítások'!$E$31/1000)</f>
        <v/>
      </c>
      <c r="CK115">
        <f>IF($A115="","",AB115+'Beállítások'!$E$32/1000)</f>
        <v/>
      </c>
      <c r="CL115">
        <f>IF($A115="","",AC115+'Beállítások'!$E$33/1000)</f>
        <v/>
      </c>
      <c r="CM115">
        <f>IF($A115="","",AD115+'Beállítások'!$E$34/1000)</f>
        <v/>
      </c>
      <c r="CN115">
        <f>IF($A115="","",AE115+'Beállítások'!$E$35/1000)</f>
        <v/>
      </c>
      <c r="CO115">
        <f>IF($A115="","",AF115+'Beállítások'!$E$36/1000)</f>
        <v/>
      </c>
      <c r="CP115">
        <f>IF($A115="","",AG115+'Beállítások'!$E$37/1000)</f>
        <v/>
      </c>
      <c r="CQ115">
        <f>IF($A115="","",AH115+'Beállítások'!$E$38/1000)</f>
        <v/>
      </c>
      <c r="CR115">
        <f>IF($A115="","",'Beállítások'!$E$6*(10-B115))</f>
        <v/>
      </c>
      <c r="CS115">
        <f>IF($A115="","",'Beállítások'!$E$7*(10-C115))</f>
        <v/>
      </c>
      <c r="CT115">
        <f>IF($A115="","",'Beállítások'!$E$8*(10-D115))</f>
        <v/>
      </c>
      <c r="CU115">
        <f>IF($A115="","",'Beállítások'!$E$9*(10-E115))</f>
        <v/>
      </c>
      <c r="CV115">
        <f>IF($A115="","",'Beállítások'!$E$10*(10-F115))</f>
        <v/>
      </c>
      <c r="CW115">
        <f>IF($A115="","",'Beállítások'!$E$11*(10-G115))</f>
        <v/>
      </c>
      <c r="CX115">
        <f>IF($A115="","",'Beállítások'!$E$12*(10-H115))</f>
        <v/>
      </c>
      <c r="CY115">
        <f>IF($A115="","",'Beállítások'!$E$13*(10-I115))</f>
        <v/>
      </c>
      <c r="CZ115">
        <f>IF($A115="","",'Beállítások'!$E$14*(10-J115))</f>
        <v/>
      </c>
      <c r="DA115">
        <f>IF($A115="","",'Beállítások'!$E$15*(10-K115))</f>
        <v/>
      </c>
      <c r="DB115">
        <f>IF($A115="","",'Beállítások'!$E$16*(10-L115))</f>
        <v/>
      </c>
      <c r="DC115">
        <f>IF($A115="","",'Beállítások'!$E$17*(10-M115))</f>
        <v/>
      </c>
      <c r="DD115">
        <f>IF($A115="","",'Beállítások'!$E$18*(10-N115))</f>
        <v/>
      </c>
      <c r="DE115">
        <f>IF($A115="","",'Beállítások'!$E$19*(10-O115))</f>
        <v/>
      </c>
      <c r="DF115">
        <f>IF($A115="","",'Beállítások'!$E$20*(10-P115))</f>
        <v/>
      </c>
      <c r="DG115">
        <f>IF($A115="","",'Beállítások'!$E$21*(10-Q115))</f>
        <v/>
      </c>
      <c r="DH115">
        <f>IF($A115="","",'Beállítások'!$E$22*(10-R115))</f>
        <v/>
      </c>
      <c r="DI115">
        <f>IF($A115="","",'Beállítások'!$E$23*(10-S115))</f>
        <v/>
      </c>
      <c r="DJ115">
        <f>IF($A115="","",'Beállítások'!$E$24*(10-T115))</f>
        <v/>
      </c>
      <c r="DK115">
        <f>IF($A115="","",'Beállítások'!$E$25*(10-U115))</f>
        <v/>
      </c>
      <c r="DL115">
        <f>IF($A115="","",'Beállítások'!$E$26*(10-V115))</f>
        <v/>
      </c>
      <c r="DM115">
        <f>IF($A115="","",'Beállítások'!$E$27*(10-W115))</f>
        <v/>
      </c>
      <c r="DN115">
        <f>IF($A115="","",'Beállítások'!$E$28*(10-X115))</f>
        <v/>
      </c>
      <c r="DO115">
        <f>IF($A115="","",'Beállítások'!$E$29*(10-Y115))</f>
        <v/>
      </c>
      <c r="DP115">
        <f>IF($A115="","",'Beállítások'!$E$30*(10-Z115))</f>
        <v/>
      </c>
      <c r="DQ115">
        <f>IF($A115="","",'Beállítások'!$E$31*(10-AA115))</f>
        <v/>
      </c>
      <c r="DR115">
        <f>IF($A115="","",'Beállítások'!$E$32*(10-AB115))</f>
        <v/>
      </c>
      <c r="DS115">
        <f>IF($A115="","",'Beállítások'!$E$33*(10-AC115))</f>
        <v/>
      </c>
      <c r="DT115">
        <f>IF($A115="","",'Beállítások'!$E$34*(10-AD115))</f>
        <v/>
      </c>
      <c r="DU115">
        <f>IF($A115="","",'Beállítások'!$E$35*(10-AE115))</f>
        <v/>
      </c>
      <c r="DV115">
        <f>IF($A115="","",'Beállítások'!$E$36*(10-AF115))</f>
        <v/>
      </c>
      <c r="DW115">
        <f>IF($A115="","",'Beállítások'!$E$37*(10-AG115))</f>
        <v/>
      </c>
      <c r="DX115">
        <f>IF($A115="","",'Beállítások'!$E$38*(10-AH115))</f>
        <v/>
      </c>
      <c r="DY115">
        <f>IF($A115="","",AM115-ROW()/100000)</f>
        <v/>
      </c>
    </row>
    <row r="116">
      <c r="A116">
        <f>IF('Ügyfelek'!A116="","",'Ügyfelek'!A116)</f>
        <v/>
      </c>
      <c r="B116">
        <f>IF($A116="","",IF('Ügyfelek'!B116="",'Beállítások'!$B$84,IFERROR(VLOOKUP(TRIM('Ügyfelek'!B116),'Beállítások'!$A$51:$B$59,2,FALSE),'Beállítások'!$B$84)))</f>
        <v/>
      </c>
      <c r="C116">
        <f>IF($A116="","",IF('Ügyfelek'!C116="",'Beállítások'!$B$84,MIN(10,MAX(1,ROUND('Ügyfelek'!C116,0)))))</f>
        <v/>
      </c>
      <c r="D116">
        <f>IF($A116="","",IF('Ügyfelek'!D116="",'Beállítások'!$B$84,MIN(10,MAX(1,ROUND('Ügyfelek'!D116,0)))))</f>
        <v/>
      </c>
      <c r="E116">
        <f>IF($A116="","",IF('Ügyfelek'!E116="",'Beállítások'!$B$84,MIN(10,MAX(1,ROUND('Ügyfelek'!E116,0)))))</f>
        <v/>
      </c>
      <c r="F116">
        <f>IF($A116="","",IF('Ügyfelek'!F116="",'Beállítások'!$B$84,MIN(10,MAX(1,ROUND('Ügyfelek'!F116,0)))))</f>
        <v/>
      </c>
      <c r="G116">
        <f>IF($A116="","",IF('Ügyfelek'!G116="",'Beállítások'!$B$84,MIN(10,MAX(1,ROUND('Ügyfelek'!G116,0)))))</f>
        <v/>
      </c>
      <c r="H116">
        <f>IF($A116="","",IF('Ügyfelek'!H116="",'Beállítások'!$B$84,MIN(10,MAX(1,ROUND('Ügyfelek'!H116,0)))))</f>
        <v/>
      </c>
      <c r="I116">
        <f>IF($A116="","",IF('Ügyfelek'!I116="",'Beállítások'!$B$84,MIN(10,MAX(1,ROUND('Ügyfelek'!I116,0)))))</f>
        <v/>
      </c>
      <c r="J116">
        <f>IF($A116="","",IF('Ügyfelek'!J116="",'Beállítások'!$B$84,MIN(10,MAX(1,ROUND('Ügyfelek'!J116,0)))))</f>
        <v/>
      </c>
      <c r="K116">
        <f>IF($A116="","",IF('Ügyfelek'!K116="",'Beállítások'!$B$84,MIN(10,MAX(1,ROUND('Ügyfelek'!K116,0)))))</f>
        <v/>
      </c>
      <c r="L116">
        <f>IF($A116="","",IF('Ügyfelek'!L116="",'Beállítások'!$B$84,MIN(10,MAX(1,ROUND('Ügyfelek'!L116,0)))))</f>
        <v/>
      </c>
      <c r="M116">
        <f>IF($A116="","",IF('Ügyfelek'!M116="",'Beállítások'!$B$84,MIN(10,MAX(1,ROUND('Ügyfelek'!M116,0)))))</f>
        <v/>
      </c>
      <c r="N116">
        <f>IF($A116="","",IF('Ügyfelek'!N116="",'Beállítások'!$B$84,MIN(10,MAX(1,ROUND('Ügyfelek'!N116,0)))))</f>
        <v/>
      </c>
      <c r="O116">
        <f>IF($A116="","",IF('Ügyfelek'!O116="",'Beállítások'!$B$84,MIN(10,MAX(1,ROUND('Ügyfelek'!O116,0)))))</f>
        <v/>
      </c>
      <c r="P116">
        <f>IF($A116="","",IF('Ügyfelek'!P116="",'Beállítások'!$B$84,MIN(10,MAX(1,ROUND('Ügyfelek'!P116,0)))))</f>
        <v/>
      </c>
      <c r="Q116">
        <f>IF($A116="","",IF('Ügyfelek'!Q116="",'Beállítások'!$B$84,MIN(10,MAX(1,ROUND('Ügyfelek'!Q116,0)))))</f>
        <v/>
      </c>
      <c r="R116">
        <f>IF($A116="","",IF('Ügyfelek'!R116="",'Beállítások'!$B$84,MIN(10,MAX(1,ROUND('Ügyfelek'!R116,0)))))</f>
        <v/>
      </c>
      <c r="S116">
        <f>IF($A116="","",IF('Ügyfelek'!S116="",'Beállítások'!$B$84,MIN(10,MAX(1,ROUND('Ügyfelek'!S116,0)))))</f>
        <v/>
      </c>
      <c r="T116">
        <f>IF($A116="","",IF('Ügyfelek'!T116="",'Beállítások'!$B$84,VLOOKUP(MAX('Ügyfelek'!T116,'Beállítások'!$H$7),'Beállítások'!$H$7:$I$12,2,TRUE)))</f>
        <v/>
      </c>
      <c r="U116">
        <f>IF($A116="","",IF('Ügyfelek'!U116="",'Beállítások'!$B$84,VLOOKUP(MAX('Ügyfelek'!U116,'Beállítások'!$K$7),'Beállítások'!$K$7:$L$12,2,TRUE)))</f>
        <v/>
      </c>
      <c r="V116">
        <f>IF($A116="","",IF('Ügyfelek'!V116="",'Beállítások'!$B$84,MIN(10,MAX(1,ROUND('Ügyfelek'!V116,0)))))</f>
        <v/>
      </c>
      <c r="W116">
        <f>IF($A116="","",IF('Ügyfelek'!W116="",'Beállítások'!$B$84,VLOOKUP(MAX('Ügyfelek'!W116,'Beállítások'!$N$7),'Beállítások'!$N$7:$O$12,2,TRUE)))</f>
        <v/>
      </c>
      <c r="X116">
        <f>IF($A116="","",IF('Ügyfelek'!X116="",'Beállítások'!$B$84,MIN(10,MAX(1,ROUND('Ügyfelek'!X116,0)))))</f>
        <v/>
      </c>
      <c r="Y116">
        <f>IF($A116="","",IF('Ügyfelek'!Y116="",'Beállítások'!$B$84,IFERROR(VLOOKUP(TRIM('Ügyfelek'!Y116),'Beállítások'!$A$63:$B$69,2,FALSE),'Beállítások'!$B$84)))</f>
        <v/>
      </c>
      <c r="Z116">
        <f>IF($A116="","",IF('Ügyfelek'!Z116="",'Beállítások'!$B$84,VLOOKUP(MAX('Ügyfelek'!Z116,'Beállítások'!$Q$7),'Beállítások'!$Q$7:$R$12,2,TRUE)))</f>
        <v/>
      </c>
      <c r="AA116">
        <f>IF($A116="","",IF('Ügyfelek'!AA116="",'Beállítások'!$B$84,VLOOKUP(MAX('Ügyfelek'!AA116,'Beállítások'!$T$7),'Beállítások'!$T$7:$U$12,2,TRUE)))</f>
        <v/>
      </c>
      <c r="AB116">
        <f>IF($A116="","",IF('Ügyfelek'!AB116="",'Beállítások'!$B$84,MIN(10,MAX(1,ROUND('Ügyfelek'!AB116,0)))))</f>
        <v/>
      </c>
      <c r="AC116">
        <f>IF($A116="","",IF('Ügyfelek'!AC116="",'Beállítások'!$B$84,MIN(10,MAX(1,ROUND('Ügyfelek'!AC116,0)))))</f>
        <v/>
      </c>
      <c r="AD116">
        <f>IF($A116="","",IF('Ügyfelek'!AD116="",'Beállítások'!$B$84,MIN(10,MAX(1,ROUND('Ügyfelek'!AD116,0)))))</f>
        <v/>
      </c>
      <c r="AE116">
        <f>IF($A116="","",IF('Ügyfelek'!AE116="",'Beállítások'!$B$84,MIN(10,MAX(1,ROUND('Ügyfelek'!AE116,0)))))</f>
        <v/>
      </c>
      <c r="AF116">
        <f>IF($A116="","",IF('Ügyfelek'!AF116="",'Beállítások'!$B$84,MIN(10,MAX(1,ROUND('Ügyfelek'!AF116,0)))))</f>
        <v/>
      </c>
      <c r="AG116">
        <f>IF($A116="","",IF('Ügyfelek'!AG116="",'Beállítások'!$B$84,MIN(10,MAX(1,ROUND('Ügyfelek'!AG116,0)))))</f>
        <v/>
      </c>
      <c r="AH116">
        <f>IF($A116="","",IF('Ügyfelek'!AH116="",'Beállítások'!$B$84,IFERROR(VLOOKUP(TRIM('Ügyfelek'!AH116),'Beállítások'!$A$73:$B$79,2,FALSE),'Beállítások'!$B$84)))</f>
        <v/>
      </c>
      <c r="AI116" s="23">
        <f>IF($A116="","",ROUND(100*('Beállítások'!$E$6*(B116-1)+'Beállítások'!$E$7*(C116-1))/(9*'Beállítások'!$B$43),1))</f>
        <v/>
      </c>
      <c r="AJ116" s="23">
        <f>IF($A116="","",ROUND(100*('Beállítások'!$E$8*(D116-1)+'Beállítások'!$E$9*(E116-1)+'Beállítások'!$E$10*(F116-1)+'Beállítások'!$E$11*(G116-1)+'Beállítások'!$E$12*(H116-1)+'Beállítások'!$E$13*(I116-1)+'Beállítások'!$E$14*(J116-1)+'Beállítások'!$E$15*(K116-1)+'Beállítások'!$E$16*(L116-1)+'Beállítások'!$E$17*(M116-1)+'Beállítások'!$E$18*(N116-1)+'Beállítások'!$E$19*(O116-1)+'Beállítások'!$E$20*(P116-1)+'Beállítások'!$E$21*(Q116-1)+'Beállítások'!$E$22*(R116-1))/(9*'Beállítások'!$B$44),1))</f>
        <v/>
      </c>
      <c r="AK116" s="23">
        <f>IF($A116="","",ROUND(100*('Beállítások'!$E$23*(S116-1)+'Beállítások'!$E$24*(T116-1)+'Beállítások'!$E$25*(U116-1)+'Beállítások'!$E$26*(V116-1)+'Beállítások'!$E$27*(W116-1)+'Beállítások'!$E$28*(X116-1)+'Beállítások'!$E$29*(Y116-1))/(9*'Beállítások'!$B$45),1))</f>
        <v/>
      </c>
      <c r="AL116" s="23">
        <f>IF($A116="","",ROUND(100*('Beállítások'!$E$30*(Z116-1)+'Beállítások'!$E$31*(AA116-1)+'Beállítások'!$E$32*(AB116-1)+'Beállítások'!$E$33*(AC116-1)+'Beállítások'!$E$34*(AD116-1)+'Beállítások'!$E$35*(AE116-1)+'Beállítások'!$E$36*(AF116-1)+'Beállítások'!$E$37*(AG116-1)+'Beállítások'!$E$38*(AH116-1))/(9*'Beállítások'!$B$46),1))</f>
        <v/>
      </c>
      <c r="AM116" s="23">
        <f>IF($A116="","",ROUND(100*('Beállítások'!$E$6*(B116-1)+'Beállítások'!$E$7*(C116-1)+'Beállítások'!$E$8*(D116-1)+'Beállítások'!$E$9*(E116-1)+'Beállítások'!$E$10*(F116-1)+'Beállítások'!$E$11*(G116-1)+'Beállítások'!$E$12*(H116-1)+'Beállítások'!$E$13*(I116-1)+'Beállítások'!$E$14*(J116-1)+'Beállítások'!$E$15*(K116-1)+'Beállítások'!$E$16*(L116-1)+'Beállítások'!$E$17*(M116-1)+'Beállítások'!$E$18*(N116-1)+'Beállítások'!$E$19*(O116-1)+'Beállítások'!$E$20*(P116-1)+'Beállítások'!$E$21*(Q116-1)+'Beállítások'!$E$22*(R116-1)+'Beállítások'!$E$23*(S116-1)+'Beállítások'!$E$24*(T116-1)+'Beállítások'!$E$25*(U116-1)+'Beállítások'!$E$26*(V116-1)+'Beállítások'!$E$27*(W116-1)+'Beállítások'!$E$28*(X116-1)+'Beállítások'!$E$29*(Y116-1)+'Beállítások'!$E$30*(Z116-1)+'Beállítások'!$E$31*(AA116-1)+'Beállítások'!$E$32*(AB116-1)+'Beállítások'!$E$33*(AC116-1)+'Beállítások'!$E$34*(AD116-1)+'Beállítások'!$E$35*(AE116-1)+'Beállítások'!$E$36*(AF116-1)+'Beállítások'!$E$37*(AG116-1)+'Beállítások'!$E$38*(AH116-1))/(9*'Beállítások'!$E$39),1))</f>
        <v/>
      </c>
      <c r="AN116" s="23">
        <f>IF($A116="","",ROUND(100*('Beállítások'!$E$8*(D116-1)+'Beállítások'!$E$9*(E116-1)+'Beállítások'!$E$10*(F116-1)+'Beállítások'!$E$11*(G116-1)+'Beállítások'!$E$12*(H116-1)+'Beállítások'!$E$13*(I116-1)+'Beállítások'!$E$14*(J116-1)+'Beállítások'!$E$15*(K116-1)+'Beállítások'!$E$16*(L116-1)+'Beállítások'!$E$17*(M116-1)+'Beállítások'!$E$18*(N116-1)+'Beállítások'!$E$19*(O116-1)+'Beállítások'!$E$20*(P116-1)+'Beállítások'!$E$21*(Q116-1)+'Beállítások'!$E$22*(R116-1)+'Beállítások'!$E$23*(S116-1)+'Beállítások'!$E$24*(T116-1)+'Beállítások'!$E$25*(U116-1)+'Beállítások'!$E$26*(V116-1)+'Beállítások'!$E$27*(W116-1)+'Beállítások'!$E$28*(X116-1)+'Beállítások'!$E$29*(Y116-1))/(9*('Beállítások'!$B$44+'Beállítások'!$B$45)),1))</f>
        <v/>
      </c>
      <c r="AO116" s="24">
        <f>IF($A116="","",RANK(AM116,$AM$2:$AM$201))</f>
        <v/>
      </c>
      <c r="AP116">
        <f>IF($A116="","",IF(OR(AND('Ügyfelek'!B116&lt;&gt;"",B116&lt;='Beállítások'!$B$85),AND('Ügyfelek'!C116&lt;&gt;"",C116&lt;='Beállítások'!$B$86)),"Igen","Nem"))</f>
        <v/>
      </c>
      <c r="AQ116" s="24">
        <f>IF($A116="","",IF(AP116="Igen",5,IF(AN116&gt;='Beállítások'!$C$108,1,IF(AN116&gt;='Beállítások'!$C$109,2,IF(AN116&gt;='Beállítások'!$C$110,3,IF(AND(AN116&gt;='Beállítások'!$B$87,AI116&gt;='Beállítások'!$B$88,AL116&gt;='Beállítások'!$B$89),4,5))))))</f>
        <v/>
      </c>
      <c r="AR116">
        <f>IF($A116="","",INDEX('Beállítások'!$B$108:$B$112,AQ116))</f>
        <v/>
      </c>
      <c r="AS116">
        <f>IF($A116="","",IF(AQ116=5,"Elutasítjuk",IF(AND(AQ116=4,COUNTIFS('Eredmény'!$AQ$2:$AQ$201,4,'Eredmény'!$DY$2:$DY$201,"&gt;"&amp;DY116)&gt;='Beállítások'!$B$90),"Várólista (a 4-es hely foglalt)","Elfogadjuk")))</f>
        <v/>
      </c>
      <c r="AT116">
        <f>IF($A116="","",INDEX('Beállítások'!$F$108:$F$112,AQ116))</f>
        <v/>
      </c>
      <c r="AU116">
        <f>IF($A116="","",INDEX('Beállítások'!$B$6:$B$38,MATCH(MAX(BK116:CQ116),BK116:CQ116,0)))</f>
        <v/>
      </c>
      <c r="AV116">
        <f>IF($A116="","",IF(MAX(CR116:DX116)=0,"—",INDEX('Beállítások'!$B$6:$B$38,MATCH(MAX(CR116:DX116),CR116:DX116,0))))</f>
        <v/>
      </c>
      <c r="AW116" s="10">
        <f>IF($A116="","",'Beállítások'!$B$94*(TRIM('Ügyfelek'!AI116)="igen")+'Beállítások'!$B$95*(TRIM('Ügyfelek'!AJ116)="igen")+'Beállítások'!$B$96*N('Ügyfelek'!AK116)+'Beállítások'!$B$93*N('Ügyfelek'!AL116))</f>
        <v/>
      </c>
      <c r="AX116" s="25">
        <f>IF(OR($A116="",AQ116=5),"",INDEX('Beállítások'!$D$108:$D$112,AQ116))</f>
        <v/>
      </c>
      <c r="AY116" s="10">
        <f>IF($A116="","",N('Ügyfelek'!U116)*'Beállítások'!$B$98)</f>
        <v/>
      </c>
      <c r="AZ116" s="10">
        <f>IF(OR($A116="",AQ116=5),"",CEILING(ROUND(MAX('Beállítások'!$B$97,AW116*AX116,AY116),2),'Beállítások'!$B$99))</f>
        <v/>
      </c>
      <c r="BA116">
        <f>IF($A116="","",IF(AQ116=5,"Elutasítva",IF(MAX('Beállítások'!$B$97,AW116*AX116,AY116)=AW116*AX116,"Munkaigény × státuszszorzó",IF(MAX('Beállítások'!$B$97,AW116*AX116,AY116)=AY116,"Hirdetési keret arányában","Minimumdíj"))))</f>
        <v/>
      </c>
      <c r="BB116" s="10">
        <f>IF(OR($A116="",'Ügyfelek'!AM116=""),"",'Ügyfelek'!AM116)</f>
        <v/>
      </c>
      <c r="BC116" s="10">
        <f>IF(OR(BB116="",AZ116=""),"",AZ116-BB116)</f>
        <v/>
      </c>
      <c r="BD116" s="18">
        <f>IF(OR(BB116="",AZ116="",BB116=0),"",BC116/BB116)</f>
        <v/>
      </c>
      <c r="BE116">
        <f>IF(OR($A116="",AQ116=5),"",IF(AND(INDEX('Beállítások'!$E$108:$E$112,AQ116)&gt;0,Y116&gt;='Beállítások'!$B$91),"Igen","Nem"))</f>
        <v/>
      </c>
      <c r="BF116" s="10">
        <f>IF(BE116="Igen",CEILING(ROUND(AZ116*(1-'Beállítások'!$B$92),2),'Beállítások'!$B$99),"")</f>
        <v/>
      </c>
      <c r="BG116" s="20">
        <f>IF(BE116="Igen",INDEX('Beállítások'!$E$108:$E$112,AQ116),"")</f>
        <v/>
      </c>
      <c r="BH116" s="10">
        <f>IF(OR(BE116&lt;&gt;"Igen",'Ügyfelek'!AN116=""),"",'Ügyfelek'!AN116*BG116)</f>
        <v/>
      </c>
      <c r="BI116" s="24">
        <f>IF($A116="","",('Ügyfelek'!B116="")+('Ügyfelek'!C116="")+('Ügyfelek'!D116="")+('Ügyfelek'!E116="")+('Ügyfelek'!F116="")+('Ügyfelek'!G116="")+('Ügyfelek'!H116="")+('Ügyfelek'!I116="")+('Ügyfelek'!J116="")+('Ügyfelek'!K116="")+('Ügyfelek'!L116="")+('Ügyfelek'!M116="")+('Ügyfelek'!N116="")+('Ügyfelek'!O116="")+('Ügyfelek'!P116="")+('Ügyfelek'!Q116="")+('Ügyfelek'!R116="")+('Ügyfelek'!S116="")+('Ügyfelek'!T116="")+('Ügyfelek'!U116="")+('Ügyfelek'!V116="")+('Ügyfelek'!W116="")+('Ügyfelek'!X116="")+('Ügyfelek'!Y116="")+('Ügyfelek'!Z116="")+('Ügyfelek'!AA116="")+('Ügyfelek'!AB116="")+('Ügyfelek'!AC116="")+('Ügyfelek'!AD116="")+('Ügyfelek'!AE116="")+('Ügyfelek'!AF116="")+('Ügyfelek'!AG116="")+('Ügyfelek'!AH116=""))</f>
        <v/>
      </c>
      <c r="BK116">
        <f>IF($A116="","",B116+'Beállítások'!$E$6/1000)</f>
        <v/>
      </c>
      <c r="BL116">
        <f>IF($A116="","",C116+'Beállítások'!$E$7/1000)</f>
        <v/>
      </c>
      <c r="BM116">
        <f>IF($A116="","",D116+'Beállítások'!$E$8/1000)</f>
        <v/>
      </c>
      <c r="BN116">
        <f>IF($A116="","",E116+'Beállítások'!$E$9/1000)</f>
        <v/>
      </c>
      <c r="BO116">
        <f>IF($A116="","",F116+'Beállítások'!$E$10/1000)</f>
        <v/>
      </c>
      <c r="BP116">
        <f>IF($A116="","",G116+'Beállítások'!$E$11/1000)</f>
        <v/>
      </c>
      <c r="BQ116">
        <f>IF($A116="","",H116+'Beállítások'!$E$12/1000)</f>
        <v/>
      </c>
      <c r="BR116">
        <f>IF($A116="","",I116+'Beállítások'!$E$13/1000)</f>
        <v/>
      </c>
      <c r="BS116">
        <f>IF($A116="","",J116+'Beállítások'!$E$14/1000)</f>
        <v/>
      </c>
      <c r="BT116">
        <f>IF($A116="","",K116+'Beállítások'!$E$15/1000)</f>
        <v/>
      </c>
      <c r="BU116">
        <f>IF($A116="","",L116+'Beállítások'!$E$16/1000)</f>
        <v/>
      </c>
      <c r="BV116">
        <f>IF($A116="","",M116+'Beállítások'!$E$17/1000)</f>
        <v/>
      </c>
      <c r="BW116">
        <f>IF($A116="","",N116+'Beállítások'!$E$18/1000)</f>
        <v/>
      </c>
      <c r="BX116">
        <f>IF($A116="","",O116+'Beállítások'!$E$19/1000)</f>
        <v/>
      </c>
      <c r="BY116">
        <f>IF($A116="","",P116+'Beállítások'!$E$20/1000)</f>
        <v/>
      </c>
      <c r="BZ116">
        <f>IF($A116="","",Q116+'Beállítások'!$E$21/1000)</f>
        <v/>
      </c>
      <c r="CA116">
        <f>IF($A116="","",R116+'Beállítások'!$E$22/1000)</f>
        <v/>
      </c>
      <c r="CB116">
        <f>IF($A116="","",S116+'Beállítások'!$E$23/1000)</f>
        <v/>
      </c>
      <c r="CC116">
        <f>IF($A116="","",T116+'Beállítások'!$E$24/1000)</f>
        <v/>
      </c>
      <c r="CD116">
        <f>IF($A116="","",U116+'Beállítások'!$E$25/1000)</f>
        <v/>
      </c>
      <c r="CE116">
        <f>IF($A116="","",V116+'Beállítások'!$E$26/1000)</f>
        <v/>
      </c>
      <c r="CF116">
        <f>IF($A116="","",W116+'Beállítások'!$E$27/1000)</f>
        <v/>
      </c>
      <c r="CG116">
        <f>IF($A116="","",X116+'Beállítások'!$E$28/1000)</f>
        <v/>
      </c>
      <c r="CH116">
        <f>IF($A116="","",Y116+'Beállítások'!$E$29/1000)</f>
        <v/>
      </c>
      <c r="CI116">
        <f>IF($A116="","",Z116+'Beállítások'!$E$30/1000)</f>
        <v/>
      </c>
      <c r="CJ116">
        <f>IF($A116="","",AA116+'Beállítások'!$E$31/1000)</f>
        <v/>
      </c>
      <c r="CK116">
        <f>IF($A116="","",AB116+'Beállítások'!$E$32/1000)</f>
        <v/>
      </c>
      <c r="CL116">
        <f>IF($A116="","",AC116+'Beállítások'!$E$33/1000)</f>
        <v/>
      </c>
      <c r="CM116">
        <f>IF($A116="","",AD116+'Beállítások'!$E$34/1000)</f>
        <v/>
      </c>
      <c r="CN116">
        <f>IF($A116="","",AE116+'Beállítások'!$E$35/1000)</f>
        <v/>
      </c>
      <c r="CO116">
        <f>IF($A116="","",AF116+'Beállítások'!$E$36/1000)</f>
        <v/>
      </c>
      <c r="CP116">
        <f>IF($A116="","",AG116+'Beállítások'!$E$37/1000)</f>
        <v/>
      </c>
      <c r="CQ116">
        <f>IF($A116="","",AH116+'Beállítások'!$E$38/1000)</f>
        <v/>
      </c>
      <c r="CR116">
        <f>IF($A116="","",'Beállítások'!$E$6*(10-B116))</f>
        <v/>
      </c>
      <c r="CS116">
        <f>IF($A116="","",'Beállítások'!$E$7*(10-C116))</f>
        <v/>
      </c>
      <c r="CT116">
        <f>IF($A116="","",'Beállítások'!$E$8*(10-D116))</f>
        <v/>
      </c>
      <c r="CU116">
        <f>IF($A116="","",'Beállítások'!$E$9*(10-E116))</f>
        <v/>
      </c>
      <c r="CV116">
        <f>IF($A116="","",'Beállítások'!$E$10*(10-F116))</f>
        <v/>
      </c>
      <c r="CW116">
        <f>IF($A116="","",'Beállítások'!$E$11*(10-G116))</f>
        <v/>
      </c>
      <c r="CX116">
        <f>IF($A116="","",'Beállítások'!$E$12*(10-H116))</f>
        <v/>
      </c>
      <c r="CY116">
        <f>IF($A116="","",'Beállítások'!$E$13*(10-I116))</f>
        <v/>
      </c>
      <c r="CZ116">
        <f>IF($A116="","",'Beállítások'!$E$14*(10-J116))</f>
        <v/>
      </c>
      <c r="DA116">
        <f>IF($A116="","",'Beállítások'!$E$15*(10-K116))</f>
        <v/>
      </c>
      <c r="DB116">
        <f>IF($A116="","",'Beállítások'!$E$16*(10-L116))</f>
        <v/>
      </c>
      <c r="DC116">
        <f>IF($A116="","",'Beállítások'!$E$17*(10-M116))</f>
        <v/>
      </c>
      <c r="DD116">
        <f>IF($A116="","",'Beállítások'!$E$18*(10-N116))</f>
        <v/>
      </c>
      <c r="DE116">
        <f>IF($A116="","",'Beállítások'!$E$19*(10-O116))</f>
        <v/>
      </c>
      <c r="DF116">
        <f>IF($A116="","",'Beállítások'!$E$20*(10-P116))</f>
        <v/>
      </c>
      <c r="DG116">
        <f>IF($A116="","",'Beállítások'!$E$21*(10-Q116))</f>
        <v/>
      </c>
      <c r="DH116">
        <f>IF($A116="","",'Beállítások'!$E$22*(10-R116))</f>
        <v/>
      </c>
      <c r="DI116">
        <f>IF($A116="","",'Beállítások'!$E$23*(10-S116))</f>
        <v/>
      </c>
      <c r="DJ116">
        <f>IF($A116="","",'Beállítások'!$E$24*(10-T116))</f>
        <v/>
      </c>
      <c r="DK116">
        <f>IF($A116="","",'Beállítások'!$E$25*(10-U116))</f>
        <v/>
      </c>
      <c r="DL116">
        <f>IF($A116="","",'Beállítások'!$E$26*(10-V116))</f>
        <v/>
      </c>
      <c r="DM116">
        <f>IF($A116="","",'Beállítások'!$E$27*(10-W116))</f>
        <v/>
      </c>
      <c r="DN116">
        <f>IF($A116="","",'Beállítások'!$E$28*(10-X116))</f>
        <v/>
      </c>
      <c r="DO116">
        <f>IF($A116="","",'Beállítások'!$E$29*(10-Y116))</f>
        <v/>
      </c>
      <c r="DP116">
        <f>IF($A116="","",'Beállítások'!$E$30*(10-Z116))</f>
        <v/>
      </c>
      <c r="DQ116">
        <f>IF($A116="","",'Beállítások'!$E$31*(10-AA116))</f>
        <v/>
      </c>
      <c r="DR116">
        <f>IF($A116="","",'Beállítások'!$E$32*(10-AB116))</f>
        <v/>
      </c>
      <c r="DS116">
        <f>IF($A116="","",'Beállítások'!$E$33*(10-AC116))</f>
        <v/>
      </c>
      <c r="DT116">
        <f>IF($A116="","",'Beállítások'!$E$34*(10-AD116))</f>
        <v/>
      </c>
      <c r="DU116">
        <f>IF($A116="","",'Beállítások'!$E$35*(10-AE116))</f>
        <v/>
      </c>
      <c r="DV116">
        <f>IF($A116="","",'Beállítások'!$E$36*(10-AF116))</f>
        <v/>
      </c>
      <c r="DW116">
        <f>IF($A116="","",'Beállítások'!$E$37*(10-AG116))</f>
        <v/>
      </c>
      <c r="DX116">
        <f>IF($A116="","",'Beállítások'!$E$38*(10-AH116))</f>
        <v/>
      </c>
      <c r="DY116">
        <f>IF($A116="","",AM116-ROW()/100000)</f>
        <v/>
      </c>
    </row>
    <row r="117">
      <c r="A117">
        <f>IF('Ügyfelek'!A117="","",'Ügyfelek'!A117)</f>
        <v/>
      </c>
      <c r="B117">
        <f>IF($A117="","",IF('Ügyfelek'!B117="",'Beállítások'!$B$84,IFERROR(VLOOKUP(TRIM('Ügyfelek'!B117),'Beállítások'!$A$51:$B$59,2,FALSE),'Beállítások'!$B$84)))</f>
        <v/>
      </c>
      <c r="C117">
        <f>IF($A117="","",IF('Ügyfelek'!C117="",'Beállítások'!$B$84,MIN(10,MAX(1,ROUND('Ügyfelek'!C117,0)))))</f>
        <v/>
      </c>
      <c r="D117">
        <f>IF($A117="","",IF('Ügyfelek'!D117="",'Beállítások'!$B$84,MIN(10,MAX(1,ROUND('Ügyfelek'!D117,0)))))</f>
        <v/>
      </c>
      <c r="E117">
        <f>IF($A117="","",IF('Ügyfelek'!E117="",'Beállítások'!$B$84,MIN(10,MAX(1,ROUND('Ügyfelek'!E117,0)))))</f>
        <v/>
      </c>
      <c r="F117">
        <f>IF($A117="","",IF('Ügyfelek'!F117="",'Beállítások'!$B$84,MIN(10,MAX(1,ROUND('Ügyfelek'!F117,0)))))</f>
        <v/>
      </c>
      <c r="G117">
        <f>IF($A117="","",IF('Ügyfelek'!G117="",'Beállítások'!$B$84,MIN(10,MAX(1,ROUND('Ügyfelek'!G117,0)))))</f>
        <v/>
      </c>
      <c r="H117">
        <f>IF($A117="","",IF('Ügyfelek'!H117="",'Beállítások'!$B$84,MIN(10,MAX(1,ROUND('Ügyfelek'!H117,0)))))</f>
        <v/>
      </c>
      <c r="I117">
        <f>IF($A117="","",IF('Ügyfelek'!I117="",'Beállítások'!$B$84,MIN(10,MAX(1,ROUND('Ügyfelek'!I117,0)))))</f>
        <v/>
      </c>
      <c r="J117">
        <f>IF($A117="","",IF('Ügyfelek'!J117="",'Beállítások'!$B$84,MIN(10,MAX(1,ROUND('Ügyfelek'!J117,0)))))</f>
        <v/>
      </c>
      <c r="K117">
        <f>IF($A117="","",IF('Ügyfelek'!K117="",'Beállítások'!$B$84,MIN(10,MAX(1,ROUND('Ügyfelek'!K117,0)))))</f>
        <v/>
      </c>
      <c r="L117">
        <f>IF($A117="","",IF('Ügyfelek'!L117="",'Beállítások'!$B$84,MIN(10,MAX(1,ROUND('Ügyfelek'!L117,0)))))</f>
        <v/>
      </c>
      <c r="M117">
        <f>IF($A117="","",IF('Ügyfelek'!M117="",'Beállítások'!$B$84,MIN(10,MAX(1,ROUND('Ügyfelek'!M117,0)))))</f>
        <v/>
      </c>
      <c r="N117">
        <f>IF($A117="","",IF('Ügyfelek'!N117="",'Beállítások'!$B$84,MIN(10,MAX(1,ROUND('Ügyfelek'!N117,0)))))</f>
        <v/>
      </c>
      <c r="O117">
        <f>IF($A117="","",IF('Ügyfelek'!O117="",'Beállítások'!$B$84,MIN(10,MAX(1,ROUND('Ügyfelek'!O117,0)))))</f>
        <v/>
      </c>
      <c r="P117">
        <f>IF($A117="","",IF('Ügyfelek'!P117="",'Beállítások'!$B$84,MIN(10,MAX(1,ROUND('Ügyfelek'!P117,0)))))</f>
        <v/>
      </c>
      <c r="Q117">
        <f>IF($A117="","",IF('Ügyfelek'!Q117="",'Beállítások'!$B$84,MIN(10,MAX(1,ROUND('Ügyfelek'!Q117,0)))))</f>
        <v/>
      </c>
      <c r="R117">
        <f>IF($A117="","",IF('Ügyfelek'!R117="",'Beállítások'!$B$84,MIN(10,MAX(1,ROUND('Ügyfelek'!R117,0)))))</f>
        <v/>
      </c>
      <c r="S117">
        <f>IF($A117="","",IF('Ügyfelek'!S117="",'Beállítások'!$B$84,MIN(10,MAX(1,ROUND('Ügyfelek'!S117,0)))))</f>
        <v/>
      </c>
      <c r="T117">
        <f>IF($A117="","",IF('Ügyfelek'!T117="",'Beállítások'!$B$84,VLOOKUP(MAX('Ügyfelek'!T117,'Beállítások'!$H$7),'Beállítások'!$H$7:$I$12,2,TRUE)))</f>
        <v/>
      </c>
      <c r="U117">
        <f>IF($A117="","",IF('Ügyfelek'!U117="",'Beállítások'!$B$84,VLOOKUP(MAX('Ügyfelek'!U117,'Beállítások'!$K$7),'Beállítások'!$K$7:$L$12,2,TRUE)))</f>
        <v/>
      </c>
      <c r="V117">
        <f>IF($A117="","",IF('Ügyfelek'!V117="",'Beállítások'!$B$84,MIN(10,MAX(1,ROUND('Ügyfelek'!V117,0)))))</f>
        <v/>
      </c>
      <c r="W117">
        <f>IF($A117="","",IF('Ügyfelek'!W117="",'Beállítások'!$B$84,VLOOKUP(MAX('Ügyfelek'!W117,'Beállítások'!$N$7),'Beállítások'!$N$7:$O$12,2,TRUE)))</f>
        <v/>
      </c>
      <c r="X117">
        <f>IF($A117="","",IF('Ügyfelek'!X117="",'Beállítások'!$B$84,MIN(10,MAX(1,ROUND('Ügyfelek'!X117,0)))))</f>
        <v/>
      </c>
      <c r="Y117">
        <f>IF($A117="","",IF('Ügyfelek'!Y117="",'Beállítások'!$B$84,IFERROR(VLOOKUP(TRIM('Ügyfelek'!Y117),'Beállítások'!$A$63:$B$69,2,FALSE),'Beállítások'!$B$84)))</f>
        <v/>
      </c>
      <c r="Z117">
        <f>IF($A117="","",IF('Ügyfelek'!Z117="",'Beállítások'!$B$84,VLOOKUP(MAX('Ügyfelek'!Z117,'Beállítások'!$Q$7),'Beállítások'!$Q$7:$R$12,2,TRUE)))</f>
        <v/>
      </c>
      <c r="AA117">
        <f>IF($A117="","",IF('Ügyfelek'!AA117="",'Beállítások'!$B$84,VLOOKUP(MAX('Ügyfelek'!AA117,'Beállítások'!$T$7),'Beállítások'!$T$7:$U$12,2,TRUE)))</f>
        <v/>
      </c>
      <c r="AB117">
        <f>IF($A117="","",IF('Ügyfelek'!AB117="",'Beállítások'!$B$84,MIN(10,MAX(1,ROUND('Ügyfelek'!AB117,0)))))</f>
        <v/>
      </c>
      <c r="AC117">
        <f>IF($A117="","",IF('Ügyfelek'!AC117="",'Beállítások'!$B$84,MIN(10,MAX(1,ROUND('Ügyfelek'!AC117,0)))))</f>
        <v/>
      </c>
      <c r="AD117">
        <f>IF($A117="","",IF('Ügyfelek'!AD117="",'Beállítások'!$B$84,MIN(10,MAX(1,ROUND('Ügyfelek'!AD117,0)))))</f>
        <v/>
      </c>
      <c r="AE117">
        <f>IF($A117="","",IF('Ügyfelek'!AE117="",'Beállítások'!$B$84,MIN(10,MAX(1,ROUND('Ügyfelek'!AE117,0)))))</f>
        <v/>
      </c>
      <c r="AF117">
        <f>IF($A117="","",IF('Ügyfelek'!AF117="",'Beállítások'!$B$84,MIN(10,MAX(1,ROUND('Ügyfelek'!AF117,0)))))</f>
        <v/>
      </c>
      <c r="AG117">
        <f>IF($A117="","",IF('Ügyfelek'!AG117="",'Beállítások'!$B$84,MIN(10,MAX(1,ROUND('Ügyfelek'!AG117,0)))))</f>
        <v/>
      </c>
      <c r="AH117">
        <f>IF($A117="","",IF('Ügyfelek'!AH117="",'Beállítások'!$B$84,IFERROR(VLOOKUP(TRIM('Ügyfelek'!AH117),'Beállítások'!$A$73:$B$79,2,FALSE),'Beállítások'!$B$84)))</f>
        <v/>
      </c>
      <c r="AI117" s="23">
        <f>IF($A117="","",ROUND(100*('Beállítások'!$E$6*(B117-1)+'Beállítások'!$E$7*(C117-1))/(9*'Beállítások'!$B$43),1))</f>
        <v/>
      </c>
      <c r="AJ117" s="23">
        <f>IF($A117="","",ROUND(100*('Beállítások'!$E$8*(D117-1)+'Beállítások'!$E$9*(E117-1)+'Beállítások'!$E$10*(F117-1)+'Beállítások'!$E$11*(G117-1)+'Beállítások'!$E$12*(H117-1)+'Beállítások'!$E$13*(I117-1)+'Beállítások'!$E$14*(J117-1)+'Beállítások'!$E$15*(K117-1)+'Beállítások'!$E$16*(L117-1)+'Beállítások'!$E$17*(M117-1)+'Beállítások'!$E$18*(N117-1)+'Beállítások'!$E$19*(O117-1)+'Beállítások'!$E$20*(P117-1)+'Beállítások'!$E$21*(Q117-1)+'Beállítások'!$E$22*(R117-1))/(9*'Beállítások'!$B$44),1))</f>
        <v/>
      </c>
      <c r="AK117" s="23">
        <f>IF($A117="","",ROUND(100*('Beállítások'!$E$23*(S117-1)+'Beállítások'!$E$24*(T117-1)+'Beállítások'!$E$25*(U117-1)+'Beállítások'!$E$26*(V117-1)+'Beállítások'!$E$27*(W117-1)+'Beállítások'!$E$28*(X117-1)+'Beállítások'!$E$29*(Y117-1))/(9*'Beállítások'!$B$45),1))</f>
        <v/>
      </c>
      <c r="AL117" s="23">
        <f>IF($A117="","",ROUND(100*('Beállítások'!$E$30*(Z117-1)+'Beállítások'!$E$31*(AA117-1)+'Beállítások'!$E$32*(AB117-1)+'Beállítások'!$E$33*(AC117-1)+'Beállítások'!$E$34*(AD117-1)+'Beállítások'!$E$35*(AE117-1)+'Beállítások'!$E$36*(AF117-1)+'Beállítások'!$E$37*(AG117-1)+'Beállítások'!$E$38*(AH117-1))/(9*'Beállítások'!$B$46),1))</f>
        <v/>
      </c>
      <c r="AM117" s="23">
        <f>IF($A117="","",ROUND(100*('Beállítások'!$E$6*(B117-1)+'Beállítások'!$E$7*(C117-1)+'Beállítások'!$E$8*(D117-1)+'Beállítások'!$E$9*(E117-1)+'Beállítások'!$E$10*(F117-1)+'Beállítások'!$E$11*(G117-1)+'Beállítások'!$E$12*(H117-1)+'Beállítások'!$E$13*(I117-1)+'Beállítások'!$E$14*(J117-1)+'Beállítások'!$E$15*(K117-1)+'Beállítások'!$E$16*(L117-1)+'Beállítások'!$E$17*(M117-1)+'Beállítások'!$E$18*(N117-1)+'Beállítások'!$E$19*(O117-1)+'Beállítások'!$E$20*(P117-1)+'Beállítások'!$E$21*(Q117-1)+'Beállítások'!$E$22*(R117-1)+'Beállítások'!$E$23*(S117-1)+'Beállítások'!$E$24*(T117-1)+'Beállítások'!$E$25*(U117-1)+'Beállítások'!$E$26*(V117-1)+'Beállítások'!$E$27*(W117-1)+'Beállítások'!$E$28*(X117-1)+'Beállítások'!$E$29*(Y117-1)+'Beállítások'!$E$30*(Z117-1)+'Beállítások'!$E$31*(AA117-1)+'Beállítások'!$E$32*(AB117-1)+'Beállítások'!$E$33*(AC117-1)+'Beállítások'!$E$34*(AD117-1)+'Beállítások'!$E$35*(AE117-1)+'Beállítások'!$E$36*(AF117-1)+'Beállítások'!$E$37*(AG117-1)+'Beállítások'!$E$38*(AH117-1))/(9*'Beállítások'!$E$39),1))</f>
        <v/>
      </c>
      <c r="AN117" s="23">
        <f>IF($A117="","",ROUND(100*('Beállítások'!$E$8*(D117-1)+'Beállítások'!$E$9*(E117-1)+'Beállítások'!$E$10*(F117-1)+'Beállítások'!$E$11*(G117-1)+'Beállítások'!$E$12*(H117-1)+'Beállítások'!$E$13*(I117-1)+'Beállítások'!$E$14*(J117-1)+'Beállítások'!$E$15*(K117-1)+'Beállítások'!$E$16*(L117-1)+'Beállítások'!$E$17*(M117-1)+'Beállítások'!$E$18*(N117-1)+'Beállítások'!$E$19*(O117-1)+'Beállítások'!$E$20*(P117-1)+'Beállítások'!$E$21*(Q117-1)+'Beállítások'!$E$22*(R117-1)+'Beállítások'!$E$23*(S117-1)+'Beállítások'!$E$24*(T117-1)+'Beállítások'!$E$25*(U117-1)+'Beállítások'!$E$26*(V117-1)+'Beállítások'!$E$27*(W117-1)+'Beállítások'!$E$28*(X117-1)+'Beállítások'!$E$29*(Y117-1))/(9*('Beállítások'!$B$44+'Beállítások'!$B$45)),1))</f>
        <v/>
      </c>
      <c r="AO117" s="24">
        <f>IF($A117="","",RANK(AM117,$AM$2:$AM$201))</f>
        <v/>
      </c>
      <c r="AP117">
        <f>IF($A117="","",IF(OR(AND('Ügyfelek'!B117&lt;&gt;"",B117&lt;='Beállítások'!$B$85),AND('Ügyfelek'!C117&lt;&gt;"",C117&lt;='Beállítások'!$B$86)),"Igen","Nem"))</f>
        <v/>
      </c>
      <c r="AQ117" s="24">
        <f>IF($A117="","",IF(AP117="Igen",5,IF(AN117&gt;='Beállítások'!$C$108,1,IF(AN117&gt;='Beállítások'!$C$109,2,IF(AN117&gt;='Beállítások'!$C$110,3,IF(AND(AN117&gt;='Beállítások'!$B$87,AI117&gt;='Beállítások'!$B$88,AL117&gt;='Beállítások'!$B$89),4,5))))))</f>
        <v/>
      </c>
      <c r="AR117">
        <f>IF($A117="","",INDEX('Beállítások'!$B$108:$B$112,AQ117))</f>
        <v/>
      </c>
      <c r="AS117">
        <f>IF($A117="","",IF(AQ117=5,"Elutasítjuk",IF(AND(AQ117=4,COUNTIFS('Eredmény'!$AQ$2:$AQ$201,4,'Eredmény'!$DY$2:$DY$201,"&gt;"&amp;DY117)&gt;='Beállítások'!$B$90),"Várólista (a 4-es hely foglalt)","Elfogadjuk")))</f>
        <v/>
      </c>
      <c r="AT117">
        <f>IF($A117="","",INDEX('Beállítások'!$F$108:$F$112,AQ117))</f>
        <v/>
      </c>
      <c r="AU117">
        <f>IF($A117="","",INDEX('Beállítások'!$B$6:$B$38,MATCH(MAX(BK117:CQ117),BK117:CQ117,0)))</f>
        <v/>
      </c>
      <c r="AV117">
        <f>IF($A117="","",IF(MAX(CR117:DX117)=0,"—",INDEX('Beállítások'!$B$6:$B$38,MATCH(MAX(CR117:DX117),CR117:DX117,0))))</f>
        <v/>
      </c>
      <c r="AW117" s="10">
        <f>IF($A117="","",'Beállítások'!$B$94*(TRIM('Ügyfelek'!AI117)="igen")+'Beállítások'!$B$95*(TRIM('Ügyfelek'!AJ117)="igen")+'Beállítások'!$B$96*N('Ügyfelek'!AK117)+'Beállítások'!$B$93*N('Ügyfelek'!AL117))</f>
        <v/>
      </c>
      <c r="AX117" s="25">
        <f>IF(OR($A117="",AQ117=5),"",INDEX('Beállítások'!$D$108:$D$112,AQ117))</f>
        <v/>
      </c>
      <c r="AY117" s="10">
        <f>IF($A117="","",N('Ügyfelek'!U117)*'Beállítások'!$B$98)</f>
        <v/>
      </c>
      <c r="AZ117" s="10">
        <f>IF(OR($A117="",AQ117=5),"",CEILING(ROUND(MAX('Beállítások'!$B$97,AW117*AX117,AY117),2),'Beállítások'!$B$99))</f>
        <v/>
      </c>
      <c r="BA117">
        <f>IF($A117="","",IF(AQ117=5,"Elutasítva",IF(MAX('Beállítások'!$B$97,AW117*AX117,AY117)=AW117*AX117,"Munkaigény × státuszszorzó",IF(MAX('Beállítások'!$B$97,AW117*AX117,AY117)=AY117,"Hirdetési keret arányában","Minimumdíj"))))</f>
        <v/>
      </c>
      <c r="BB117" s="10">
        <f>IF(OR($A117="",'Ügyfelek'!AM117=""),"",'Ügyfelek'!AM117)</f>
        <v/>
      </c>
      <c r="BC117" s="10">
        <f>IF(OR(BB117="",AZ117=""),"",AZ117-BB117)</f>
        <v/>
      </c>
      <c r="BD117" s="18">
        <f>IF(OR(BB117="",AZ117="",BB117=0),"",BC117/BB117)</f>
        <v/>
      </c>
      <c r="BE117">
        <f>IF(OR($A117="",AQ117=5),"",IF(AND(INDEX('Beállítások'!$E$108:$E$112,AQ117)&gt;0,Y117&gt;='Beállítások'!$B$91),"Igen","Nem"))</f>
        <v/>
      </c>
      <c r="BF117" s="10">
        <f>IF(BE117="Igen",CEILING(ROUND(AZ117*(1-'Beállítások'!$B$92),2),'Beállítások'!$B$99),"")</f>
        <v/>
      </c>
      <c r="BG117" s="20">
        <f>IF(BE117="Igen",INDEX('Beállítások'!$E$108:$E$112,AQ117),"")</f>
        <v/>
      </c>
      <c r="BH117" s="10">
        <f>IF(OR(BE117&lt;&gt;"Igen",'Ügyfelek'!AN117=""),"",'Ügyfelek'!AN117*BG117)</f>
        <v/>
      </c>
      <c r="BI117" s="24">
        <f>IF($A117="","",('Ügyfelek'!B117="")+('Ügyfelek'!C117="")+('Ügyfelek'!D117="")+('Ügyfelek'!E117="")+('Ügyfelek'!F117="")+('Ügyfelek'!G117="")+('Ügyfelek'!H117="")+('Ügyfelek'!I117="")+('Ügyfelek'!J117="")+('Ügyfelek'!K117="")+('Ügyfelek'!L117="")+('Ügyfelek'!M117="")+('Ügyfelek'!N117="")+('Ügyfelek'!O117="")+('Ügyfelek'!P117="")+('Ügyfelek'!Q117="")+('Ügyfelek'!R117="")+('Ügyfelek'!S117="")+('Ügyfelek'!T117="")+('Ügyfelek'!U117="")+('Ügyfelek'!V117="")+('Ügyfelek'!W117="")+('Ügyfelek'!X117="")+('Ügyfelek'!Y117="")+('Ügyfelek'!Z117="")+('Ügyfelek'!AA117="")+('Ügyfelek'!AB117="")+('Ügyfelek'!AC117="")+('Ügyfelek'!AD117="")+('Ügyfelek'!AE117="")+('Ügyfelek'!AF117="")+('Ügyfelek'!AG117="")+('Ügyfelek'!AH117=""))</f>
        <v/>
      </c>
      <c r="BK117">
        <f>IF($A117="","",B117+'Beállítások'!$E$6/1000)</f>
        <v/>
      </c>
      <c r="BL117">
        <f>IF($A117="","",C117+'Beállítások'!$E$7/1000)</f>
        <v/>
      </c>
      <c r="BM117">
        <f>IF($A117="","",D117+'Beállítások'!$E$8/1000)</f>
        <v/>
      </c>
      <c r="BN117">
        <f>IF($A117="","",E117+'Beállítások'!$E$9/1000)</f>
        <v/>
      </c>
      <c r="BO117">
        <f>IF($A117="","",F117+'Beállítások'!$E$10/1000)</f>
        <v/>
      </c>
      <c r="BP117">
        <f>IF($A117="","",G117+'Beállítások'!$E$11/1000)</f>
        <v/>
      </c>
      <c r="BQ117">
        <f>IF($A117="","",H117+'Beállítások'!$E$12/1000)</f>
        <v/>
      </c>
      <c r="BR117">
        <f>IF($A117="","",I117+'Beállítások'!$E$13/1000)</f>
        <v/>
      </c>
      <c r="BS117">
        <f>IF($A117="","",J117+'Beállítások'!$E$14/1000)</f>
        <v/>
      </c>
      <c r="BT117">
        <f>IF($A117="","",K117+'Beállítások'!$E$15/1000)</f>
        <v/>
      </c>
      <c r="BU117">
        <f>IF($A117="","",L117+'Beállítások'!$E$16/1000)</f>
        <v/>
      </c>
      <c r="BV117">
        <f>IF($A117="","",M117+'Beállítások'!$E$17/1000)</f>
        <v/>
      </c>
      <c r="BW117">
        <f>IF($A117="","",N117+'Beállítások'!$E$18/1000)</f>
        <v/>
      </c>
      <c r="BX117">
        <f>IF($A117="","",O117+'Beállítások'!$E$19/1000)</f>
        <v/>
      </c>
      <c r="BY117">
        <f>IF($A117="","",P117+'Beállítások'!$E$20/1000)</f>
        <v/>
      </c>
      <c r="BZ117">
        <f>IF($A117="","",Q117+'Beállítások'!$E$21/1000)</f>
        <v/>
      </c>
      <c r="CA117">
        <f>IF($A117="","",R117+'Beállítások'!$E$22/1000)</f>
        <v/>
      </c>
      <c r="CB117">
        <f>IF($A117="","",S117+'Beállítások'!$E$23/1000)</f>
        <v/>
      </c>
      <c r="CC117">
        <f>IF($A117="","",T117+'Beállítások'!$E$24/1000)</f>
        <v/>
      </c>
      <c r="CD117">
        <f>IF($A117="","",U117+'Beállítások'!$E$25/1000)</f>
        <v/>
      </c>
      <c r="CE117">
        <f>IF($A117="","",V117+'Beállítások'!$E$26/1000)</f>
        <v/>
      </c>
      <c r="CF117">
        <f>IF($A117="","",W117+'Beállítások'!$E$27/1000)</f>
        <v/>
      </c>
      <c r="CG117">
        <f>IF($A117="","",X117+'Beállítások'!$E$28/1000)</f>
        <v/>
      </c>
      <c r="CH117">
        <f>IF($A117="","",Y117+'Beállítások'!$E$29/1000)</f>
        <v/>
      </c>
      <c r="CI117">
        <f>IF($A117="","",Z117+'Beállítások'!$E$30/1000)</f>
        <v/>
      </c>
      <c r="CJ117">
        <f>IF($A117="","",AA117+'Beállítások'!$E$31/1000)</f>
        <v/>
      </c>
      <c r="CK117">
        <f>IF($A117="","",AB117+'Beállítások'!$E$32/1000)</f>
        <v/>
      </c>
      <c r="CL117">
        <f>IF($A117="","",AC117+'Beállítások'!$E$33/1000)</f>
        <v/>
      </c>
      <c r="CM117">
        <f>IF($A117="","",AD117+'Beállítások'!$E$34/1000)</f>
        <v/>
      </c>
      <c r="CN117">
        <f>IF($A117="","",AE117+'Beállítások'!$E$35/1000)</f>
        <v/>
      </c>
      <c r="CO117">
        <f>IF($A117="","",AF117+'Beállítások'!$E$36/1000)</f>
        <v/>
      </c>
      <c r="CP117">
        <f>IF($A117="","",AG117+'Beállítások'!$E$37/1000)</f>
        <v/>
      </c>
      <c r="CQ117">
        <f>IF($A117="","",AH117+'Beállítások'!$E$38/1000)</f>
        <v/>
      </c>
      <c r="CR117">
        <f>IF($A117="","",'Beállítások'!$E$6*(10-B117))</f>
        <v/>
      </c>
      <c r="CS117">
        <f>IF($A117="","",'Beállítások'!$E$7*(10-C117))</f>
        <v/>
      </c>
      <c r="CT117">
        <f>IF($A117="","",'Beállítások'!$E$8*(10-D117))</f>
        <v/>
      </c>
      <c r="CU117">
        <f>IF($A117="","",'Beállítások'!$E$9*(10-E117))</f>
        <v/>
      </c>
      <c r="CV117">
        <f>IF($A117="","",'Beállítások'!$E$10*(10-F117))</f>
        <v/>
      </c>
      <c r="CW117">
        <f>IF($A117="","",'Beállítások'!$E$11*(10-G117))</f>
        <v/>
      </c>
      <c r="CX117">
        <f>IF($A117="","",'Beállítások'!$E$12*(10-H117))</f>
        <v/>
      </c>
      <c r="CY117">
        <f>IF($A117="","",'Beállítások'!$E$13*(10-I117))</f>
        <v/>
      </c>
      <c r="CZ117">
        <f>IF($A117="","",'Beállítások'!$E$14*(10-J117))</f>
        <v/>
      </c>
      <c r="DA117">
        <f>IF($A117="","",'Beállítások'!$E$15*(10-K117))</f>
        <v/>
      </c>
      <c r="DB117">
        <f>IF($A117="","",'Beállítások'!$E$16*(10-L117))</f>
        <v/>
      </c>
      <c r="DC117">
        <f>IF($A117="","",'Beállítások'!$E$17*(10-M117))</f>
        <v/>
      </c>
      <c r="DD117">
        <f>IF($A117="","",'Beállítások'!$E$18*(10-N117))</f>
        <v/>
      </c>
      <c r="DE117">
        <f>IF($A117="","",'Beállítások'!$E$19*(10-O117))</f>
        <v/>
      </c>
      <c r="DF117">
        <f>IF($A117="","",'Beállítások'!$E$20*(10-P117))</f>
        <v/>
      </c>
      <c r="DG117">
        <f>IF($A117="","",'Beállítások'!$E$21*(10-Q117))</f>
        <v/>
      </c>
      <c r="DH117">
        <f>IF($A117="","",'Beállítások'!$E$22*(10-R117))</f>
        <v/>
      </c>
      <c r="DI117">
        <f>IF($A117="","",'Beállítások'!$E$23*(10-S117))</f>
        <v/>
      </c>
      <c r="DJ117">
        <f>IF($A117="","",'Beállítások'!$E$24*(10-T117))</f>
        <v/>
      </c>
      <c r="DK117">
        <f>IF($A117="","",'Beállítások'!$E$25*(10-U117))</f>
        <v/>
      </c>
      <c r="DL117">
        <f>IF($A117="","",'Beállítások'!$E$26*(10-V117))</f>
        <v/>
      </c>
      <c r="DM117">
        <f>IF($A117="","",'Beállítások'!$E$27*(10-W117))</f>
        <v/>
      </c>
      <c r="DN117">
        <f>IF($A117="","",'Beállítások'!$E$28*(10-X117))</f>
        <v/>
      </c>
      <c r="DO117">
        <f>IF($A117="","",'Beállítások'!$E$29*(10-Y117))</f>
        <v/>
      </c>
      <c r="DP117">
        <f>IF($A117="","",'Beállítások'!$E$30*(10-Z117))</f>
        <v/>
      </c>
      <c r="DQ117">
        <f>IF($A117="","",'Beállítások'!$E$31*(10-AA117))</f>
        <v/>
      </c>
      <c r="DR117">
        <f>IF($A117="","",'Beállítások'!$E$32*(10-AB117))</f>
        <v/>
      </c>
      <c r="DS117">
        <f>IF($A117="","",'Beállítások'!$E$33*(10-AC117))</f>
        <v/>
      </c>
      <c r="DT117">
        <f>IF($A117="","",'Beállítások'!$E$34*(10-AD117))</f>
        <v/>
      </c>
      <c r="DU117">
        <f>IF($A117="","",'Beállítások'!$E$35*(10-AE117))</f>
        <v/>
      </c>
      <c r="DV117">
        <f>IF($A117="","",'Beállítások'!$E$36*(10-AF117))</f>
        <v/>
      </c>
      <c r="DW117">
        <f>IF($A117="","",'Beállítások'!$E$37*(10-AG117))</f>
        <v/>
      </c>
      <c r="DX117">
        <f>IF($A117="","",'Beállítások'!$E$38*(10-AH117))</f>
        <v/>
      </c>
      <c r="DY117">
        <f>IF($A117="","",AM117-ROW()/100000)</f>
        <v/>
      </c>
    </row>
    <row r="118">
      <c r="A118">
        <f>IF('Ügyfelek'!A118="","",'Ügyfelek'!A118)</f>
        <v/>
      </c>
      <c r="B118">
        <f>IF($A118="","",IF('Ügyfelek'!B118="",'Beállítások'!$B$84,IFERROR(VLOOKUP(TRIM('Ügyfelek'!B118),'Beállítások'!$A$51:$B$59,2,FALSE),'Beállítások'!$B$84)))</f>
        <v/>
      </c>
      <c r="C118">
        <f>IF($A118="","",IF('Ügyfelek'!C118="",'Beállítások'!$B$84,MIN(10,MAX(1,ROUND('Ügyfelek'!C118,0)))))</f>
        <v/>
      </c>
      <c r="D118">
        <f>IF($A118="","",IF('Ügyfelek'!D118="",'Beállítások'!$B$84,MIN(10,MAX(1,ROUND('Ügyfelek'!D118,0)))))</f>
        <v/>
      </c>
      <c r="E118">
        <f>IF($A118="","",IF('Ügyfelek'!E118="",'Beállítások'!$B$84,MIN(10,MAX(1,ROUND('Ügyfelek'!E118,0)))))</f>
        <v/>
      </c>
      <c r="F118">
        <f>IF($A118="","",IF('Ügyfelek'!F118="",'Beállítások'!$B$84,MIN(10,MAX(1,ROUND('Ügyfelek'!F118,0)))))</f>
        <v/>
      </c>
      <c r="G118">
        <f>IF($A118="","",IF('Ügyfelek'!G118="",'Beállítások'!$B$84,MIN(10,MAX(1,ROUND('Ügyfelek'!G118,0)))))</f>
        <v/>
      </c>
      <c r="H118">
        <f>IF($A118="","",IF('Ügyfelek'!H118="",'Beállítások'!$B$84,MIN(10,MAX(1,ROUND('Ügyfelek'!H118,0)))))</f>
        <v/>
      </c>
      <c r="I118">
        <f>IF($A118="","",IF('Ügyfelek'!I118="",'Beállítások'!$B$84,MIN(10,MAX(1,ROUND('Ügyfelek'!I118,0)))))</f>
        <v/>
      </c>
      <c r="J118">
        <f>IF($A118="","",IF('Ügyfelek'!J118="",'Beállítások'!$B$84,MIN(10,MAX(1,ROUND('Ügyfelek'!J118,0)))))</f>
        <v/>
      </c>
      <c r="K118">
        <f>IF($A118="","",IF('Ügyfelek'!K118="",'Beállítások'!$B$84,MIN(10,MAX(1,ROUND('Ügyfelek'!K118,0)))))</f>
        <v/>
      </c>
      <c r="L118">
        <f>IF($A118="","",IF('Ügyfelek'!L118="",'Beállítások'!$B$84,MIN(10,MAX(1,ROUND('Ügyfelek'!L118,0)))))</f>
        <v/>
      </c>
      <c r="M118">
        <f>IF($A118="","",IF('Ügyfelek'!M118="",'Beállítások'!$B$84,MIN(10,MAX(1,ROUND('Ügyfelek'!M118,0)))))</f>
        <v/>
      </c>
      <c r="N118">
        <f>IF($A118="","",IF('Ügyfelek'!N118="",'Beállítások'!$B$84,MIN(10,MAX(1,ROUND('Ügyfelek'!N118,0)))))</f>
        <v/>
      </c>
      <c r="O118">
        <f>IF($A118="","",IF('Ügyfelek'!O118="",'Beállítások'!$B$84,MIN(10,MAX(1,ROUND('Ügyfelek'!O118,0)))))</f>
        <v/>
      </c>
      <c r="P118">
        <f>IF($A118="","",IF('Ügyfelek'!P118="",'Beállítások'!$B$84,MIN(10,MAX(1,ROUND('Ügyfelek'!P118,0)))))</f>
        <v/>
      </c>
      <c r="Q118">
        <f>IF($A118="","",IF('Ügyfelek'!Q118="",'Beállítások'!$B$84,MIN(10,MAX(1,ROUND('Ügyfelek'!Q118,0)))))</f>
        <v/>
      </c>
      <c r="R118">
        <f>IF($A118="","",IF('Ügyfelek'!R118="",'Beállítások'!$B$84,MIN(10,MAX(1,ROUND('Ügyfelek'!R118,0)))))</f>
        <v/>
      </c>
      <c r="S118">
        <f>IF($A118="","",IF('Ügyfelek'!S118="",'Beállítások'!$B$84,MIN(10,MAX(1,ROUND('Ügyfelek'!S118,0)))))</f>
        <v/>
      </c>
      <c r="T118">
        <f>IF($A118="","",IF('Ügyfelek'!T118="",'Beállítások'!$B$84,VLOOKUP(MAX('Ügyfelek'!T118,'Beállítások'!$H$7),'Beállítások'!$H$7:$I$12,2,TRUE)))</f>
        <v/>
      </c>
      <c r="U118">
        <f>IF($A118="","",IF('Ügyfelek'!U118="",'Beállítások'!$B$84,VLOOKUP(MAX('Ügyfelek'!U118,'Beállítások'!$K$7),'Beállítások'!$K$7:$L$12,2,TRUE)))</f>
        <v/>
      </c>
      <c r="V118">
        <f>IF($A118="","",IF('Ügyfelek'!V118="",'Beállítások'!$B$84,MIN(10,MAX(1,ROUND('Ügyfelek'!V118,0)))))</f>
        <v/>
      </c>
      <c r="W118">
        <f>IF($A118="","",IF('Ügyfelek'!W118="",'Beállítások'!$B$84,VLOOKUP(MAX('Ügyfelek'!W118,'Beállítások'!$N$7),'Beállítások'!$N$7:$O$12,2,TRUE)))</f>
        <v/>
      </c>
      <c r="X118">
        <f>IF($A118="","",IF('Ügyfelek'!X118="",'Beállítások'!$B$84,MIN(10,MAX(1,ROUND('Ügyfelek'!X118,0)))))</f>
        <v/>
      </c>
      <c r="Y118">
        <f>IF($A118="","",IF('Ügyfelek'!Y118="",'Beállítások'!$B$84,IFERROR(VLOOKUP(TRIM('Ügyfelek'!Y118),'Beállítások'!$A$63:$B$69,2,FALSE),'Beállítások'!$B$84)))</f>
        <v/>
      </c>
      <c r="Z118">
        <f>IF($A118="","",IF('Ügyfelek'!Z118="",'Beállítások'!$B$84,VLOOKUP(MAX('Ügyfelek'!Z118,'Beállítások'!$Q$7),'Beállítások'!$Q$7:$R$12,2,TRUE)))</f>
        <v/>
      </c>
      <c r="AA118">
        <f>IF($A118="","",IF('Ügyfelek'!AA118="",'Beállítások'!$B$84,VLOOKUP(MAX('Ügyfelek'!AA118,'Beállítások'!$T$7),'Beállítások'!$T$7:$U$12,2,TRUE)))</f>
        <v/>
      </c>
      <c r="AB118">
        <f>IF($A118="","",IF('Ügyfelek'!AB118="",'Beállítások'!$B$84,MIN(10,MAX(1,ROUND('Ügyfelek'!AB118,0)))))</f>
        <v/>
      </c>
      <c r="AC118">
        <f>IF($A118="","",IF('Ügyfelek'!AC118="",'Beállítások'!$B$84,MIN(10,MAX(1,ROUND('Ügyfelek'!AC118,0)))))</f>
        <v/>
      </c>
      <c r="AD118">
        <f>IF($A118="","",IF('Ügyfelek'!AD118="",'Beállítások'!$B$84,MIN(10,MAX(1,ROUND('Ügyfelek'!AD118,0)))))</f>
        <v/>
      </c>
      <c r="AE118">
        <f>IF($A118="","",IF('Ügyfelek'!AE118="",'Beállítások'!$B$84,MIN(10,MAX(1,ROUND('Ügyfelek'!AE118,0)))))</f>
        <v/>
      </c>
      <c r="AF118">
        <f>IF($A118="","",IF('Ügyfelek'!AF118="",'Beállítások'!$B$84,MIN(10,MAX(1,ROUND('Ügyfelek'!AF118,0)))))</f>
        <v/>
      </c>
      <c r="AG118">
        <f>IF($A118="","",IF('Ügyfelek'!AG118="",'Beállítások'!$B$84,MIN(10,MAX(1,ROUND('Ügyfelek'!AG118,0)))))</f>
        <v/>
      </c>
      <c r="AH118">
        <f>IF($A118="","",IF('Ügyfelek'!AH118="",'Beállítások'!$B$84,IFERROR(VLOOKUP(TRIM('Ügyfelek'!AH118),'Beállítások'!$A$73:$B$79,2,FALSE),'Beállítások'!$B$84)))</f>
        <v/>
      </c>
      <c r="AI118" s="23">
        <f>IF($A118="","",ROUND(100*('Beállítások'!$E$6*(B118-1)+'Beállítások'!$E$7*(C118-1))/(9*'Beállítások'!$B$43),1))</f>
        <v/>
      </c>
      <c r="AJ118" s="23">
        <f>IF($A118="","",ROUND(100*('Beállítások'!$E$8*(D118-1)+'Beállítások'!$E$9*(E118-1)+'Beállítások'!$E$10*(F118-1)+'Beállítások'!$E$11*(G118-1)+'Beállítások'!$E$12*(H118-1)+'Beállítások'!$E$13*(I118-1)+'Beállítások'!$E$14*(J118-1)+'Beállítások'!$E$15*(K118-1)+'Beállítások'!$E$16*(L118-1)+'Beállítások'!$E$17*(M118-1)+'Beállítások'!$E$18*(N118-1)+'Beállítások'!$E$19*(O118-1)+'Beállítások'!$E$20*(P118-1)+'Beállítások'!$E$21*(Q118-1)+'Beállítások'!$E$22*(R118-1))/(9*'Beállítások'!$B$44),1))</f>
        <v/>
      </c>
      <c r="AK118" s="23">
        <f>IF($A118="","",ROUND(100*('Beállítások'!$E$23*(S118-1)+'Beállítások'!$E$24*(T118-1)+'Beállítások'!$E$25*(U118-1)+'Beállítások'!$E$26*(V118-1)+'Beállítások'!$E$27*(W118-1)+'Beállítások'!$E$28*(X118-1)+'Beállítások'!$E$29*(Y118-1))/(9*'Beállítások'!$B$45),1))</f>
        <v/>
      </c>
      <c r="AL118" s="23">
        <f>IF($A118="","",ROUND(100*('Beállítások'!$E$30*(Z118-1)+'Beállítások'!$E$31*(AA118-1)+'Beállítások'!$E$32*(AB118-1)+'Beállítások'!$E$33*(AC118-1)+'Beállítások'!$E$34*(AD118-1)+'Beállítások'!$E$35*(AE118-1)+'Beállítások'!$E$36*(AF118-1)+'Beállítások'!$E$37*(AG118-1)+'Beállítások'!$E$38*(AH118-1))/(9*'Beállítások'!$B$46),1))</f>
        <v/>
      </c>
      <c r="AM118" s="23">
        <f>IF($A118="","",ROUND(100*('Beállítások'!$E$6*(B118-1)+'Beállítások'!$E$7*(C118-1)+'Beállítások'!$E$8*(D118-1)+'Beállítások'!$E$9*(E118-1)+'Beállítások'!$E$10*(F118-1)+'Beállítások'!$E$11*(G118-1)+'Beállítások'!$E$12*(H118-1)+'Beállítások'!$E$13*(I118-1)+'Beállítások'!$E$14*(J118-1)+'Beállítások'!$E$15*(K118-1)+'Beállítások'!$E$16*(L118-1)+'Beállítások'!$E$17*(M118-1)+'Beállítások'!$E$18*(N118-1)+'Beállítások'!$E$19*(O118-1)+'Beállítások'!$E$20*(P118-1)+'Beállítások'!$E$21*(Q118-1)+'Beállítások'!$E$22*(R118-1)+'Beállítások'!$E$23*(S118-1)+'Beállítások'!$E$24*(T118-1)+'Beállítások'!$E$25*(U118-1)+'Beállítások'!$E$26*(V118-1)+'Beállítások'!$E$27*(W118-1)+'Beállítások'!$E$28*(X118-1)+'Beállítások'!$E$29*(Y118-1)+'Beállítások'!$E$30*(Z118-1)+'Beállítások'!$E$31*(AA118-1)+'Beállítások'!$E$32*(AB118-1)+'Beállítások'!$E$33*(AC118-1)+'Beállítások'!$E$34*(AD118-1)+'Beállítások'!$E$35*(AE118-1)+'Beállítások'!$E$36*(AF118-1)+'Beállítások'!$E$37*(AG118-1)+'Beállítások'!$E$38*(AH118-1))/(9*'Beállítások'!$E$39),1))</f>
        <v/>
      </c>
      <c r="AN118" s="23">
        <f>IF($A118="","",ROUND(100*('Beállítások'!$E$8*(D118-1)+'Beállítások'!$E$9*(E118-1)+'Beállítások'!$E$10*(F118-1)+'Beállítások'!$E$11*(G118-1)+'Beállítások'!$E$12*(H118-1)+'Beállítások'!$E$13*(I118-1)+'Beállítások'!$E$14*(J118-1)+'Beállítások'!$E$15*(K118-1)+'Beállítások'!$E$16*(L118-1)+'Beállítások'!$E$17*(M118-1)+'Beállítások'!$E$18*(N118-1)+'Beállítások'!$E$19*(O118-1)+'Beállítások'!$E$20*(P118-1)+'Beállítások'!$E$21*(Q118-1)+'Beállítások'!$E$22*(R118-1)+'Beállítások'!$E$23*(S118-1)+'Beállítások'!$E$24*(T118-1)+'Beállítások'!$E$25*(U118-1)+'Beállítások'!$E$26*(V118-1)+'Beállítások'!$E$27*(W118-1)+'Beállítások'!$E$28*(X118-1)+'Beállítások'!$E$29*(Y118-1))/(9*('Beállítások'!$B$44+'Beállítások'!$B$45)),1))</f>
        <v/>
      </c>
      <c r="AO118" s="24">
        <f>IF($A118="","",RANK(AM118,$AM$2:$AM$201))</f>
        <v/>
      </c>
      <c r="AP118">
        <f>IF($A118="","",IF(OR(AND('Ügyfelek'!B118&lt;&gt;"",B118&lt;='Beállítások'!$B$85),AND('Ügyfelek'!C118&lt;&gt;"",C118&lt;='Beállítások'!$B$86)),"Igen","Nem"))</f>
        <v/>
      </c>
      <c r="AQ118" s="24">
        <f>IF($A118="","",IF(AP118="Igen",5,IF(AN118&gt;='Beállítások'!$C$108,1,IF(AN118&gt;='Beállítások'!$C$109,2,IF(AN118&gt;='Beállítások'!$C$110,3,IF(AND(AN118&gt;='Beállítások'!$B$87,AI118&gt;='Beállítások'!$B$88,AL118&gt;='Beállítások'!$B$89),4,5))))))</f>
        <v/>
      </c>
      <c r="AR118">
        <f>IF($A118="","",INDEX('Beállítások'!$B$108:$B$112,AQ118))</f>
        <v/>
      </c>
      <c r="AS118">
        <f>IF($A118="","",IF(AQ118=5,"Elutasítjuk",IF(AND(AQ118=4,COUNTIFS('Eredmény'!$AQ$2:$AQ$201,4,'Eredmény'!$DY$2:$DY$201,"&gt;"&amp;DY118)&gt;='Beállítások'!$B$90),"Várólista (a 4-es hely foglalt)","Elfogadjuk")))</f>
        <v/>
      </c>
      <c r="AT118">
        <f>IF($A118="","",INDEX('Beállítások'!$F$108:$F$112,AQ118))</f>
        <v/>
      </c>
      <c r="AU118">
        <f>IF($A118="","",INDEX('Beállítások'!$B$6:$B$38,MATCH(MAX(BK118:CQ118),BK118:CQ118,0)))</f>
        <v/>
      </c>
      <c r="AV118">
        <f>IF($A118="","",IF(MAX(CR118:DX118)=0,"—",INDEX('Beállítások'!$B$6:$B$38,MATCH(MAX(CR118:DX118),CR118:DX118,0))))</f>
        <v/>
      </c>
      <c r="AW118" s="10">
        <f>IF($A118="","",'Beállítások'!$B$94*(TRIM('Ügyfelek'!AI118)="igen")+'Beállítások'!$B$95*(TRIM('Ügyfelek'!AJ118)="igen")+'Beállítások'!$B$96*N('Ügyfelek'!AK118)+'Beállítások'!$B$93*N('Ügyfelek'!AL118))</f>
        <v/>
      </c>
      <c r="AX118" s="25">
        <f>IF(OR($A118="",AQ118=5),"",INDEX('Beállítások'!$D$108:$D$112,AQ118))</f>
        <v/>
      </c>
      <c r="AY118" s="10">
        <f>IF($A118="","",N('Ügyfelek'!U118)*'Beállítások'!$B$98)</f>
        <v/>
      </c>
      <c r="AZ118" s="10">
        <f>IF(OR($A118="",AQ118=5),"",CEILING(ROUND(MAX('Beállítások'!$B$97,AW118*AX118,AY118),2),'Beállítások'!$B$99))</f>
        <v/>
      </c>
      <c r="BA118">
        <f>IF($A118="","",IF(AQ118=5,"Elutasítva",IF(MAX('Beállítások'!$B$97,AW118*AX118,AY118)=AW118*AX118,"Munkaigény × státuszszorzó",IF(MAX('Beállítások'!$B$97,AW118*AX118,AY118)=AY118,"Hirdetési keret arányában","Minimumdíj"))))</f>
        <v/>
      </c>
      <c r="BB118" s="10">
        <f>IF(OR($A118="",'Ügyfelek'!AM118=""),"",'Ügyfelek'!AM118)</f>
        <v/>
      </c>
      <c r="BC118" s="10">
        <f>IF(OR(BB118="",AZ118=""),"",AZ118-BB118)</f>
        <v/>
      </c>
      <c r="BD118" s="18">
        <f>IF(OR(BB118="",AZ118="",BB118=0),"",BC118/BB118)</f>
        <v/>
      </c>
      <c r="BE118">
        <f>IF(OR($A118="",AQ118=5),"",IF(AND(INDEX('Beállítások'!$E$108:$E$112,AQ118)&gt;0,Y118&gt;='Beállítások'!$B$91),"Igen","Nem"))</f>
        <v/>
      </c>
      <c r="BF118" s="10">
        <f>IF(BE118="Igen",CEILING(ROUND(AZ118*(1-'Beállítások'!$B$92),2),'Beállítások'!$B$99),"")</f>
        <v/>
      </c>
      <c r="BG118" s="20">
        <f>IF(BE118="Igen",INDEX('Beállítások'!$E$108:$E$112,AQ118),"")</f>
        <v/>
      </c>
      <c r="BH118" s="10">
        <f>IF(OR(BE118&lt;&gt;"Igen",'Ügyfelek'!AN118=""),"",'Ügyfelek'!AN118*BG118)</f>
        <v/>
      </c>
      <c r="BI118" s="24">
        <f>IF($A118="","",('Ügyfelek'!B118="")+('Ügyfelek'!C118="")+('Ügyfelek'!D118="")+('Ügyfelek'!E118="")+('Ügyfelek'!F118="")+('Ügyfelek'!G118="")+('Ügyfelek'!H118="")+('Ügyfelek'!I118="")+('Ügyfelek'!J118="")+('Ügyfelek'!K118="")+('Ügyfelek'!L118="")+('Ügyfelek'!M118="")+('Ügyfelek'!N118="")+('Ügyfelek'!O118="")+('Ügyfelek'!P118="")+('Ügyfelek'!Q118="")+('Ügyfelek'!R118="")+('Ügyfelek'!S118="")+('Ügyfelek'!T118="")+('Ügyfelek'!U118="")+('Ügyfelek'!V118="")+('Ügyfelek'!W118="")+('Ügyfelek'!X118="")+('Ügyfelek'!Y118="")+('Ügyfelek'!Z118="")+('Ügyfelek'!AA118="")+('Ügyfelek'!AB118="")+('Ügyfelek'!AC118="")+('Ügyfelek'!AD118="")+('Ügyfelek'!AE118="")+('Ügyfelek'!AF118="")+('Ügyfelek'!AG118="")+('Ügyfelek'!AH118=""))</f>
        <v/>
      </c>
      <c r="BK118">
        <f>IF($A118="","",B118+'Beállítások'!$E$6/1000)</f>
        <v/>
      </c>
      <c r="BL118">
        <f>IF($A118="","",C118+'Beállítások'!$E$7/1000)</f>
        <v/>
      </c>
      <c r="BM118">
        <f>IF($A118="","",D118+'Beállítások'!$E$8/1000)</f>
        <v/>
      </c>
      <c r="BN118">
        <f>IF($A118="","",E118+'Beállítások'!$E$9/1000)</f>
        <v/>
      </c>
      <c r="BO118">
        <f>IF($A118="","",F118+'Beállítások'!$E$10/1000)</f>
        <v/>
      </c>
      <c r="BP118">
        <f>IF($A118="","",G118+'Beállítások'!$E$11/1000)</f>
        <v/>
      </c>
      <c r="BQ118">
        <f>IF($A118="","",H118+'Beállítások'!$E$12/1000)</f>
        <v/>
      </c>
      <c r="BR118">
        <f>IF($A118="","",I118+'Beállítások'!$E$13/1000)</f>
        <v/>
      </c>
      <c r="BS118">
        <f>IF($A118="","",J118+'Beállítások'!$E$14/1000)</f>
        <v/>
      </c>
      <c r="BT118">
        <f>IF($A118="","",K118+'Beállítások'!$E$15/1000)</f>
        <v/>
      </c>
      <c r="BU118">
        <f>IF($A118="","",L118+'Beállítások'!$E$16/1000)</f>
        <v/>
      </c>
      <c r="BV118">
        <f>IF($A118="","",M118+'Beállítások'!$E$17/1000)</f>
        <v/>
      </c>
      <c r="BW118">
        <f>IF($A118="","",N118+'Beállítások'!$E$18/1000)</f>
        <v/>
      </c>
      <c r="BX118">
        <f>IF($A118="","",O118+'Beállítások'!$E$19/1000)</f>
        <v/>
      </c>
      <c r="BY118">
        <f>IF($A118="","",P118+'Beállítások'!$E$20/1000)</f>
        <v/>
      </c>
      <c r="BZ118">
        <f>IF($A118="","",Q118+'Beállítások'!$E$21/1000)</f>
        <v/>
      </c>
      <c r="CA118">
        <f>IF($A118="","",R118+'Beállítások'!$E$22/1000)</f>
        <v/>
      </c>
      <c r="CB118">
        <f>IF($A118="","",S118+'Beállítások'!$E$23/1000)</f>
        <v/>
      </c>
      <c r="CC118">
        <f>IF($A118="","",T118+'Beállítások'!$E$24/1000)</f>
        <v/>
      </c>
      <c r="CD118">
        <f>IF($A118="","",U118+'Beállítások'!$E$25/1000)</f>
        <v/>
      </c>
      <c r="CE118">
        <f>IF($A118="","",V118+'Beállítások'!$E$26/1000)</f>
        <v/>
      </c>
      <c r="CF118">
        <f>IF($A118="","",W118+'Beállítások'!$E$27/1000)</f>
        <v/>
      </c>
      <c r="CG118">
        <f>IF($A118="","",X118+'Beállítások'!$E$28/1000)</f>
        <v/>
      </c>
      <c r="CH118">
        <f>IF($A118="","",Y118+'Beállítások'!$E$29/1000)</f>
        <v/>
      </c>
      <c r="CI118">
        <f>IF($A118="","",Z118+'Beállítások'!$E$30/1000)</f>
        <v/>
      </c>
      <c r="CJ118">
        <f>IF($A118="","",AA118+'Beállítások'!$E$31/1000)</f>
        <v/>
      </c>
      <c r="CK118">
        <f>IF($A118="","",AB118+'Beállítások'!$E$32/1000)</f>
        <v/>
      </c>
      <c r="CL118">
        <f>IF($A118="","",AC118+'Beállítások'!$E$33/1000)</f>
        <v/>
      </c>
      <c r="CM118">
        <f>IF($A118="","",AD118+'Beállítások'!$E$34/1000)</f>
        <v/>
      </c>
      <c r="CN118">
        <f>IF($A118="","",AE118+'Beállítások'!$E$35/1000)</f>
        <v/>
      </c>
      <c r="CO118">
        <f>IF($A118="","",AF118+'Beállítások'!$E$36/1000)</f>
        <v/>
      </c>
      <c r="CP118">
        <f>IF($A118="","",AG118+'Beállítások'!$E$37/1000)</f>
        <v/>
      </c>
      <c r="CQ118">
        <f>IF($A118="","",AH118+'Beállítások'!$E$38/1000)</f>
        <v/>
      </c>
      <c r="CR118">
        <f>IF($A118="","",'Beállítások'!$E$6*(10-B118))</f>
        <v/>
      </c>
      <c r="CS118">
        <f>IF($A118="","",'Beállítások'!$E$7*(10-C118))</f>
        <v/>
      </c>
      <c r="CT118">
        <f>IF($A118="","",'Beállítások'!$E$8*(10-D118))</f>
        <v/>
      </c>
      <c r="CU118">
        <f>IF($A118="","",'Beállítások'!$E$9*(10-E118))</f>
        <v/>
      </c>
      <c r="CV118">
        <f>IF($A118="","",'Beállítások'!$E$10*(10-F118))</f>
        <v/>
      </c>
      <c r="CW118">
        <f>IF($A118="","",'Beállítások'!$E$11*(10-G118))</f>
        <v/>
      </c>
      <c r="CX118">
        <f>IF($A118="","",'Beállítások'!$E$12*(10-H118))</f>
        <v/>
      </c>
      <c r="CY118">
        <f>IF($A118="","",'Beállítások'!$E$13*(10-I118))</f>
        <v/>
      </c>
      <c r="CZ118">
        <f>IF($A118="","",'Beállítások'!$E$14*(10-J118))</f>
        <v/>
      </c>
      <c r="DA118">
        <f>IF($A118="","",'Beállítások'!$E$15*(10-K118))</f>
        <v/>
      </c>
      <c r="DB118">
        <f>IF($A118="","",'Beállítások'!$E$16*(10-L118))</f>
        <v/>
      </c>
      <c r="DC118">
        <f>IF($A118="","",'Beállítások'!$E$17*(10-M118))</f>
        <v/>
      </c>
      <c r="DD118">
        <f>IF($A118="","",'Beállítások'!$E$18*(10-N118))</f>
        <v/>
      </c>
      <c r="DE118">
        <f>IF($A118="","",'Beállítások'!$E$19*(10-O118))</f>
        <v/>
      </c>
      <c r="DF118">
        <f>IF($A118="","",'Beállítások'!$E$20*(10-P118))</f>
        <v/>
      </c>
      <c r="DG118">
        <f>IF($A118="","",'Beállítások'!$E$21*(10-Q118))</f>
        <v/>
      </c>
      <c r="DH118">
        <f>IF($A118="","",'Beállítások'!$E$22*(10-R118))</f>
        <v/>
      </c>
      <c r="DI118">
        <f>IF($A118="","",'Beállítások'!$E$23*(10-S118))</f>
        <v/>
      </c>
      <c r="DJ118">
        <f>IF($A118="","",'Beállítások'!$E$24*(10-T118))</f>
        <v/>
      </c>
      <c r="DK118">
        <f>IF($A118="","",'Beállítások'!$E$25*(10-U118))</f>
        <v/>
      </c>
      <c r="DL118">
        <f>IF($A118="","",'Beállítások'!$E$26*(10-V118))</f>
        <v/>
      </c>
      <c r="DM118">
        <f>IF($A118="","",'Beállítások'!$E$27*(10-W118))</f>
        <v/>
      </c>
      <c r="DN118">
        <f>IF($A118="","",'Beállítások'!$E$28*(10-X118))</f>
        <v/>
      </c>
      <c r="DO118">
        <f>IF($A118="","",'Beállítások'!$E$29*(10-Y118))</f>
        <v/>
      </c>
      <c r="DP118">
        <f>IF($A118="","",'Beállítások'!$E$30*(10-Z118))</f>
        <v/>
      </c>
      <c r="DQ118">
        <f>IF($A118="","",'Beállítások'!$E$31*(10-AA118))</f>
        <v/>
      </c>
      <c r="DR118">
        <f>IF($A118="","",'Beállítások'!$E$32*(10-AB118))</f>
        <v/>
      </c>
      <c r="DS118">
        <f>IF($A118="","",'Beállítások'!$E$33*(10-AC118))</f>
        <v/>
      </c>
      <c r="DT118">
        <f>IF($A118="","",'Beállítások'!$E$34*(10-AD118))</f>
        <v/>
      </c>
      <c r="DU118">
        <f>IF($A118="","",'Beállítások'!$E$35*(10-AE118))</f>
        <v/>
      </c>
      <c r="DV118">
        <f>IF($A118="","",'Beállítások'!$E$36*(10-AF118))</f>
        <v/>
      </c>
      <c r="DW118">
        <f>IF($A118="","",'Beállítások'!$E$37*(10-AG118))</f>
        <v/>
      </c>
      <c r="DX118">
        <f>IF($A118="","",'Beállítások'!$E$38*(10-AH118))</f>
        <v/>
      </c>
      <c r="DY118">
        <f>IF($A118="","",AM118-ROW()/100000)</f>
        <v/>
      </c>
    </row>
    <row r="119">
      <c r="A119">
        <f>IF('Ügyfelek'!A119="","",'Ügyfelek'!A119)</f>
        <v/>
      </c>
      <c r="B119">
        <f>IF($A119="","",IF('Ügyfelek'!B119="",'Beállítások'!$B$84,IFERROR(VLOOKUP(TRIM('Ügyfelek'!B119),'Beállítások'!$A$51:$B$59,2,FALSE),'Beállítások'!$B$84)))</f>
        <v/>
      </c>
      <c r="C119">
        <f>IF($A119="","",IF('Ügyfelek'!C119="",'Beállítások'!$B$84,MIN(10,MAX(1,ROUND('Ügyfelek'!C119,0)))))</f>
        <v/>
      </c>
      <c r="D119">
        <f>IF($A119="","",IF('Ügyfelek'!D119="",'Beállítások'!$B$84,MIN(10,MAX(1,ROUND('Ügyfelek'!D119,0)))))</f>
        <v/>
      </c>
      <c r="E119">
        <f>IF($A119="","",IF('Ügyfelek'!E119="",'Beállítások'!$B$84,MIN(10,MAX(1,ROUND('Ügyfelek'!E119,0)))))</f>
        <v/>
      </c>
      <c r="F119">
        <f>IF($A119="","",IF('Ügyfelek'!F119="",'Beállítások'!$B$84,MIN(10,MAX(1,ROUND('Ügyfelek'!F119,0)))))</f>
        <v/>
      </c>
      <c r="G119">
        <f>IF($A119="","",IF('Ügyfelek'!G119="",'Beállítások'!$B$84,MIN(10,MAX(1,ROUND('Ügyfelek'!G119,0)))))</f>
        <v/>
      </c>
      <c r="H119">
        <f>IF($A119="","",IF('Ügyfelek'!H119="",'Beállítások'!$B$84,MIN(10,MAX(1,ROUND('Ügyfelek'!H119,0)))))</f>
        <v/>
      </c>
      <c r="I119">
        <f>IF($A119="","",IF('Ügyfelek'!I119="",'Beállítások'!$B$84,MIN(10,MAX(1,ROUND('Ügyfelek'!I119,0)))))</f>
        <v/>
      </c>
      <c r="J119">
        <f>IF($A119="","",IF('Ügyfelek'!J119="",'Beállítások'!$B$84,MIN(10,MAX(1,ROUND('Ügyfelek'!J119,0)))))</f>
        <v/>
      </c>
      <c r="K119">
        <f>IF($A119="","",IF('Ügyfelek'!K119="",'Beállítások'!$B$84,MIN(10,MAX(1,ROUND('Ügyfelek'!K119,0)))))</f>
        <v/>
      </c>
      <c r="L119">
        <f>IF($A119="","",IF('Ügyfelek'!L119="",'Beállítások'!$B$84,MIN(10,MAX(1,ROUND('Ügyfelek'!L119,0)))))</f>
        <v/>
      </c>
      <c r="M119">
        <f>IF($A119="","",IF('Ügyfelek'!M119="",'Beállítások'!$B$84,MIN(10,MAX(1,ROUND('Ügyfelek'!M119,0)))))</f>
        <v/>
      </c>
      <c r="N119">
        <f>IF($A119="","",IF('Ügyfelek'!N119="",'Beállítások'!$B$84,MIN(10,MAX(1,ROUND('Ügyfelek'!N119,0)))))</f>
        <v/>
      </c>
      <c r="O119">
        <f>IF($A119="","",IF('Ügyfelek'!O119="",'Beállítások'!$B$84,MIN(10,MAX(1,ROUND('Ügyfelek'!O119,0)))))</f>
        <v/>
      </c>
      <c r="P119">
        <f>IF($A119="","",IF('Ügyfelek'!P119="",'Beállítások'!$B$84,MIN(10,MAX(1,ROUND('Ügyfelek'!P119,0)))))</f>
        <v/>
      </c>
      <c r="Q119">
        <f>IF($A119="","",IF('Ügyfelek'!Q119="",'Beállítások'!$B$84,MIN(10,MAX(1,ROUND('Ügyfelek'!Q119,0)))))</f>
        <v/>
      </c>
      <c r="R119">
        <f>IF($A119="","",IF('Ügyfelek'!R119="",'Beállítások'!$B$84,MIN(10,MAX(1,ROUND('Ügyfelek'!R119,0)))))</f>
        <v/>
      </c>
      <c r="S119">
        <f>IF($A119="","",IF('Ügyfelek'!S119="",'Beállítások'!$B$84,MIN(10,MAX(1,ROUND('Ügyfelek'!S119,0)))))</f>
        <v/>
      </c>
      <c r="T119">
        <f>IF($A119="","",IF('Ügyfelek'!T119="",'Beállítások'!$B$84,VLOOKUP(MAX('Ügyfelek'!T119,'Beállítások'!$H$7),'Beállítások'!$H$7:$I$12,2,TRUE)))</f>
        <v/>
      </c>
      <c r="U119">
        <f>IF($A119="","",IF('Ügyfelek'!U119="",'Beállítások'!$B$84,VLOOKUP(MAX('Ügyfelek'!U119,'Beállítások'!$K$7),'Beállítások'!$K$7:$L$12,2,TRUE)))</f>
        <v/>
      </c>
      <c r="V119">
        <f>IF($A119="","",IF('Ügyfelek'!V119="",'Beállítások'!$B$84,MIN(10,MAX(1,ROUND('Ügyfelek'!V119,0)))))</f>
        <v/>
      </c>
      <c r="W119">
        <f>IF($A119="","",IF('Ügyfelek'!W119="",'Beállítások'!$B$84,VLOOKUP(MAX('Ügyfelek'!W119,'Beállítások'!$N$7),'Beállítások'!$N$7:$O$12,2,TRUE)))</f>
        <v/>
      </c>
      <c r="X119">
        <f>IF($A119="","",IF('Ügyfelek'!X119="",'Beállítások'!$B$84,MIN(10,MAX(1,ROUND('Ügyfelek'!X119,0)))))</f>
        <v/>
      </c>
      <c r="Y119">
        <f>IF($A119="","",IF('Ügyfelek'!Y119="",'Beállítások'!$B$84,IFERROR(VLOOKUP(TRIM('Ügyfelek'!Y119),'Beállítások'!$A$63:$B$69,2,FALSE),'Beállítások'!$B$84)))</f>
        <v/>
      </c>
      <c r="Z119">
        <f>IF($A119="","",IF('Ügyfelek'!Z119="",'Beállítások'!$B$84,VLOOKUP(MAX('Ügyfelek'!Z119,'Beállítások'!$Q$7),'Beállítások'!$Q$7:$R$12,2,TRUE)))</f>
        <v/>
      </c>
      <c r="AA119">
        <f>IF($A119="","",IF('Ügyfelek'!AA119="",'Beállítások'!$B$84,VLOOKUP(MAX('Ügyfelek'!AA119,'Beállítások'!$T$7),'Beállítások'!$T$7:$U$12,2,TRUE)))</f>
        <v/>
      </c>
      <c r="AB119">
        <f>IF($A119="","",IF('Ügyfelek'!AB119="",'Beállítások'!$B$84,MIN(10,MAX(1,ROUND('Ügyfelek'!AB119,0)))))</f>
        <v/>
      </c>
      <c r="AC119">
        <f>IF($A119="","",IF('Ügyfelek'!AC119="",'Beállítások'!$B$84,MIN(10,MAX(1,ROUND('Ügyfelek'!AC119,0)))))</f>
        <v/>
      </c>
      <c r="AD119">
        <f>IF($A119="","",IF('Ügyfelek'!AD119="",'Beállítások'!$B$84,MIN(10,MAX(1,ROUND('Ügyfelek'!AD119,0)))))</f>
        <v/>
      </c>
      <c r="AE119">
        <f>IF($A119="","",IF('Ügyfelek'!AE119="",'Beállítások'!$B$84,MIN(10,MAX(1,ROUND('Ügyfelek'!AE119,0)))))</f>
        <v/>
      </c>
      <c r="AF119">
        <f>IF($A119="","",IF('Ügyfelek'!AF119="",'Beállítások'!$B$84,MIN(10,MAX(1,ROUND('Ügyfelek'!AF119,0)))))</f>
        <v/>
      </c>
      <c r="AG119">
        <f>IF($A119="","",IF('Ügyfelek'!AG119="",'Beállítások'!$B$84,MIN(10,MAX(1,ROUND('Ügyfelek'!AG119,0)))))</f>
        <v/>
      </c>
      <c r="AH119">
        <f>IF($A119="","",IF('Ügyfelek'!AH119="",'Beállítások'!$B$84,IFERROR(VLOOKUP(TRIM('Ügyfelek'!AH119),'Beállítások'!$A$73:$B$79,2,FALSE),'Beállítások'!$B$84)))</f>
        <v/>
      </c>
      <c r="AI119" s="23">
        <f>IF($A119="","",ROUND(100*('Beállítások'!$E$6*(B119-1)+'Beállítások'!$E$7*(C119-1))/(9*'Beállítások'!$B$43),1))</f>
        <v/>
      </c>
      <c r="AJ119" s="23">
        <f>IF($A119="","",ROUND(100*('Beállítások'!$E$8*(D119-1)+'Beállítások'!$E$9*(E119-1)+'Beállítások'!$E$10*(F119-1)+'Beállítások'!$E$11*(G119-1)+'Beállítások'!$E$12*(H119-1)+'Beállítások'!$E$13*(I119-1)+'Beállítások'!$E$14*(J119-1)+'Beállítások'!$E$15*(K119-1)+'Beállítások'!$E$16*(L119-1)+'Beállítások'!$E$17*(M119-1)+'Beállítások'!$E$18*(N119-1)+'Beállítások'!$E$19*(O119-1)+'Beállítások'!$E$20*(P119-1)+'Beállítások'!$E$21*(Q119-1)+'Beállítások'!$E$22*(R119-1))/(9*'Beállítások'!$B$44),1))</f>
        <v/>
      </c>
      <c r="AK119" s="23">
        <f>IF($A119="","",ROUND(100*('Beállítások'!$E$23*(S119-1)+'Beállítások'!$E$24*(T119-1)+'Beállítások'!$E$25*(U119-1)+'Beállítások'!$E$26*(V119-1)+'Beállítások'!$E$27*(W119-1)+'Beállítások'!$E$28*(X119-1)+'Beállítások'!$E$29*(Y119-1))/(9*'Beállítások'!$B$45),1))</f>
        <v/>
      </c>
      <c r="AL119" s="23">
        <f>IF($A119="","",ROUND(100*('Beállítások'!$E$30*(Z119-1)+'Beállítások'!$E$31*(AA119-1)+'Beállítások'!$E$32*(AB119-1)+'Beállítások'!$E$33*(AC119-1)+'Beállítások'!$E$34*(AD119-1)+'Beállítások'!$E$35*(AE119-1)+'Beállítások'!$E$36*(AF119-1)+'Beállítások'!$E$37*(AG119-1)+'Beállítások'!$E$38*(AH119-1))/(9*'Beállítások'!$B$46),1))</f>
        <v/>
      </c>
      <c r="AM119" s="23">
        <f>IF($A119="","",ROUND(100*('Beállítások'!$E$6*(B119-1)+'Beállítások'!$E$7*(C119-1)+'Beállítások'!$E$8*(D119-1)+'Beállítások'!$E$9*(E119-1)+'Beállítások'!$E$10*(F119-1)+'Beállítások'!$E$11*(G119-1)+'Beállítások'!$E$12*(H119-1)+'Beállítások'!$E$13*(I119-1)+'Beállítások'!$E$14*(J119-1)+'Beállítások'!$E$15*(K119-1)+'Beállítások'!$E$16*(L119-1)+'Beállítások'!$E$17*(M119-1)+'Beállítások'!$E$18*(N119-1)+'Beállítások'!$E$19*(O119-1)+'Beállítások'!$E$20*(P119-1)+'Beállítások'!$E$21*(Q119-1)+'Beállítások'!$E$22*(R119-1)+'Beállítások'!$E$23*(S119-1)+'Beállítások'!$E$24*(T119-1)+'Beállítások'!$E$25*(U119-1)+'Beállítások'!$E$26*(V119-1)+'Beállítások'!$E$27*(W119-1)+'Beállítások'!$E$28*(X119-1)+'Beállítások'!$E$29*(Y119-1)+'Beállítások'!$E$30*(Z119-1)+'Beállítások'!$E$31*(AA119-1)+'Beállítások'!$E$32*(AB119-1)+'Beállítások'!$E$33*(AC119-1)+'Beállítások'!$E$34*(AD119-1)+'Beállítások'!$E$35*(AE119-1)+'Beállítások'!$E$36*(AF119-1)+'Beállítások'!$E$37*(AG119-1)+'Beállítások'!$E$38*(AH119-1))/(9*'Beállítások'!$E$39),1))</f>
        <v/>
      </c>
      <c r="AN119" s="23">
        <f>IF($A119="","",ROUND(100*('Beállítások'!$E$8*(D119-1)+'Beállítások'!$E$9*(E119-1)+'Beállítások'!$E$10*(F119-1)+'Beállítások'!$E$11*(G119-1)+'Beállítások'!$E$12*(H119-1)+'Beállítások'!$E$13*(I119-1)+'Beállítások'!$E$14*(J119-1)+'Beállítások'!$E$15*(K119-1)+'Beállítások'!$E$16*(L119-1)+'Beállítások'!$E$17*(M119-1)+'Beállítások'!$E$18*(N119-1)+'Beállítások'!$E$19*(O119-1)+'Beállítások'!$E$20*(P119-1)+'Beállítások'!$E$21*(Q119-1)+'Beállítások'!$E$22*(R119-1)+'Beállítások'!$E$23*(S119-1)+'Beállítások'!$E$24*(T119-1)+'Beállítások'!$E$25*(U119-1)+'Beállítások'!$E$26*(V119-1)+'Beállítások'!$E$27*(W119-1)+'Beállítások'!$E$28*(X119-1)+'Beállítások'!$E$29*(Y119-1))/(9*('Beállítások'!$B$44+'Beállítások'!$B$45)),1))</f>
        <v/>
      </c>
      <c r="AO119" s="24">
        <f>IF($A119="","",RANK(AM119,$AM$2:$AM$201))</f>
        <v/>
      </c>
      <c r="AP119">
        <f>IF($A119="","",IF(OR(AND('Ügyfelek'!B119&lt;&gt;"",B119&lt;='Beállítások'!$B$85),AND('Ügyfelek'!C119&lt;&gt;"",C119&lt;='Beállítások'!$B$86)),"Igen","Nem"))</f>
        <v/>
      </c>
      <c r="AQ119" s="24">
        <f>IF($A119="","",IF(AP119="Igen",5,IF(AN119&gt;='Beállítások'!$C$108,1,IF(AN119&gt;='Beállítások'!$C$109,2,IF(AN119&gt;='Beállítások'!$C$110,3,IF(AND(AN119&gt;='Beállítások'!$B$87,AI119&gt;='Beállítások'!$B$88,AL119&gt;='Beállítások'!$B$89),4,5))))))</f>
        <v/>
      </c>
      <c r="AR119">
        <f>IF($A119="","",INDEX('Beállítások'!$B$108:$B$112,AQ119))</f>
        <v/>
      </c>
      <c r="AS119">
        <f>IF($A119="","",IF(AQ119=5,"Elutasítjuk",IF(AND(AQ119=4,COUNTIFS('Eredmény'!$AQ$2:$AQ$201,4,'Eredmény'!$DY$2:$DY$201,"&gt;"&amp;DY119)&gt;='Beállítások'!$B$90),"Várólista (a 4-es hely foglalt)","Elfogadjuk")))</f>
        <v/>
      </c>
      <c r="AT119">
        <f>IF($A119="","",INDEX('Beállítások'!$F$108:$F$112,AQ119))</f>
        <v/>
      </c>
      <c r="AU119">
        <f>IF($A119="","",INDEX('Beállítások'!$B$6:$B$38,MATCH(MAX(BK119:CQ119),BK119:CQ119,0)))</f>
        <v/>
      </c>
      <c r="AV119">
        <f>IF($A119="","",IF(MAX(CR119:DX119)=0,"—",INDEX('Beállítások'!$B$6:$B$38,MATCH(MAX(CR119:DX119),CR119:DX119,0))))</f>
        <v/>
      </c>
      <c r="AW119" s="10">
        <f>IF($A119="","",'Beállítások'!$B$94*(TRIM('Ügyfelek'!AI119)="igen")+'Beállítások'!$B$95*(TRIM('Ügyfelek'!AJ119)="igen")+'Beállítások'!$B$96*N('Ügyfelek'!AK119)+'Beállítások'!$B$93*N('Ügyfelek'!AL119))</f>
        <v/>
      </c>
      <c r="AX119" s="25">
        <f>IF(OR($A119="",AQ119=5),"",INDEX('Beállítások'!$D$108:$D$112,AQ119))</f>
        <v/>
      </c>
      <c r="AY119" s="10">
        <f>IF($A119="","",N('Ügyfelek'!U119)*'Beállítások'!$B$98)</f>
        <v/>
      </c>
      <c r="AZ119" s="10">
        <f>IF(OR($A119="",AQ119=5),"",CEILING(ROUND(MAX('Beállítások'!$B$97,AW119*AX119,AY119),2),'Beállítások'!$B$99))</f>
        <v/>
      </c>
      <c r="BA119">
        <f>IF($A119="","",IF(AQ119=5,"Elutasítva",IF(MAX('Beállítások'!$B$97,AW119*AX119,AY119)=AW119*AX119,"Munkaigény × státuszszorzó",IF(MAX('Beállítások'!$B$97,AW119*AX119,AY119)=AY119,"Hirdetési keret arányában","Minimumdíj"))))</f>
        <v/>
      </c>
      <c r="BB119" s="10">
        <f>IF(OR($A119="",'Ügyfelek'!AM119=""),"",'Ügyfelek'!AM119)</f>
        <v/>
      </c>
      <c r="BC119" s="10">
        <f>IF(OR(BB119="",AZ119=""),"",AZ119-BB119)</f>
        <v/>
      </c>
      <c r="BD119" s="18">
        <f>IF(OR(BB119="",AZ119="",BB119=0),"",BC119/BB119)</f>
        <v/>
      </c>
      <c r="BE119">
        <f>IF(OR($A119="",AQ119=5),"",IF(AND(INDEX('Beállítások'!$E$108:$E$112,AQ119)&gt;0,Y119&gt;='Beállítások'!$B$91),"Igen","Nem"))</f>
        <v/>
      </c>
      <c r="BF119" s="10">
        <f>IF(BE119="Igen",CEILING(ROUND(AZ119*(1-'Beállítások'!$B$92),2),'Beállítások'!$B$99),"")</f>
        <v/>
      </c>
      <c r="BG119" s="20">
        <f>IF(BE119="Igen",INDEX('Beállítások'!$E$108:$E$112,AQ119),"")</f>
        <v/>
      </c>
      <c r="BH119" s="10">
        <f>IF(OR(BE119&lt;&gt;"Igen",'Ügyfelek'!AN119=""),"",'Ügyfelek'!AN119*BG119)</f>
        <v/>
      </c>
      <c r="BI119" s="24">
        <f>IF($A119="","",('Ügyfelek'!B119="")+('Ügyfelek'!C119="")+('Ügyfelek'!D119="")+('Ügyfelek'!E119="")+('Ügyfelek'!F119="")+('Ügyfelek'!G119="")+('Ügyfelek'!H119="")+('Ügyfelek'!I119="")+('Ügyfelek'!J119="")+('Ügyfelek'!K119="")+('Ügyfelek'!L119="")+('Ügyfelek'!M119="")+('Ügyfelek'!N119="")+('Ügyfelek'!O119="")+('Ügyfelek'!P119="")+('Ügyfelek'!Q119="")+('Ügyfelek'!R119="")+('Ügyfelek'!S119="")+('Ügyfelek'!T119="")+('Ügyfelek'!U119="")+('Ügyfelek'!V119="")+('Ügyfelek'!W119="")+('Ügyfelek'!X119="")+('Ügyfelek'!Y119="")+('Ügyfelek'!Z119="")+('Ügyfelek'!AA119="")+('Ügyfelek'!AB119="")+('Ügyfelek'!AC119="")+('Ügyfelek'!AD119="")+('Ügyfelek'!AE119="")+('Ügyfelek'!AF119="")+('Ügyfelek'!AG119="")+('Ügyfelek'!AH119=""))</f>
        <v/>
      </c>
      <c r="BK119">
        <f>IF($A119="","",B119+'Beállítások'!$E$6/1000)</f>
        <v/>
      </c>
      <c r="BL119">
        <f>IF($A119="","",C119+'Beállítások'!$E$7/1000)</f>
        <v/>
      </c>
      <c r="BM119">
        <f>IF($A119="","",D119+'Beállítások'!$E$8/1000)</f>
        <v/>
      </c>
      <c r="BN119">
        <f>IF($A119="","",E119+'Beállítások'!$E$9/1000)</f>
        <v/>
      </c>
      <c r="BO119">
        <f>IF($A119="","",F119+'Beállítások'!$E$10/1000)</f>
        <v/>
      </c>
      <c r="BP119">
        <f>IF($A119="","",G119+'Beállítások'!$E$11/1000)</f>
        <v/>
      </c>
      <c r="BQ119">
        <f>IF($A119="","",H119+'Beállítások'!$E$12/1000)</f>
        <v/>
      </c>
      <c r="BR119">
        <f>IF($A119="","",I119+'Beállítások'!$E$13/1000)</f>
        <v/>
      </c>
      <c r="BS119">
        <f>IF($A119="","",J119+'Beállítások'!$E$14/1000)</f>
        <v/>
      </c>
      <c r="BT119">
        <f>IF($A119="","",K119+'Beállítások'!$E$15/1000)</f>
        <v/>
      </c>
      <c r="BU119">
        <f>IF($A119="","",L119+'Beállítások'!$E$16/1000)</f>
        <v/>
      </c>
      <c r="BV119">
        <f>IF($A119="","",M119+'Beállítások'!$E$17/1000)</f>
        <v/>
      </c>
      <c r="BW119">
        <f>IF($A119="","",N119+'Beállítások'!$E$18/1000)</f>
        <v/>
      </c>
      <c r="BX119">
        <f>IF($A119="","",O119+'Beállítások'!$E$19/1000)</f>
        <v/>
      </c>
      <c r="BY119">
        <f>IF($A119="","",P119+'Beállítások'!$E$20/1000)</f>
        <v/>
      </c>
      <c r="BZ119">
        <f>IF($A119="","",Q119+'Beállítások'!$E$21/1000)</f>
        <v/>
      </c>
      <c r="CA119">
        <f>IF($A119="","",R119+'Beállítások'!$E$22/1000)</f>
        <v/>
      </c>
      <c r="CB119">
        <f>IF($A119="","",S119+'Beállítások'!$E$23/1000)</f>
        <v/>
      </c>
      <c r="CC119">
        <f>IF($A119="","",T119+'Beállítások'!$E$24/1000)</f>
        <v/>
      </c>
      <c r="CD119">
        <f>IF($A119="","",U119+'Beállítások'!$E$25/1000)</f>
        <v/>
      </c>
      <c r="CE119">
        <f>IF($A119="","",V119+'Beállítások'!$E$26/1000)</f>
        <v/>
      </c>
      <c r="CF119">
        <f>IF($A119="","",W119+'Beállítások'!$E$27/1000)</f>
        <v/>
      </c>
      <c r="CG119">
        <f>IF($A119="","",X119+'Beállítások'!$E$28/1000)</f>
        <v/>
      </c>
      <c r="CH119">
        <f>IF($A119="","",Y119+'Beállítások'!$E$29/1000)</f>
        <v/>
      </c>
      <c r="CI119">
        <f>IF($A119="","",Z119+'Beállítások'!$E$30/1000)</f>
        <v/>
      </c>
      <c r="CJ119">
        <f>IF($A119="","",AA119+'Beállítások'!$E$31/1000)</f>
        <v/>
      </c>
      <c r="CK119">
        <f>IF($A119="","",AB119+'Beállítások'!$E$32/1000)</f>
        <v/>
      </c>
      <c r="CL119">
        <f>IF($A119="","",AC119+'Beállítások'!$E$33/1000)</f>
        <v/>
      </c>
      <c r="CM119">
        <f>IF($A119="","",AD119+'Beállítások'!$E$34/1000)</f>
        <v/>
      </c>
      <c r="CN119">
        <f>IF($A119="","",AE119+'Beállítások'!$E$35/1000)</f>
        <v/>
      </c>
      <c r="CO119">
        <f>IF($A119="","",AF119+'Beállítások'!$E$36/1000)</f>
        <v/>
      </c>
      <c r="CP119">
        <f>IF($A119="","",AG119+'Beállítások'!$E$37/1000)</f>
        <v/>
      </c>
      <c r="CQ119">
        <f>IF($A119="","",AH119+'Beállítások'!$E$38/1000)</f>
        <v/>
      </c>
      <c r="CR119">
        <f>IF($A119="","",'Beállítások'!$E$6*(10-B119))</f>
        <v/>
      </c>
      <c r="CS119">
        <f>IF($A119="","",'Beállítások'!$E$7*(10-C119))</f>
        <v/>
      </c>
      <c r="CT119">
        <f>IF($A119="","",'Beállítások'!$E$8*(10-D119))</f>
        <v/>
      </c>
      <c r="CU119">
        <f>IF($A119="","",'Beállítások'!$E$9*(10-E119))</f>
        <v/>
      </c>
      <c r="CV119">
        <f>IF($A119="","",'Beállítások'!$E$10*(10-F119))</f>
        <v/>
      </c>
      <c r="CW119">
        <f>IF($A119="","",'Beállítások'!$E$11*(10-G119))</f>
        <v/>
      </c>
      <c r="CX119">
        <f>IF($A119="","",'Beállítások'!$E$12*(10-H119))</f>
        <v/>
      </c>
      <c r="CY119">
        <f>IF($A119="","",'Beállítások'!$E$13*(10-I119))</f>
        <v/>
      </c>
      <c r="CZ119">
        <f>IF($A119="","",'Beállítások'!$E$14*(10-J119))</f>
        <v/>
      </c>
      <c r="DA119">
        <f>IF($A119="","",'Beállítások'!$E$15*(10-K119))</f>
        <v/>
      </c>
      <c r="DB119">
        <f>IF($A119="","",'Beállítások'!$E$16*(10-L119))</f>
        <v/>
      </c>
      <c r="DC119">
        <f>IF($A119="","",'Beállítások'!$E$17*(10-M119))</f>
        <v/>
      </c>
      <c r="DD119">
        <f>IF($A119="","",'Beállítások'!$E$18*(10-N119))</f>
        <v/>
      </c>
      <c r="DE119">
        <f>IF($A119="","",'Beállítások'!$E$19*(10-O119))</f>
        <v/>
      </c>
      <c r="DF119">
        <f>IF($A119="","",'Beállítások'!$E$20*(10-P119))</f>
        <v/>
      </c>
      <c r="DG119">
        <f>IF($A119="","",'Beállítások'!$E$21*(10-Q119))</f>
        <v/>
      </c>
      <c r="DH119">
        <f>IF($A119="","",'Beállítások'!$E$22*(10-R119))</f>
        <v/>
      </c>
      <c r="DI119">
        <f>IF($A119="","",'Beállítások'!$E$23*(10-S119))</f>
        <v/>
      </c>
      <c r="DJ119">
        <f>IF($A119="","",'Beállítások'!$E$24*(10-T119))</f>
        <v/>
      </c>
      <c r="DK119">
        <f>IF($A119="","",'Beállítások'!$E$25*(10-U119))</f>
        <v/>
      </c>
      <c r="DL119">
        <f>IF($A119="","",'Beállítások'!$E$26*(10-V119))</f>
        <v/>
      </c>
      <c r="DM119">
        <f>IF($A119="","",'Beállítások'!$E$27*(10-W119))</f>
        <v/>
      </c>
      <c r="DN119">
        <f>IF($A119="","",'Beállítások'!$E$28*(10-X119))</f>
        <v/>
      </c>
      <c r="DO119">
        <f>IF($A119="","",'Beállítások'!$E$29*(10-Y119))</f>
        <v/>
      </c>
      <c r="DP119">
        <f>IF($A119="","",'Beállítások'!$E$30*(10-Z119))</f>
        <v/>
      </c>
      <c r="DQ119">
        <f>IF($A119="","",'Beállítások'!$E$31*(10-AA119))</f>
        <v/>
      </c>
      <c r="DR119">
        <f>IF($A119="","",'Beállítások'!$E$32*(10-AB119))</f>
        <v/>
      </c>
      <c r="DS119">
        <f>IF($A119="","",'Beállítások'!$E$33*(10-AC119))</f>
        <v/>
      </c>
      <c r="DT119">
        <f>IF($A119="","",'Beállítások'!$E$34*(10-AD119))</f>
        <v/>
      </c>
      <c r="DU119">
        <f>IF($A119="","",'Beállítások'!$E$35*(10-AE119))</f>
        <v/>
      </c>
      <c r="DV119">
        <f>IF($A119="","",'Beállítások'!$E$36*(10-AF119))</f>
        <v/>
      </c>
      <c r="DW119">
        <f>IF($A119="","",'Beállítások'!$E$37*(10-AG119))</f>
        <v/>
      </c>
      <c r="DX119">
        <f>IF($A119="","",'Beállítások'!$E$38*(10-AH119))</f>
        <v/>
      </c>
      <c r="DY119">
        <f>IF($A119="","",AM119-ROW()/100000)</f>
        <v/>
      </c>
    </row>
    <row r="120">
      <c r="A120">
        <f>IF('Ügyfelek'!A120="","",'Ügyfelek'!A120)</f>
        <v/>
      </c>
      <c r="B120">
        <f>IF($A120="","",IF('Ügyfelek'!B120="",'Beállítások'!$B$84,IFERROR(VLOOKUP(TRIM('Ügyfelek'!B120),'Beállítások'!$A$51:$B$59,2,FALSE),'Beállítások'!$B$84)))</f>
        <v/>
      </c>
      <c r="C120">
        <f>IF($A120="","",IF('Ügyfelek'!C120="",'Beállítások'!$B$84,MIN(10,MAX(1,ROUND('Ügyfelek'!C120,0)))))</f>
        <v/>
      </c>
      <c r="D120">
        <f>IF($A120="","",IF('Ügyfelek'!D120="",'Beállítások'!$B$84,MIN(10,MAX(1,ROUND('Ügyfelek'!D120,0)))))</f>
        <v/>
      </c>
      <c r="E120">
        <f>IF($A120="","",IF('Ügyfelek'!E120="",'Beállítások'!$B$84,MIN(10,MAX(1,ROUND('Ügyfelek'!E120,0)))))</f>
        <v/>
      </c>
      <c r="F120">
        <f>IF($A120="","",IF('Ügyfelek'!F120="",'Beállítások'!$B$84,MIN(10,MAX(1,ROUND('Ügyfelek'!F120,0)))))</f>
        <v/>
      </c>
      <c r="G120">
        <f>IF($A120="","",IF('Ügyfelek'!G120="",'Beállítások'!$B$84,MIN(10,MAX(1,ROUND('Ügyfelek'!G120,0)))))</f>
        <v/>
      </c>
      <c r="H120">
        <f>IF($A120="","",IF('Ügyfelek'!H120="",'Beállítások'!$B$84,MIN(10,MAX(1,ROUND('Ügyfelek'!H120,0)))))</f>
        <v/>
      </c>
      <c r="I120">
        <f>IF($A120="","",IF('Ügyfelek'!I120="",'Beállítások'!$B$84,MIN(10,MAX(1,ROUND('Ügyfelek'!I120,0)))))</f>
        <v/>
      </c>
      <c r="J120">
        <f>IF($A120="","",IF('Ügyfelek'!J120="",'Beállítások'!$B$84,MIN(10,MAX(1,ROUND('Ügyfelek'!J120,0)))))</f>
        <v/>
      </c>
      <c r="K120">
        <f>IF($A120="","",IF('Ügyfelek'!K120="",'Beállítások'!$B$84,MIN(10,MAX(1,ROUND('Ügyfelek'!K120,0)))))</f>
        <v/>
      </c>
      <c r="L120">
        <f>IF($A120="","",IF('Ügyfelek'!L120="",'Beállítások'!$B$84,MIN(10,MAX(1,ROUND('Ügyfelek'!L120,0)))))</f>
        <v/>
      </c>
      <c r="M120">
        <f>IF($A120="","",IF('Ügyfelek'!M120="",'Beállítások'!$B$84,MIN(10,MAX(1,ROUND('Ügyfelek'!M120,0)))))</f>
        <v/>
      </c>
      <c r="N120">
        <f>IF($A120="","",IF('Ügyfelek'!N120="",'Beállítások'!$B$84,MIN(10,MAX(1,ROUND('Ügyfelek'!N120,0)))))</f>
        <v/>
      </c>
      <c r="O120">
        <f>IF($A120="","",IF('Ügyfelek'!O120="",'Beállítások'!$B$84,MIN(10,MAX(1,ROUND('Ügyfelek'!O120,0)))))</f>
        <v/>
      </c>
      <c r="P120">
        <f>IF($A120="","",IF('Ügyfelek'!P120="",'Beállítások'!$B$84,MIN(10,MAX(1,ROUND('Ügyfelek'!P120,0)))))</f>
        <v/>
      </c>
      <c r="Q120">
        <f>IF($A120="","",IF('Ügyfelek'!Q120="",'Beállítások'!$B$84,MIN(10,MAX(1,ROUND('Ügyfelek'!Q120,0)))))</f>
        <v/>
      </c>
      <c r="R120">
        <f>IF($A120="","",IF('Ügyfelek'!R120="",'Beállítások'!$B$84,MIN(10,MAX(1,ROUND('Ügyfelek'!R120,0)))))</f>
        <v/>
      </c>
      <c r="S120">
        <f>IF($A120="","",IF('Ügyfelek'!S120="",'Beállítások'!$B$84,MIN(10,MAX(1,ROUND('Ügyfelek'!S120,0)))))</f>
        <v/>
      </c>
      <c r="T120">
        <f>IF($A120="","",IF('Ügyfelek'!T120="",'Beállítások'!$B$84,VLOOKUP(MAX('Ügyfelek'!T120,'Beállítások'!$H$7),'Beállítások'!$H$7:$I$12,2,TRUE)))</f>
        <v/>
      </c>
      <c r="U120">
        <f>IF($A120="","",IF('Ügyfelek'!U120="",'Beállítások'!$B$84,VLOOKUP(MAX('Ügyfelek'!U120,'Beállítások'!$K$7),'Beállítások'!$K$7:$L$12,2,TRUE)))</f>
        <v/>
      </c>
      <c r="V120">
        <f>IF($A120="","",IF('Ügyfelek'!V120="",'Beállítások'!$B$84,MIN(10,MAX(1,ROUND('Ügyfelek'!V120,0)))))</f>
        <v/>
      </c>
      <c r="W120">
        <f>IF($A120="","",IF('Ügyfelek'!W120="",'Beállítások'!$B$84,VLOOKUP(MAX('Ügyfelek'!W120,'Beállítások'!$N$7),'Beállítások'!$N$7:$O$12,2,TRUE)))</f>
        <v/>
      </c>
      <c r="X120">
        <f>IF($A120="","",IF('Ügyfelek'!X120="",'Beállítások'!$B$84,MIN(10,MAX(1,ROUND('Ügyfelek'!X120,0)))))</f>
        <v/>
      </c>
      <c r="Y120">
        <f>IF($A120="","",IF('Ügyfelek'!Y120="",'Beállítások'!$B$84,IFERROR(VLOOKUP(TRIM('Ügyfelek'!Y120),'Beállítások'!$A$63:$B$69,2,FALSE),'Beállítások'!$B$84)))</f>
        <v/>
      </c>
      <c r="Z120">
        <f>IF($A120="","",IF('Ügyfelek'!Z120="",'Beállítások'!$B$84,VLOOKUP(MAX('Ügyfelek'!Z120,'Beállítások'!$Q$7),'Beállítások'!$Q$7:$R$12,2,TRUE)))</f>
        <v/>
      </c>
      <c r="AA120">
        <f>IF($A120="","",IF('Ügyfelek'!AA120="",'Beállítások'!$B$84,VLOOKUP(MAX('Ügyfelek'!AA120,'Beállítások'!$T$7),'Beállítások'!$T$7:$U$12,2,TRUE)))</f>
        <v/>
      </c>
      <c r="AB120">
        <f>IF($A120="","",IF('Ügyfelek'!AB120="",'Beállítások'!$B$84,MIN(10,MAX(1,ROUND('Ügyfelek'!AB120,0)))))</f>
        <v/>
      </c>
      <c r="AC120">
        <f>IF($A120="","",IF('Ügyfelek'!AC120="",'Beállítások'!$B$84,MIN(10,MAX(1,ROUND('Ügyfelek'!AC120,0)))))</f>
        <v/>
      </c>
      <c r="AD120">
        <f>IF($A120="","",IF('Ügyfelek'!AD120="",'Beállítások'!$B$84,MIN(10,MAX(1,ROUND('Ügyfelek'!AD120,0)))))</f>
        <v/>
      </c>
      <c r="AE120">
        <f>IF($A120="","",IF('Ügyfelek'!AE120="",'Beállítások'!$B$84,MIN(10,MAX(1,ROUND('Ügyfelek'!AE120,0)))))</f>
        <v/>
      </c>
      <c r="AF120">
        <f>IF($A120="","",IF('Ügyfelek'!AF120="",'Beállítások'!$B$84,MIN(10,MAX(1,ROUND('Ügyfelek'!AF120,0)))))</f>
        <v/>
      </c>
      <c r="AG120">
        <f>IF($A120="","",IF('Ügyfelek'!AG120="",'Beállítások'!$B$84,MIN(10,MAX(1,ROUND('Ügyfelek'!AG120,0)))))</f>
        <v/>
      </c>
      <c r="AH120">
        <f>IF($A120="","",IF('Ügyfelek'!AH120="",'Beállítások'!$B$84,IFERROR(VLOOKUP(TRIM('Ügyfelek'!AH120),'Beállítások'!$A$73:$B$79,2,FALSE),'Beállítások'!$B$84)))</f>
        <v/>
      </c>
      <c r="AI120" s="23">
        <f>IF($A120="","",ROUND(100*('Beállítások'!$E$6*(B120-1)+'Beállítások'!$E$7*(C120-1))/(9*'Beállítások'!$B$43),1))</f>
        <v/>
      </c>
      <c r="AJ120" s="23">
        <f>IF($A120="","",ROUND(100*('Beállítások'!$E$8*(D120-1)+'Beállítások'!$E$9*(E120-1)+'Beállítások'!$E$10*(F120-1)+'Beállítások'!$E$11*(G120-1)+'Beállítások'!$E$12*(H120-1)+'Beállítások'!$E$13*(I120-1)+'Beállítások'!$E$14*(J120-1)+'Beállítások'!$E$15*(K120-1)+'Beállítások'!$E$16*(L120-1)+'Beállítások'!$E$17*(M120-1)+'Beállítások'!$E$18*(N120-1)+'Beállítások'!$E$19*(O120-1)+'Beállítások'!$E$20*(P120-1)+'Beállítások'!$E$21*(Q120-1)+'Beállítások'!$E$22*(R120-1))/(9*'Beállítások'!$B$44),1))</f>
        <v/>
      </c>
      <c r="AK120" s="23">
        <f>IF($A120="","",ROUND(100*('Beállítások'!$E$23*(S120-1)+'Beállítások'!$E$24*(T120-1)+'Beállítások'!$E$25*(U120-1)+'Beállítások'!$E$26*(V120-1)+'Beállítások'!$E$27*(W120-1)+'Beállítások'!$E$28*(X120-1)+'Beállítások'!$E$29*(Y120-1))/(9*'Beállítások'!$B$45),1))</f>
        <v/>
      </c>
      <c r="AL120" s="23">
        <f>IF($A120="","",ROUND(100*('Beállítások'!$E$30*(Z120-1)+'Beállítások'!$E$31*(AA120-1)+'Beállítások'!$E$32*(AB120-1)+'Beállítások'!$E$33*(AC120-1)+'Beállítások'!$E$34*(AD120-1)+'Beállítások'!$E$35*(AE120-1)+'Beállítások'!$E$36*(AF120-1)+'Beállítások'!$E$37*(AG120-1)+'Beállítások'!$E$38*(AH120-1))/(9*'Beállítások'!$B$46),1))</f>
        <v/>
      </c>
      <c r="AM120" s="23">
        <f>IF($A120="","",ROUND(100*('Beállítások'!$E$6*(B120-1)+'Beállítások'!$E$7*(C120-1)+'Beállítások'!$E$8*(D120-1)+'Beállítások'!$E$9*(E120-1)+'Beállítások'!$E$10*(F120-1)+'Beállítások'!$E$11*(G120-1)+'Beállítások'!$E$12*(H120-1)+'Beállítások'!$E$13*(I120-1)+'Beállítások'!$E$14*(J120-1)+'Beállítások'!$E$15*(K120-1)+'Beállítások'!$E$16*(L120-1)+'Beállítások'!$E$17*(M120-1)+'Beállítások'!$E$18*(N120-1)+'Beállítások'!$E$19*(O120-1)+'Beállítások'!$E$20*(P120-1)+'Beállítások'!$E$21*(Q120-1)+'Beállítások'!$E$22*(R120-1)+'Beállítások'!$E$23*(S120-1)+'Beállítások'!$E$24*(T120-1)+'Beállítások'!$E$25*(U120-1)+'Beállítások'!$E$26*(V120-1)+'Beállítások'!$E$27*(W120-1)+'Beállítások'!$E$28*(X120-1)+'Beállítások'!$E$29*(Y120-1)+'Beállítások'!$E$30*(Z120-1)+'Beállítások'!$E$31*(AA120-1)+'Beállítások'!$E$32*(AB120-1)+'Beállítások'!$E$33*(AC120-1)+'Beállítások'!$E$34*(AD120-1)+'Beállítások'!$E$35*(AE120-1)+'Beállítások'!$E$36*(AF120-1)+'Beállítások'!$E$37*(AG120-1)+'Beállítások'!$E$38*(AH120-1))/(9*'Beállítások'!$E$39),1))</f>
        <v/>
      </c>
      <c r="AN120" s="23">
        <f>IF($A120="","",ROUND(100*('Beállítások'!$E$8*(D120-1)+'Beállítások'!$E$9*(E120-1)+'Beállítások'!$E$10*(F120-1)+'Beállítások'!$E$11*(G120-1)+'Beállítások'!$E$12*(H120-1)+'Beállítások'!$E$13*(I120-1)+'Beállítások'!$E$14*(J120-1)+'Beállítások'!$E$15*(K120-1)+'Beállítások'!$E$16*(L120-1)+'Beállítások'!$E$17*(M120-1)+'Beállítások'!$E$18*(N120-1)+'Beállítások'!$E$19*(O120-1)+'Beállítások'!$E$20*(P120-1)+'Beállítások'!$E$21*(Q120-1)+'Beállítások'!$E$22*(R120-1)+'Beállítások'!$E$23*(S120-1)+'Beállítások'!$E$24*(T120-1)+'Beállítások'!$E$25*(U120-1)+'Beállítások'!$E$26*(V120-1)+'Beállítások'!$E$27*(W120-1)+'Beállítások'!$E$28*(X120-1)+'Beállítások'!$E$29*(Y120-1))/(9*('Beállítások'!$B$44+'Beállítások'!$B$45)),1))</f>
        <v/>
      </c>
      <c r="AO120" s="24">
        <f>IF($A120="","",RANK(AM120,$AM$2:$AM$201))</f>
        <v/>
      </c>
      <c r="AP120">
        <f>IF($A120="","",IF(OR(AND('Ügyfelek'!B120&lt;&gt;"",B120&lt;='Beállítások'!$B$85),AND('Ügyfelek'!C120&lt;&gt;"",C120&lt;='Beállítások'!$B$86)),"Igen","Nem"))</f>
        <v/>
      </c>
      <c r="AQ120" s="24">
        <f>IF($A120="","",IF(AP120="Igen",5,IF(AN120&gt;='Beállítások'!$C$108,1,IF(AN120&gt;='Beállítások'!$C$109,2,IF(AN120&gt;='Beállítások'!$C$110,3,IF(AND(AN120&gt;='Beállítások'!$B$87,AI120&gt;='Beállítások'!$B$88,AL120&gt;='Beállítások'!$B$89),4,5))))))</f>
        <v/>
      </c>
      <c r="AR120">
        <f>IF($A120="","",INDEX('Beállítások'!$B$108:$B$112,AQ120))</f>
        <v/>
      </c>
      <c r="AS120">
        <f>IF($A120="","",IF(AQ120=5,"Elutasítjuk",IF(AND(AQ120=4,COUNTIFS('Eredmény'!$AQ$2:$AQ$201,4,'Eredmény'!$DY$2:$DY$201,"&gt;"&amp;DY120)&gt;='Beállítások'!$B$90),"Várólista (a 4-es hely foglalt)","Elfogadjuk")))</f>
        <v/>
      </c>
      <c r="AT120">
        <f>IF($A120="","",INDEX('Beállítások'!$F$108:$F$112,AQ120))</f>
        <v/>
      </c>
      <c r="AU120">
        <f>IF($A120="","",INDEX('Beállítások'!$B$6:$B$38,MATCH(MAX(BK120:CQ120),BK120:CQ120,0)))</f>
        <v/>
      </c>
      <c r="AV120">
        <f>IF($A120="","",IF(MAX(CR120:DX120)=0,"—",INDEX('Beállítások'!$B$6:$B$38,MATCH(MAX(CR120:DX120),CR120:DX120,0))))</f>
        <v/>
      </c>
      <c r="AW120" s="10">
        <f>IF($A120="","",'Beállítások'!$B$94*(TRIM('Ügyfelek'!AI120)="igen")+'Beállítások'!$B$95*(TRIM('Ügyfelek'!AJ120)="igen")+'Beállítások'!$B$96*N('Ügyfelek'!AK120)+'Beállítások'!$B$93*N('Ügyfelek'!AL120))</f>
        <v/>
      </c>
      <c r="AX120" s="25">
        <f>IF(OR($A120="",AQ120=5),"",INDEX('Beállítások'!$D$108:$D$112,AQ120))</f>
        <v/>
      </c>
      <c r="AY120" s="10">
        <f>IF($A120="","",N('Ügyfelek'!U120)*'Beállítások'!$B$98)</f>
        <v/>
      </c>
      <c r="AZ120" s="10">
        <f>IF(OR($A120="",AQ120=5),"",CEILING(ROUND(MAX('Beállítások'!$B$97,AW120*AX120,AY120),2),'Beállítások'!$B$99))</f>
        <v/>
      </c>
      <c r="BA120">
        <f>IF($A120="","",IF(AQ120=5,"Elutasítva",IF(MAX('Beállítások'!$B$97,AW120*AX120,AY120)=AW120*AX120,"Munkaigény × státuszszorzó",IF(MAX('Beállítások'!$B$97,AW120*AX120,AY120)=AY120,"Hirdetési keret arányában","Minimumdíj"))))</f>
        <v/>
      </c>
      <c r="BB120" s="10">
        <f>IF(OR($A120="",'Ügyfelek'!AM120=""),"",'Ügyfelek'!AM120)</f>
        <v/>
      </c>
      <c r="BC120" s="10">
        <f>IF(OR(BB120="",AZ120=""),"",AZ120-BB120)</f>
        <v/>
      </c>
      <c r="BD120" s="18">
        <f>IF(OR(BB120="",AZ120="",BB120=0),"",BC120/BB120)</f>
        <v/>
      </c>
      <c r="BE120">
        <f>IF(OR($A120="",AQ120=5),"",IF(AND(INDEX('Beállítások'!$E$108:$E$112,AQ120)&gt;0,Y120&gt;='Beállítások'!$B$91),"Igen","Nem"))</f>
        <v/>
      </c>
      <c r="BF120" s="10">
        <f>IF(BE120="Igen",CEILING(ROUND(AZ120*(1-'Beállítások'!$B$92),2),'Beállítások'!$B$99),"")</f>
        <v/>
      </c>
      <c r="BG120" s="20">
        <f>IF(BE120="Igen",INDEX('Beállítások'!$E$108:$E$112,AQ120),"")</f>
        <v/>
      </c>
      <c r="BH120" s="10">
        <f>IF(OR(BE120&lt;&gt;"Igen",'Ügyfelek'!AN120=""),"",'Ügyfelek'!AN120*BG120)</f>
        <v/>
      </c>
      <c r="BI120" s="24">
        <f>IF($A120="","",('Ügyfelek'!B120="")+('Ügyfelek'!C120="")+('Ügyfelek'!D120="")+('Ügyfelek'!E120="")+('Ügyfelek'!F120="")+('Ügyfelek'!G120="")+('Ügyfelek'!H120="")+('Ügyfelek'!I120="")+('Ügyfelek'!J120="")+('Ügyfelek'!K120="")+('Ügyfelek'!L120="")+('Ügyfelek'!M120="")+('Ügyfelek'!N120="")+('Ügyfelek'!O120="")+('Ügyfelek'!P120="")+('Ügyfelek'!Q120="")+('Ügyfelek'!R120="")+('Ügyfelek'!S120="")+('Ügyfelek'!T120="")+('Ügyfelek'!U120="")+('Ügyfelek'!V120="")+('Ügyfelek'!W120="")+('Ügyfelek'!X120="")+('Ügyfelek'!Y120="")+('Ügyfelek'!Z120="")+('Ügyfelek'!AA120="")+('Ügyfelek'!AB120="")+('Ügyfelek'!AC120="")+('Ügyfelek'!AD120="")+('Ügyfelek'!AE120="")+('Ügyfelek'!AF120="")+('Ügyfelek'!AG120="")+('Ügyfelek'!AH120=""))</f>
        <v/>
      </c>
      <c r="BK120">
        <f>IF($A120="","",B120+'Beállítások'!$E$6/1000)</f>
        <v/>
      </c>
      <c r="BL120">
        <f>IF($A120="","",C120+'Beállítások'!$E$7/1000)</f>
        <v/>
      </c>
      <c r="BM120">
        <f>IF($A120="","",D120+'Beállítások'!$E$8/1000)</f>
        <v/>
      </c>
      <c r="BN120">
        <f>IF($A120="","",E120+'Beállítások'!$E$9/1000)</f>
        <v/>
      </c>
      <c r="BO120">
        <f>IF($A120="","",F120+'Beállítások'!$E$10/1000)</f>
        <v/>
      </c>
      <c r="BP120">
        <f>IF($A120="","",G120+'Beállítások'!$E$11/1000)</f>
        <v/>
      </c>
      <c r="BQ120">
        <f>IF($A120="","",H120+'Beállítások'!$E$12/1000)</f>
        <v/>
      </c>
      <c r="BR120">
        <f>IF($A120="","",I120+'Beállítások'!$E$13/1000)</f>
        <v/>
      </c>
      <c r="BS120">
        <f>IF($A120="","",J120+'Beállítások'!$E$14/1000)</f>
        <v/>
      </c>
      <c r="BT120">
        <f>IF($A120="","",K120+'Beállítások'!$E$15/1000)</f>
        <v/>
      </c>
      <c r="BU120">
        <f>IF($A120="","",L120+'Beállítások'!$E$16/1000)</f>
        <v/>
      </c>
      <c r="BV120">
        <f>IF($A120="","",M120+'Beállítások'!$E$17/1000)</f>
        <v/>
      </c>
      <c r="BW120">
        <f>IF($A120="","",N120+'Beállítások'!$E$18/1000)</f>
        <v/>
      </c>
      <c r="BX120">
        <f>IF($A120="","",O120+'Beállítások'!$E$19/1000)</f>
        <v/>
      </c>
      <c r="BY120">
        <f>IF($A120="","",P120+'Beállítások'!$E$20/1000)</f>
        <v/>
      </c>
      <c r="BZ120">
        <f>IF($A120="","",Q120+'Beállítások'!$E$21/1000)</f>
        <v/>
      </c>
      <c r="CA120">
        <f>IF($A120="","",R120+'Beállítások'!$E$22/1000)</f>
        <v/>
      </c>
      <c r="CB120">
        <f>IF($A120="","",S120+'Beállítások'!$E$23/1000)</f>
        <v/>
      </c>
      <c r="CC120">
        <f>IF($A120="","",T120+'Beállítások'!$E$24/1000)</f>
        <v/>
      </c>
      <c r="CD120">
        <f>IF($A120="","",U120+'Beállítások'!$E$25/1000)</f>
        <v/>
      </c>
      <c r="CE120">
        <f>IF($A120="","",V120+'Beállítások'!$E$26/1000)</f>
        <v/>
      </c>
      <c r="CF120">
        <f>IF($A120="","",W120+'Beállítások'!$E$27/1000)</f>
        <v/>
      </c>
      <c r="CG120">
        <f>IF($A120="","",X120+'Beállítások'!$E$28/1000)</f>
        <v/>
      </c>
      <c r="CH120">
        <f>IF($A120="","",Y120+'Beállítások'!$E$29/1000)</f>
        <v/>
      </c>
      <c r="CI120">
        <f>IF($A120="","",Z120+'Beállítások'!$E$30/1000)</f>
        <v/>
      </c>
      <c r="CJ120">
        <f>IF($A120="","",AA120+'Beállítások'!$E$31/1000)</f>
        <v/>
      </c>
      <c r="CK120">
        <f>IF($A120="","",AB120+'Beállítások'!$E$32/1000)</f>
        <v/>
      </c>
      <c r="CL120">
        <f>IF($A120="","",AC120+'Beállítások'!$E$33/1000)</f>
        <v/>
      </c>
      <c r="CM120">
        <f>IF($A120="","",AD120+'Beállítások'!$E$34/1000)</f>
        <v/>
      </c>
      <c r="CN120">
        <f>IF($A120="","",AE120+'Beállítások'!$E$35/1000)</f>
        <v/>
      </c>
      <c r="CO120">
        <f>IF($A120="","",AF120+'Beállítások'!$E$36/1000)</f>
        <v/>
      </c>
      <c r="CP120">
        <f>IF($A120="","",AG120+'Beállítások'!$E$37/1000)</f>
        <v/>
      </c>
      <c r="CQ120">
        <f>IF($A120="","",AH120+'Beállítások'!$E$38/1000)</f>
        <v/>
      </c>
      <c r="CR120">
        <f>IF($A120="","",'Beállítások'!$E$6*(10-B120))</f>
        <v/>
      </c>
      <c r="CS120">
        <f>IF($A120="","",'Beállítások'!$E$7*(10-C120))</f>
        <v/>
      </c>
      <c r="CT120">
        <f>IF($A120="","",'Beállítások'!$E$8*(10-D120))</f>
        <v/>
      </c>
      <c r="CU120">
        <f>IF($A120="","",'Beállítások'!$E$9*(10-E120))</f>
        <v/>
      </c>
      <c r="CV120">
        <f>IF($A120="","",'Beállítások'!$E$10*(10-F120))</f>
        <v/>
      </c>
      <c r="CW120">
        <f>IF($A120="","",'Beállítások'!$E$11*(10-G120))</f>
        <v/>
      </c>
      <c r="CX120">
        <f>IF($A120="","",'Beállítások'!$E$12*(10-H120))</f>
        <v/>
      </c>
      <c r="CY120">
        <f>IF($A120="","",'Beállítások'!$E$13*(10-I120))</f>
        <v/>
      </c>
      <c r="CZ120">
        <f>IF($A120="","",'Beállítások'!$E$14*(10-J120))</f>
        <v/>
      </c>
      <c r="DA120">
        <f>IF($A120="","",'Beállítások'!$E$15*(10-K120))</f>
        <v/>
      </c>
      <c r="DB120">
        <f>IF($A120="","",'Beállítások'!$E$16*(10-L120))</f>
        <v/>
      </c>
      <c r="DC120">
        <f>IF($A120="","",'Beállítások'!$E$17*(10-M120))</f>
        <v/>
      </c>
      <c r="DD120">
        <f>IF($A120="","",'Beállítások'!$E$18*(10-N120))</f>
        <v/>
      </c>
      <c r="DE120">
        <f>IF($A120="","",'Beállítások'!$E$19*(10-O120))</f>
        <v/>
      </c>
      <c r="DF120">
        <f>IF($A120="","",'Beállítások'!$E$20*(10-P120))</f>
        <v/>
      </c>
      <c r="DG120">
        <f>IF($A120="","",'Beállítások'!$E$21*(10-Q120))</f>
        <v/>
      </c>
      <c r="DH120">
        <f>IF($A120="","",'Beállítások'!$E$22*(10-R120))</f>
        <v/>
      </c>
      <c r="DI120">
        <f>IF($A120="","",'Beállítások'!$E$23*(10-S120))</f>
        <v/>
      </c>
      <c r="DJ120">
        <f>IF($A120="","",'Beállítások'!$E$24*(10-T120))</f>
        <v/>
      </c>
      <c r="DK120">
        <f>IF($A120="","",'Beállítások'!$E$25*(10-U120))</f>
        <v/>
      </c>
      <c r="DL120">
        <f>IF($A120="","",'Beállítások'!$E$26*(10-V120))</f>
        <v/>
      </c>
      <c r="DM120">
        <f>IF($A120="","",'Beállítások'!$E$27*(10-W120))</f>
        <v/>
      </c>
      <c r="DN120">
        <f>IF($A120="","",'Beállítások'!$E$28*(10-X120))</f>
        <v/>
      </c>
      <c r="DO120">
        <f>IF($A120="","",'Beállítások'!$E$29*(10-Y120))</f>
        <v/>
      </c>
      <c r="DP120">
        <f>IF($A120="","",'Beállítások'!$E$30*(10-Z120))</f>
        <v/>
      </c>
      <c r="DQ120">
        <f>IF($A120="","",'Beállítások'!$E$31*(10-AA120))</f>
        <v/>
      </c>
      <c r="DR120">
        <f>IF($A120="","",'Beállítások'!$E$32*(10-AB120))</f>
        <v/>
      </c>
      <c r="DS120">
        <f>IF($A120="","",'Beállítások'!$E$33*(10-AC120))</f>
        <v/>
      </c>
      <c r="DT120">
        <f>IF($A120="","",'Beállítások'!$E$34*(10-AD120))</f>
        <v/>
      </c>
      <c r="DU120">
        <f>IF($A120="","",'Beállítások'!$E$35*(10-AE120))</f>
        <v/>
      </c>
      <c r="DV120">
        <f>IF($A120="","",'Beállítások'!$E$36*(10-AF120))</f>
        <v/>
      </c>
      <c r="DW120">
        <f>IF($A120="","",'Beállítások'!$E$37*(10-AG120))</f>
        <v/>
      </c>
      <c r="DX120">
        <f>IF($A120="","",'Beállítások'!$E$38*(10-AH120))</f>
        <v/>
      </c>
      <c r="DY120">
        <f>IF($A120="","",AM120-ROW()/100000)</f>
        <v/>
      </c>
    </row>
    <row r="121">
      <c r="A121">
        <f>IF('Ügyfelek'!A121="","",'Ügyfelek'!A121)</f>
        <v/>
      </c>
      <c r="B121">
        <f>IF($A121="","",IF('Ügyfelek'!B121="",'Beállítások'!$B$84,IFERROR(VLOOKUP(TRIM('Ügyfelek'!B121),'Beállítások'!$A$51:$B$59,2,FALSE),'Beállítások'!$B$84)))</f>
        <v/>
      </c>
      <c r="C121">
        <f>IF($A121="","",IF('Ügyfelek'!C121="",'Beállítások'!$B$84,MIN(10,MAX(1,ROUND('Ügyfelek'!C121,0)))))</f>
        <v/>
      </c>
      <c r="D121">
        <f>IF($A121="","",IF('Ügyfelek'!D121="",'Beállítások'!$B$84,MIN(10,MAX(1,ROUND('Ügyfelek'!D121,0)))))</f>
        <v/>
      </c>
      <c r="E121">
        <f>IF($A121="","",IF('Ügyfelek'!E121="",'Beállítások'!$B$84,MIN(10,MAX(1,ROUND('Ügyfelek'!E121,0)))))</f>
        <v/>
      </c>
      <c r="F121">
        <f>IF($A121="","",IF('Ügyfelek'!F121="",'Beállítások'!$B$84,MIN(10,MAX(1,ROUND('Ügyfelek'!F121,0)))))</f>
        <v/>
      </c>
      <c r="G121">
        <f>IF($A121="","",IF('Ügyfelek'!G121="",'Beállítások'!$B$84,MIN(10,MAX(1,ROUND('Ügyfelek'!G121,0)))))</f>
        <v/>
      </c>
      <c r="H121">
        <f>IF($A121="","",IF('Ügyfelek'!H121="",'Beállítások'!$B$84,MIN(10,MAX(1,ROUND('Ügyfelek'!H121,0)))))</f>
        <v/>
      </c>
      <c r="I121">
        <f>IF($A121="","",IF('Ügyfelek'!I121="",'Beállítások'!$B$84,MIN(10,MAX(1,ROUND('Ügyfelek'!I121,0)))))</f>
        <v/>
      </c>
      <c r="J121">
        <f>IF($A121="","",IF('Ügyfelek'!J121="",'Beállítások'!$B$84,MIN(10,MAX(1,ROUND('Ügyfelek'!J121,0)))))</f>
        <v/>
      </c>
      <c r="K121">
        <f>IF($A121="","",IF('Ügyfelek'!K121="",'Beállítások'!$B$84,MIN(10,MAX(1,ROUND('Ügyfelek'!K121,0)))))</f>
        <v/>
      </c>
      <c r="L121">
        <f>IF($A121="","",IF('Ügyfelek'!L121="",'Beállítások'!$B$84,MIN(10,MAX(1,ROUND('Ügyfelek'!L121,0)))))</f>
        <v/>
      </c>
      <c r="M121">
        <f>IF($A121="","",IF('Ügyfelek'!M121="",'Beállítások'!$B$84,MIN(10,MAX(1,ROUND('Ügyfelek'!M121,0)))))</f>
        <v/>
      </c>
      <c r="N121">
        <f>IF($A121="","",IF('Ügyfelek'!N121="",'Beállítások'!$B$84,MIN(10,MAX(1,ROUND('Ügyfelek'!N121,0)))))</f>
        <v/>
      </c>
      <c r="O121">
        <f>IF($A121="","",IF('Ügyfelek'!O121="",'Beállítások'!$B$84,MIN(10,MAX(1,ROUND('Ügyfelek'!O121,0)))))</f>
        <v/>
      </c>
      <c r="P121">
        <f>IF($A121="","",IF('Ügyfelek'!P121="",'Beállítások'!$B$84,MIN(10,MAX(1,ROUND('Ügyfelek'!P121,0)))))</f>
        <v/>
      </c>
      <c r="Q121">
        <f>IF($A121="","",IF('Ügyfelek'!Q121="",'Beállítások'!$B$84,MIN(10,MAX(1,ROUND('Ügyfelek'!Q121,0)))))</f>
        <v/>
      </c>
      <c r="R121">
        <f>IF($A121="","",IF('Ügyfelek'!R121="",'Beállítások'!$B$84,MIN(10,MAX(1,ROUND('Ügyfelek'!R121,0)))))</f>
        <v/>
      </c>
      <c r="S121">
        <f>IF($A121="","",IF('Ügyfelek'!S121="",'Beállítások'!$B$84,MIN(10,MAX(1,ROUND('Ügyfelek'!S121,0)))))</f>
        <v/>
      </c>
      <c r="T121">
        <f>IF($A121="","",IF('Ügyfelek'!T121="",'Beállítások'!$B$84,VLOOKUP(MAX('Ügyfelek'!T121,'Beállítások'!$H$7),'Beállítások'!$H$7:$I$12,2,TRUE)))</f>
        <v/>
      </c>
      <c r="U121">
        <f>IF($A121="","",IF('Ügyfelek'!U121="",'Beállítások'!$B$84,VLOOKUP(MAX('Ügyfelek'!U121,'Beállítások'!$K$7),'Beállítások'!$K$7:$L$12,2,TRUE)))</f>
        <v/>
      </c>
      <c r="V121">
        <f>IF($A121="","",IF('Ügyfelek'!V121="",'Beállítások'!$B$84,MIN(10,MAX(1,ROUND('Ügyfelek'!V121,0)))))</f>
        <v/>
      </c>
      <c r="W121">
        <f>IF($A121="","",IF('Ügyfelek'!W121="",'Beállítások'!$B$84,VLOOKUP(MAX('Ügyfelek'!W121,'Beállítások'!$N$7),'Beállítások'!$N$7:$O$12,2,TRUE)))</f>
        <v/>
      </c>
      <c r="X121">
        <f>IF($A121="","",IF('Ügyfelek'!X121="",'Beállítások'!$B$84,MIN(10,MAX(1,ROUND('Ügyfelek'!X121,0)))))</f>
        <v/>
      </c>
      <c r="Y121">
        <f>IF($A121="","",IF('Ügyfelek'!Y121="",'Beállítások'!$B$84,IFERROR(VLOOKUP(TRIM('Ügyfelek'!Y121),'Beállítások'!$A$63:$B$69,2,FALSE),'Beállítások'!$B$84)))</f>
        <v/>
      </c>
      <c r="Z121">
        <f>IF($A121="","",IF('Ügyfelek'!Z121="",'Beállítások'!$B$84,VLOOKUP(MAX('Ügyfelek'!Z121,'Beállítások'!$Q$7),'Beállítások'!$Q$7:$R$12,2,TRUE)))</f>
        <v/>
      </c>
      <c r="AA121">
        <f>IF($A121="","",IF('Ügyfelek'!AA121="",'Beállítások'!$B$84,VLOOKUP(MAX('Ügyfelek'!AA121,'Beállítások'!$T$7),'Beállítások'!$T$7:$U$12,2,TRUE)))</f>
        <v/>
      </c>
      <c r="AB121">
        <f>IF($A121="","",IF('Ügyfelek'!AB121="",'Beállítások'!$B$84,MIN(10,MAX(1,ROUND('Ügyfelek'!AB121,0)))))</f>
        <v/>
      </c>
      <c r="AC121">
        <f>IF($A121="","",IF('Ügyfelek'!AC121="",'Beállítások'!$B$84,MIN(10,MAX(1,ROUND('Ügyfelek'!AC121,0)))))</f>
        <v/>
      </c>
      <c r="AD121">
        <f>IF($A121="","",IF('Ügyfelek'!AD121="",'Beállítások'!$B$84,MIN(10,MAX(1,ROUND('Ügyfelek'!AD121,0)))))</f>
        <v/>
      </c>
      <c r="AE121">
        <f>IF($A121="","",IF('Ügyfelek'!AE121="",'Beállítások'!$B$84,MIN(10,MAX(1,ROUND('Ügyfelek'!AE121,0)))))</f>
        <v/>
      </c>
      <c r="AF121">
        <f>IF($A121="","",IF('Ügyfelek'!AF121="",'Beállítások'!$B$84,MIN(10,MAX(1,ROUND('Ügyfelek'!AF121,0)))))</f>
        <v/>
      </c>
      <c r="AG121">
        <f>IF($A121="","",IF('Ügyfelek'!AG121="",'Beállítások'!$B$84,MIN(10,MAX(1,ROUND('Ügyfelek'!AG121,0)))))</f>
        <v/>
      </c>
      <c r="AH121">
        <f>IF($A121="","",IF('Ügyfelek'!AH121="",'Beállítások'!$B$84,IFERROR(VLOOKUP(TRIM('Ügyfelek'!AH121),'Beállítások'!$A$73:$B$79,2,FALSE),'Beállítások'!$B$84)))</f>
        <v/>
      </c>
      <c r="AI121" s="23">
        <f>IF($A121="","",ROUND(100*('Beállítások'!$E$6*(B121-1)+'Beállítások'!$E$7*(C121-1))/(9*'Beállítások'!$B$43),1))</f>
        <v/>
      </c>
      <c r="AJ121" s="23">
        <f>IF($A121="","",ROUND(100*('Beállítások'!$E$8*(D121-1)+'Beállítások'!$E$9*(E121-1)+'Beállítások'!$E$10*(F121-1)+'Beállítások'!$E$11*(G121-1)+'Beállítások'!$E$12*(H121-1)+'Beállítások'!$E$13*(I121-1)+'Beállítások'!$E$14*(J121-1)+'Beállítások'!$E$15*(K121-1)+'Beállítások'!$E$16*(L121-1)+'Beállítások'!$E$17*(M121-1)+'Beállítások'!$E$18*(N121-1)+'Beállítások'!$E$19*(O121-1)+'Beállítások'!$E$20*(P121-1)+'Beállítások'!$E$21*(Q121-1)+'Beállítások'!$E$22*(R121-1))/(9*'Beállítások'!$B$44),1))</f>
        <v/>
      </c>
      <c r="AK121" s="23">
        <f>IF($A121="","",ROUND(100*('Beállítások'!$E$23*(S121-1)+'Beállítások'!$E$24*(T121-1)+'Beállítások'!$E$25*(U121-1)+'Beállítások'!$E$26*(V121-1)+'Beállítások'!$E$27*(W121-1)+'Beállítások'!$E$28*(X121-1)+'Beállítások'!$E$29*(Y121-1))/(9*'Beállítások'!$B$45),1))</f>
        <v/>
      </c>
      <c r="AL121" s="23">
        <f>IF($A121="","",ROUND(100*('Beállítások'!$E$30*(Z121-1)+'Beállítások'!$E$31*(AA121-1)+'Beállítások'!$E$32*(AB121-1)+'Beállítások'!$E$33*(AC121-1)+'Beállítások'!$E$34*(AD121-1)+'Beállítások'!$E$35*(AE121-1)+'Beállítások'!$E$36*(AF121-1)+'Beállítások'!$E$37*(AG121-1)+'Beállítások'!$E$38*(AH121-1))/(9*'Beállítások'!$B$46),1))</f>
        <v/>
      </c>
      <c r="AM121" s="23">
        <f>IF($A121="","",ROUND(100*('Beállítások'!$E$6*(B121-1)+'Beállítások'!$E$7*(C121-1)+'Beállítások'!$E$8*(D121-1)+'Beállítások'!$E$9*(E121-1)+'Beállítások'!$E$10*(F121-1)+'Beállítások'!$E$11*(G121-1)+'Beállítások'!$E$12*(H121-1)+'Beállítások'!$E$13*(I121-1)+'Beállítások'!$E$14*(J121-1)+'Beállítások'!$E$15*(K121-1)+'Beállítások'!$E$16*(L121-1)+'Beállítások'!$E$17*(M121-1)+'Beállítások'!$E$18*(N121-1)+'Beállítások'!$E$19*(O121-1)+'Beállítások'!$E$20*(P121-1)+'Beállítások'!$E$21*(Q121-1)+'Beállítások'!$E$22*(R121-1)+'Beállítások'!$E$23*(S121-1)+'Beállítások'!$E$24*(T121-1)+'Beállítások'!$E$25*(U121-1)+'Beállítások'!$E$26*(V121-1)+'Beállítások'!$E$27*(W121-1)+'Beállítások'!$E$28*(X121-1)+'Beállítások'!$E$29*(Y121-1)+'Beállítások'!$E$30*(Z121-1)+'Beállítások'!$E$31*(AA121-1)+'Beállítások'!$E$32*(AB121-1)+'Beállítások'!$E$33*(AC121-1)+'Beállítások'!$E$34*(AD121-1)+'Beállítások'!$E$35*(AE121-1)+'Beállítások'!$E$36*(AF121-1)+'Beállítások'!$E$37*(AG121-1)+'Beállítások'!$E$38*(AH121-1))/(9*'Beállítások'!$E$39),1))</f>
        <v/>
      </c>
      <c r="AN121" s="23">
        <f>IF($A121="","",ROUND(100*('Beállítások'!$E$8*(D121-1)+'Beállítások'!$E$9*(E121-1)+'Beállítások'!$E$10*(F121-1)+'Beállítások'!$E$11*(G121-1)+'Beállítások'!$E$12*(H121-1)+'Beállítások'!$E$13*(I121-1)+'Beállítások'!$E$14*(J121-1)+'Beállítások'!$E$15*(K121-1)+'Beállítások'!$E$16*(L121-1)+'Beállítások'!$E$17*(M121-1)+'Beállítások'!$E$18*(N121-1)+'Beállítások'!$E$19*(O121-1)+'Beállítások'!$E$20*(P121-1)+'Beállítások'!$E$21*(Q121-1)+'Beállítások'!$E$22*(R121-1)+'Beállítások'!$E$23*(S121-1)+'Beállítások'!$E$24*(T121-1)+'Beállítások'!$E$25*(U121-1)+'Beállítások'!$E$26*(V121-1)+'Beállítások'!$E$27*(W121-1)+'Beállítások'!$E$28*(X121-1)+'Beállítások'!$E$29*(Y121-1))/(9*('Beállítások'!$B$44+'Beállítások'!$B$45)),1))</f>
        <v/>
      </c>
      <c r="AO121" s="24">
        <f>IF($A121="","",RANK(AM121,$AM$2:$AM$201))</f>
        <v/>
      </c>
      <c r="AP121">
        <f>IF($A121="","",IF(OR(AND('Ügyfelek'!B121&lt;&gt;"",B121&lt;='Beállítások'!$B$85),AND('Ügyfelek'!C121&lt;&gt;"",C121&lt;='Beállítások'!$B$86)),"Igen","Nem"))</f>
        <v/>
      </c>
      <c r="AQ121" s="24">
        <f>IF($A121="","",IF(AP121="Igen",5,IF(AN121&gt;='Beállítások'!$C$108,1,IF(AN121&gt;='Beállítások'!$C$109,2,IF(AN121&gt;='Beállítások'!$C$110,3,IF(AND(AN121&gt;='Beállítások'!$B$87,AI121&gt;='Beállítások'!$B$88,AL121&gt;='Beállítások'!$B$89),4,5))))))</f>
        <v/>
      </c>
      <c r="AR121">
        <f>IF($A121="","",INDEX('Beállítások'!$B$108:$B$112,AQ121))</f>
        <v/>
      </c>
      <c r="AS121">
        <f>IF($A121="","",IF(AQ121=5,"Elutasítjuk",IF(AND(AQ121=4,COUNTIFS('Eredmény'!$AQ$2:$AQ$201,4,'Eredmény'!$DY$2:$DY$201,"&gt;"&amp;DY121)&gt;='Beállítások'!$B$90),"Várólista (a 4-es hely foglalt)","Elfogadjuk")))</f>
        <v/>
      </c>
      <c r="AT121">
        <f>IF($A121="","",INDEX('Beállítások'!$F$108:$F$112,AQ121))</f>
        <v/>
      </c>
      <c r="AU121">
        <f>IF($A121="","",INDEX('Beállítások'!$B$6:$B$38,MATCH(MAX(BK121:CQ121),BK121:CQ121,0)))</f>
        <v/>
      </c>
      <c r="AV121">
        <f>IF($A121="","",IF(MAX(CR121:DX121)=0,"—",INDEX('Beállítások'!$B$6:$B$38,MATCH(MAX(CR121:DX121),CR121:DX121,0))))</f>
        <v/>
      </c>
      <c r="AW121" s="10">
        <f>IF($A121="","",'Beállítások'!$B$94*(TRIM('Ügyfelek'!AI121)="igen")+'Beállítások'!$B$95*(TRIM('Ügyfelek'!AJ121)="igen")+'Beállítások'!$B$96*N('Ügyfelek'!AK121)+'Beállítások'!$B$93*N('Ügyfelek'!AL121))</f>
        <v/>
      </c>
      <c r="AX121" s="25">
        <f>IF(OR($A121="",AQ121=5),"",INDEX('Beállítások'!$D$108:$D$112,AQ121))</f>
        <v/>
      </c>
      <c r="AY121" s="10">
        <f>IF($A121="","",N('Ügyfelek'!U121)*'Beállítások'!$B$98)</f>
        <v/>
      </c>
      <c r="AZ121" s="10">
        <f>IF(OR($A121="",AQ121=5),"",CEILING(ROUND(MAX('Beállítások'!$B$97,AW121*AX121,AY121),2),'Beállítások'!$B$99))</f>
        <v/>
      </c>
      <c r="BA121">
        <f>IF($A121="","",IF(AQ121=5,"Elutasítva",IF(MAX('Beállítások'!$B$97,AW121*AX121,AY121)=AW121*AX121,"Munkaigény × státuszszorzó",IF(MAX('Beállítások'!$B$97,AW121*AX121,AY121)=AY121,"Hirdetési keret arányában","Minimumdíj"))))</f>
        <v/>
      </c>
      <c r="BB121" s="10">
        <f>IF(OR($A121="",'Ügyfelek'!AM121=""),"",'Ügyfelek'!AM121)</f>
        <v/>
      </c>
      <c r="BC121" s="10">
        <f>IF(OR(BB121="",AZ121=""),"",AZ121-BB121)</f>
        <v/>
      </c>
      <c r="BD121" s="18">
        <f>IF(OR(BB121="",AZ121="",BB121=0),"",BC121/BB121)</f>
        <v/>
      </c>
      <c r="BE121">
        <f>IF(OR($A121="",AQ121=5),"",IF(AND(INDEX('Beállítások'!$E$108:$E$112,AQ121)&gt;0,Y121&gt;='Beállítások'!$B$91),"Igen","Nem"))</f>
        <v/>
      </c>
      <c r="BF121" s="10">
        <f>IF(BE121="Igen",CEILING(ROUND(AZ121*(1-'Beállítások'!$B$92),2),'Beállítások'!$B$99),"")</f>
        <v/>
      </c>
      <c r="BG121" s="20">
        <f>IF(BE121="Igen",INDEX('Beállítások'!$E$108:$E$112,AQ121),"")</f>
        <v/>
      </c>
      <c r="BH121" s="10">
        <f>IF(OR(BE121&lt;&gt;"Igen",'Ügyfelek'!AN121=""),"",'Ügyfelek'!AN121*BG121)</f>
        <v/>
      </c>
      <c r="BI121" s="24">
        <f>IF($A121="","",('Ügyfelek'!B121="")+('Ügyfelek'!C121="")+('Ügyfelek'!D121="")+('Ügyfelek'!E121="")+('Ügyfelek'!F121="")+('Ügyfelek'!G121="")+('Ügyfelek'!H121="")+('Ügyfelek'!I121="")+('Ügyfelek'!J121="")+('Ügyfelek'!K121="")+('Ügyfelek'!L121="")+('Ügyfelek'!M121="")+('Ügyfelek'!N121="")+('Ügyfelek'!O121="")+('Ügyfelek'!P121="")+('Ügyfelek'!Q121="")+('Ügyfelek'!R121="")+('Ügyfelek'!S121="")+('Ügyfelek'!T121="")+('Ügyfelek'!U121="")+('Ügyfelek'!V121="")+('Ügyfelek'!W121="")+('Ügyfelek'!X121="")+('Ügyfelek'!Y121="")+('Ügyfelek'!Z121="")+('Ügyfelek'!AA121="")+('Ügyfelek'!AB121="")+('Ügyfelek'!AC121="")+('Ügyfelek'!AD121="")+('Ügyfelek'!AE121="")+('Ügyfelek'!AF121="")+('Ügyfelek'!AG121="")+('Ügyfelek'!AH121=""))</f>
        <v/>
      </c>
      <c r="BK121">
        <f>IF($A121="","",B121+'Beállítások'!$E$6/1000)</f>
        <v/>
      </c>
      <c r="BL121">
        <f>IF($A121="","",C121+'Beállítások'!$E$7/1000)</f>
        <v/>
      </c>
      <c r="BM121">
        <f>IF($A121="","",D121+'Beállítások'!$E$8/1000)</f>
        <v/>
      </c>
      <c r="BN121">
        <f>IF($A121="","",E121+'Beállítások'!$E$9/1000)</f>
        <v/>
      </c>
      <c r="BO121">
        <f>IF($A121="","",F121+'Beállítások'!$E$10/1000)</f>
        <v/>
      </c>
      <c r="BP121">
        <f>IF($A121="","",G121+'Beállítások'!$E$11/1000)</f>
        <v/>
      </c>
      <c r="BQ121">
        <f>IF($A121="","",H121+'Beállítások'!$E$12/1000)</f>
        <v/>
      </c>
      <c r="BR121">
        <f>IF($A121="","",I121+'Beállítások'!$E$13/1000)</f>
        <v/>
      </c>
      <c r="BS121">
        <f>IF($A121="","",J121+'Beállítások'!$E$14/1000)</f>
        <v/>
      </c>
      <c r="BT121">
        <f>IF($A121="","",K121+'Beállítások'!$E$15/1000)</f>
        <v/>
      </c>
      <c r="BU121">
        <f>IF($A121="","",L121+'Beállítások'!$E$16/1000)</f>
        <v/>
      </c>
      <c r="BV121">
        <f>IF($A121="","",M121+'Beállítások'!$E$17/1000)</f>
        <v/>
      </c>
      <c r="BW121">
        <f>IF($A121="","",N121+'Beállítások'!$E$18/1000)</f>
        <v/>
      </c>
      <c r="BX121">
        <f>IF($A121="","",O121+'Beállítások'!$E$19/1000)</f>
        <v/>
      </c>
      <c r="BY121">
        <f>IF($A121="","",P121+'Beállítások'!$E$20/1000)</f>
        <v/>
      </c>
      <c r="BZ121">
        <f>IF($A121="","",Q121+'Beállítások'!$E$21/1000)</f>
        <v/>
      </c>
      <c r="CA121">
        <f>IF($A121="","",R121+'Beállítások'!$E$22/1000)</f>
        <v/>
      </c>
      <c r="CB121">
        <f>IF($A121="","",S121+'Beállítások'!$E$23/1000)</f>
        <v/>
      </c>
      <c r="CC121">
        <f>IF($A121="","",T121+'Beállítások'!$E$24/1000)</f>
        <v/>
      </c>
      <c r="CD121">
        <f>IF($A121="","",U121+'Beállítások'!$E$25/1000)</f>
        <v/>
      </c>
      <c r="CE121">
        <f>IF($A121="","",V121+'Beállítások'!$E$26/1000)</f>
        <v/>
      </c>
      <c r="CF121">
        <f>IF($A121="","",W121+'Beállítások'!$E$27/1000)</f>
        <v/>
      </c>
      <c r="CG121">
        <f>IF($A121="","",X121+'Beállítások'!$E$28/1000)</f>
        <v/>
      </c>
      <c r="CH121">
        <f>IF($A121="","",Y121+'Beállítások'!$E$29/1000)</f>
        <v/>
      </c>
      <c r="CI121">
        <f>IF($A121="","",Z121+'Beállítások'!$E$30/1000)</f>
        <v/>
      </c>
      <c r="CJ121">
        <f>IF($A121="","",AA121+'Beállítások'!$E$31/1000)</f>
        <v/>
      </c>
      <c r="CK121">
        <f>IF($A121="","",AB121+'Beállítások'!$E$32/1000)</f>
        <v/>
      </c>
      <c r="CL121">
        <f>IF($A121="","",AC121+'Beállítások'!$E$33/1000)</f>
        <v/>
      </c>
      <c r="CM121">
        <f>IF($A121="","",AD121+'Beállítások'!$E$34/1000)</f>
        <v/>
      </c>
      <c r="CN121">
        <f>IF($A121="","",AE121+'Beállítások'!$E$35/1000)</f>
        <v/>
      </c>
      <c r="CO121">
        <f>IF($A121="","",AF121+'Beállítások'!$E$36/1000)</f>
        <v/>
      </c>
      <c r="CP121">
        <f>IF($A121="","",AG121+'Beállítások'!$E$37/1000)</f>
        <v/>
      </c>
      <c r="CQ121">
        <f>IF($A121="","",AH121+'Beállítások'!$E$38/1000)</f>
        <v/>
      </c>
      <c r="CR121">
        <f>IF($A121="","",'Beállítások'!$E$6*(10-B121))</f>
        <v/>
      </c>
      <c r="CS121">
        <f>IF($A121="","",'Beállítások'!$E$7*(10-C121))</f>
        <v/>
      </c>
      <c r="CT121">
        <f>IF($A121="","",'Beállítások'!$E$8*(10-D121))</f>
        <v/>
      </c>
      <c r="CU121">
        <f>IF($A121="","",'Beállítások'!$E$9*(10-E121))</f>
        <v/>
      </c>
      <c r="CV121">
        <f>IF($A121="","",'Beállítások'!$E$10*(10-F121))</f>
        <v/>
      </c>
      <c r="CW121">
        <f>IF($A121="","",'Beállítások'!$E$11*(10-G121))</f>
        <v/>
      </c>
      <c r="CX121">
        <f>IF($A121="","",'Beállítások'!$E$12*(10-H121))</f>
        <v/>
      </c>
      <c r="CY121">
        <f>IF($A121="","",'Beállítások'!$E$13*(10-I121))</f>
        <v/>
      </c>
      <c r="CZ121">
        <f>IF($A121="","",'Beállítások'!$E$14*(10-J121))</f>
        <v/>
      </c>
      <c r="DA121">
        <f>IF($A121="","",'Beállítások'!$E$15*(10-K121))</f>
        <v/>
      </c>
      <c r="DB121">
        <f>IF($A121="","",'Beállítások'!$E$16*(10-L121))</f>
        <v/>
      </c>
      <c r="DC121">
        <f>IF($A121="","",'Beállítások'!$E$17*(10-M121))</f>
        <v/>
      </c>
      <c r="DD121">
        <f>IF($A121="","",'Beállítások'!$E$18*(10-N121))</f>
        <v/>
      </c>
      <c r="DE121">
        <f>IF($A121="","",'Beállítások'!$E$19*(10-O121))</f>
        <v/>
      </c>
      <c r="DF121">
        <f>IF($A121="","",'Beállítások'!$E$20*(10-P121))</f>
        <v/>
      </c>
      <c r="DG121">
        <f>IF($A121="","",'Beállítások'!$E$21*(10-Q121))</f>
        <v/>
      </c>
      <c r="DH121">
        <f>IF($A121="","",'Beállítások'!$E$22*(10-R121))</f>
        <v/>
      </c>
      <c r="DI121">
        <f>IF($A121="","",'Beállítások'!$E$23*(10-S121))</f>
        <v/>
      </c>
      <c r="DJ121">
        <f>IF($A121="","",'Beállítások'!$E$24*(10-T121))</f>
        <v/>
      </c>
      <c r="DK121">
        <f>IF($A121="","",'Beállítások'!$E$25*(10-U121))</f>
        <v/>
      </c>
      <c r="DL121">
        <f>IF($A121="","",'Beállítások'!$E$26*(10-V121))</f>
        <v/>
      </c>
      <c r="DM121">
        <f>IF($A121="","",'Beállítások'!$E$27*(10-W121))</f>
        <v/>
      </c>
      <c r="DN121">
        <f>IF($A121="","",'Beállítások'!$E$28*(10-X121))</f>
        <v/>
      </c>
      <c r="DO121">
        <f>IF($A121="","",'Beállítások'!$E$29*(10-Y121))</f>
        <v/>
      </c>
      <c r="DP121">
        <f>IF($A121="","",'Beállítások'!$E$30*(10-Z121))</f>
        <v/>
      </c>
      <c r="DQ121">
        <f>IF($A121="","",'Beállítások'!$E$31*(10-AA121))</f>
        <v/>
      </c>
      <c r="DR121">
        <f>IF($A121="","",'Beállítások'!$E$32*(10-AB121))</f>
        <v/>
      </c>
      <c r="DS121">
        <f>IF($A121="","",'Beállítások'!$E$33*(10-AC121))</f>
        <v/>
      </c>
      <c r="DT121">
        <f>IF($A121="","",'Beállítások'!$E$34*(10-AD121))</f>
        <v/>
      </c>
      <c r="DU121">
        <f>IF($A121="","",'Beállítások'!$E$35*(10-AE121))</f>
        <v/>
      </c>
      <c r="DV121">
        <f>IF($A121="","",'Beállítások'!$E$36*(10-AF121))</f>
        <v/>
      </c>
      <c r="DW121">
        <f>IF($A121="","",'Beállítások'!$E$37*(10-AG121))</f>
        <v/>
      </c>
      <c r="DX121">
        <f>IF($A121="","",'Beállítások'!$E$38*(10-AH121))</f>
        <v/>
      </c>
      <c r="DY121">
        <f>IF($A121="","",AM121-ROW()/100000)</f>
        <v/>
      </c>
    </row>
    <row r="122">
      <c r="A122">
        <f>IF('Ügyfelek'!A122="","",'Ügyfelek'!A122)</f>
        <v/>
      </c>
      <c r="B122">
        <f>IF($A122="","",IF('Ügyfelek'!B122="",'Beállítások'!$B$84,IFERROR(VLOOKUP(TRIM('Ügyfelek'!B122),'Beállítások'!$A$51:$B$59,2,FALSE),'Beállítások'!$B$84)))</f>
        <v/>
      </c>
      <c r="C122">
        <f>IF($A122="","",IF('Ügyfelek'!C122="",'Beállítások'!$B$84,MIN(10,MAX(1,ROUND('Ügyfelek'!C122,0)))))</f>
        <v/>
      </c>
      <c r="D122">
        <f>IF($A122="","",IF('Ügyfelek'!D122="",'Beállítások'!$B$84,MIN(10,MAX(1,ROUND('Ügyfelek'!D122,0)))))</f>
        <v/>
      </c>
      <c r="E122">
        <f>IF($A122="","",IF('Ügyfelek'!E122="",'Beállítások'!$B$84,MIN(10,MAX(1,ROUND('Ügyfelek'!E122,0)))))</f>
        <v/>
      </c>
      <c r="F122">
        <f>IF($A122="","",IF('Ügyfelek'!F122="",'Beállítások'!$B$84,MIN(10,MAX(1,ROUND('Ügyfelek'!F122,0)))))</f>
        <v/>
      </c>
      <c r="G122">
        <f>IF($A122="","",IF('Ügyfelek'!G122="",'Beállítások'!$B$84,MIN(10,MAX(1,ROUND('Ügyfelek'!G122,0)))))</f>
        <v/>
      </c>
      <c r="H122">
        <f>IF($A122="","",IF('Ügyfelek'!H122="",'Beállítások'!$B$84,MIN(10,MAX(1,ROUND('Ügyfelek'!H122,0)))))</f>
        <v/>
      </c>
      <c r="I122">
        <f>IF($A122="","",IF('Ügyfelek'!I122="",'Beállítások'!$B$84,MIN(10,MAX(1,ROUND('Ügyfelek'!I122,0)))))</f>
        <v/>
      </c>
      <c r="J122">
        <f>IF($A122="","",IF('Ügyfelek'!J122="",'Beállítások'!$B$84,MIN(10,MAX(1,ROUND('Ügyfelek'!J122,0)))))</f>
        <v/>
      </c>
      <c r="K122">
        <f>IF($A122="","",IF('Ügyfelek'!K122="",'Beállítások'!$B$84,MIN(10,MAX(1,ROUND('Ügyfelek'!K122,0)))))</f>
        <v/>
      </c>
      <c r="L122">
        <f>IF($A122="","",IF('Ügyfelek'!L122="",'Beállítások'!$B$84,MIN(10,MAX(1,ROUND('Ügyfelek'!L122,0)))))</f>
        <v/>
      </c>
      <c r="M122">
        <f>IF($A122="","",IF('Ügyfelek'!M122="",'Beállítások'!$B$84,MIN(10,MAX(1,ROUND('Ügyfelek'!M122,0)))))</f>
        <v/>
      </c>
      <c r="N122">
        <f>IF($A122="","",IF('Ügyfelek'!N122="",'Beállítások'!$B$84,MIN(10,MAX(1,ROUND('Ügyfelek'!N122,0)))))</f>
        <v/>
      </c>
      <c r="O122">
        <f>IF($A122="","",IF('Ügyfelek'!O122="",'Beállítások'!$B$84,MIN(10,MAX(1,ROUND('Ügyfelek'!O122,0)))))</f>
        <v/>
      </c>
      <c r="P122">
        <f>IF($A122="","",IF('Ügyfelek'!P122="",'Beállítások'!$B$84,MIN(10,MAX(1,ROUND('Ügyfelek'!P122,0)))))</f>
        <v/>
      </c>
      <c r="Q122">
        <f>IF($A122="","",IF('Ügyfelek'!Q122="",'Beállítások'!$B$84,MIN(10,MAX(1,ROUND('Ügyfelek'!Q122,0)))))</f>
        <v/>
      </c>
      <c r="R122">
        <f>IF($A122="","",IF('Ügyfelek'!R122="",'Beállítások'!$B$84,MIN(10,MAX(1,ROUND('Ügyfelek'!R122,0)))))</f>
        <v/>
      </c>
      <c r="S122">
        <f>IF($A122="","",IF('Ügyfelek'!S122="",'Beállítások'!$B$84,MIN(10,MAX(1,ROUND('Ügyfelek'!S122,0)))))</f>
        <v/>
      </c>
      <c r="T122">
        <f>IF($A122="","",IF('Ügyfelek'!T122="",'Beállítások'!$B$84,VLOOKUP(MAX('Ügyfelek'!T122,'Beállítások'!$H$7),'Beállítások'!$H$7:$I$12,2,TRUE)))</f>
        <v/>
      </c>
      <c r="U122">
        <f>IF($A122="","",IF('Ügyfelek'!U122="",'Beállítások'!$B$84,VLOOKUP(MAX('Ügyfelek'!U122,'Beállítások'!$K$7),'Beállítások'!$K$7:$L$12,2,TRUE)))</f>
        <v/>
      </c>
      <c r="V122">
        <f>IF($A122="","",IF('Ügyfelek'!V122="",'Beállítások'!$B$84,MIN(10,MAX(1,ROUND('Ügyfelek'!V122,0)))))</f>
        <v/>
      </c>
      <c r="W122">
        <f>IF($A122="","",IF('Ügyfelek'!W122="",'Beállítások'!$B$84,VLOOKUP(MAX('Ügyfelek'!W122,'Beállítások'!$N$7),'Beállítások'!$N$7:$O$12,2,TRUE)))</f>
        <v/>
      </c>
      <c r="X122">
        <f>IF($A122="","",IF('Ügyfelek'!X122="",'Beállítások'!$B$84,MIN(10,MAX(1,ROUND('Ügyfelek'!X122,0)))))</f>
        <v/>
      </c>
      <c r="Y122">
        <f>IF($A122="","",IF('Ügyfelek'!Y122="",'Beállítások'!$B$84,IFERROR(VLOOKUP(TRIM('Ügyfelek'!Y122),'Beállítások'!$A$63:$B$69,2,FALSE),'Beállítások'!$B$84)))</f>
        <v/>
      </c>
      <c r="Z122">
        <f>IF($A122="","",IF('Ügyfelek'!Z122="",'Beállítások'!$B$84,VLOOKUP(MAX('Ügyfelek'!Z122,'Beállítások'!$Q$7),'Beállítások'!$Q$7:$R$12,2,TRUE)))</f>
        <v/>
      </c>
      <c r="AA122">
        <f>IF($A122="","",IF('Ügyfelek'!AA122="",'Beállítások'!$B$84,VLOOKUP(MAX('Ügyfelek'!AA122,'Beállítások'!$T$7),'Beállítások'!$T$7:$U$12,2,TRUE)))</f>
        <v/>
      </c>
      <c r="AB122">
        <f>IF($A122="","",IF('Ügyfelek'!AB122="",'Beállítások'!$B$84,MIN(10,MAX(1,ROUND('Ügyfelek'!AB122,0)))))</f>
        <v/>
      </c>
      <c r="AC122">
        <f>IF($A122="","",IF('Ügyfelek'!AC122="",'Beállítások'!$B$84,MIN(10,MAX(1,ROUND('Ügyfelek'!AC122,0)))))</f>
        <v/>
      </c>
      <c r="AD122">
        <f>IF($A122="","",IF('Ügyfelek'!AD122="",'Beállítások'!$B$84,MIN(10,MAX(1,ROUND('Ügyfelek'!AD122,0)))))</f>
        <v/>
      </c>
      <c r="AE122">
        <f>IF($A122="","",IF('Ügyfelek'!AE122="",'Beállítások'!$B$84,MIN(10,MAX(1,ROUND('Ügyfelek'!AE122,0)))))</f>
        <v/>
      </c>
      <c r="AF122">
        <f>IF($A122="","",IF('Ügyfelek'!AF122="",'Beállítások'!$B$84,MIN(10,MAX(1,ROUND('Ügyfelek'!AF122,0)))))</f>
        <v/>
      </c>
      <c r="AG122">
        <f>IF($A122="","",IF('Ügyfelek'!AG122="",'Beállítások'!$B$84,MIN(10,MAX(1,ROUND('Ügyfelek'!AG122,0)))))</f>
        <v/>
      </c>
      <c r="AH122">
        <f>IF($A122="","",IF('Ügyfelek'!AH122="",'Beállítások'!$B$84,IFERROR(VLOOKUP(TRIM('Ügyfelek'!AH122),'Beállítások'!$A$73:$B$79,2,FALSE),'Beállítások'!$B$84)))</f>
        <v/>
      </c>
      <c r="AI122" s="23">
        <f>IF($A122="","",ROUND(100*('Beállítások'!$E$6*(B122-1)+'Beállítások'!$E$7*(C122-1))/(9*'Beállítások'!$B$43),1))</f>
        <v/>
      </c>
      <c r="AJ122" s="23">
        <f>IF($A122="","",ROUND(100*('Beállítások'!$E$8*(D122-1)+'Beállítások'!$E$9*(E122-1)+'Beállítások'!$E$10*(F122-1)+'Beállítások'!$E$11*(G122-1)+'Beállítások'!$E$12*(H122-1)+'Beállítások'!$E$13*(I122-1)+'Beállítások'!$E$14*(J122-1)+'Beállítások'!$E$15*(K122-1)+'Beállítások'!$E$16*(L122-1)+'Beállítások'!$E$17*(M122-1)+'Beállítások'!$E$18*(N122-1)+'Beállítások'!$E$19*(O122-1)+'Beállítások'!$E$20*(P122-1)+'Beállítások'!$E$21*(Q122-1)+'Beállítások'!$E$22*(R122-1))/(9*'Beállítások'!$B$44),1))</f>
        <v/>
      </c>
      <c r="AK122" s="23">
        <f>IF($A122="","",ROUND(100*('Beállítások'!$E$23*(S122-1)+'Beállítások'!$E$24*(T122-1)+'Beállítások'!$E$25*(U122-1)+'Beállítások'!$E$26*(V122-1)+'Beállítások'!$E$27*(W122-1)+'Beállítások'!$E$28*(X122-1)+'Beállítások'!$E$29*(Y122-1))/(9*'Beállítások'!$B$45),1))</f>
        <v/>
      </c>
      <c r="AL122" s="23">
        <f>IF($A122="","",ROUND(100*('Beállítások'!$E$30*(Z122-1)+'Beállítások'!$E$31*(AA122-1)+'Beállítások'!$E$32*(AB122-1)+'Beállítások'!$E$33*(AC122-1)+'Beállítások'!$E$34*(AD122-1)+'Beállítások'!$E$35*(AE122-1)+'Beállítások'!$E$36*(AF122-1)+'Beállítások'!$E$37*(AG122-1)+'Beállítások'!$E$38*(AH122-1))/(9*'Beállítások'!$B$46),1))</f>
        <v/>
      </c>
      <c r="AM122" s="23">
        <f>IF($A122="","",ROUND(100*('Beállítások'!$E$6*(B122-1)+'Beállítások'!$E$7*(C122-1)+'Beállítások'!$E$8*(D122-1)+'Beállítások'!$E$9*(E122-1)+'Beállítások'!$E$10*(F122-1)+'Beállítások'!$E$11*(G122-1)+'Beállítások'!$E$12*(H122-1)+'Beállítások'!$E$13*(I122-1)+'Beállítások'!$E$14*(J122-1)+'Beállítások'!$E$15*(K122-1)+'Beállítások'!$E$16*(L122-1)+'Beállítások'!$E$17*(M122-1)+'Beállítások'!$E$18*(N122-1)+'Beállítások'!$E$19*(O122-1)+'Beállítások'!$E$20*(P122-1)+'Beállítások'!$E$21*(Q122-1)+'Beállítások'!$E$22*(R122-1)+'Beállítások'!$E$23*(S122-1)+'Beállítások'!$E$24*(T122-1)+'Beállítások'!$E$25*(U122-1)+'Beállítások'!$E$26*(V122-1)+'Beállítások'!$E$27*(W122-1)+'Beállítások'!$E$28*(X122-1)+'Beállítások'!$E$29*(Y122-1)+'Beállítások'!$E$30*(Z122-1)+'Beállítások'!$E$31*(AA122-1)+'Beállítások'!$E$32*(AB122-1)+'Beállítások'!$E$33*(AC122-1)+'Beállítások'!$E$34*(AD122-1)+'Beállítások'!$E$35*(AE122-1)+'Beállítások'!$E$36*(AF122-1)+'Beállítások'!$E$37*(AG122-1)+'Beállítások'!$E$38*(AH122-1))/(9*'Beállítások'!$E$39),1))</f>
        <v/>
      </c>
      <c r="AN122" s="23">
        <f>IF($A122="","",ROUND(100*('Beállítások'!$E$8*(D122-1)+'Beállítások'!$E$9*(E122-1)+'Beállítások'!$E$10*(F122-1)+'Beállítások'!$E$11*(G122-1)+'Beállítások'!$E$12*(H122-1)+'Beállítások'!$E$13*(I122-1)+'Beállítások'!$E$14*(J122-1)+'Beállítások'!$E$15*(K122-1)+'Beállítások'!$E$16*(L122-1)+'Beállítások'!$E$17*(M122-1)+'Beállítások'!$E$18*(N122-1)+'Beállítások'!$E$19*(O122-1)+'Beállítások'!$E$20*(P122-1)+'Beállítások'!$E$21*(Q122-1)+'Beállítások'!$E$22*(R122-1)+'Beállítások'!$E$23*(S122-1)+'Beállítások'!$E$24*(T122-1)+'Beállítások'!$E$25*(U122-1)+'Beállítások'!$E$26*(V122-1)+'Beállítások'!$E$27*(W122-1)+'Beállítások'!$E$28*(X122-1)+'Beállítások'!$E$29*(Y122-1))/(9*('Beállítások'!$B$44+'Beállítások'!$B$45)),1))</f>
        <v/>
      </c>
      <c r="AO122" s="24">
        <f>IF($A122="","",RANK(AM122,$AM$2:$AM$201))</f>
        <v/>
      </c>
      <c r="AP122">
        <f>IF($A122="","",IF(OR(AND('Ügyfelek'!B122&lt;&gt;"",B122&lt;='Beállítások'!$B$85),AND('Ügyfelek'!C122&lt;&gt;"",C122&lt;='Beállítások'!$B$86)),"Igen","Nem"))</f>
        <v/>
      </c>
      <c r="AQ122" s="24">
        <f>IF($A122="","",IF(AP122="Igen",5,IF(AN122&gt;='Beállítások'!$C$108,1,IF(AN122&gt;='Beállítások'!$C$109,2,IF(AN122&gt;='Beállítások'!$C$110,3,IF(AND(AN122&gt;='Beállítások'!$B$87,AI122&gt;='Beállítások'!$B$88,AL122&gt;='Beállítások'!$B$89),4,5))))))</f>
        <v/>
      </c>
      <c r="AR122">
        <f>IF($A122="","",INDEX('Beállítások'!$B$108:$B$112,AQ122))</f>
        <v/>
      </c>
      <c r="AS122">
        <f>IF($A122="","",IF(AQ122=5,"Elutasítjuk",IF(AND(AQ122=4,COUNTIFS('Eredmény'!$AQ$2:$AQ$201,4,'Eredmény'!$DY$2:$DY$201,"&gt;"&amp;DY122)&gt;='Beállítások'!$B$90),"Várólista (a 4-es hely foglalt)","Elfogadjuk")))</f>
        <v/>
      </c>
      <c r="AT122">
        <f>IF($A122="","",INDEX('Beállítások'!$F$108:$F$112,AQ122))</f>
        <v/>
      </c>
      <c r="AU122">
        <f>IF($A122="","",INDEX('Beállítások'!$B$6:$B$38,MATCH(MAX(BK122:CQ122),BK122:CQ122,0)))</f>
        <v/>
      </c>
      <c r="AV122">
        <f>IF($A122="","",IF(MAX(CR122:DX122)=0,"—",INDEX('Beállítások'!$B$6:$B$38,MATCH(MAX(CR122:DX122),CR122:DX122,0))))</f>
        <v/>
      </c>
      <c r="AW122" s="10">
        <f>IF($A122="","",'Beállítások'!$B$94*(TRIM('Ügyfelek'!AI122)="igen")+'Beállítások'!$B$95*(TRIM('Ügyfelek'!AJ122)="igen")+'Beállítások'!$B$96*N('Ügyfelek'!AK122)+'Beállítások'!$B$93*N('Ügyfelek'!AL122))</f>
        <v/>
      </c>
      <c r="AX122" s="25">
        <f>IF(OR($A122="",AQ122=5),"",INDEX('Beállítások'!$D$108:$D$112,AQ122))</f>
        <v/>
      </c>
      <c r="AY122" s="10">
        <f>IF($A122="","",N('Ügyfelek'!U122)*'Beállítások'!$B$98)</f>
        <v/>
      </c>
      <c r="AZ122" s="10">
        <f>IF(OR($A122="",AQ122=5),"",CEILING(ROUND(MAX('Beállítások'!$B$97,AW122*AX122,AY122),2),'Beállítások'!$B$99))</f>
        <v/>
      </c>
      <c r="BA122">
        <f>IF($A122="","",IF(AQ122=5,"Elutasítva",IF(MAX('Beállítások'!$B$97,AW122*AX122,AY122)=AW122*AX122,"Munkaigény × státuszszorzó",IF(MAX('Beállítások'!$B$97,AW122*AX122,AY122)=AY122,"Hirdetési keret arányában","Minimumdíj"))))</f>
        <v/>
      </c>
      <c r="BB122" s="10">
        <f>IF(OR($A122="",'Ügyfelek'!AM122=""),"",'Ügyfelek'!AM122)</f>
        <v/>
      </c>
      <c r="BC122" s="10">
        <f>IF(OR(BB122="",AZ122=""),"",AZ122-BB122)</f>
        <v/>
      </c>
      <c r="BD122" s="18">
        <f>IF(OR(BB122="",AZ122="",BB122=0),"",BC122/BB122)</f>
        <v/>
      </c>
      <c r="BE122">
        <f>IF(OR($A122="",AQ122=5),"",IF(AND(INDEX('Beállítások'!$E$108:$E$112,AQ122)&gt;0,Y122&gt;='Beállítások'!$B$91),"Igen","Nem"))</f>
        <v/>
      </c>
      <c r="BF122" s="10">
        <f>IF(BE122="Igen",CEILING(ROUND(AZ122*(1-'Beállítások'!$B$92),2),'Beállítások'!$B$99),"")</f>
        <v/>
      </c>
      <c r="BG122" s="20">
        <f>IF(BE122="Igen",INDEX('Beállítások'!$E$108:$E$112,AQ122),"")</f>
        <v/>
      </c>
      <c r="BH122" s="10">
        <f>IF(OR(BE122&lt;&gt;"Igen",'Ügyfelek'!AN122=""),"",'Ügyfelek'!AN122*BG122)</f>
        <v/>
      </c>
      <c r="BI122" s="24">
        <f>IF($A122="","",('Ügyfelek'!B122="")+('Ügyfelek'!C122="")+('Ügyfelek'!D122="")+('Ügyfelek'!E122="")+('Ügyfelek'!F122="")+('Ügyfelek'!G122="")+('Ügyfelek'!H122="")+('Ügyfelek'!I122="")+('Ügyfelek'!J122="")+('Ügyfelek'!K122="")+('Ügyfelek'!L122="")+('Ügyfelek'!M122="")+('Ügyfelek'!N122="")+('Ügyfelek'!O122="")+('Ügyfelek'!P122="")+('Ügyfelek'!Q122="")+('Ügyfelek'!R122="")+('Ügyfelek'!S122="")+('Ügyfelek'!T122="")+('Ügyfelek'!U122="")+('Ügyfelek'!V122="")+('Ügyfelek'!W122="")+('Ügyfelek'!X122="")+('Ügyfelek'!Y122="")+('Ügyfelek'!Z122="")+('Ügyfelek'!AA122="")+('Ügyfelek'!AB122="")+('Ügyfelek'!AC122="")+('Ügyfelek'!AD122="")+('Ügyfelek'!AE122="")+('Ügyfelek'!AF122="")+('Ügyfelek'!AG122="")+('Ügyfelek'!AH122=""))</f>
        <v/>
      </c>
      <c r="BK122">
        <f>IF($A122="","",B122+'Beállítások'!$E$6/1000)</f>
        <v/>
      </c>
      <c r="BL122">
        <f>IF($A122="","",C122+'Beállítások'!$E$7/1000)</f>
        <v/>
      </c>
      <c r="BM122">
        <f>IF($A122="","",D122+'Beállítások'!$E$8/1000)</f>
        <v/>
      </c>
      <c r="BN122">
        <f>IF($A122="","",E122+'Beállítások'!$E$9/1000)</f>
        <v/>
      </c>
      <c r="BO122">
        <f>IF($A122="","",F122+'Beállítások'!$E$10/1000)</f>
        <v/>
      </c>
      <c r="BP122">
        <f>IF($A122="","",G122+'Beállítások'!$E$11/1000)</f>
        <v/>
      </c>
      <c r="BQ122">
        <f>IF($A122="","",H122+'Beállítások'!$E$12/1000)</f>
        <v/>
      </c>
      <c r="BR122">
        <f>IF($A122="","",I122+'Beállítások'!$E$13/1000)</f>
        <v/>
      </c>
      <c r="BS122">
        <f>IF($A122="","",J122+'Beállítások'!$E$14/1000)</f>
        <v/>
      </c>
      <c r="BT122">
        <f>IF($A122="","",K122+'Beállítások'!$E$15/1000)</f>
        <v/>
      </c>
      <c r="BU122">
        <f>IF($A122="","",L122+'Beállítások'!$E$16/1000)</f>
        <v/>
      </c>
      <c r="BV122">
        <f>IF($A122="","",M122+'Beállítások'!$E$17/1000)</f>
        <v/>
      </c>
      <c r="BW122">
        <f>IF($A122="","",N122+'Beállítások'!$E$18/1000)</f>
        <v/>
      </c>
      <c r="BX122">
        <f>IF($A122="","",O122+'Beállítások'!$E$19/1000)</f>
        <v/>
      </c>
      <c r="BY122">
        <f>IF($A122="","",P122+'Beállítások'!$E$20/1000)</f>
        <v/>
      </c>
      <c r="BZ122">
        <f>IF($A122="","",Q122+'Beállítások'!$E$21/1000)</f>
        <v/>
      </c>
      <c r="CA122">
        <f>IF($A122="","",R122+'Beállítások'!$E$22/1000)</f>
        <v/>
      </c>
      <c r="CB122">
        <f>IF($A122="","",S122+'Beállítások'!$E$23/1000)</f>
        <v/>
      </c>
      <c r="CC122">
        <f>IF($A122="","",T122+'Beállítások'!$E$24/1000)</f>
        <v/>
      </c>
      <c r="CD122">
        <f>IF($A122="","",U122+'Beállítások'!$E$25/1000)</f>
        <v/>
      </c>
      <c r="CE122">
        <f>IF($A122="","",V122+'Beállítások'!$E$26/1000)</f>
        <v/>
      </c>
      <c r="CF122">
        <f>IF($A122="","",W122+'Beállítások'!$E$27/1000)</f>
        <v/>
      </c>
      <c r="CG122">
        <f>IF($A122="","",X122+'Beállítások'!$E$28/1000)</f>
        <v/>
      </c>
      <c r="CH122">
        <f>IF($A122="","",Y122+'Beállítások'!$E$29/1000)</f>
        <v/>
      </c>
      <c r="CI122">
        <f>IF($A122="","",Z122+'Beállítások'!$E$30/1000)</f>
        <v/>
      </c>
      <c r="CJ122">
        <f>IF($A122="","",AA122+'Beállítások'!$E$31/1000)</f>
        <v/>
      </c>
      <c r="CK122">
        <f>IF($A122="","",AB122+'Beállítások'!$E$32/1000)</f>
        <v/>
      </c>
      <c r="CL122">
        <f>IF($A122="","",AC122+'Beállítások'!$E$33/1000)</f>
        <v/>
      </c>
      <c r="CM122">
        <f>IF($A122="","",AD122+'Beállítások'!$E$34/1000)</f>
        <v/>
      </c>
      <c r="CN122">
        <f>IF($A122="","",AE122+'Beállítások'!$E$35/1000)</f>
        <v/>
      </c>
      <c r="CO122">
        <f>IF($A122="","",AF122+'Beállítások'!$E$36/1000)</f>
        <v/>
      </c>
      <c r="CP122">
        <f>IF($A122="","",AG122+'Beállítások'!$E$37/1000)</f>
        <v/>
      </c>
      <c r="CQ122">
        <f>IF($A122="","",AH122+'Beállítások'!$E$38/1000)</f>
        <v/>
      </c>
      <c r="CR122">
        <f>IF($A122="","",'Beállítások'!$E$6*(10-B122))</f>
        <v/>
      </c>
      <c r="CS122">
        <f>IF($A122="","",'Beállítások'!$E$7*(10-C122))</f>
        <v/>
      </c>
      <c r="CT122">
        <f>IF($A122="","",'Beállítások'!$E$8*(10-D122))</f>
        <v/>
      </c>
      <c r="CU122">
        <f>IF($A122="","",'Beállítások'!$E$9*(10-E122))</f>
        <v/>
      </c>
      <c r="CV122">
        <f>IF($A122="","",'Beállítások'!$E$10*(10-F122))</f>
        <v/>
      </c>
      <c r="CW122">
        <f>IF($A122="","",'Beállítások'!$E$11*(10-G122))</f>
        <v/>
      </c>
      <c r="CX122">
        <f>IF($A122="","",'Beállítások'!$E$12*(10-H122))</f>
        <v/>
      </c>
      <c r="CY122">
        <f>IF($A122="","",'Beállítások'!$E$13*(10-I122))</f>
        <v/>
      </c>
      <c r="CZ122">
        <f>IF($A122="","",'Beállítások'!$E$14*(10-J122))</f>
        <v/>
      </c>
      <c r="DA122">
        <f>IF($A122="","",'Beállítások'!$E$15*(10-K122))</f>
        <v/>
      </c>
      <c r="DB122">
        <f>IF($A122="","",'Beállítások'!$E$16*(10-L122))</f>
        <v/>
      </c>
      <c r="DC122">
        <f>IF($A122="","",'Beállítások'!$E$17*(10-M122))</f>
        <v/>
      </c>
      <c r="DD122">
        <f>IF($A122="","",'Beállítások'!$E$18*(10-N122))</f>
        <v/>
      </c>
      <c r="DE122">
        <f>IF($A122="","",'Beállítások'!$E$19*(10-O122))</f>
        <v/>
      </c>
      <c r="DF122">
        <f>IF($A122="","",'Beállítások'!$E$20*(10-P122))</f>
        <v/>
      </c>
      <c r="DG122">
        <f>IF($A122="","",'Beállítások'!$E$21*(10-Q122))</f>
        <v/>
      </c>
      <c r="DH122">
        <f>IF($A122="","",'Beállítások'!$E$22*(10-R122))</f>
        <v/>
      </c>
      <c r="DI122">
        <f>IF($A122="","",'Beállítások'!$E$23*(10-S122))</f>
        <v/>
      </c>
      <c r="DJ122">
        <f>IF($A122="","",'Beállítások'!$E$24*(10-T122))</f>
        <v/>
      </c>
      <c r="DK122">
        <f>IF($A122="","",'Beállítások'!$E$25*(10-U122))</f>
        <v/>
      </c>
      <c r="DL122">
        <f>IF($A122="","",'Beállítások'!$E$26*(10-V122))</f>
        <v/>
      </c>
      <c r="DM122">
        <f>IF($A122="","",'Beállítások'!$E$27*(10-W122))</f>
        <v/>
      </c>
      <c r="DN122">
        <f>IF($A122="","",'Beállítások'!$E$28*(10-X122))</f>
        <v/>
      </c>
      <c r="DO122">
        <f>IF($A122="","",'Beállítások'!$E$29*(10-Y122))</f>
        <v/>
      </c>
      <c r="DP122">
        <f>IF($A122="","",'Beállítások'!$E$30*(10-Z122))</f>
        <v/>
      </c>
      <c r="DQ122">
        <f>IF($A122="","",'Beállítások'!$E$31*(10-AA122))</f>
        <v/>
      </c>
      <c r="DR122">
        <f>IF($A122="","",'Beállítások'!$E$32*(10-AB122))</f>
        <v/>
      </c>
      <c r="DS122">
        <f>IF($A122="","",'Beállítások'!$E$33*(10-AC122))</f>
        <v/>
      </c>
      <c r="DT122">
        <f>IF($A122="","",'Beállítások'!$E$34*(10-AD122))</f>
        <v/>
      </c>
      <c r="DU122">
        <f>IF($A122="","",'Beállítások'!$E$35*(10-AE122))</f>
        <v/>
      </c>
      <c r="DV122">
        <f>IF($A122="","",'Beállítások'!$E$36*(10-AF122))</f>
        <v/>
      </c>
      <c r="DW122">
        <f>IF($A122="","",'Beállítások'!$E$37*(10-AG122))</f>
        <v/>
      </c>
      <c r="DX122">
        <f>IF($A122="","",'Beállítások'!$E$38*(10-AH122))</f>
        <v/>
      </c>
      <c r="DY122">
        <f>IF($A122="","",AM122-ROW()/100000)</f>
        <v/>
      </c>
    </row>
    <row r="123">
      <c r="A123">
        <f>IF('Ügyfelek'!A123="","",'Ügyfelek'!A123)</f>
        <v/>
      </c>
      <c r="B123">
        <f>IF($A123="","",IF('Ügyfelek'!B123="",'Beállítások'!$B$84,IFERROR(VLOOKUP(TRIM('Ügyfelek'!B123),'Beállítások'!$A$51:$B$59,2,FALSE),'Beállítások'!$B$84)))</f>
        <v/>
      </c>
      <c r="C123">
        <f>IF($A123="","",IF('Ügyfelek'!C123="",'Beállítások'!$B$84,MIN(10,MAX(1,ROUND('Ügyfelek'!C123,0)))))</f>
        <v/>
      </c>
      <c r="D123">
        <f>IF($A123="","",IF('Ügyfelek'!D123="",'Beállítások'!$B$84,MIN(10,MAX(1,ROUND('Ügyfelek'!D123,0)))))</f>
        <v/>
      </c>
      <c r="E123">
        <f>IF($A123="","",IF('Ügyfelek'!E123="",'Beállítások'!$B$84,MIN(10,MAX(1,ROUND('Ügyfelek'!E123,0)))))</f>
        <v/>
      </c>
      <c r="F123">
        <f>IF($A123="","",IF('Ügyfelek'!F123="",'Beállítások'!$B$84,MIN(10,MAX(1,ROUND('Ügyfelek'!F123,0)))))</f>
        <v/>
      </c>
      <c r="G123">
        <f>IF($A123="","",IF('Ügyfelek'!G123="",'Beállítások'!$B$84,MIN(10,MAX(1,ROUND('Ügyfelek'!G123,0)))))</f>
        <v/>
      </c>
      <c r="H123">
        <f>IF($A123="","",IF('Ügyfelek'!H123="",'Beállítások'!$B$84,MIN(10,MAX(1,ROUND('Ügyfelek'!H123,0)))))</f>
        <v/>
      </c>
      <c r="I123">
        <f>IF($A123="","",IF('Ügyfelek'!I123="",'Beállítások'!$B$84,MIN(10,MAX(1,ROUND('Ügyfelek'!I123,0)))))</f>
        <v/>
      </c>
      <c r="J123">
        <f>IF($A123="","",IF('Ügyfelek'!J123="",'Beállítások'!$B$84,MIN(10,MAX(1,ROUND('Ügyfelek'!J123,0)))))</f>
        <v/>
      </c>
      <c r="K123">
        <f>IF($A123="","",IF('Ügyfelek'!K123="",'Beállítások'!$B$84,MIN(10,MAX(1,ROUND('Ügyfelek'!K123,0)))))</f>
        <v/>
      </c>
      <c r="L123">
        <f>IF($A123="","",IF('Ügyfelek'!L123="",'Beállítások'!$B$84,MIN(10,MAX(1,ROUND('Ügyfelek'!L123,0)))))</f>
        <v/>
      </c>
      <c r="M123">
        <f>IF($A123="","",IF('Ügyfelek'!M123="",'Beállítások'!$B$84,MIN(10,MAX(1,ROUND('Ügyfelek'!M123,0)))))</f>
        <v/>
      </c>
      <c r="N123">
        <f>IF($A123="","",IF('Ügyfelek'!N123="",'Beállítások'!$B$84,MIN(10,MAX(1,ROUND('Ügyfelek'!N123,0)))))</f>
        <v/>
      </c>
      <c r="O123">
        <f>IF($A123="","",IF('Ügyfelek'!O123="",'Beállítások'!$B$84,MIN(10,MAX(1,ROUND('Ügyfelek'!O123,0)))))</f>
        <v/>
      </c>
      <c r="P123">
        <f>IF($A123="","",IF('Ügyfelek'!P123="",'Beállítások'!$B$84,MIN(10,MAX(1,ROUND('Ügyfelek'!P123,0)))))</f>
        <v/>
      </c>
      <c r="Q123">
        <f>IF($A123="","",IF('Ügyfelek'!Q123="",'Beállítások'!$B$84,MIN(10,MAX(1,ROUND('Ügyfelek'!Q123,0)))))</f>
        <v/>
      </c>
      <c r="R123">
        <f>IF($A123="","",IF('Ügyfelek'!R123="",'Beállítások'!$B$84,MIN(10,MAX(1,ROUND('Ügyfelek'!R123,0)))))</f>
        <v/>
      </c>
      <c r="S123">
        <f>IF($A123="","",IF('Ügyfelek'!S123="",'Beállítások'!$B$84,MIN(10,MAX(1,ROUND('Ügyfelek'!S123,0)))))</f>
        <v/>
      </c>
      <c r="T123">
        <f>IF($A123="","",IF('Ügyfelek'!T123="",'Beállítások'!$B$84,VLOOKUP(MAX('Ügyfelek'!T123,'Beállítások'!$H$7),'Beállítások'!$H$7:$I$12,2,TRUE)))</f>
        <v/>
      </c>
      <c r="U123">
        <f>IF($A123="","",IF('Ügyfelek'!U123="",'Beállítások'!$B$84,VLOOKUP(MAX('Ügyfelek'!U123,'Beállítások'!$K$7),'Beállítások'!$K$7:$L$12,2,TRUE)))</f>
        <v/>
      </c>
      <c r="V123">
        <f>IF($A123="","",IF('Ügyfelek'!V123="",'Beállítások'!$B$84,MIN(10,MAX(1,ROUND('Ügyfelek'!V123,0)))))</f>
        <v/>
      </c>
      <c r="W123">
        <f>IF($A123="","",IF('Ügyfelek'!W123="",'Beállítások'!$B$84,VLOOKUP(MAX('Ügyfelek'!W123,'Beállítások'!$N$7),'Beállítások'!$N$7:$O$12,2,TRUE)))</f>
        <v/>
      </c>
      <c r="X123">
        <f>IF($A123="","",IF('Ügyfelek'!X123="",'Beállítások'!$B$84,MIN(10,MAX(1,ROUND('Ügyfelek'!X123,0)))))</f>
        <v/>
      </c>
      <c r="Y123">
        <f>IF($A123="","",IF('Ügyfelek'!Y123="",'Beállítások'!$B$84,IFERROR(VLOOKUP(TRIM('Ügyfelek'!Y123),'Beállítások'!$A$63:$B$69,2,FALSE),'Beállítások'!$B$84)))</f>
        <v/>
      </c>
      <c r="Z123">
        <f>IF($A123="","",IF('Ügyfelek'!Z123="",'Beállítások'!$B$84,VLOOKUP(MAX('Ügyfelek'!Z123,'Beállítások'!$Q$7),'Beállítások'!$Q$7:$R$12,2,TRUE)))</f>
        <v/>
      </c>
      <c r="AA123">
        <f>IF($A123="","",IF('Ügyfelek'!AA123="",'Beállítások'!$B$84,VLOOKUP(MAX('Ügyfelek'!AA123,'Beállítások'!$T$7),'Beállítások'!$T$7:$U$12,2,TRUE)))</f>
        <v/>
      </c>
      <c r="AB123">
        <f>IF($A123="","",IF('Ügyfelek'!AB123="",'Beállítások'!$B$84,MIN(10,MAX(1,ROUND('Ügyfelek'!AB123,0)))))</f>
        <v/>
      </c>
      <c r="AC123">
        <f>IF($A123="","",IF('Ügyfelek'!AC123="",'Beállítások'!$B$84,MIN(10,MAX(1,ROUND('Ügyfelek'!AC123,0)))))</f>
        <v/>
      </c>
      <c r="AD123">
        <f>IF($A123="","",IF('Ügyfelek'!AD123="",'Beállítások'!$B$84,MIN(10,MAX(1,ROUND('Ügyfelek'!AD123,0)))))</f>
        <v/>
      </c>
      <c r="AE123">
        <f>IF($A123="","",IF('Ügyfelek'!AE123="",'Beállítások'!$B$84,MIN(10,MAX(1,ROUND('Ügyfelek'!AE123,0)))))</f>
        <v/>
      </c>
      <c r="AF123">
        <f>IF($A123="","",IF('Ügyfelek'!AF123="",'Beállítások'!$B$84,MIN(10,MAX(1,ROUND('Ügyfelek'!AF123,0)))))</f>
        <v/>
      </c>
      <c r="AG123">
        <f>IF($A123="","",IF('Ügyfelek'!AG123="",'Beállítások'!$B$84,MIN(10,MAX(1,ROUND('Ügyfelek'!AG123,0)))))</f>
        <v/>
      </c>
      <c r="AH123">
        <f>IF($A123="","",IF('Ügyfelek'!AH123="",'Beállítások'!$B$84,IFERROR(VLOOKUP(TRIM('Ügyfelek'!AH123),'Beállítások'!$A$73:$B$79,2,FALSE),'Beállítások'!$B$84)))</f>
        <v/>
      </c>
      <c r="AI123" s="23">
        <f>IF($A123="","",ROUND(100*('Beállítások'!$E$6*(B123-1)+'Beállítások'!$E$7*(C123-1))/(9*'Beállítások'!$B$43),1))</f>
        <v/>
      </c>
      <c r="AJ123" s="23">
        <f>IF($A123="","",ROUND(100*('Beállítások'!$E$8*(D123-1)+'Beállítások'!$E$9*(E123-1)+'Beállítások'!$E$10*(F123-1)+'Beállítások'!$E$11*(G123-1)+'Beállítások'!$E$12*(H123-1)+'Beállítások'!$E$13*(I123-1)+'Beállítások'!$E$14*(J123-1)+'Beállítások'!$E$15*(K123-1)+'Beállítások'!$E$16*(L123-1)+'Beállítások'!$E$17*(M123-1)+'Beállítások'!$E$18*(N123-1)+'Beállítások'!$E$19*(O123-1)+'Beállítások'!$E$20*(P123-1)+'Beállítások'!$E$21*(Q123-1)+'Beállítások'!$E$22*(R123-1))/(9*'Beállítások'!$B$44),1))</f>
        <v/>
      </c>
      <c r="AK123" s="23">
        <f>IF($A123="","",ROUND(100*('Beállítások'!$E$23*(S123-1)+'Beállítások'!$E$24*(T123-1)+'Beállítások'!$E$25*(U123-1)+'Beállítások'!$E$26*(V123-1)+'Beállítások'!$E$27*(W123-1)+'Beállítások'!$E$28*(X123-1)+'Beállítások'!$E$29*(Y123-1))/(9*'Beállítások'!$B$45),1))</f>
        <v/>
      </c>
      <c r="AL123" s="23">
        <f>IF($A123="","",ROUND(100*('Beállítások'!$E$30*(Z123-1)+'Beállítások'!$E$31*(AA123-1)+'Beállítások'!$E$32*(AB123-1)+'Beállítások'!$E$33*(AC123-1)+'Beállítások'!$E$34*(AD123-1)+'Beállítások'!$E$35*(AE123-1)+'Beállítások'!$E$36*(AF123-1)+'Beállítások'!$E$37*(AG123-1)+'Beállítások'!$E$38*(AH123-1))/(9*'Beállítások'!$B$46),1))</f>
        <v/>
      </c>
      <c r="AM123" s="23">
        <f>IF($A123="","",ROUND(100*('Beállítások'!$E$6*(B123-1)+'Beállítások'!$E$7*(C123-1)+'Beállítások'!$E$8*(D123-1)+'Beállítások'!$E$9*(E123-1)+'Beállítások'!$E$10*(F123-1)+'Beállítások'!$E$11*(G123-1)+'Beállítások'!$E$12*(H123-1)+'Beállítások'!$E$13*(I123-1)+'Beállítások'!$E$14*(J123-1)+'Beállítások'!$E$15*(K123-1)+'Beállítások'!$E$16*(L123-1)+'Beállítások'!$E$17*(M123-1)+'Beállítások'!$E$18*(N123-1)+'Beállítások'!$E$19*(O123-1)+'Beállítások'!$E$20*(P123-1)+'Beállítások'!$E$21*(Q123-1)+'Beállítások'!$E$22*(R123-1)+'Beállítások'!$E$23*(S123-1)+'Beállítások'!$E$24*(T123-1)+'Beállítások'!$E$25*(U123-1)+'Beállítások'!$E$26*(V123-1)+'Beállítások'!$E$27*(W123-1)+'Beállítások'!$E$28*(X123-1)+'Beállítások'!$E$29*(Y123-1)+'Beállítások'!$E$30*(Z123-1)+'Beállítások'!$E$31*(AA123-1)+'Beállítások'!$E$32*(AB123-1)+'Beállítások'!$E$33*(AC123-1)+'Beállítások'!$E$34*(AD123-1)+'Beállítások'!$E$35*(AE123-1)+'Beállítások'!$E$36*(AF123-1)+'Beállítások'!$E$37*(AG123-1)+'Beállítások'!$E$38*(AH123-1))/(9*'Beállítások'!$E$39),1))</f>
        <v/>
      </c>
      <c r="AN123" s="23">
        <f>IF($A123="","",ROUND(100*('Beállítások'!$E$8*(D123-1)+'Beállítások'!$E$9*(E123-1)+'Beállítások'!$E$10*(F123-1)+'Beállítások'!$E$11*(G123-1)+'Beállítások'!$E$12*(H123-1)+'Beállítások'!$E$13*(I123-1)+'Beállítások'!$E$14*(J123-1)+'Beállítások'!$E$15*(K123-1)+'Beállítások'!$E$16*(L123-1)+'Beállítások'!$E$17*(M123-1)+'Beállítások'!$E$18*(N123-1)+'Beállítások'!$E$19*(O123-1)+'Beállítások'!$E$20*(P123-1)+'Beállítások'!$E$21*(Q123-1)+'Beállítások'!$E$22*(R123-1)+'Beállítások'!$E$23*(S123-1)+'Beállítások'!$E$24*(T123-1)+'Beállítások'!$E$25*(U123-1)+'Beállítások'!$E$26*(V123-1)+'Beállítások'!$E$27*(W123-1)+'Beállítások'!$E$28*(X123-1)+'Beállítások'!$E$29*(Y123-1))/(9*('Beállítások'!$B$44+'Beállítások'!$B$45)),1))</f>
        <v/>
      </c>
      <c r="AO123" s="24">
        <f>IF($A123="","",RANK(AM123,$AM$2:$AM$201))</f>
        <v/>
      </c>
      <c r="AP123">
        <f>IF($A123="","",IF(OR(AND('Ügyfelek'!B123&lt;&gt;"",B123&lt;='Beállítások'!$B$85),AND('Ügyfelek'!C123&lt;&gt;"",C123&lt;='Beállítások'!$B$86)),"Igen","Nem"))</f>
        <v/>
      </c>
      <c r="AQ123" s="24">
        <f>IF($A123="","",IF(AP123="Igen",5,IF(AN123&gt;='Beállítások'!$C$108,1,IF(AN123&gt;='Beállítások'!$C$109,2,IF(AN123&gt;='Beállítások'!$C$110,3,IF(AND(AN123&gt;='Beállítások'!$B$87,AI123&gt;='Beállítások'!$B$88,AL123&gt;='Beállítások'!$B$89),4,5))))))</f>
        <v/>
      </c>
      <c r="AR123">
        <f>IF($A123="","",INDEX('Beállítások'!$B$108:$B$112,AQ123))</f>
        <v/>
      </c>
      <c r="AS123">
        <f>IF($A123="","",IF(AQ123=5,"Elutasítjuk",IF(AND(AQ123=4,COUNTIFS('Eredmény'!$AQ$2:$AQ$201,4,'Eredmény'!$DY$2:$DY$201,"&gt;"&amp;DY123)&gt;='Beállítások'!$B$90),"Várólista (a 4-es hely foglalt)","Elfogadjuk")))</f>
        <v/>
      </c>
      <c r="AT123">
        <f>IF($A123="","",INDEX('Beállítások'!$F$108:$F$112,AQ123))</f>
        <v/>
      </c>
      <c r="AU123">
        <f>IF($A123="","",INDEX('Beállítások'!$B$6:$B$38,MATCH(MAX(BK123:CQ123),BK123:CQ123,0)))</f>
        <v/>
      </c>
      <c r="AV123">
        <f>IF($A123="","",IF(MAX(CR123:DX123)=0,"—",INDEX('Beállítások'!$B$6:$B$38,MATCH(MAX(CR123:DX123),CR123:DX123,0))))</f>
        <v/>
      </c>
      <c r="AW123" s="10">
        <f>IF($A123="","",'Beállítások'!$B$94*(TRIM('Ügyfelek'!AI123)="igen")+'Beállítások'!$B$95*(TRIM('Ügyfelek'!AJ123)="igen")+'Beállítások'!$B$96*N('Ügyfelek'!AK123)+'Beállítások'!$B$93*N('Ügyfelek'!AL123))</f>
        <v/>
      </c>
      <c r="AX123" s="25">
        <f>IF(OR($A123="",AQ123=5),"",INDEX('Beállítások'!$D$108:$D$112,AQ123))</f>
        <v/>
      </c>
      <c r="AY123" s="10">
        <f>IF($A123="","",N('Ügyfelek'!U123)*'Beállítások'!$B$98)</f>
        <v/>
      </c>
      <c r="AZ123" s="10">
        <f>IF(OR($A123="",AQ123=5),"",CEILING(ROUND(MAX('Beállítások'!$B$97,AW123*AX123,AY123),2),'Beállítások'!$B$99))</f>
        <v/>
      </c>
      <c r="BA123">
        <f>IF($A123="","",IF(AQ123=5,"Elutasítva",IF(MAX('Beállítások'!$B$97,AW123*AX123,AY123)=AW123*AX123,"Munkaigény × státuszszorzó",IF(MAX('Beállítások'!$B$97,AW123*AX123,AY123)=AY123,"Hirdetési keret arányában","Minimumdíj"))))</f>
        <v/>
      </c>
      <c r="BB123" s="10">
        <f>IF(OR($A123="",'Ügyfelek'!AM123=""),"",'Ügyfelek'!AM123)</f>
        <v/>
      </c>
      <c r="BC123" s="10">
        <f>IF(OR(BB123="",AZ123=""),"",AZ123-BB123)</f>
        <v/>
      </c>
      <c r="BD123" s="18">
        <f>IF(OR(BB123="",AZ123="",BB123=0),"",BC123/BB123)</f>
        <v/>
      </c>
      <c r="BE123">
        <f>IF(OR($A123="",AQ123=5),"",IF(AND(INDEX('Beállítások'!$E$108:$E$112,AQ123)&gt;0,Y123&gt;='Beállítások'!$B$91),"Igen","Nem"))</f>
        <v/>
      </c>
      <c r="BF123" s="10">
        <f>IF(BE123="Igen",CEILING(ROUND(AZ123*(1-'Beállítások'!$B$92),2),'Beállítások'!$B$99),"")</f>
        <v/>
      </c>
      <c r="BG123" s="20">
        <f>IF(BE123="Igen",INDEX('Beállítások'!$E$108:$E$112,AQ123),"")</f>
        <v/>
      </c>
      <c r="BH123" s="10">
        <f>IF(OR(BE123&lt;&gt;"Igen",'Ügyfelek'!AN123=""),"",'Ügyfelek'!AN123*BG123)</f>
        <v/>
      </c>
      <c r="BI123" s="24">
        <f>IF($A123="","",('Ügyfelek'!B123="")+('Ügyfelek'!C123="")+('Ügyfelek'!D123="")+('Ügyfelek'!E123="")+('Ügyfelek'!F123="")+('Ügyfelek'!G123="")+('Ügyfelek'!H123="")+('Ügyfelek'!I123="")+('Ügyfelek'!J123="")+('Ügyfelek'!K123="")+('Ügyfelek'!L123="")+('Ügyfelek'!M123="")+('Ügyfelek'!N123="")+('Ügyfelek'!O123="")+('Ügyfelek'!P123="")+('Ügyfelek'!Q123="")+('Ügyfelek'!R123="")+('Ügyfelek'!S123="")+('Ügyfelek'!T123="")+('Ügyfelek'!U123="")+('Ügyfelek'!V123="")+('Ügyfelek'!W123="")+('Ügyfelek'!X123="")+('Ügyfelek'!Y123="")+('Ügyfelek'!Z123="")+('Ügyfelek'!AA123="")+('Ügyfelek'!AB123="")+('Ügyfelek'!AC123="")+('Ügyfelek'!AD123="")+('Ügyfelek'!AE123="")+('Ügyfelek'!AF123="")+('Ügyfelek'!AG123="")+('Ügyfelek'!AH123=""))</f>
        <v/>
      </c>
      <c r="BK123">
        <f>IF($A123="","",B123+'Beállítások'!$E$6/1000)</f>
        <v/>
      </c>
      <c r="BL123">
        <f>IF($A123="","",C123+'Beállítások'!$E$7/1000)</f>
        <v/>
      </c>
      <c r="BM123">
        <f>IF($A123="","",D123+'Beállítások'!$E$8/1000)</f>
        <v/>
      </c>
      <c r="BN123">
        <f>IF($A123="","",E123+'Beállítások'!$E$9/1000)</f>
        <v/>
      </c>
      <c r="BO123">
        <f>IF($A123="","",F123+'Beállítások'!$E$10/1000)</f>
        <v/>
      </c>
      <c r="BP123">
        <f>IF($A123="","",G123+'Beállítások'!$E$11/1000)</f>
        <v/>
      </c>
      <c r="BQ123">
        <f>IF($A123="","",H123+'Beállítások'!$E$12/1000)</f>
        <v/>
      </c>
      <c r="BR123">
        <f>IF($A123="","",I123+'Beállítások'!$E$13/1000)</f>
        <v/>
      </c>
      <c r="BS123">
        <f>IF($A123="","",J123+'Beállítások'!$E$14/1000)</f>
        <v/>
      </c>
      <c r="BT123">
        <f>IF($A123="","",K123+'Beállítások'!$E$15/1000)</f>
        <v/>
      </c>
      <c r="BU123">
        <f>IF($A123="","",L123+'Beállítások'!$E$16/1000)</f>
        <v/>
      </c>
      <c r="BV123">
        <f>IF($A123="","",M123+'Beállítások'!$E$17/1000)</f>
        <v/>
      </c>
      <c r="BW123">
        <f>IF($A123="","",N123+'Beállítások'!$E$18/1000)</f>
        <v/>
      </c>
      <c r="BX123">
        <f>IF($A123="","",O123+'Beállítások'!$E$19/1000)</f>
        <v/>
      </c>
      <c r="BY123">
        <f>IF($A123="","",P123+'Beállítások'!$E$20/1000)</f>
        <v/>
      </c>
      <c r="BZ123">
        <f>IF($A123="","",Q123+'Beállítások'!$E$21/1000)</f>
        <v/>
      </c>
      <c r="CA123">
        <f>IF($A123="","",R123+'Beállítások'!$E$22/1000)</f>
        <v/>
      </c>
      <c r="CB123">
        <f>IF($A123="","",S123+'Beállítások'!$E$23/1000)</f>
        <v/>
      </c>
      <c r="CC123">
        <f>IF($A123="","",T123+'Beállítások'!$E$24/1000)</f>
        <v/>
      </c>
      <c r="CD123">
        <f>IF($A123="","",U123+'Beállítások'!$E$25/1000)</f>
        <v/>
      </c>
      <c r="CE123">
        <f>IF($A123="","",V123+'Beállítások'!$E$26/1000)</f>
        <v/>
      </c>
      <c r="CF123">
        <f>IF($A123="","",W123+'Beállítások'!$E$27/1000)</f>
        <v/>
      </c>
      <c r="CG123">
        <f>IF($A123="","",X123+'Beállítások'!$E$28/1000)</f>
        <v/>
      </c>
      <c r="CH123">
        <f>IF($A123="","",Y123+'Beállítások'!$E$29/1000)</f>
        <v/>
      </c>
      <c r="CI123">
        <f>IF($A123="","",Z123+'Beállítások'!$E$30/1000)</f>
        <v/>
      </c>
      <c r="CJ123">
        <f>IF($A123="","",AA123+'Beállítások'!$E$31/1000)</f>
        <v/>
      </c>
      <c r="CK123">
        <f>IF($A123="","",AB123+'Beállítások'!$E$32/1000)</f>
        <v/>
      </c>
      <c r="CL123">
        <f>IF($A123="","",AC123+'Beállítások'!$E$33/1000)</f>
        <v/>
      </c>
      <c r="CM123">
        <f>IF($A123="","",AD123+'Beállítások'!$E$34/1000)</f>
        <v/>
      </c>
      <c r="CN123">
        <f>IF($A123="","",AE123+'Beállítások'!$E$35/1000)</f>
        <v/>
      </c>
      <c r="CO123">
        <f>IF($A123="","",AF123+'Beállítások'!$E$36/1000)</f>
        <v/>
      </c>
      <c r="CP123">
        <f>IF($A123="","",AG123+'Beállítások'!$E$37/1000)</f>
        <v/>
      </c>
      <c r="CQ123">
        <f>IF($A123="","",AH123+'Beállítások'!$E$38/1000)</f>
        <v/>
      </c>
      <c r="CR123">
        <f>IF($A123="","",'Beállítások'!$E$6*(10-B123))</f>
        <v/>
      </c>
      <c r="CS123">
        <f>IF($A123="","",'Beállítások'!$E$7*(10-C123))</f>
        <v/>
      </c>
      <c r="CT123">
        <f>IF($A123="","",'Beállítások'!$E$8*(10-D123))</f>
        <v/>
      </c>
      <c r="CU123">
        <f>IF($A123="","",'Beállítások'!$E$9*(10-E123))</f>
        <v/>
      </c>
      <c r="CV123">
        <f>IF($A123="","",'Beállítások'!$E$10*(10-F123))</f>
        <v/>
      </c>
      <c r="CW123">
        <f>IF($A123="","",'Beállítások'!$E$11*(10-G123))</f>
        <v/>
      </c>
      <c r="CX123">
        <f>IF($A123="","",'Beállítások'!$E$12*(10-H123))</f>
        <v/>
      </c>
      <c r="CY123">
        <f>IF($A123="","",'Beállítások'!$E$13*(10-I123))</f>
        <v/>
      </c>
      <c r="CZ123">
        <f>IF($A123="","",'Beállítások'!$E$14*(10-J123))</f>
        <v/>
      </c>
      <c r="DA123">
        <f>IF($A123="","",'Beállítások'!$E$15*(10-K123))</f>
        <v/>
      </c>
      <c r="DB123">
        <f>IF($A123="","",'Beállítások'!$E$16*(10-L123))</f>
        <v/>
      </c>
      <c r="DC123">
        <f>IF($A123="","",'Beállítások'!$E$17*(10-M123))</f>
        <v/>
      </c>
      <c r="DD123">
        <f>IF($A123="","",'Beállítások'!$E$18*(10-N123))</f>
        <v/>
      </c>
      <c r="DE123">
        <f>IF($A123="","",'Beállítások'!$E$19*(10-O123))</f>
        <v/>
      </c>
      <c r="DF123">
        <f>IF($A123="","",'Beállítások'!$E$20*(10-P123))</f>
        <v/>
      </c>
      <c r="DG123">
        <f>IF($A123="","",'Beállítások'!$E$21*(10-Q123))</f>
        <v/>
      </c>
      <c r="DH123">
        <f>IF($A123="","",'Beállítások'!$E$22*(10-R123))</f>
        <v/>
      </c>
      <c r="DI123">
        <f>IF($A123="","",'Beállítások'!$E$23*(10-S123))</f>
        <v/>
      </c>
      <c r="DJ123">
        <f>IF($A123="","",'Beállítások'!$E$24*(10-T123))</f>
        <v/>
      </c>
      <c r="DK123">
        <f>IF($A123="","",'Beállítások'!$E$25*(10-U123))</f>
        <v/>
      </c>
      <c r="DL123">
        <f>IF($A123="","",'Beállítások'!$E$26*(10-V123))</f>
        <v/>
      </c>
      <c r="DM123">
        <f>IF($A123="","",'Beállítások'!$E$27*(10-W123))</f>
        <v/>
      </c>
      <c r="DN123">
        <f>IF($A123="","",'Beállítások'!$E$28*(10-X123))</f>
        <v/>
      </c>
      <c r="DO123">
        <f>IF($A123="","",'Beállítások'!$E$29*(10-Y123))</f>
        <v/>
      </c>
      <c r="DP123">
        <f>IF($A123="","",'Beállítások'!$E$30*(10-Z123))</f>
        <v/>
      </c>
      <c r="DQ123">
        <f>IF($A123="","",'Beállítások'!$E$31*(10-AA123))</f>
        <v/>
      </c>
      <c r="DR123">
        <f>IF($A123="","",'Beállítások'!$E$32*(10-AB123))</f>
        <v/>
      </c>
      <c r="DS123">
        <f>IF($A123="","",'Beállítások'!$E$33*(10-AC123))</f>
        <v/>
      </c>
      <c r="DT123">
        <f>IF($A123="","",'Beállítások'!$E$34*(10-AD123))</f>
        <v/>
      </c>
      <c r="DU123">
        <f>IF($A123="","",'Beállítások'!$E$35*(10-AE123))</f>
        <v/>
      </c>
      <c r="DV123">
        <f>IF($A123="","",'Beállítások'!$E$36*(10-AF123))</f>
        <v/>
      </c>
      <c r="DW123">
        <f>IF($A123="","",'Beállítások'!$E$37*(10-AG123))</f>
        <v/>
      </c>
      <c r="DX123">
        <f>IF($A123="","",'Beállítások'!$E$38*(10-AH123))</f>
        <v/>
      </c>
      <c r="DY123">
        <f>IF($A123="","",AM123-ROW()/100000)</f>
        <v/>
      </c>
    </row>
    <row r="124">
      <c r="A124">
        <f>IF('Ügyfelek'!A124="","",'Ügyfelek'!A124)</f>
        <v/>
      </c>
      <c r="B124">
        <f>IF($A124="","",IF('Ügyfelek'!B124="",'Beállítások'!$B$84,IFERROR(VLOOKUP(TRIM('Ügyfelek'!B124),'Beállítások'!$A$51:$B$59,2,FALSE),'Beállítások'!$B$84)))</f>
        <v/>
      </c>
      <c r="C124">
        <f>IF($A124="","",IF('Ügyfelek'!C124="",'Beállítások'!$B$84,MIN(10,MAX(1,ROUND('Ügyfelek'!C124,0)))))</f>
        <v/>
      </c>
      <c r="D124">
        <f>IF($A124="","",IF('Ügyfelek'!D124="",'Beállítások'!$B$84,MIN(10,MAX(1,ROUND('Ügyfelek'!D124,0)))))</f>
        <v/>
      </c>
      <c r="E124">
        <f>IF($A124="","",IF('Ügyfelek'!E124="",'Beállítások'!$B$84,MIN(10,MAX(1,ROUND('Ügyfelek'!E124,0)))))</f>
        <v/>
      </c>
      <c r="F124">
        <f>IF($A124="","",IF('Ügyfelek'!F124="",'Beállítások'!$B$84,MIN(10,MAX(1,ROUND('Ügyfelek'!F124,0)))))</f>
        <v/>
      </c>
      <c r="G124">
        <f>IF($A124="","",IF('Ügyfelek'!G124="",'Beállítások'!$B$84,MIN(10,MAX(1,ROUND('Ügyfelek'!G124,0)))))</f>
        <v/>
      </c>
      <c r="H124">
        <f>IF($A124="","",IF('Ügyfelek'!H124="",'Beállítások'!$B$84,MIN(10,MAX(1,ROUND('Ügyfelek'!H124,0)))))</f>
        <v/>
      </c>
      <c r="I124">
        <f>IF($A124="","",IF('Ügyfelek'!I124="",'Beállítások'!$B$84,MIN(10,MAX(1,ROUND('Ügyfelek'!I124,0)))))</f>
        <v/>
      </c>
      <c r="J124">
        <f>IF($A124="","",IF('Ügyfelek'!J124="",'Beállítások'!$B$84,MIN(10,MAX(1,ROUND('Ügyfelek'!J124,0)))))</f>
        <v/>
      </c>
      <c r="K124">
        <f>IF($A124="","",IF('Ügyfelek'!K124="",'Beállítások'!$B$84,MIN(10,MAX(1,ROUND('Ügyfelek'!K124,0)))))</f>
        <v/>
      </c>
      <c r="L124">
        <f>IF($A124="","",IF('Ügyfelek'!L124="",'Beállítások'!$B$84,MIN(10,MAX(1,ROUND('Ügyfelek'!L124,0)))))</f>
        <v/>
      </c>
      <c r="M124">
        <f>IF($A124="","",IF('Ügyfelek'!M124="",'Beállítások'!$B$84,MIN(10,MAX(1,ROUND('Ügyfelek'!M124,0)))))</f>
        <v/>
      </c>
      <c r="N124">
        <f>IF($A124="","",IF('Ügyfelek'!N124="",'Beállítások'!$B$84,MIN(10,MAX(1,ROUND('Ügyfelek'!N124,0)))))</f>
        <v/>
      </c>
      <c r="O124">
        <f>IF($A124="","",IF('Ügyfelek'!O124="",'Beállítások'!$B$84,MIN(10,MAX(1,ROUND('Ügyfelek'!O124,0)))))</f>
        <v/>
      </c>
      <c r="P124">
        <f>IF($A124="","",IF('Ügyfelek'!P124="",'Beállítások'!$B$84,MIN(10,MAX(1,ROUND('Ügyfelek'!P124,0)))))</f>
        <v/>
      </c>
      <c r="Q124">
        <f>IF($A124="","",IF('Ügyfelek'!Q124="",'Beállítások'!$B$84,MIN(10,MAX(1,ROUND('Ügyfelek'!Q124,0)))))</f>
        <v/>
      </c>
      <c r="R124">
        <f>IF($A124="","",IF('Ügyfelek'!R124="",'Beállítások'!$B$84,MIN(10,MAX(1,ROUND('Ügyfelek'!R124,0)))))</f>
        <v/>
      </c>
      <c r="S124">
        <f>IF($A124="","",IF('Ügyfelek'!S124="",'Beállítások'!$B$84,MIN(10,MAX(1,ROUND('Ügyfelek'!S124,0)))))</f>
        <v/>
      </c>
      <c r="T124">
        <f>IF($A124="","",IF('Ügyfelek'!T124="",'Beállítások'!$B$84,VLOOKUP(MAX('Ügyfelek'!T124,'Beállítások'!$H$7),'Beállítások'!$H$7:$I$12,2,TRUE)))</f>
        <v/>
      </c>
      <c r="U124">
        <f>IF($A124="","",IF('Ügyfelek'!U124="",'Beállítások'!$B$84,VLOOKUP(MAX('Ügyfelek'!U124,'Beállítások'!$K$7),'Beállítások'!$K$7:$L$12,2,TRUE)))</f>
        <v/>
      </c>
      <c r="V124">
        <f>IF($A124="","",IF('Ügyfelek'!V124="",'Beállítások'!$B$84,MIN(10,MAX(1,ROUND('Ügyfelek'!V124,0)))))</f>
        <v/>
      </c>
      <c r="W124">
        <f>IF($A124="","",IF('Ügyfelek'!W124="",'Beállítások'!$B$84,VLOOKUP(MAX('Ügyfelek'!W124,'Beállítások'!$N$7),'Beállítások'!$N$7:$O$12,2,TRUE)))</f>
        <v/>
      </c>
      <c r="X124">
        <f>IF($A124="","",IF('Ügyfelek'!X124="",'Beállítások'!$B$84,MIN(10,MAX(1,ROUND('Ügyfelek'!X124,0)))))</f>
        <v/>
      </c>
      <c r="Y124">
        <f>IF($A124="","",IF('Ügyfelek'!Y124="",'Beállítások'!$B$84,IFERROR(VLOOKUP(TRIM('Ügyfelek'!Y124),'Beállítások'!$A$63:$B$69,2,FALSE),'Beállítások'!$B$84)))</f>
        <v/>
      </c>
      <c r="Z124">
        <f>IF($A124="","",IF('Ügyfelek'!Z124="",'Beállítások'!$B$84,VLOOKUP(MAX('Ügyfelek'!Z124,'Beállítások'!$Q$7),'Beállítások'!$Q$7:$R$12,2,TRUE)))</f>
        <v/>
      </c>
      <c r="AA124">
        <f>IF($A124="","",IF('Ügyfelek'!AA124="",'Beállítások'!$B$84,VLOOKUP(MAX('Ügyfelek'!AA124,'Beállítások'!$T$7),'Beállítások'!$T$7:$U$12,2,TRUE)))</f>
        <v/>
      </c>
      <c r="AB124">
        <f>IF($A124="","",IF('Ügyfelek'!AB124="",'Beállítások'!$B$84,MIN(10,MAX(1,ROUND('Ügyfelek'!AB124,0)))))</f>
        <v/>
      </c>
      <c r="AC124">
        <f>IF($A124="","",IF('Ügyfelek'!AC124="",'Beállítások'!$B$84,MIN(10,MAX(1,ROUND('Ügyfelek'!AC124,0)))))</f>
        <v/>
      </c>
      <c r="AD124">
        <f>IF($A124="","",IF('Ügyfelek'!AD124="",'Beállítások'!$B$84,MIN(10,MAX(1,ROUND('Ügyfelek'!AD124,0)))))</f>
        <v/>
      </c>
      <c r="AE124">
        <f>IF($A124="","",IF('Ügyfelek'!AE124="",'Beállítások'!$B$84,MIN(10,MAX(1,ROUND('Ügyfelek'!AE124,0)))))</f>
        <v/>
      </c>
      <c r="AF124">
        <f>IF($A124="","",IF('Ügyfelek'!AF124="",'Beállítások'!$B$84,MIN(10,MAX(1,ROUND('Ügyfelek'!AF124,0)))))</f>
        <v/>
      </c>
      <c r="AG124">
        <f>IF($A124="","",IF('Ügyfelek'!AG124="",'Beállítások'!$B$84,MIN(10,MAX(1,ROUND('Ügyfelek'!AG124,0)))))</f>
        <v/>
      </c>
      <c r="AH124">
        <f>IF($A124="","",IF('Ügyfelek'!AH124="",'Beállítások'!$B$84,IFERROR(VLOOKUP(TRIM('Ügyfelek'!AH124),'Beállítások'!$A$73:$B$79,2,FALSE),'Beállítások'!$B$84)))</f>
        <v/>
      </c>
      <c r="AI124" s="23">
        <f>IF($A124="","",ROUND(100*('Beállítások'!$E$6*(B124-1)+'Beállítások'!$E$7*(C124-1))/(9*'Beállítások'!$B$43),1))</f>
        <v/>
      </c>
      <c r="AJ124" s="23">
        <f>IF($A124="","",ROUND(100*('Beállítások'!$E$8*(D124-1)+'Beállítások'!$E$9*(E124-1)+'Beállítások'!$E$10*(F124-1)+'Beállítások'!$E$11*(G124-1)+'Beállítások'!$E$12*(H124-1)+'Beállítások'!$E$13*(I124-1)+'Beállítások'!$E$14*(J124-1)+'Beállítások'!$E$15*(K124-1)+'Beállítások'!$E$16*(L124-1)+'Beállítások'!$E$17*(M124-1)+'Beállítások'!$E$18*(N124-1)+'Beállítások'!$E$19*(O124-1)+'Beállítások'!$E$20*(P124-1)+'Beállítások'!$E$21*(Q124-1)+'Beállítások'!$E$22*(R124-1))/(9*'Beállítások'!$B$44),1))</f>
        <v/>
      </c>
      <c r="AK124" s="23">
        <f>IF($A124="","",ROUND(100*('Beállítások'!$E$23*(S124-1)+'Beállítások'!$E$24*(T124-1)+'Beállítások'!$E$25*(U124-1)+'Beállítások'!$E$26*(V124-1)+'Beállítások'!$E$27*(W124-1)+'Beállítások'!$E$28*(X124-1)+'Beállítások'!$E$29*(Y124-1))/(9*'Beállítások'!$B$45),1))</f>
        <v/>
      </c>
      <c r="AL124" s="23">
        <f>IF($A124="","",ROUND(100*('Beállítások'!$E$30*(Z124-1)+'Beállítások'!$E$31*(AA124-1)+'Beállítások'!$E$32*(AB124-1)+'Beállítások'!$E$33*(AC124-1)+'Beállítások'!$E$34*(AD124-1)+'Beállítások'!$E$35*(AE124-1)+'Beállítások'!$E$36*(AF124-1)+'Beállítások'!$E$37*(AG124-1)+'Beállítások'!$E$38*(AH124-1))/(9*'Beállítások'!$B$46),1))</f>
        <v/>
      </c>
      <c r="AM124" s="23">
        <f>IF($A124="","",ROUND(100*('Beállítások'!$E$6*(B124-1)+'Beállítások'!$E$7*(C124-1)+'Beállítások'!$E$8*(D124-1)+'Beállítások'!$E$9*(E124-1)+'Beállítások'!$E$10*(F124-1)+'Beállítások'!$E$11*(G124-1)+'Beállítások'!$E$12*(H124-1)+'Beállítások'!$E$13*(I124-1)+'Beállítások'!$E$14*(J124-1)+'Beállítások'!$E$15*(K124-1)+'Beállítások'!$E$16*(L124-1)+'Beállítások'!$E$17*(M124-1)+'Beállítások'!$E$18*(N124-1)+'Beállítások'!$E$19*(O124-1)+'Beállítások'!$E$20*(P124-1)+'Beállítások'!$E$21*(Q124-1)+'Beállítások'!$E$22*(R124-1)+'Beállítások'!$E$23*(S124-1)+'Beállítások'!$E$24*(T124-1)+'Beállítások'!$E$25*(U124-1)+'Beállítások'!$E$26*(V124-1)+'Beállítások'!$E$27*(W124-1)+'Beállítások'!$E$28*(X124-1)+'Beállítások'!$E$29*(Y124-1)+'Beállítások'!$E$30*(Z124-1)+'Beállítások'!$E$31*(AA124-1)+'Beállítások'!$E$32*(AB124-1)+'Beállítások'!$E$33*(AC124-1)+'Beállítások'!$E$34*(AD124-1)+'Beállítások'!$E$35*(AE124-1)+'Beállítások'!$E$36*(AF124-1)+'Beállítások'!$E$37*(AG124-1)+'Beállítások'!$E$38*(AH124-1))/(9*'Beállítások'!$E$39),1))</f>
        <v/>
      </c>
      <c r="AN124" s="23">
        <f>IF($A124="","",ROUND(100*('Beállítások'!$E$8*(D124-1)+'Beállítások'!$E$9*(E124-1)+'Beállítások'!$E$10*(F124-1)+'Beállítások'!$E$11*(G124-1)+'Beállítások'!$E$12*(H124-1)+'Beállítások'!$E$13*(I124-1)+'Beállítások'!$E$14*(J124-1)+'Beállítások'!$E$15*(K124-1)+'Beállítások'!$E$16*(L124-1)+'Beállítások'!$E$17*(M124-1)+'Beállítások'!$E$18*(N124-1)+'Beállítások'!$E$19*(O124-1)+'Beállítások'!$E$20*(P124-1)+'Beállítások'!$E$21*(Q124-1)+'Beállítások'!$E$22*(R124-1)+'Beállítások'!$E$23*(S124-1)+'Beállítások'!$E$24*(T124-1)+'Beállítások'!$E$25*(U124-1)+'Beállítások'!$E$26*(V124-1)+'Beállítások'!$E$27*(W124-1)+'Beállítások'!$E$28*(X124-1)+'Beállítások'!$E$29*(Y124-1))/(9*('Beállítások'!$B$44+'Beállítások'!$B$45)),1))</f>
        <v/>
      </c>
      <c r="AO124" s="24">
        <f>IF($A124="","",RANK(AM124,$AM$2:$AM$201))</f>
        <v/>
      </c>
      <c r="AP124">
        <f>IF($A124="","",IF(OR(AND('Ügyfelek'!B124&lt;&gt;"",B124&lt;='Beállítások'!$B$85),AND('Ügyfelek'!C124&lt;&gt;"",C124&lt;='Beállítások'!$B$86)),"Igen","Nem"))</f>
        <v/>
      </c>
      <c r="AQ124" s="24">
        <f>IF($A124="","",IF(AP124="Igen",5,IF(AN124&gt;='Beállítások'!$C$108,1,IF(AN124&gt;='Beállítások'!$C$109,2,IF(AN124&gt;='Beállítások'!$C$110,3,IF(AND(AN124&gt;='Beállítások'!$B$87,AI124&gt;='Beállítások'!$B$88,AL124&gt;='Beállítások'!$B$89),4,5))))))</f>
        <v/>
      </c>
      <c r="AR124">
        <f>IF($A124="","",INDEX('Beállítások'!$B$108:$B$112,AQ124))</f>
        <v/>
      </c>
      <c r="AS124">
        <f>IF($A124="","",IF(AQ124=5,"Elutasítjuk",IF(AND(AQ124=4,COUNTIFS('Eredmény'!$AQ$2:$AQ$201,4,'Eredmény'!$DY$2:$DY$201,"&gt;"&amp;DY124)&gt;='Beállítások'!$B$90),"Várólista (a 4-es hely foglalt)","Elfogadjuk")))</f>
        <v/>
      </c>
      <c r="AT124">
        <f>IF($A124="","",INDEX('Beállítások'!$F$108:$F$112,AQ124))</f>
        <v/>
      </c>
      <c r="AU124">
        <f>IF($A124="","",INDEX('Beállítások'!$B$6:$B$38,MATCH(MAX(BK124:CQ124),BK124:CQ124,0)))</f>
        <v/>
      </c>
      <c r="AV124">
        <f>IF($A124="","",IF(MAX(CR124:DX124)=0,"—",INDEX('Beállítások'!$B$6:$B$38,MATCH(MAX(CR124:DX124),CR124:DX124,0))))</f>
        <v/>
      </c>
      <c r="AW124" s="10">
        <f>IF($A124="","",'Beállítások'!$B$94*(TRIM('Ügyfelek'!AI124)="igen")+'Beállítások'!$B$95*(TRIM('Ügyfelek'!AJ124)="igen")+'Beállítások'!$B$96*N('Ügyfelek'!AK124)+'Beállítások'!$B$93*N('Ügyfelek'!AL124))</f>
        <v/>
      </c>
      <c r="AX124" s="25">
        <f>IF(OR($A124="",AQ124=5),"",INDEX('Beállítások'!$D$108:$D$112,AQ124))</f>
        <v/>
      </c>
      <c r="AY124" s="10">
        <f>IF($A124="","",N('Ügyfelek'!U124)*'Beállítások'!$B$98)</f>
        <v/>
      </c>
      <c r="AZ124" s="10">
        <f>IF(OR($A124="",AQ124=5),"",CEILING(ROUND(MAX('Beállítások'!$B$97,AW124*AX124,AY124),2),'Beállítások'!$B$99))</f>
        <v/>
      </c>
      <c r="BA124">
        <f>IF($A124="","",IF(AQ124=5,"Elutasítva",IF(MAX('Beállítások'!$B$97,AW124*AX124,AY124)=AW124*AX124,"Munkaigény × státuszszorzó",IF(MAX('Beállítások'!$B$97,AW124*AX124,AY124)=AY124,"Hirdetési keret arányában","Minimumdíj"))))</f>
        <v/>
      </c>
      <c r="BB124" s="10">
        <f>IF(OR($A124="",'Ügyfelek'!AM124=""),"",'Ügyfelek'!AM124)</f>
        <v/>
      </c>
      <c r="BC124" s="10">
        <f>IF(OR(BB124="",AZ124=""),"",AZ124-BB124)</f>
        <v/>
      </c>
      <c r="BD124" s="18">
        <f>IF(OR(BB124="",AZ124="",BB124=0),"",BC124/BB124)</f>
        <v/>
      </c>
      <c r="BE124">
        <f>IF(OR($A124="",AQ124=5),"",IF(AND(INDEX('Beállítások'!$E$108:$E$112,AQ124)&gt;0,Y124&gt;='Beállítások'!$B$91),"Igen","Nem"))</f>
        <v/>
      </c>
      <c r="BF124" s="10">
        <f>IF(BE124="Igen",CEILING(ROUND(AZ124*(1-'Beállítások'!$B$92),2),'Beállítások'!$B$99),"")</f>
        <v/>
      </c>
      <c r="BG124" s="20">
        <f>IF(BE124="Igen",INDEX('Beállítások'!$E$108:$E$112,AQ124),"")</f>
        <v/>
      </c>
      <c r="BH124" s="10">
        <f>IF(OR(BE124&lt;&gt;"Igen",'Ügyfelek'!AN124=""),"",'Ügyfelek'!AN124*BG124)</f>
        <v/>
      </c>
      <c r="BI124" s="24">
        <f>IF($A124="","",('Ügyfelek'!B124="")+('Ügyfelek'!C124="")+('Ügyfelek'!D124="")+('Ügyfelek'!E124="")+('Ügyfelek'!F124="")+('Ügyfelek'!G124="")+('Ügyfelek'!H124="")+('Ügyfelek'!I124="")+('Ügyfelek'!J124="")+('Ügyfelek'!K124="")+('Ügyfelek'!L124="")+('Ügyfelek'!M124="")+('Ügyfelek'!N124="")+('Ügyfelek'!O124="")+('Ügyfelek'!P124="")+('Ügyfelek'!Q124="")+('Ügyfelek'!R124="")+('Ügyfelek'!S124="")+('Ügyfelek'!T124="")+('Ügyfelek'!U124="")+('Ügyfelek'!V124="")+('Ügyfelek'!W124="")+('Ügyfelek'!X124="")+('Ügyfelek'!Y124="")+('Ügyfelek'!Z124="")+('Ügyfelek'!AA124="")+('Ügyfelek'!AB124="")+('Ügyfelek'!AC124="")+('Ügyfelek'!AD124="")+('Ügyfelek'!AE124="")+('Ügyfelek'!AF124="")+('Ügyfelek'!AG124="")+('Ügyfelek'!AH124=""))</f>
        <v/>
      </c>
      <c r="BK124">
        <f>IF($A124="","",B124+'Beállítások'!$E$6/1000)</f>
        <v/>
      </c>
      <c r="BL124">
        <f>IF($A124="","",C124+'Beállítások'!$E$7/1000)</f>
        <v/>
      </c>
      <c r="BM124">
        <f>IF($A124="","",D124+'Beállítások'!$E$8/1000)</f>
        <v/>
      </c>
      <c r="BN124">
        <f>IF($A124="","",E124+'Beállítások'!$E$9/1000)</f>
        <v/>
      </c>
      <c r="BO124">
        <f>IF($A124="","",F124+'Beállítások'!$E$10/1000)</f>
        <v/>
      </c>
      <c r="BP124">
        <f>IF($A124="","",G124+'Beállítások'!$E$11/1000)</f>
        <v/>
      </c>
      <c r="BQ124">
        <f>IF($A124="","",H124+'Beállítások'!$E$12/1000)</f>
        <v/>
      </c>
      <c r="BR124">
        <f>IF($A124="","",I124+'Beállítások'!$E$13/1000)</f>
        <v/>
      </c>
      <c r="BS124">
        <f>IF($A124="","",J124+'Beállítások'!$E$14/1000)</f>
        <v/>
      </c>
      <c r="BT124">
        <f>IF($A124="","",K124+'Beállítások'!$E$15/1000)</f>
        <v/>
      </c>
      <c r="BU124">
        <f>IF($A124="","",L124+'Beállítások'!$E$16/1000)</f>
        <v/>
      </c>
      <c r="BV124">
        <f>IF($A124="","",M124+'Beállítások'!$E$17/1000)</f>
        <v/>
      </c>
      <c r="BW124">
        <f>IF($A124="","",N124+'Beállítások'!$E$18/1000)</f>
        <v/>
      </c>
      <c r="BX124">
        <f>IF($A124="","",O124+'Beállítások'!$E$19/1000)</f>
        <v/>
      </c>
      <c r="BY124">
        <f>IF($A124="","",P124+'Beállítások'!$E$20/1000)</f>
        <v/>
      </c>
      <c r="BZ124">
        <f>IF($A124="","",Q124+'Beállítások'!$E$21/1000)</f>
        <v/>
      </c>
      <c r="CA124">
        <f>IF($A124="","",R124+'Beállítások'!$E$22/1000)</f>
        <v/>
      </c>
      <c r="CB124">
        <f>IF($A124="","",S124+'Beállítások'!$E$23/1000)</f>
        <v/>
      </c>
      <c r="CC124">
        <f>IF($A124="","",T124+'Beállítások'!$E$24/1000)</f>
        <v/>
      </c>
      <c r="CD124">
        <f>IF($A124="","",U124+'Beállítások'!$E$25/1000)</f>
        <v/>
      </c>
      <c r="CE124">
        <f>IF($A124="","",V124+'Beállítások'!$E$26/1000)</f>
        <v/>
      </c>
      <c r="CF124">
        <f>IF($A124="","",W124+'Beállítások'!$E$27/1000)</f>
        <v/>
      </c>
      <c r="CG124">
        <f>IF($A124="","",X124+'Beállítások'!$E$28/1000)</f>
        <v/>
      </c>
      <c r="CH124">
        <f>IF($A124="","",Y124+'Beállítások'!$E$29/1000)</f>
        <v/>
      </c>
      <c r="CI124">
        <f>IF($A124="","",Z124+'Beállítások'!$E$30/1000)</f>
        <v/>
      </c>
      <c r="CJ124">
        <f>IF($A124="","",AA124+'Beállítások'!$E$31/1000)</f>
        <v/>
      </c>
      <c r="CK124">
        <f>IF($A124="","",AB124+'Beállítások'!$E$32/1000)</f>
        <v/>
      </c>
      <c r="CL124">
        <f>IF($A124="","",AC124+'Beállítások'!$E$33/1000)</f>
        <v/>
      </c>
      <c r="CM124">
        <f>IF($A124="","",AD124+'Beállítások'!$E$34/1000)</f>
        <v/>
      </c>
      <c r="CN124">
        <f>IF($A124="","",AE124+'Beállítások'!$E$35/1000)</f>
        <v/>
      </c>
      <c r="CO124">
        <f>IF($A124="","",AF124+'Beállítások'!$E$36/1000)</f>
        <v/>
      </c>
      <c r="CP124">
        <f>IF($A124="","",AG124+'Beállítások'!$E$37/1000)</f>
        <v/>
      </c>
      <c r="CQ124">
        <f>IF($A124="","",AH124+'Beállítások'!$E$38/1000)</f>
        <v/>
      </c>
      <c r="CR124">
        <f>IF($A124="","",'Beállítások'!$E$6*(10-B124))</f>
        <v/>
      </c>
      <c r="CS124">
        <f>IF($A124="","",'Beállítások'!$E$7*(10-C124))</f>
        <v/>
      </c>
      <c r="CT124">
        <f>IF($A124="","",'Beállítások'!$E$8*(10-D124))</f>
        <v/>
      </c>
      <c r="CU124">
        <f>IF($A124="","",'Beállítások'!$E$9*(10-E124))</f>
        <v/>
      </c>
      <c r="CV124">
        <f>IF($A124="","",'Beállítások'!$E$10*(10-F124))</f>
        <v/>
      </c>
      <c r="CW124">
        <f>IF($A124="","",'Beállítások'!$E$11*(10-G124))</f>
        <v/>
      </c>
      <c r="CX124">
        <f>IF($A124="","",'Beállítások'!$E$12*(10-H124))</f>
        <v/>
      </c>
      <c r="CY124">
        <f>IF($A124="","",'Beállítások'!$E$13*(10-I124))</f>
        <v/>
      </c>
      <c r="CZ124">
        <f>IF($A124="","",'Beállítások'!$E$14*(10-J124))</f>
        <v/>
      </c>
      <c r="DA124">
        <f>IF($A124="","",'Beállítások'!$E$15*(10-K124))</f>
        <v/>
      </c>
      <c r="DB124">
        <f>IF($A124="","",'Beállítások'!$E$16*(10-L124))</f>
        <v/>
      </c>
      <c r="DC124">
        <f>IF($A124="","",'Beállítások'!$E$17*(10-M124))</f>
        <v/>
      </c>
      <c r="DD124">
        <f>IF($A124="","",'Beállítások'!$E$18*(10-N124))</f>
        <v/>
      </c>
      <c r="DE124">
        <f>IF($A124="","",'Beállítások'!$E$19*(10-O124))</f>
        <v/>
      </c>
      <c r="DF124">
        <f>IF($A124="","",'Beállítások'!$E$20*(10-P124))</f>
        <v/>
      </c>
      <c r="DG124">
        <f>IF($A124="","",'Beállítások'!$E$21*(10-Q124))</f>
        <v/>
      </c>
      <c r="DH124">
        <f>IF($A124="","",'Beállítások'!$E$22*(10-R124))</f>
        <v/>
      </c>
      <c r="DI124">
        <f>IF($A124="","",'Beállítások'!$E$23*(10-S124))</f>
        <v/>
      </c>
      <c r="DJ124">
        <f>IF($A124="","",'Beállítások'!$E$24*(10-T124))</f>
        <v/>
      </c>
      <c r="DK124">
        <f>IF($A124="","",'Beállítások'!$E$25*(10-U124))</f>
        <v/>
      </c>
      <c r="DL124">
        <f>IF($A124="","",'Beállítások'!$E$26*(10-V124))</f>
        <v/>
      </c>
      <c r="DM124">
        <f>IF($A124="","",'Beállítások'!$E$27*(10-W124))</f>
        <v/>
      </c>
      <c r="DN124">
        <f>IF($A124="","",'Beállítások'!$E$28*(10-X124))</f>
        <v/>
      </c>
      <c r="DO124">
        <f>IF($A124="","",'Beállítások'!$E$29*(10-Y124))</f>
        <v/>
      </c>
      <c r="DP124">
        <f>IF($A124="","",'Beállítások'!$E$30*(10-Z124))</f>
        <v/>
      </c>
      <c r="DQ124">
        <f>IF($A124="","",'Beállítások'!$E$31*(10-AA124))</f>
        <v/>
      </c>
      <c r="DR124">
        <f>IF($A124="","",'Beállítások'!$E$32*(10-AB124))</f>
        <v/>
      </c>
      <c r="DS124">
        <f>IF($A124="","",'Beállítások'!$E$33*(10-AC124))</f>
        <v/>
      </c>
      <c r="DT124">
        <f>IF($A124="","",'Beállítások'!$E$34*(10-AD124))</f>
        <v/>
      </c>
      <c r="DU124">
        <f>IF($A124="","",'Beállítások'!$E$35*(10-AE124))</f>
        <v/>
      </c>
      <c r="DV124">
        <f>IF($A124="","",'Beállítások'!$E$36*(10-AF124))</f>
        <v/>
      </c>
      <c r="DW124">
        <f>IF($A124="","",'Beállítások'!$E$37*(10-AG124))</f>
        <v/>
      </c>
      <c r="DX124">
        <f>IF($A124="","",'Beállítások'!$E$38*(10-AH124))</f>
        <v/>
      </c>
      <c r="DY124">
        <f>IF($A124="","",AM124-ROW()/100000)</f>
        <v/>
      </c>
    </row>
    <row r="125">
      <c r="A125">
        <f>IF('Ügyfelek'!A125="","",'Ügyfelek'!A125)</f>
        <v/>
      </c>
      <c r="B125">
        <f>IF($A125="","",IF('Ügyfelek'!B125="",'Beállítások'!$B$84,IFERROR(VLOOKUP(TRIM('Ügyfelek'!B125),'Beállítások'!$A$51:$B$59,2,FALSE),'Beállítások'!$B$84)))</f>
        <v/>
      </c>
      <c r="C125">
        <f>IF($A125="","",IF('Ügyfelek'!C125="",'Beállítások'!$B$84,MIN(10,MAX(1,ROUND('Ügyfelek'!C125,0)))))</f>
        <v/>
      </c>
      <c r="D125">
        <f>IF($A125="","",IF('Ügyfelek'!D125="",'Beállítások'!$B$84,MIN(10,MAX(1,ROUND('Ügyfelek'!D125,0)))))</f>
        <v/>
      </c>
      <c r="E125">
        <f>IF($A125="","",IF('Ügyfelek'!E125="",'Beállítások'!$B$84,MIN(10,MAX(1,ROUND('Ügyfelek'!E125,0)))))</f>
        <v/>
      </c>
      <c r="F125">
        <f>IF($A125="","",IF('Ügyfelek'!F125="",'Beállítások'!$B$84,MIN(10,MAX(1,ROUND('Ügyfelek'!F125,0)))))</f>
        <v/>
      </c>
      <c r="G125">
        <f>IF($A125="","",IF('Ügyfelek'!G125="",'Beállítások'!$B$84,MIN(10,MAX(1,ROUND('Ügyfelek'!G125,0)))))</f>
        <v/>
      </c>
      <c r="H125">
        <f>IF($A125="","",IF('Ügyfelek'!H125="",'Beállítások'!$B$84,MIN(10,MAX(1,ROUND('Ügyfelek'!H125,0)))))</f>
        <v/>
      </c>
      <c r="I125">
        <f>IF($A125="","",IF('Ügyfelek'!I125="",'Beállítások'!$B$84,MIN(10,MAX(1,ROUND('Ügyfelek'!I125,0)))))</f>
        <v/>
      </c>
      <c r="J125">
        <f>IF($A125="","",IF('Ügyfelek'!J125="",'Beállítások'!$B$84,MIN(10,MAX(1,ROUND('Ügyfelek'!J125,0)))))</f>
        <v/>
      </c>
      <c r="K125">
        <f>IF($A125="","",IF('Ügyfelek'!K125="",'Beállítások'!$B$84,MIN(10,MAX(1,ROUND('Ügyfelek'!K125,0)))))</f>
        <v/>
      </c>
      <c r="L125">
        <f>IF($A125="","",IF('Ügyfelek'!L125="",'Beállítások'!$B$84,MIN(10,MAX(1,ROUND('Ügyfelek'!L125,0)))))</f>
        <v/>
      </c>
      <c r="M125">
        <f>IF($A125="","",IF('Ügyfelek'!M125="",'Beállítások'!$B$84,MIN(10,MAX(1,ROUND('Ügyfelek'!M125,0)))))</f>
        <v/>
      </c>
      <c r="N125">
        <f>IF($A125="","",IF('Ügyfelek'!N125="",'Beállítások'!$B$84,MIN(10,MAX(1,ROUND('Ügyfelek'!N125,0)))))</f>
        <v/>
      </c>
      <c r="O125">
        <f>IF($A125="","",IF('Ügyfelek'!O125="",'Beállítások'!$B$84,MIN(10,MAX(1,ROUND('Ügyfelek'!O125,0)))))</f>
        <v/>
      </c>
      <c r="P125">
        <f>IF($A125="","",IF('Ügyfelek'!P125="",'Beállítások'!$B$84,MIN(10,MAX(1,ROUND('Ügyfelek'!P125,0)))))</f>
        <v/>
      </c>
      <c r="Q125">
        <f>IF($A125="","",IF('Ügyfelek'!Q125="",'Beállítások'!$B$84,MIN(10,MAX(1,ROUND('Ügyfelek'!Q125,0)))))</f>
        <v/>
      </c>
      <c r="R125">
        <f>IF($A125="","",IF('Ügyfelek'!R125="",'Beállítások'!$B$84,MIN(10,MAX(1,ROUND('Ügyfelek'!R125,0)))))</f>
        <v/>
      </c>
      <c r="S125">
        <f>IF($A125="","",IF('Ügyfelek'!S125="",'Beállítások'!$B$84,MIN(10,MAX(1,ROUND('Ügyfelek'!S125,0)))))</f>
        <v/>
      </c>
      <c r="T125">
        <f>IF($A125="","",IF('Ügyfelek'!T125="",'Beállítások'!$B$84,VLOOKUP(MAX('Ügyfelek'!T125,'Beállítások'!$H$7),'Beállítások'!$H$7:$I$12,2,TRUE)))</f>
        <v/>
      </c>
      <c r="U125">
        <f>IF($A125="","",IF('Ügyfelek'!U125="",'Beállítások'!$B$84,VLOOKUP(MAX('Ügyfelek'!U125,'Beállítások'!$K$7),'Beállítások'!$K$7:$L$12,2,TRUE)))</f>
        <v/>
      </c>
      <c r="V125">
        <f>IF($A125="","",IF('Ügyfelek'!V125="",'Beállítások'!$B$84,MIN(10,MAX(1,ROUND('Ügyfelek'!V125,0)))))</f>
        <v/>
      </c>
      <c r="W125">
        <f>IF($A125="","",IF('Ügyfelek'!W125="",'Beállítások'!$B$84,VLOOKUP(MAX('Ügyfelek'!W125,'Beállítások'!$N$7),'Beállítások'!$N$7:$O$12,2,TRUE)))</f>
        <v/>
      </c>
      <c r="X125">
        <f>IF($A125="","",IF('Ügyfelek'!X125="",'Beállítások'!$B$84,MIN(10,MAX(1,ROUND('Ügyfelek'!X125,0)))))</f>
        <v/>
      </c>
      <c r="Y125">
        <f>IF($A125="","",IF('Ügyfelek'!Y125="",'Beállítások'!$B$84,IFERROR(VLOOKUP(TRIM('Ügyfelek'!Y125),'Beállítások'!$A$63:$B$69,2,FALSE),'Beállítások'!$B$84)))</f>
        <v/>
      </c>
      <c r="Z125">
        <f>IF($A125="","",IF('Ügyfelek'!Z125="",'Beállítások'!$B$84,VLOOKUP(MAX('Ügyfelek'!Z125,'Beállítások'!$Q$7),'Beállítások'!$Q$7:$R$12,2,TRUE)))</f>
        <v/>
      </c>
      <c r="AA125">
        <f>IF($A125="","",IF('Ügyfelek'!AA125="",'Beállítások'!$B$84,VLOOKUP(MAX('Ügyfelek'!AA125,'Beállítások'!$T$7),'Beállítások'!$T$7:$U$12,2,TRUE)))</f>
        <v/>
      </c>
      <c r="AB125">
        <f>IF($A125="","",IF('Ügyfelek'!AB125="",'Beállítások'!$B$84,MIN(10,MAX(1,ROUND('Ügyfelek'!AB125,0)))))</f>
        <v/>
      </c>
      <c r="AC125">
        <f>IF($A125="","",IF('Ügyfelek'!AC125="",'Beállítások'!$B$84,MIN(10,MAX(1,ROUND('Ügyfelek'!AC125,0)))))</f>
        <v/>
      </c>
      <c r="AD125">
        <f>IF($A125="","",IF('Ügyfelek'!AD125="",'Beállítások'!$B$84,MIN(10,MAX(1,ROUND('Ügyfelek'!AD125,0)))))</f>
        <v/>
      </c>
      <c r="AE125">
        <f>IF($A125="","",IF('Ügyfelek'!AE125="",'Beállítások'!$B$84,MIN(10,MAX(1,ROUND('Ügyfelek'!AE125,0)))))</f>
        <v/>
      </c>
      <c r="AF125">
        <f>IF($A125="","",IF('Ügyfelek'!AF125="",'Beállítások'!$B$84,MIN(10,MAX(1,ROUND('Ügyfelek'!AF125,0)))))</f>
        <v/>
      </c>
      <c r="AG125">
        <f>IF($A125="","",IF('Ügyfelek'!AG125="",'Beállítások'!$B$84,MIN(10,MAX(1,ROUND('Ügyfelek'!AG125,0)))))</f>
        <v/>
      </c>
      <c r="AH125">
        <f>IF($A125="","",IF('Ügyfelek'!AH125="",'Beállítások'!$B$84,IFERROR(VLOOKUP(TRIM('Ügyfelek'!AH125),'Beállítások'!$A$73:$B$79,2,FALSE),'Beállítások'!$B$84)))</f>
        <v/>
      </c>
      <c r="AI125" s="23">
        <f>IF($A125="","",ROUND(100*('Beállítások'!$E$6*(B125-1)+'Beállítások'!$E$7*(C125-1))/(9*'Beállítások'!$B$43),1))</f>
        <v/>
      </c>
      <c r="AJ125" s="23">
        <f>IF($A125="","",ROUND(100*('Beállítások'!$E$8*(D125-1)+'Beállítások'!$E$9*(E125-1)+'Beállítások'!$E$10*(F125-1)+'Beállítások'!$E$11*(G125-1)+'Beállítások'!$E$12*(H125-1)+'Beállítások'!$E$13*(I125-1)+'Beállítások'!$E$14*(J125-1)+'Beállítások'!$E$15*(K125-1)+'Beállítások'!$E$16*(L125-1)+'Beállítások'!$E$17*(M125-1)+'Beállítások'!$E$18*(N125-1)+'Beállítások'!$E$19*(O125-1)+'Beállítások'!$E$20*(P125-1)+'Beállítások'!$E$21*(Q125-1)+'Beállítások'!$E$22*(R125-1))/(9*'Beállítások'!$B$44),1))</f>
        <v/>
      </c>
      <c r="AK125" s="23">
        <f>IF($A125="","",ROUND(100*('Beállítások'!$E$23*(S125-1)+'Beállítások'!$E$24*(T125-1)+'Beállítások'!$E$25*(U125-1)+'Beállítások'!$E$26*(V125-1)+'Beállítások'!$E$27*(W125-1)+'Beállítások'!$E$28*(X125-1)+'Beállítások'!$E$29*(Y125-1))/(9*'Beállítások'!$B$45),1))</f>
        <v/>
      </c>
      <c r="AL125" s="23">
        <f>IF($A125="","",ROUND(100*('Beállítások'!$E$30*(Z125-1)+'Beállítások'!$E$31*(AA125-1)+'Beállítások'!$E$32*(AB125-1)+'Beállítások'!$E$33*(AC125-1)+'Beállítások'!$E$34*(AD125-1)+'Beállítások'!$E$35*(AE125-1)+'Beállítások'!$E$36*(AF125-1)+'Beállítások'!$E$37*(AG125-1)+'Beállítások'!$E$38*(AH125-1))/(9*'Beállítások'!$B$46),1))</f>
        <v/>
      </c>
      <c r="AM125" s="23">
        <f>IF($A125="","",ROUND(100*('Beállítások'!$E$6*(B125-1)+'Beállítások'!$E$7*(C125-1)+'Beállítások'!$E$8*(D125-1)+'Beállítások'!$E$9*(E125-1)+'Beállítások'!$E$10*(F125-1)+'Beállítások'!$E$11*(G125-1)+'Beállítások'!$E$12*(H125-1)+'Beállítások'!$E$13*(I125-1)+'Beállítások'!$E$14*(J125-1)+'Beállítások'!$E$15*(K125-1)+'Beállítások'!$E$16*(L125-1)+'Beállítások'!$E$17*(M125-1)+'Beállítások'!$E$18*(N125-1)+'Beállítások'!$E$19*(O125-1)+'Beállítások'!$E$20*(P125-1)+'Beállítások'!$E$21*(Q125-1)+'Beállítások'!$E$22*(R125-1)+'Beállítások'!$E$23*(S125-1)+'Beállítások'!$E$24*(T125-1)+'Beállítások'!$E$25*(U125-1)+'Beállítások'!$E$26*(V125-1)+'Beállítások'!$E$27*(W125-1)+'Beállítások'!$E$28*(X125-1)+'Beállítások'!$E$29*(Y125-1)+'Beállítások'!$E$30*(Z125-1)+'Beállítások'!$E$31*(AA125-1)+'Beállítások'!$E$32*(AB125-1)+'Beállítások'!$E$33*(AC125-1)+'Beállítások'!$E$34*(AD125-1)+'Beállítások'!$E$35*(AE125-1)+'Beállítások'!$E$36*(AF125-1)+'Beállítások'!$E$37*(AG125-1)+'Beállítások'!$E$38*(AH125-1))/(9*'Beállítások'!$E$39),1))</f>
        <v/>
      </c>
      <c r="AN125" s="23">
        <f>IF($A125="","",ROUND(100*('Beállítások'!$E$8*(D125-1)+'Beállítások'!$E$9*(E125-1)+'Beállítások'!$E$10*(F125-1)+'Beállítások'!$E$11*(G125-1)+'Beállítások'!$E$12*(H125-1)+'Beállítások'!$E$13*(I125-1)+'Beállítások'!$E$14*(J125-1)+'Beállítások'!$E$15*(K125-1)+'Beállítások'!$E$16*(L125-1)+'Beállítások'!$E$17*(M125-1)+'Beállítások'!$E$18*(N125-1)+'Beállítások'!$E$19*(O125-1)+'Beállítások'!$E$20*(P125-1)+'Beállítások'!$E$21*(Q125-1)+'Beállítások'!$E$22*(R125-1)+'Beállítások'!$E$23*(S125-1)+'Beállítások'!$E$24*(T125-1)+'Beállítások'!$E$25*(U125-1)+'Beállítások'!$E$26*(V125-1)+'Beállítások'!$E$27*(W125-1)+'Beállítások'!$E$28*(X125-1)+'Beállítások'!$E$29*(Y125-1))/(9*('Beállítások'!$B$44+'Beállítások'!$B$45)),1))</f>
        <v/>
      </c>
      <c r="AO125" s="24">
        <f>IF($A125="","",RANK(AM125,$AM$2:$AM$201))</f>
        <v/>
      </c>
      <c r="AP125">
        <f>IF($A125="","",IF(OR(AND('Ügyfelek'!B125&lt;&gt;"",B125&lt;='Beállítások'!$B$85),AND('Ügyfelek'!C125&lt;&gt;"",C125&lt;='Beállítások'!$B$86)),"Igen","Nem"))</f>
        <v/>
      </c>
      <c r="AQ125" s="24">
        <f>IF($A125="","",IF(AP125="Igen",5,IF(AN125&gt;='Beállítások'!$C$108,1,IF(AN125&gt;='Beállítások'!$C$109,2,IF(AN125&gt;='Beállítások'!$C$110,3,IF(AND(AN125&gt;='Beállítások'!$B$87,AI125&gt;='Beállítások'!$B$88,AL125&gt;='Beállítások'!$B$89),4,5))))))</f>
        <v/>
      </c>
      <c r="AR125">
        <f>IF($A125="","",INDEX('Beállítások'!$B$108:$B$112,AQ125))</f>
        <v/>
      </c>
      <c r="AS125">
        <f>IF($A125="","",IF(AQ125=5,"Elutasítjuk",IF(AND(AQ125=4,COUNTIFS('Eredmény'!$AQ$2:$AQ$201,4,'Eredmény'!$DY$2:$DY$201,"&gt;"&amp;DY125)&gt;='Beállítások'!$B$90),"Várólista (a 4-es hely foglalt)","Elfogadjuk")))</f>
        <v/>
      </c>
      <c r="AT125">
        <f>IF($A125="","",INDEX('Beállítások'!$F$108:$F$112,AQ125))</f>
        <v/>
      </c>
      <c r="AU125">
        <f>IF($A125="","",INDEX('Beállítások'!$B$6:$B$38,MATCH(MAX(BK125:CQ125),BK125:CQ125,0)))</f>
        <v/>
      </c>
      <c r="AV125">
        <f>IF($A125="","",IF(MAX(CR125:DX125)=0,"—",INDEX('Beállítások'!$B$6:$B$38,MATCH(MAX(CR125:DX125),CR125:DX125,0))))</f>
        <v/>
      </c>
      <c r="AW125" s="10">
        <f>IF($A125="","",'Beállítások'!$B$94*(TRIM('Ügyfelek'!AI125)="igen")+'Beállítások'!$B$95*(TRIM('Ügyfelek'!AJ125)="igen")+'Beállítások'!$B$96*N('Ügyfelek'!AK125)+'Beállítások'!$B$93*N('Ügyfelek'!AL125))</f>
        <v/>
      </c>
      <c r="AX125" s="25">
        <f>IF(OR($A125="",AQ125=5),"",INDEX('Beállítások'!$D$108:$D$112,AQ125))</f>
        <v/>
      </c>
      <c r="AY125" s="10">
        <f>IF($A125="","",N('Ügyfelek'!U125)*'Beállítások'!$B$98)</f>
        <v/>
      </c>
      <c r="AZ125" s="10">
        <f>IF(OR($A125="",AQ125=5),"",CEILING(ROUND(MAX('Beállítások'!$B$97,AW125*AX125,AY125),2),'Beállítások'!$B$99))</f>
        <v/>
      </c>
      <c r="BA125">
        <f>IF($A125="","",IF(AQ125=5,"Elutasítva",IF(MAX('Beállítások'!$B$97,AW125*AX125,AY125)=AW125*AX125,"Munkaigény × státuszszorzó",IF(MAX('Beállítások'!$B$97,AW125*AX125,AY125)=AY125,"Hirdetési keret arányában","Minimumdíj"))))</f>
        <v/>
      </c>
      <c r="BB125" s="10">
        <f>IF(OR($A125="",'Ügyfelek'!AM125=""),"",'Ügyfelek'!AM125)</f>
        <v/>
      </c>
      <c r="BC125" s="10">
        <f>IF(OR(BB125="",AZ125=""),"",AZ125-BB125)</f>
        <v/>
      </c>
      <c r="BD125" s="18">
        <f>IF(OR(BB125="",AZ125="",BB125=0),"",BC125/BB125)</f>
        <v/>
      </c>
      <c r="BE125">
        <f>IF(OR($A125="",AQ125=5),"",IF(AND(INDEX('Beállítások'!$E$108:$E$112,AQ125)&gt;0,Y125&gt;='Beállítások'!$B$91),"Igen","Nem"))</f>
        <v/>
      </c>
      <c r="BF125" s="10">
        <f>IF(BE125="Igen",CEILING(ROUND(AZ125*(1-'Beállítások'!$B$92),2),'Beállítások'!$B$99),"")</f>
        <v/>
      </c>
      <c r="BG125" s="20">
        <f>IF(BE125="Igen",INDEX('Beállítások'!$E$108:$E$112,AQ125),"")</f>
        <v/>
      </c>
      <c r="BH125" s="10">
        <f>IF(OR(BE125&lt;&gt;"Igen",'Ügyfelek'!AN125=""),"",'Ügyfelek'!AN125*BG125)</f>
        <v/>
      </c>
      <c r="BI125" s="24">
        <f>IF($A125="","",('Ügyfelek'!B125="")+('Ügyfelek'!C125="")+('Ügyfelek'!D125="")+('Ügyfelek'!E125="")+('Ügyfelek'!F125="")+('Ügyfelek'!G125="")+('Ügyfelek'!H125="")+('Ügyfelek'!I125="")+('Ügyfelek'!J125="")+('Ügyfelek'!K125="")+('Ügyfelek'!L125="")+('Ügyfelek'!M125="")+('Ügyfelek'!N125="")+('Ügyfelek'!O125="")+('Ügyfelek'!P125="")+('Ügyfelek'!Q125="")+('Ügyfelek'!R125="")+('Ügyfelek'!S125="")+('Ügyfelek'!T125="")+('Ügyfelek'!U125="")+('Ügyfelek'!V125="")+('Ügyfelek'!W125="")+('Ügyfelek'!X125="")+('Ügyfelek'!Y125="")+('Ügyfelek'!Z125="")+('Ügyfelek'!AA125="")+('Ügyfelek'!AB125="")+('Ügyfelek'!AC125="")+('Ügyfelek'!AD125="")+('Ügyfelek'!AE125="")+('Ügyfelek'!AF125="")+('Ügyfelek'!AG125="")+('Ügyfelek'!AH125=""))</f>
        <v/>
      </c>
      <c r="BK125">
        <f>IF($A125="","",B125+'Beállítások'!$E$6/1000)</f>
        <v/>
      </c>
      <c r="BL125">
        <f>IF($A125="","",C125+'Beállítások'!$E$7/1000)</f>
        <v/>
      </c>
      <c r="BM125">
        <f>IF($A125="","",D125+'Beállítások'!$E$8/1000)</f>
        <v/>
      </c>
      <c r="BN125">
        <f>IF($A125="","",E125+'Beállítások'!$E$9/1000)</f>
        <v/>
      </c>
      <c r="BO125">
        <f>IF($A125="","",F125+'Beállítások'!$E$10/1000)</f>
        <v/>
      </c>
      <c r="BP125">
        <f>IF($A125="","",G125+'Beállítások'!$E$11/1000)</f>
        <v/>
      </c>
      <c r="BQ125">
        <f>IF($A125="","",H125+'Beállítások'!$E$12/1000)</f>
        <v/>
      </c>
      <c r="BR125">
        <f>IF($A125="","",I125+'Beállítások'!$E$13/1000)</f>
        <v/>
      </c>
      <c r="BS125">
        <f>IF($A125="","",J125+'Beállítások'!$E$14/1000)</f>
        <v/>
      </c>
      <c r="BT125">
        <f>IF($A125="","",K125+'Beállítások'!$E$15/1000)</f>
        <v/>
      </c>
      <c r="BU125">
        <f>IF($A125="","",L125+'Beállítások'!$E$16/1000)</f>
        <v/>
      </c>
      <c r="BV125">
        <f>IF($A125="","",M125+'Beállítások'!$E$17/1000)</f>
        <v/>
      </c>
      <c r="BW125">
        <f>IF($A125="","",N125+'Beállítások'!$E$18/1000)</f>
        <v/>
      </c>
      <c r="BX125">
        <f>IF($A125="","",O125+'Beállítások'!$E$19/1000)</f>
        <v/>
      </c>
      <c r="BY125">
        <f>IF($A125="","",P125+'Beállítások'!$E$20/1000)</f>
        <v/>
      </c>
      <c r="BZ125">
        <f>IF($A125="","",Q125+'Beállítások'!$E$21/1000)</f>
        <v/>
      </c>
      <c r="CA125">
        <f>IF($A125="","",R125+'Beállítások'!$E$22/1000)</f>
        <v/>
      </c>
      <c r="CB125">
        <f>IF($A125="","",S125+'Beállítások'!$E$23/1000)</f>
        <v/>
      </c>
      <c r="CC125">
        <f>IF($A125="","",T125+'Beállítások'!$E$24/1000)</f>
        <v/>
      </c>
      <c r="CD125">
        <f>IF($A125="","",U125+'Beállítások'!$E$25/1000)</f>
        <v/>
      </c>
      <c r="CE125">
        <f>IF($A125="","",V125+'Beállítások'!$E$26/1000)</f>
        <v/>
      </c>
      <c r="CF125">
        <f>IF($A125="","",W125+'Beállítások'!$E$27/1000)</f>
        <v/>
      </c>
      <c r="CG125">
        <f>IF($A125="","",X125+'Beállítások'!$E$28/1000)</f>
        <v/>
      </c>
      <c r="CH125">
        <f>IF($A125="","",Y125+'Beállítások'!$E$29/1000)</f>
        <v/>
      </c>
      <c r="CI125">
        <f>IF($A125="","",Z125+'Beállítások'!$E$30/1000)</f>
        <v/>
      </c>
      <c r="CJ125">
        <f>IF($A125="","",AA125+'Beállítások'!$E$31/1000)</f>
        <v/>
      </c>
      <c r="CK125">
        <f>IF($A125="","",AB125+'Beállítások'!$E$32/1000)</f>
        <v/>
      </c>
      <c r="CL125">
        <f>IF($A125="","",AC125+'Beállítások'!$E$33/1000)</f>
        <v/>
      </c>
      <c r="CM125">
        <f>IF($A125="","",AD125+'Beállítások'!$E$34/1000)</f>
        <v/>
      </c>
      <c r="CN125">
        <f>IF($A125="","",AE125+'Beállítások'!$E$35/1000)</f>
        <v/>
      </c>
      <c r="CO125">
        <f>IF($A125="","",AF125+'Beállítások'!$E$36/1000)</f>
        <v/>
      </c>
      <c r="CP125">
        <f>IF($A125="","",AG125+'Beállítások'!$E$37/1000)</f>
        <v/>
      </c>
      <c r="CQ125">
        <f>IF($A125="","",AH125+'Beállítások'!$E$38/1000)</f>
        <v/>
      </c>
      <c r="CR125">
        <f>IF($A125="","",'Beállítások'!$E$6*(10-B125))</f>
        <v/>
      </c>
      <c r="CS125">
        <f>IF($A125="","",'Beállítások'!$E$7*(10-C125))</f>
        <v/>
      </c>
      <c r="CT125">
        <f>IF($A125="","",'Beállítások'!$E$8*(10-D125))</f>
        <v/>
      </c>
      <c r="CU125">
        <f>IF($A125="","",'Beállítások'!$E$9*(10-E125))</f>
        <v/>
      </c>
      <c r="CV125">
        <f>IF($A125="","",'Beállítások'!$E$10*(10-F125))</f>
        <v/>
      </c>
      <c r="CW125">
        <f>IF($A125="","",'Beállítások'!$E$11*(10-G125))</f>
        <v/>
      </c>
      <c r="CX125">
        <f>IF($A125="","",'Beállítások'!$E$12*(10-H125))</f>
        <v/>
      </c>
      <c r="CY125">
        <f>IF($A125="","",'Beállítások'!$E$13*(10-I125))</f>
        <v/>
      </c>
      <c r="CZ125">
        <f>IF($A125="","",'Beállítások'!$E$14*(10-J125))</f>
        <v/>
      </c>
      <c r="DA125">
        <f>IF($A125="","",'Beállítások'!$E$15*(10-K125))</f>
        <v/>
      </c>
      <c r="DB125">
        <f>IF($A125="","",'Beállítások'!$E$16*(10-L125))</f>
        <v/>
      </c>
      <c r="DC125">
        <f>IF($A125="","",'Beállítások'!$E$17*(10-M125))</f>
        <v/>
      </c>
      <c r="DD125">
        <f>IF($A125="","",'Beállítások'!$E$18*(10-N125))</f>
        <v/>
      </c>
      <c r="DE125">
        <f>IF($A125="","",'Beállítások'!$E$19*(10-O125))</f>
        <v/>
      </c>
      <c r="DF125">
        <f>IF($A125="","",'Beállítások'!$E$20*(10-P125))</f>
        <v/>
      </c>
      <c r="DG125">
        <f>IF($A125="","",'Beállítások'!$E$21*(10-Q125))</f>
        <v/>
      </c>
      <c r="DH125">
        <f>IF($A125="","",'Beállítások'!$E$22*(10-R125))</f>
        <v/>
      </c>
      <c r="DI125">
        <f>IF($A125="","",'Beállítások'!$E$23*(10-S125))</f>
        <v/>
      </c>
      <c r="DJ125">
        <f>IF($A125="","",'Beállítások'!$E$24*(10-T125))</f>
        <v/>
      </c>
      <c r="DK125">
        <f>IF($A125="","",'Beállítások'!$E$25*(10-U125))</f>
        <v/>
      </c>
      <c r="DL125">
        <f>IF($A125="","",'Beállítások'!$E$26*(10-V125))</f>
        <v/>
      </c>
      <c r="DM125">
        <f>IF($A125="","",'Beállítások'!$E$27*(10-W125))</f>
        <v/>
      </c>
      <c r="DN125">
        <f>IF($A125="","",'Beállítások'!$E$28*(10-X125))</f>
        <v/>
      </c>
      <c r="DO125">
        <f>IF($A125="","",'Beállítások'!$E$29*(10-Y125))</f>
        <v/>
      </c>
      <c r="DP125">
        <f>IF($A125="","",'Beállítások'!$E$30*(10-Z125))</f>
        <v/>
      </c>
      <c r="DQ125">
        <f>IF($A125="","",'Beállítások'!$E$31*(10-AA125))</f>
        <v/>
      </c>
      <c r="DR125">
        <f>IF($A125="","",'Beállítások'!$E$32*(10-AB125))</f>
        <v/>
      </c>
      <c r="DS125">
        <f>IF($A125="","",'Beállítások'!$E$33*(10-AC125))</f>
        <v/>
      </c>
      <c r="DT125">
        <f>IF($A125="","",'Beállítások'!$E$34*(10-AD125))</f>
        <v/>
      </c>
      <c r="DU125">
        <f>IF($A125="","",'Beállítások'!$E$35*(10-AE125))</f>
        <v/>
      </c>
      <c r="DV125">
        <f>IF($A125="","",'Beállítások'!$E$36*(10-AF125))</f>
        <v/>
      </c>
      <c r="DW125">
        <f>IF($A125="","",'Beállítások'!$E$37*(10-AG125))</f>
        <v/>
      </c>
      <c r="DX125">
        <f>IF($A125="","",'Beállítások'!$E$38*(10-AH125))</f>
        <v/>
      </c>
      <c r="DY125">
        <f>IF($A125="","",AM125-ROW()/100000)</f>
        <v/>
      </c>
    </row>
    <row r="126">
      <c r="A126">
        <f>IF('Ügyfelek'!A126="","",'Ügyfelek'!A126)</f>
        <v/>
      </c>
      <c r="B126">
        <f>IF($A126="","",IF('Ügyfelek'!B126="",'Beállítások'!$B$84,IFERROR(VLOOKUP(TRIM('Ügyfelek'!B126),'Beállítások'!$A$51:$B$59,2,FALSE),'Beállítások'!$B$84)))</f>
        <v/>
      </c>
      <c r="C126">
        <f>IF($A126="","",IF('Ügyfelek'!C126="",'Beállítások'!$B$84,MIN(10,MAX(1,ROUND('Ügyfelek'!C126,0)))))</f>
        <v/>
      </c>
      <c r="D126">
        <f>IF($A126="","",IF('Ügyfelek'!D126="",'Beállítások'!$B$84,MIN(10,MAX(1,ROUND('Ügyfelek'!D126,0)))))</f>
        <v/>
      </c>
      <c r="E126">
        <f>IF($A126="","",IF('Ügyfelek'!E126="",'Beállítások'!$B$84,MIN(10,MAX(1,ROUND('Ügyfelek'!E126,0)))))</f>
        <v/>
      </c>
      <c r="F126">
        <f>IF($A126="","",IF('Ügyfelek'!F126="",'Beállítások'!$B$84,MIN(10,MAX(1,ROUND('Ügyfelek'!F126,0)))))</f>
        <v/>
      </c>
      <c r="G126">
        <f>IF($A126="","",IF('Ügyfelek'!G126="",'Beállítások'!$B$84,MIN(10,MAX(1,ROUND('Ügyfelek'!G126,0)))))</f>
        <v/>
      </c>
      <c r="H126">
        <f>IF($A126="","",IF('Ügyfelek'!H126="",'Beállítások'!$B$84,MIN(10,MAX(1,ROUND('Ügyfelek'!H126,0)))))</f>
        <v/>
      </c>
      <c r="I126">
        <f>IF($A126="","",IF('Ügyfelek'!I126="",'Beállítások'!$B$84,MIN(10,MAX(1,ROUND('Ügyfelek'!I126,0)))))</f>
        <v/>
      </c>
      <c r="J126">
        <f>IF($A126="","",IF('Ügyfelek'!J126="",'Beállítások'!$B$84,MIN(10,MAX(1,ROUND('Ügyfelek'!J126,0)))))</f>
        <v/>
      </c>
      <c r="K126">
        <f>IF($A126="","",IF('Ügyfelek'!K126="",'Beállítások'!$B$84,MIN(10,MAX(1,ROUND('Ügyfelek'!K126,0)))))</f>
        <v/>
      </c>
      <c r="L126">
        <f>IF($A126="","",IF('Ügyfelek'!L126="",'Beállítások'!$B$84,MIN(10,MAX(1,ROUND('Ügyfelek'!L126,0)))))</f>
        <v/>
      </c>
      <c r="M126">
        <f>IF($A126="","",IF('Ügyfelek'!M126="",'Beállítások'!$B$84,MIN(10,MAX(1,ROUND('Ügyfelek'!M126,0)))))</f>
        <v/>
      </c>
      <c r="N126">
        <f>IF($A126="","",IF('Ügyfelek'!N126="",'Beállítások'!$B$84,MIN(10,MAX(1,ROUND('Ügyfelek'!N126,0)))))</f>
        <v/>
      </c>
      <c r="O126">
        <f>IF($A126="","",IF('Ügyfelek'!O126="",'Beállítások'!$B$84,MIN(10,MAX(1,ROUND('Ügyfelek'!O126,0)))))</f>
        <v/>
      </c>
      <c r="P126">
        <f>IF($A126="","",IF('Ügyfelek'!P126="",'Beállítások'!$B$84,MIN(10,MAX(1,ROUND('Ügyfelek'!P126,0)))))</f>
        <v/>
      </c>
      <c r="Q126">
        <f>IF($A126="","",IF('Ügyfelek'!Q126="",'Beállítások'!$B$84,MIN(10,MAX(1,ROUND('Ügyfelek'!Q126,0)))))</f>
        <v/>
      </c>
      <c r="R126">
        <f>IF($A126="","",IF('Ügyfelek'!R126="",'Beállítások'!$B$84,MIN(10,MAX(1,ROUND('Ügyfelek'!R126,0)))))</f>
        <v/>
      </c>
      <c r="S126">
        <f>IF($A126="","",IF('Ügyfelek'!S126="",'Beállítások'!$B$84,MIN(10,MAX(1,ROUND('Ügyfelek'!S126,0)))))</f>
        <v/>
      </c>
      <c r="T126">
        <f>IF($A126="","",IF('Ügyfelek'!T126="",'Beállítások'!$B$84,VLOOKUP(MAX('Ügyfelek'!T126,'Beállítások'!$H$7),'Beállítások'!$H$7:$I$12,2,TRUE)))</f>
        <v/>
      </c>
      <c r="U126">
        <f>IF($A126="","",IF('Ügyfelek'!U126="",'Beállítások'!$B$84,VLOOKUP(MAX('Ügyfelek'!U126,'Beállítások'!$K$7),'Beállítások'!$K$7:$L$12,2,TRUE)))</f>
        <v/>
      </c>
      <c r="V126">
        <f>IF($A126="","",IF('Ügyfelek'!V126="",'Beállítások'!$B$84,MIN(10,MAX(1,ROUND('Ügyfelek'!V126,0)))))</f>
        <v/>
      </c>
      <c r="W126">
        <f>IF($A126="","",IF('Ügyfelek'!W126="",'Beállítások'!$B$84,VLOOKUP(MAX('Ügyfelek'!W126,'Beállítások'!$N$7),'Beállítások'!$N$7:$O$12,2,TRUE)))</f>
        <v/>
      </c>
      <c r="X126">
        <f>IF($A126="","",IF('Ügyfelek'!X126="",'Beállítások'!$B$84,MIN(10,MAX(1,ROUND('Ügyfelek'!X126,0)))))</f>
        <v/>
      </c>
      <c r="Y126">
        <f>IF($A126="","",IF('Ügyfelek'!Y126="",'Beállítások'!$B$84,IFERROR(VLOOKUP(TRIM('Ügyfelek'!Y126),'Beállítások'!$A$63:$B$69,2,FALSE),'Beállítások'!$B$84)))</f>
        <v/>
      </c>
      <c r="Z126">
        <f>IF($A126="","",IF('Ügyfelek'!Z126="",'Beállítások'!$B$84,VLOOKUP(MAX('Ügyfelek'!Z126,'Beállítások'!$Q$7),'Beállítások'!$Q$7:$R$12,2,TRUE)))</f>
        <v/>
      </c>
      <c r="AA126">
        <f>IF($A126="","",IF('Ügyfelek'!AA126="",'Beállítások'!$B$84,VLOOKUP(MAX('Ügyfelek'!AA126,'Beállítások'!$T$7),'Beállítások'!$T$7:$U$12,2,TRUE)))</f>
        <v/>
      </c>
      <c r="AB126">
        <f>IF($A126="","",IF('Ügyfelek'!AB126="",'Beállítások'!$B$84,MIN(10,MAX(1,ROUND('Ügyfelek'!AB126,0)))))</f>
        <v/>
      </c>
      <c r="AC126">
        <f>IF($A126="","",IF('Ügyfelek'!AC126="",'Beállítások'!$B$84,MIN(10,MAX(1,ROUND('Ügyfelek'!AC126,0)))))</f>
        <v/>
      </c>
      <c r="AD126">
        <f>IF($A126="","",IF('Ügyfelek'!AD126="",'Beállítások'!$B$84,MIN(10,MAX(1,ROUND('Ügyfelek'!AD126,0)))))</f>
        <v/>
      </c>
      <c r="AE126">
        <f>IF($A126="","",IF('Ügyfelek'!AE126="",'Beállítások'!$B$84,MIN(10,MAX(1,ROUND('Ügyfelek'!AE126,0)))))</f>
        <v/>
      </c>
      <c r="AF126">
        <f>IF($A126="","",IF('Ügyfelek'!AF126="",'Beállítások'!$B$84,MIN(10,MAX(1,ROUND('Ügyfelek'!AF126,0)))))</f>
        <v/>
      </c>
      <c r="AG126">
        <f>IF($A126="","",IF('Ügyfelek'!AG126="",'Beállítások'!$B$84,MIN(10,MAX(1,ROUND('Ügyfelek'!AG126,0)))))</f>
        <v/>
      </c>
      <c r="AH126">
        <f>IF($A126="","",IF('Ügyfelek'!AH126="",'Beállítások'!$B$84,IFERROR(VLOOKUP(TRIM('Ügyfelek'!AH126),'Beállítások'!$A$73:$B$79,2,FALSE),'Beállítások'!$B$84)))</f>
        <v/>
      </c>
      <c r="AI126" s="23">
        <f>IF($A126="","",ROUND(100*('Beállítások'!$E$6*(B126-1)+'Beállítások'!$E$7*(C126-1))/(9*'Beállítások'!$B$43),1))</f>
        <v/>
      </c>
      <c r="AJ126" s="23">
        <f>IF($A126="","",ROUND(100*('Beállítások'!$E$8*(D126-1)+'Beállítások'!$E$9*(E126-1)+'Beállítások'!$E$10*(F126-1)+'Beállítások'!$E$11*(G126-1)+'Beállítások'!$E$12*(H126-1)+'Beállítások'!$E$13*(I126-1)+'Beállítások'!$E$14*(J126-1)+'Beállítások'!$E$15*(K126-1)+'Beállítások'!$E$16*(L126-1)+'Beállítások'!$E$17*(M126-1)+'Beállítások'!$E$18*(N126-1)+'Beállítások'!$E$19*(O126-1)+'Beállítások'!$E$20*(P126-1)+'Beállítások'!$E$21*(Q126-1)+'Beállítások'!$E$22*(R126-1))/(9*'Beállítások'!$B$44),1))</f>
        <v/>
      </c>
      <c r="AK126" s="23">
        <f>IF($A126="","",ROUND(100*('Beállítások'!$E$23*(S126-1)+'Beállítások'!$E$24*(T126-1)+'Beállítások'!$E$25*(U126-1)+'Beállítások'!$E$26*(V126-1)+'Beállítások'!$E$27*(W126-1)+'Beállítások'!$E$28*(X126-1)+'Beállítások'!$E$29*(Y126-1))/(9*'Beállítások'!$B$45),1))</f>
        <v/>
      </c>
      <c r="AL126" s="23">
        <f>IF($A126="","",ROUND(100*('Beállítások'!$E$30*(Z126-1)+'Beállítások'!$E$31*(AA126-1)+'Beállítások'!$E$32*(AB126-1)+'Beállítások'!$E$33*(AC126-1)+'Beállítások'!$E$34*(AD126-1)+'Beállítások'!$E$35*(AE126-1)+'Beállítások'!$E$36*(AF126-1)+'Beállítások'!$E$37*(AG126-1)+'Beállítások'!$E$38*(AH126-1))/(9*'Beállítások'!$B$46),1))</f>
        <v/>
      </c>
      <c r="AM126" s="23">
        <f>IF($A126="","",ROUND(100*('Beállítások'!$E$6*(B126-1)+'Beállítások'!$E$7*(C126-1)+'Beállítások'!$E$8*(D126-1)+'Beállítások'!$E$9*(E126-1)+'Beállítások'!$E$10*(F126-1)+'Beállítások'!$E$11*(G126-1)+'Beállítások'!$E$12*(H126-1)+'Beállítások'!$E$13*(I126-1)+'Beállítások'!$E$14*(J126-1)+'Beállítások'!$E$15*(K126-1)+'Beállítások'!$E$16*(L126-1)+'Beállítások'!$E$17*(M126-1)+'Beállítások'!$E$18*(N126-1)+'Beállítások'!$E$19*(O126-1)+'Beállítások'!$E$20*(P126-1)+'Beállítások'!$E$21*(Q126-1)+'Beállítások'!$E$22*(R126-1)+'Beállítások'!$E$23*(S126-1)+'Beállítások'!$E$24*(T126-1)+'Beállítások'!$E$25*(U126-1)+'Beállítások'!$E$26*(V126-1)+'Beállítások'!$E$27*(W126-1)+'Beállítások'!$E$28*(X126-1)+'Beállítások'!$E$29*(Y126-1)+'Beállítások'!$E$30*(Z126-1)+'Beállítások'!$E$31*(AA126-1)+'Beállítások'!$E$32*(AB126-1)+'Beállítások'!$E$33*(AC126-1)+'Beállítások'!$E$34*(AD126-1)+'Beállítások'!$E$35*(AE126-1)+'Beállítások'!$E$36*(AF126-1)+'Beállítások'!$E$37*(AG126-1)+'Beállítások'!$E$38*(AH126-1))/(9*'Beállítások'!$E$39),1))</f>
        <v/>
      </c>
      <c r="AN126" s="23">
        <f>IF($A126="","",ROUND(100*('Beállítások'!$E$8*(D126-1)+'Beállítások'!$E$9*(E126-1)+'Beállítások'!$E$10*(F126-1)+'Beállítások'!$E$11*(G126-1)+'Beállítások'!$E$12*(H126-1)+'Beállítások'!$E$13*(I126-1)+'Beállítások'!$E$14*(J126-1)+'Beállítások'!$E$15*(K126-1)+'Beállítások'!$E$16*(L126-1)+'Beállítások'!$E$17*(M126-1)+'Beállítások'!$E$18*(N126-1)+'Beállítások'!$E$19*(O126-1)+'Beállítások'!$E$20*(P126-1)+'Beállítások'!$E$21*(Q126-1)+'Beállítások'!$E$22*(R126-1)+'Beállítások'!$E$23*(S126-1)+'Beállítások'!$E$24*(T126-1)+'Beállítások'!$E$25*(U126-1)+'Beállítások'!$E$26*(V126-1)+'Beállítások'!$E$27*(W126-1)+'Beállítások'!$E$28*(X126-1)+'Beállítások'!$E$29*(Y126-1))/(9*('Beállítások'!$B$44+'Beállítások'!$B$45)),1))</f>
        <v/>
      </c>
      <c r="AO126" s="24">
        <f>IF($A126="","",RANK(AM126,$AM$2:$AM$201))</f>
        <v/>
      </c>
      <c r="AP126">
        <f>IF($A126="","",IF(OR(AND('Ügyfelek'!B126&lt;&gt;"",B126&lt;='Beállítások'!$B$85),AND('Ügyfelek'!C126&lt;&gt;"",C126&lt;='Beállítások'!$B$86)),"Igen","Nem"))</f>
        <v/>
      </c>
      <c r="AQ126" s="24">
        <f>IF($A126="","",IF(AP126="Igen",5,IF(AN126&gt;='Beállítások'!$C$108,1,IF(AN126&gt;='Beállítások'!$C$109,2,IF(AN126&gt;='Beállítások'!$C$110,3,IF(AND(AN126&gt;='Beállítások'!$B$87,AI126&gt;='Beállítások'!$B$88,AL126&gt;='Beállítások'!$B$89),4,5))))))</f>
        <v/>
      </c>
      <c r="AR126">
        <f>IF($A126="","",INDEX('Beállítások'!$B$108:$B$112,AQ126))</f>
        <v/>
      </c>
      <c r="AS126">
        <f>IF($A126="","",IF(AQ126=5,"Elutasítjuk",IF(AND(AQ126=4,COUNTIFS('Eredmény'!$AQ$2:$AQ$201,4,'Eredmény'!$DY$2:$DY$201,"&gt;"&amp;DY126)&gt;='Beállítások'!$B$90),"Várólista (a 4-es hely foglalt)","Elfogadjuk")))</f>
        <v/>
      </c>
      <c r="AT126">
        <f>IF($A126="","",INDEX('Beállítások'!$F$108:$F$112,AQ126))</f>
        <v/>
      </c>
      <c r="AU126">
        <f>IF($A126="","",INDEX('Beállítások'!$B$6:$B$38,MATCH(MAX(BK126:CQ126),BK126:CQ126,0)))</f>
        <v/>
      </c>
      <c r="AV126">
        <f>IF($A126="","",IF(MAX(CR126:DX126)=0,"—",INDEX('Beállítások'!$B$6:$B$38,MATCH(MAX(CR126:DX126),CR126:DX126,0))))</f>
        <v/>
      </c>
      <c r="AW126" s="10">
        <f>IF($A126="","",'Beállítások'!$B$94*(TRIM('Ügyfelek'!AI126)="igen")+'Beállítások'!$B$95*(TRIM('Ügyfelek'!AJ126)="igen")+'Beállítások'!$B$96*N('Ügyfelek'!AK126)+'Beállítások'!$B$93*N('Ügyfelek'!AL126))</f>
        <v/>
      </c>
      <c r="AX126" s="25">
        <f>IF(OR($A126="",AQ126=5),"",INDEX('Beállítások'!$D$108:$D$112,AQ126))</f>
        <v/>
      </c>
      <c r="AY126" s="10">
        <f>IF($A126="","",N('Ügyfelek'!U126)*'Beállítások'!$B$98)</f>
        <v/>
      </c>
      <c r="AZ126" s="10">
        <f>IF(OR($A126="",AQ126=5),"",CEILING(ROUND(MAX('Beállítások'!$B$97,AW126*AX126,AY126),2),'Beállítások'!$B$99))</f>
        <v/>
      </c>
      <c r="BA126">
        <f>IF($A126="","",IF(AQ126=5,"Elutasítva",IF(MAX('Beállítások'!$B$97,AW126*AX126,AY126)=AW126*AX126,"Munkaigény × státuszszorzó",IF(MAX('Beállítások'!$B$97,AW126*AX126,AY126)=AY126,"Hirdetési keret arányában","Minimumdíj"))))</f>
        <v/>
      </c>
      <c r="BB126" s="10">
        <f>IF(OR($A126="",'Ügyfelek'!AM126=""),"",'Ügyfelek'!AM126)</f>
        <v/>
      </c>
      <c r="BC126" s="10">
        <f>IF(OR(BB126="",AZ126=""),"",AZ126-BB126)</f>
        <v/>
      </c>
      <c r="BD126" s="18">
        <f>IF(OR(BB126="",AZ126="",BB126=0),"",BC126/BB126)</f>
        <v/>
      </c>
      <c r="BE126">
        <f>IF(OR($A126="",AQ126=5),"",IF(AND(INDEX('Beállítások'!$E$108:$E$112,AQ126)&gt;0,Y126&gt;='Beállítások'!$B$91),"Igen","Nem"))</f>
        <v/>
      </c>
      <c r="BF126" s="10">
        <f>IF(BE126="Igen",CEILING(ROUND(AZ126*(1-'Beállítások'!$B$92),2),'Beállítások'!$B$99),"")</f>
        <v/>
      </c>
      <c r="BG126" s="20">
        <f>IF(BE126="Igen",INDEX('Beállítások'!$E$108:$E$112,AQ126),"")</f>
        <v/>
      </c>
      <c r="BH126" s="10">
        <f>IF(OR(BE126&lt;&gt;"Igen",'Ügyfelek'!AN126=""),"",'Ügyfelek'!AN126*BG126)</f>
        <v/>
      </c>
      <c r="BI126" s="24">
        <f>IF($A126="","",('Ügyfelek'!B126="")+('Ügyfelek'!C126="")+('Ügyfelek'!D126="")+('Ügyfelek'!E126="")+('Ügyfelek'!F126="")+('Ügyfelek'!G126="")+('Ügyfelek'!H126="")+('Ügyfelek'!I126="")+('Ügyfelek'!J126="")+('Ügyfelek'!K126="")+('Ügyfelek'!L126="")+('Ügyfelek'!M126="")+('Ügyfelek'!N126="")+('Ügyfelek'!O126="")+('Ügyfelek'!P126="")+('Ügyfelek'!Q126="")+('Ügyfelek'!R126="")+('Ügyfelek'!S126="")+('Ügyfelek'!T126="")+('Ügyfelek'!U126="")+('Ügyfelek'!V126="")+('Ügyfelek'!W126="")+('Ügyfelek'!X126="")+('Ügyfelek'!Y126="")+('Ügyfelek'!Z126="")+('Ügyfelek'!AA126="")+('Ügyfelek'!AB126="")+('Ügyfelek'!AC126="")+('Ügyfelek'!AD126="")+('Ügyfelek'!AE126="")+('Ügyfelek'!AF126="")+('Ügyfelek'!AG126="")+('Ügyfelek'!AH126=""))</f>
        <v/>
      </c>
      <c r="BK126">
        <f>IF($A126="","",B126+'Beállítások'!$E$6/1000)</f>
        <v/>
      </c>
      <c r="BL126">
        <f>IF($A126="","",C126+'Beállítások'!$E$7/1000)</f>
        <v/>
      </c>
      <c r="BM126">
        <f>IF($A126="","",D126+'Beállítások'!$E$8/1000)</f>
        <v/>
      </c>
      <c r="BN126">
        <f>IF($A126="","",E126+'Beállítások'!$E$9/1000)</f>
        <v/>
      </c>
      <c r="BO126">
        <f>IF($A126="","",F126+'Beállítások'!$E$10/1000)</f>
        <v/>
      </c>
      <c r="BP126">
        <f>IF($A126="","",G126+'Beállítások'!$E$11/1000)</f>
        <v/>
      </c>
      <c r="BQ126">
        <f>IF($A126="","",H126+'Beállítások'!$E$12/1000)</f>
        <v/>
      </c>
      <c r="BR126">
        <f>IF($A126="","",I126+'Beállítások'!$E$13/1000)</f>
        <v/>
      </c>
      <c r="BS126">
        <f>IF($A126="","",J126+'Beállítások'!$E$14/1000)</f>
        <v/>
      </c>
      <c r="BT126">
        <f>IF($A126="","",K126+'Beállítások'!$E$15/1000)</f>
        <v/>
      </c>
      <c r="BU126">
        <f>IF($A126="","",L126+'Beállítások'!$E$16/1000)</f>
        <v/>
      </c>
      <c r="BV126">
        <f>IF($A126="","",M126+'Beállítások'!$E$17/1000)</f>
        <v/>
      </c>
      <c r="BW126">
        <f>IF($A126="","",N126+'Beállítások'!$E$18/1000)</f>
        <v/>
      </c>
      <c r="BX126">
        <f>IF($A126="","",O126+'Beállítások'!$E$19/1000)</f>
        <v/>
      </c>
      <c r="BY126">
        <f>IF($A126="","",P126+'Beállítások'!$E$20/1000)</f>
        <v/>
      </c>
      <c r="BZ126">
        <f>IF($A126="","",Q126+'Beállítások'!$E$21/1000)</f>
        <v/>
      </c>
      <c r="CA126">
        <f>IF($A126="","",R126+'Beállítások'!$E$22/1000)</f>
        <v/>
      </c>
      <c r="CB126">
        <f>IF($A126="","",S126+'Beállítások'!$E$23/1000)</f>
        <v/>
      </c>
      <c r="CC126">
        <f>IF($A126="","",T126+'Beállítások'!$E$24/1000)</f>
        <v/>
      </c>
      <c r="CD126">
        <f>IF($A126="","",U126+'Beállítások'!$E$25/1000)</f>
        <v/>
      </c>
      <c r="CE126">
        <f>IF($A126="","",V126+'Beállítások'!$E$26/1000)</f>
        <v/>
      </c>
      <c r="CF126">
        <f>IF($A126="","",W126+'Beállítások'!$E$27/1000)</f>
        <v/>
      </c>
      <c r="CG126">
        <f>IF($A126="","",X126+'Beállítások'!$E$28/1000)</f>
        <v/>
      </c>
      <c r="CH126">
        <f>IF($A126="","",Y126+'Beállítások'!$E$29/1000)</f>
        <v/>
      </c>
      <c r="CI126">
        <f>IF($A126="","",Z126+'Beállítások'!$E$30/1000)</f>
        <v/>
      </c>
      <c r="CJ126">
        <f>IF($A126="","",AA126+'Beállítások'!$E$31/1000)</f>
        <v/>
      </c>
      <c r="CK126">
        <f>IF($A126="","",AB126+'Beállítások'!$E$32/1000)</f>
        <v/>
      </c>
      <c r="CL126">
        <f>IF($A126="","",AC126+'Beállítások'!$E$33/1000)</f>
        <v/>
      </c>
      <c r="CM126">
        <f>IF($A126="","",AD126+'Beállítások'!$E$34/1000)</f>
        <v/>
      </c>
      <c r="CN126">
        <f>IF($A126="","",AE126+'Beállítások'!$E$35/1000)</f>
        <v/>
      </c>
      <c r="CO126">
        <f>IF($A126="","",AF126+'Beállítások'!$E$36/1000)</f>
        <v/>
      </c>
      <c r="CP126">
        <f>IF($A126="","",AG126+'Beállítások'!$E$37/1000)</f>
        <v/>
      </c>
      <c r="CQ126">
        <f>IF($A126="","",AH126+'Beállítások'!$E$38/1000)</f>
        <v/>
      </c>
      <c r="CR126">
        <f>IF($A126="","",'Beállítások'!$E$6*(10-B126))</f>
        <v/>
      </c>
      <c r="CS126">
        <f>IF($A126="","",'Beállítások'!$E$7*(10-C126))</f>
        <v/>
      </c>
      <c r="CT126">
        <f>IF($A126="","",'Beállítások'!$E$8*(10-D126))</f>
        <v/>
      </c>
      <c r="CU126">
        <f>IF($A126="","",'Beállítások'!$E$9*(10-E126))</f>
        <v/>
      </c>
      <c r="CV126">
        <f>IF($A126="","",'Beállítások'!$E$10*(10-F126))</f>
        <v/>
      </c>
      <c r="CW126">
        <f>IF($A126="","",'Beállítások'!$E$11*(10-G126))</f>
        <v/>
      </c>
      <c r="CX126">
        <f>IF($A126="","",'Beállítások'!$E$12*(10-H126))</f>
        <v/>
      </c>
      <c r="CY126">
        <f>IF($A126="","",'Beállítások'!$E$13*(10-I126))</f>
        <v/>
      </c>
      <c r="CZ126">
        <f>IF($A126="","",'Beállítások'!$E$14*(10-J126))</f>
        <v/>
      </c>
      <c r="DA126">
        <f>IF($A126="","",'Beállítások'!$E$15*(10-K126))</f>
        <v/>
      </c>
      <c r="DB126">
        <f>IF($A126="","",'Beállítások'!$E$16*(10-L126))</f>
        <v/>
      </c>
      <c r="DC126">
        <f>IF($A126="","",'Beállítások'!$E$17*(10-M126))</f>
        <v/>
      </c>
      <c r="DD126">
        <f>IF($A126="","",'Beállítások'!$E$18*(10-N126))</f>
        <v/>
      </c>
      <c r="DE126">
        <f>IF($A126="","",'Beállítások'!$E$19*(10-O126))</f>
        <v/>
      </c>
      <c r="DF126">
        <f>IF($A126="","",'Beállítások'!$E$20*(10-P126))</f>
        <v/>
      </c>
      <c r="DG126">
        <f>IF($A126="","",'Beállítások'!$E$21*(10-Q126))</f>
        <v/>
      </c>
      <c r="DH126">
        <f>IF($A126="","",'Beállítások'!$E$22*(10-R126))</f>
        <v/>
      </c>
      <c r="DI126">
        <f>IF($A126="","",'Beállítások'!$E$23*(10-S126))</f>
        <v/>
      </c>
      <c r="DJ126">
        <f>IF($A126="","",'Beállítások'!$E$24*(10-T126))</f>
        <v/>
      </c>
      <c r="DK126">
        <f>IF($A126="","",'Beállítások'!$E$25*(10-U126))</f>
        <v/>
      </c>
      <c r="DL126">
        <f>IF($A126="","",'Beállítások'!$E$26*(10-V126))</f>
        <v/>
      </c>
      <c r="DM126">
        <f>IF($A126="","",'Beállítások'!$E$27*(10-W126))</f>
        <v/>
      </c>
      <c r="DN126">
        <f>IF($A126="","",'Beállítások'!$E$28*(10-X126))</f>
        <v/>
      </c>
      <c r="DO126">
        <f>IF($A126="","",'Beállítások'!$E$29*(10-Y126))</f>
        <v/>
      </c>
      <c r="DP126">
        <f>IF($A126="","",'Beállítások'!$E$30*(10-Z126))</f>
        <v/>
      </c>
      <c r="DQ126">
        <f>IF($A126="","",'Beállítások'!$E$31*(10-AA126))</f>
        <v/>
      </c>
      <c r="DR126">
        <f>IF($A126="","",'Beállítások'!$E$32*(10-AB126))</f>
        <v/>
      </c>
      <c r="DS126">
        <f>IF($A126="","",'Beállítások'!$E$33*(10-AC126))</f>
        <v/>
      </c>
      <c r="DT126">
        <f>IF($A126="","",'Beállítások'!$E$34*(10-AD126))</f>
        <v/>
      </c>
      <c r="DU126">
        <f>IF($A126="","",'Beállítások'!$E$35*(10-AE126))</f>
        <v/>
      </c>
      <c r="DV126">
        <f>IF($A126="","",'Beállítások'!$E$36*(10-AF126))</f>
        <v/>
      </c>
      <c r="DW126">
        <f>IF($A126="","",'Beállítások'!$E$37*(10-AG126))</f>
        <v/>
      </c>
      <c r="DX126">
        <f>IF($A126="","",'Beállítások'!$E$38*(10-AH126))</f>
        <v/>
      </c>
      <c r="DY126">
        <f>IF($A126="","",AM126-ROW()/100000)</f>
        <v/>
      </c>
    </row>
    <row r="127">
      <c r="A127">
        <f>IF('Ügyfelek'!A127="","",'Ügyfelek'!A127)</f>
        <v/>
      </c>
      <c r="B127">
        <f>IF($A127="","",IF('Ügyfelek'!B127="",'Beállítások'!$B$84,IFERROR(VLOOKUP(TRIM('Ügyfelek'!B127),'Beállítások'!$A$51:$B$59,2,FALSE),'Beállítások'!$B$84)))</f>
        <v/>
      </c>
      <c r="C127">
        <f>IF($A127="","",IF('Ügyfelek'!C127="",'Beállítások'!$B$84,MIN(10,MAX(1,ROUND('Ügyfelek'!C127,0)))))</f>
        <v/>
      </c>
      <c r="D127">
        <f>IF($A127="","",IF('Ügyfelek'!D127="",'Beállítások'!$B$84,MIN(10,MAX(1,ROUND('Ügyfelek'!D127,0)))))</f>
        <v/>
      </c>
      <c r="E127">
        <f>IF($A127="","",IF('Ügyfelek'!E127="",'Beállítások'!$B$84,MIN(10,MAX(1,ROUND('Ügyfelek'!E127,0)))))</f>
        <v/>
      </c>
      <c r="F127">
        <f>IF($A127="","",IF('Ügyfelek'!F127="",'Beállítások'!$B$84,MIN(10,MAX(1,ROUND('Ügyfelek'!F127,0)))))</f>
        <v/>
      </c>
      <c r="G127">
        <f>IF($A127="","",IF('Ügyfelek'!G127="",'Beállítások'!$B$84,MIN(10,MAX(1,ROUND('Ügyfelek'!G127,0)))))</f>
        <v/>
      </c>
      <c r="H127">
        <f>IF($A127="","",IF('Ügyfelek'!H127="",'Beállítások'!$B$84,MIN(10,MAX(1,ROUND('Ügyfelek'!H127,0)))))</f>
        <v/>
      </c>
      <c r="I127">
        <f>IF($A127="","",IF('Ügyfelek'!I127="",'Beállítások'!$B$84,MIN(10,MAX(1,ROUND('Ügyfelek'!I127,0)))))</f>
        <v/>
      </c>
      <c r="J127">
        <f>IF($A127="","",IF('Ügyfelek'!J127="",'Beállítások'!$B$84,MIN(10,MAX(1,ROUND('Ügyfelek'!J127,0)))))</f>
        <v/>
      </c>
      <c r="K127">
        <f>IF($A127="","",IF('Ügyfelek'!K127="",'Beállítások'!$B$84,MIN(10,MAX(1,ROUND('Ügyfelek'!K127,0)))))</f>
        <v/>
      </c>
      <c r="L127">
        <f>IF($A127="","",IF('Ügyfelek'!L127="",'Beállítások'!$B$84,MIN(10,MAX(1,ROUND('Ügyfelek'!L127,0)))))</f>
        <v/>
      </c>
      <c r="M127">
        <f>IF($A127="","",IF('Ügyfelek'!M127="",'Beállítások'!$B$84,MIN(10,MAX(1,ROUND('Ügyfelek'!M127,0)))))</f>
        <v/>
      </c>
      <c r="N127">
        <f>IF($A127="","",IF('Ügyfelek'!N127="",'Beállítások'!$B$84,MIN(10,MAX(1,ROUND('Ügyfelek'!N127,0)))))</f>
        <v/>
      </c>
      <c r="O127">
        <f>IF($A127="","",IF('Ügyfelek'!O127="",'Beállítások'!$B$84,MIN(10,MAX(1,ROUND('Ügyfelek'!O127,0)))))</f>
        <v/>
      </c>
      <c r="P127">
        <f>IF($A127="","",IF('Ügyfelek'!P127="",'Beállítások'!$B$84,MIN(10,MAX(1,ROUND('Ügyfelek'!P127,0)))))</f>
        <v/>
      </c>
      <c r="Q127">
        <f>IF($A127="","",IF('Ügyfelek'!Q127="",'Beállítások'!$B$84,MIN(10,MAX(1,ROUND('Ügyfelek'!Q127,0)))))</f>
        <v/>
      </c>
      <c r="R127">
        <f>IF($A127="","",IF('Ügyfelek'!R127="",'Beállítások'!$B$84,MIN(10,MAX(1,ROUND('Ügyfelek'!R127,0)))))</f>
        <v/>
      </c>
      <c r="S127">
        <f>IF($A127="","",IF('Ügyfelek'!S127="",'Beállítások'!$B$84,MIN(10,MAX(1,ROUND('Ügyfelek'!S127,0)))))</f>
        <v/>
      </c>
      <c r="T127">
        <f>IF($A127="","",IF('Ügyfelek'!T127="",'Beállítások'!$B$84,VLOOKUP(MAX('Ügyfelek'!T127,'Beállítások'!$H$7),'Beállítások'!$H$7:$I$12,2,TRUE)))</f>
        <v/>
      </c>
      <c r="U127">
        <f>IF($A127="","",IF('Ügyfelek'!U127="",'Beállítások'!$B$84,VLOOKUP(MAX('Ügyfelek'!U127,'Beállítások'!$K$7),'Beállítások'!$K$7:$L$12,2,TRUE)))</f>
        <v/>
      </c>
      <c r="V127">
        <f>IF($A127="","",IF('Ügyfelek'!V127="",'Beállítások'!$B$84,MIN(10,MAX(1,ROUND('Ügyfelek'!V127,0)))))</f>
        <v/>
      </c>
      <c r="W127">
        <f>IF($A127="","",IF('Ügyfelek'!W127="",'Beállítások'!$B$84,VLOOKUP(MAX('Ügyfelek'!W127,'Beállítások'!$N$7),'Beállítások'!$N$7:$O$12,2,TRUE)))</f>
        <v/>
      </c>
      <c r="X127">
        <f>IF($A127="","",IF('Ügyfelek'!X127="",'Beállítások'!$B$84,MIN(10,MAX(1,ROUND('Ügyfelek'!X127,0)))))</f>
        <v/>
      </c>
      <c r="Y127">
        <f>IF($A127="","",IF('Ügyfelek'!Y127="",'Beállítások'!$B$84,IFERROR(VLOOKUP(TRIM('Ügyfelek'!Y127),'Beállítások'!$A$63:$B$69,2,FALSE),'Beállítások'!$B$84)))</f>
        <v/>
      </c>
      <c r="Z127">
        <f>IF($A127="","",IF('Ügyfelek'!Z127="",'Beállítások'!$B$84,VLOOKUP(MAX('Ügyfelek'!Z127,'Beállítások'!$Q$7),'Beállítások'!$Q$7:$R$12,2,TRUE)))</f>
        <v/>
      </c>
      <c r="AA127">
        <f>IF($A127="","",IF('Ügyfelek'!AA127="",'Beállítások'!$B$84,VLOOKUP(MAX('Ügyfelek'!AA127,'Beállítások'!$T$7),'Beállítások'!$T$7:$U$12,2,TRUE)))</f>
        <v/>
      </c>
      <c r="AB127">
        <f>IF($A127="","",IF('Ügyfelek'!AB127="",'Beállítások'!$B$84,MIN(10,MAX(1,ROUND('Ügyfelek'!AB127,0)))))</f>
        <v/>
      </c>
      <c r="AC127">
        <f>IF($A127="","",IF('Ügyfelek'!AC127="",'Beállítások'!$B$84,MIN(10,MAX(1,ROUND('Ügyfelek'!AC127,0)))))</f>
        <v/>
      </c>
      <c r="AD127">
        <f>IF($A127="","",IF('Ügyfelek'!AD127="",'Beállítások'!$B$84,MIN(10,MAX(1,ROUND('Ügyfelek'!AD127,0)))))</f>
        <v/>
      </c>
      <c r="AE127">
        <f>IF($A127="","",IF('Ügyfelek'!AE127="",'Beállítások'!$B$84,MIN(10,MAX(1,ROUND('Ügyfelek'!AE127,0)))))</f>
        <v/>
      </c>
      <c r="AF127">
        <f>IF($A127="","",IF('Ügyfelek'!AF127="",'Beállítások'!$B$84,MIN(10,MAX(1,ROUND('Ügyfelek'!AF127,0)))))</f>
        <v/>
      </c>
      <c r="AG127">
        <f>IF($A127="","",IF('Ügyfelek'!AG127="",'Beállítások'!$B$84,MIN(10,MAX(1,ROUND('Ügyfelek'!AG127,0)))))</f>
        <v/>
      </c>
      <c r="AH127">
        <f>IF($A127="","",IF('Ügyfelek'!AH127="",'Beállítások'!$B$84,IFERROR(VLOOKUP(TRIM('Ügyfelek'!AH127),'Beállítások'!$A$73:$B$79,2,FALSE),'Beállítások'!$B$84)))</f>
        <v/>
      </c>
      <c r="AI127" s="23">
        <f>IF($A127="","",ROUND(100*('Beállítások'!$E$6*(B127-1)+'Beállítások'!$E$7*(C127-1))/(9*'Beállítások'!$B$43),1))</f>
        <v/>
      </c>
      <c r="AJ127" s="23">
        <f>IF($A127="","",ROUND(100*('Beállítások'!$E$8*(D127-1)+'Beállítások'!$E$9*(E127-1)+'Beállítások'!$E$10*(F127-1)+'Beállítások'!$E$11*(G127-1)+'Beállítások'!$E$12*(H127-1)+'Beállítások'!$E$13*(I127-1)+'Beállítások'!$E$14*(J127-1)+'Beállítások'!$E$15*(K127-1)+'Beállítások'!$E$16*(L127-1)+'Beállítások'!$E$17*(M127-1)+'Beállítások'!$E$18*(N127-1)+'Beállítások'!$E$19*(O127-1)+'Beállítások'!$E$20*(P127-1)+'Beállítások'!$E$21*(Q127-1)+'Beállítások'!$E$22*(R127-1))/(9*'Beállítások'!$B$44),1))</f>
        <v/>
      </c>
      <c r="AK127" s="23">
        <f>IF($A127="","",ROUND(100*('Beállítások'!$E$23*(S127-1)+'Beállítások'!$E$24*(T127-1)+'Beállítások'!$E$25*(U127-1)+'Beállítások'!$E$26*(V127-1)+'Beállítások'!$E$27*(W127-1)+'Beállítások'!$E$28*(X127-1)+'Beállítások'!$E$29*(Y127-1))/(9*'Beállítások'!$B$45),1))</f>
        <v/>
      </c>
      <c r="AL127" s="23">
        <f>IF($A127="","",ROUND(100*('Beállítások'!$E$30*(Z127-1)+'Beállítások'!$E$31*(AA127-1)+'Beállítások'!$E$32*(AB127-1)+'Beállítások'!$E$33*(AC127-1)+'Beállítások'!$E$34*(AD127-1)+'Beállítások'!$E$35*(AE127-1)+'Beállítások'!$E$36*(AF127-1)+'Beállítások'!$E$37*(AG127-1)+'Beállítások'!$E$38*(AH127-1))/(9*'Beállítások'!$B$46),1))</f>
        <v/>
      </c>
      <c r="AM127" s="23">
        <f>IF($A127="","",ROUND(100*('Beállítások'!$E$6*(B127-1)+'Beállítások'!$E$7*(C127-1)+'Beállítások'!$E$8*(D127-1)+'Beállítások'!$E$9*(E127-1)+'Beállítások'!$E$10*(F127-1)+'Beállítások'!$E$11*(G127-1)+'Beállítások'!$E$12*(H127-1)+'Beállítások'!$E$13*(I127-1)+'Beállítások'!$E$14*(J127-1)+'Beállítások'!$E$15*(K127-1)+'Beállítások'!$E$16*(L127-1)+'Beállítások'!$E$17*(M127-1)+'Beállítások'!$E$18*(N127-1)+'Beállítások'!$E$19*(O127-1)+'Beállítások'!$E$20*(P127-1)+'Beállítások'!$E$21*(Q127-1)+'Beállítások'!$E$22*(R127-1)+'Beállítások'!$E$23*(S127-1)+'Beállítások'!$E$24*(T127-1)+'Beállítások'!$E$25*(U127-1)+'Beállítások'!$E$26*(V127-1)+'Beállítások'!$E$27*(W127-1)+'Beállítások'!$E$28*(X127-1)+'Beállítások'!$E$29*(Y127-1)+'Beállítások'!$E$30*(Z127-1)+'Beállítások'!$E$31*(AA127-1)+'Beállítások'!$E$32*(AB127-1)+'Beállítások'!$E$33*(AC127-1)+'Beállítások'!$E$34*(AD127-1)+'Beállítások'!$E$35*(AE127-1)+'Beállítások'!$E$36*(AF127-1)+'Beállítások'!$E$37*(AG127-1)+'Beállítások'!$E$38*(AH127-1))/(9*'Beállítások'!$E$39),1))</f>
        <v/>
      </c>
      <c r="AN127" s="23">
        <f>IF($A127="","",ROUND(100*('Beállítások'!$E$8*(D127-1)+'Beállítások'!$E$9*(E127-1)+'Beállítások'!$E$10*(F127-1)+'Beállítások'!$E$11*(G127-1)+'Beállítások'!$E$12*(H127-1)+'Beállítások'!$E$13*(I127-1)+'Beállítások'!$E$14*(J127-1)+'Beállítások'!$E$15*(K127-1)+'Beállítások'!$E$16*(L127-1)+'Beállítások'!$E$17*(M127-1)+'Beállítások'!$E$18*(N127-1)+'Beállítások'!$E$19*(O127-1)+'Beállítások'!$E$20*(P127-1)+'Beállítások'!$E$21*(Q127-1)+'Beállítások'!$E$22*(R127-1)+'Beállítások'!$E$23*(S127-1)+'Beállítások'!$E$24*(T127-1)+'Beállítások'!$E$25*(U127-1)+'Beállítások'!$E$26*(V127-1)+'Beállítások'!$E$27*(W127-1)+'Beállítások'!$E$28*(X127-1)+'Beállítások'!$E$29*(Y127-1))/(9*('Beállítások'!$B$44+'Beállítások'!$B$45)),1))</f>
        <v/>
      </c>
      <c r="AO127" s="24">
        <f>IF($A127="","",RANK(AM127,$AM$2:$AM$201))</f>
        <v/>
      </c>
      <c r="AP127">
        <f>IF($A127="","",IF(OR(AND('Ügyfelek'!B127&lt;&gt;"",B127&lt;='Beállítások'!$B$85),AND('Ügyfelek'!C127&lt;&gt;"",C127&lt;='Beállítások'!$B$86)),"Igen","Nem"))</f>
        <v/>
      </c>
      <c r="AQ127" s="24">
        <f>IF($A127="","",IF(AP127="Igen",5,IF(AN127&gt;='Beállítások'!$C$108,1,IF(AN127&gt;='Beállítások'!$C$109,2,IF(AN127&gt;='Beállítások'!$C$110,3,IF(AND(AN127&gt;='Beállítások'!$B$87,AI127&gt;='Beállítások'!$B$88,AL127&gt;='Beállítások'!$B$89),4,5))))))</f>
        <v/>
      </c>
      <c r="AR127">
        <f>IF($A127="","",INDEX('Beállítások'!$B$108:$B$112,AQ127))</f>
        <v/>
      </c>
      <c r="AS127">
        <f>IF($A127="","",IF(AQ127=5,"Elutasítjuk",IF(AND(AQ127=4,COUNTIFS('Eredmény'!$AQ$2:$AQ$201,4,'Eredmény'!$DY$2:$DY$201,"&gt;"&amp;DY127)&gt;='Beállítások'!$B$90),"Várólista (a 4-es hely foglalt)","Elfogadjuk")))</f>
        <v/>
      </c>
      <c r="AT127">
        <f>IF($A127="","",INDEX('Beállítások'!$F$108:$F$112,AQ127))</f>
        <v/>
      </c>
      <c r="AU127">
        <f>IF($A127="","",INDEX('Beállítások'!$B$6:$B$38,MATCH(MAX(BK127:CQ127),BK127:CQ127,0)))</f>
        <v/>
      </c>
      <c r="AV127">
        <f>IF($A127="","",IF(MAX(CR127:DX127)=0,"—",INDEX('Beállítások'!$B$6:$B$38,MATCH(MAX(CR127:DX127),CR127:DX127,0))))</f>
        <v/>
      </c>
      <c r="AW127" s="10">
        <f>IF($A127="","",'Beállítások'!$B$94*(TRIM('Ügyfelek'!AI127)="igen")+'Beállítások'!$B$95*(TRIM('Ügyfelek'!AJ127)="igen")+'Beállítások'!$B$96*N('Ügyfelek'!AK127)+'Beállítások'!$B$93*N('Ügyfelek'!AL127))</f>
        <v/>
      </c>
      <c r="AX127" s="25">
        <f>IF(OR($A127="",AQ127=5),"",INDEX('Beállítások'!$D$108:$D$112,AQ127))</f>
        <v/>
      </c>
      <c r="AY127" s="10">
        <f>IF($A127="","",N('Ügyfelek'!U127)*'Beállítások'!$B$98)</f>
        <v/>
      </c>
      <c r="AZ127" s="10">
        <f>IF(OR($A127="",AQ127=5),"",CEILING(ROUND(MAX('Beállítások'!$B$97,AW127*AX127,AY127),2),'Beállítások'!$B$99))</f>
        <v/>
      </c>
      <c r="BA127">
        <f>IF($A127="","",IF(AQ127=5,"Elutasítva",IF(MAX('Beállítások'!$B$97,AW127*AX127,AY127)=AW127*AX127,"Munkaigény × státuszszorzó",IF(MAX('Beállítások'!$B$97,AW127*AX127,AY127)=AY127,"Hirdetési keret arányában","Minimumdíj"))))</f>
        <v/>
      </c>
      <c r="BB127" s="10">
        <f>IF(OR($A127="",'Ügyfelek'!AM127=""),"",'Ügyfelek'!AM127)</f>
        <v/>
      </c>
      <c r="BC127" s="10">
        <f>IF(OR(BB127="",AZ127=""),"",AZ127-BB127)</f>
        <v/>
      </c>
      <c r="BD127" s="18">
        <f>IF(OR(BB127="",AZ127="",BB127=0),"",BC127/BB127)</f>
        <v/>
      </c>
      <c r="BE127">
        <f>IF(OR($A127="",AQ127=5),"",IF(AND(INDEX('Beállítások'!$E$108:$E$112,AQ127)&gt;0,Y127&gt;='Beállítások'!$B$91),"Igen","Nem"))</f>
        <v/>
      </c>
      <c r="BF127" s="10">
        <f>IF(BE127="Igen",CEILING(ROUND(AZ127*(1-'Beállítások'!$B$92),2),'Beállítások'!$B$99),"")</f>
        <v/>
      </c>
      <c r="BG127" s="20">
        <f>IF(BE127="Igen",INDEX('Beállítások'!$E$108:$E$112,AQ127),"")</f>
        <v/>
      </c>
      <c r="BH127" s="10">
        <f>IF(OR(BE127&lt;&gt;"Igen",'Ügyfelek'!AN127=""),"",'Ügyfelek'!AN127*BG127)</f>
        <v/>
      </c>
      <c r="BI127" s="24">
        <f>IF($A127="","",('Ügyfelek'!B127="")+('Ügyfelek'!C127="")+('Ügyfelek'!D127="")+('Ügyfelek'!E127="")+('Ügyfelek'!F127="")+('Ügyfelek'!G127="")+('Ügyfelek'!H127="")+('Ügyfelek'!I127="")+('Ügyfelek'!J127="")+('Ügyfelek'!K127="")+('Ügyfelek'!L127="")+('Ügyfelek'!M127="")+('Ügyfelek'!N127="")+('Ügyfelek'!O127="")+('Ügyfelek'!P127="")+('Ügyfelek'!Q127="")+('Ügyfelek'!R127="")+('Ügyfelek'!S127="")+('Ügyfelek'!T127="")+('Ügyfelek'!U127="")+('Ügyfelek'!V127="")+('Ügyfelek'!W127="")+('Ügyfelek'!X127="")+('Ügyfelek'!Y127="")+('Ügyfelek'!Z127="")+('Ügyfelek'!AA127="")+('Ügyfelek'!AB127="")+('Ügyfelek'!AC127="")+('Ügyfelek'!AD127="")+('Ügyfelek'!AE127="")+('Ügyfelek'!AF127="")+('Ügyfelek'!AG127="")+('Ügyfelek'!AH127=""))</f>
        <v/>
      </c>
      <c r="BK127">
        <f>IF($A127="","",B127+'Beállítások'!$E$6/1000)</f>
        <v/>
      </c>
      <c r="BL127">
        <f>IF($A127="","",C127+'Beállítások'!$E$7/1000)</f>
        <v/>
      </c>
      <c r="BM127">
        <f>IF($A127="","",D127+'Beállítások'!$E$8/1000)</f>
        <v/>
      </c>
      <c r="BN127">
        <f>IF($A127="","",E127+'Beállítások'!$E$9/1000)</f>
        <v/>
      </c>
      <c r="BO127">
        <f>IF($A127="","",F127+'Beállítások'!$E$10/1000)</f>
        <v/>
      </c>
      <c r="BP127">
        <f>IF($A127="","",G127+'Beállítások'!$E$11/1000)</f>
        <v/>
      </c>
      <c r="BQ127">
        <f>IF($A127="","",H127+'Beállítások'!$E$12/1000)</f>
        <v/>
      </c>
      <c r="BR127">
        <f>IF($A127="","",I127+'Beállítások'!$E$13/1000)</f>
        <v/>
      </c>
      <c r="BS127">
        <f>IF($A127="","",J127+'Beállítások'!$E$14/1000)</f>
        <v/>
      </c>
      <c r="BT127">
        <f>IF($A127="","",K127+'Beállítások'!$E$15/1000)</f>
        <v/>
      </c>
      <c r="BU127">
        <f>IF($A127="","",L127+'Beállítások'!$E$16/1000)</f>
        <v/>
      </c>
      <c r="BV127">
        <f>IF($A127="","",M127+'Beállítások'!$E$17/1000)</f>
        <v/>
      </c>
      <c r="BW127">
        <f>IF($A127="","",N127+'Beállítások'!$E$18/1000)</f>
        <v/>
      </c>
      <c r="BX127">
        <f>IF($A127="","",O127+'Beállítások'!$E$19/1000)</f>
        <v/>
      </c>
      <c r="BY127">
        <f>IF($A127="","",P127+'Beállítások'!$E$20/1000)</f>
        <v/>
      </c>
      <c r="BZ127">
        <f>IF($A127="","",Q127+'Beállítások'!$E$21/1000)</f>
        <v/>
      </c>
      <c r="CA127">
        <f>IF($A127="","",R127+'Beállítások'!$E$22/1000)</f>
        <v/>
      </c>
      <c r="CB127">
        <f>IF($A127="","",S127+'Beállítások'!$E$23/1000)</f>
        <v/>
      </c>
      <c r="CC127">
        <f>IF($A127="","",T127+'Beállítások'!$E$24/1000)</f>
        <v/>
      </c>
      <c r="CD127">
        <f>IF($A127="","",U127+'Beállítások'!$E$25/1000)</f>
        <v/>
      </c>
      <c r="CE127">
        <f>IF($A127="","",V127+'Beállítások'!$E$26/1000)</f>
        <v/>
      </c>
      <c r="CF127">
        <f>IF($A127="","",W127+'Beállítások'!$E$27/1000)</f>
        <v/>
      </c>
      <c r="CG127">
        <f>IF($A127="","",X127+'Beállítások'!$E$28/1000)</f>
        <v/>
      </c>
      <c r="CH127">
        <f>IF($A127="","",Y127+'Beállítások'!$E$29/1000)</f>
        <v/>
      </c>
      <c r="CI127">
        <f>IF($A127="","",Z127+'Beállítások'!$E$30/1000)</f>
        <v/>
      </c>
      <c r="CJ127">
        <f>IF($A127="","",AA127+'Beállítások'!$E$31/1000)</f>
        <v/>
      </c>
      <c r="CK127">
        <f>IF($A127="","",AB127+'Beállítások'!$E$32/1000)</f>
        <v/>
      </c>
      <c r="CL127">
        <f>IF($A127="","",AC127+'Beállítások'!$E$33/1000)</f>
        <v/>
      </c>
      <c r="CM127">
        <f>IF($A127="","",AD127+'Beállítások'!$E$34/1000)</f>
        <v/>
      </c>
      <c r="CN127">
        <f>IF($A127="","",AE127+'Beállítások'!$E$35/1000)</f>
        <v/>
      </c>
      <c r="CO127">
        <f>IF($A127="","",AF127+'Beállítások'!$E$36/1000)</f>
        <v/>
      </c>
      <c r="CP127">
        <f>IF($A127="","",AG127+'Beállítások'!$E$37/1000)</f>
        <v/>
      </c>
      <c r="CQ127">
        <f>IF($A127="","",AH127+'Beállítások'!$E$38/1000)</f>
        <v/>
      </c>
      <c r="CR127">
        <f>IF($A127="","",'Beállítások'!$E$6*(10-B127))</f>
        <v/>
      </c>
      <c r="CS127">
        <f>IF($A127="","",'Beállítások'!$E$7*(10-C127))</f>
        <v/>
      </c>
      <c r="CT127">
        <f>IF($A127="","",'Beállítások'!$E$8*(10-D127))</f>
        <v/>
      </c>
      <c r="CU127">
        <f>IF($A127="","",'Beállítások'!$E$9*(10-E127))</f>
        <v/>
      </c>
      <c r="CV127">
        <f>IF($A127="","",'Beállítások'!$E$10*(10-F127))</f>
        <v/>
      </c>
      <c r="CW127">
        <f>IF($A127="","",'Beállítások'!$E$11*(10-G127))</f>
        <v/>
      </c>
      <c r="CX127">
        <f>IF($A127="","",'Beállítások'!$E$12*(10-H127))</f>
        <v/>
      </c>
      <c r="CY127">
        <f>IF($A127="","",'Beállítások'!$E$13*(10-I127))</f>
        <v/>
      </c>
      <c r="CZ127">
        <f>IF($A127="","",'Beállítások'!$E$14*(10-J127))</f>
        <v/>
      </c>
      <c r="DA127">
        <f>IF($A127="","",'Beállítások'!$E$15*(10-K127))</f>
        <v/>
      </c>
      <c r="DB127">
        <f>IF($A127="","",'Beállítások'!$E$16*(10-L127))</f>
        <v/>
      </c>
      <c r="DC127">
        <f>IF($A127="","",'Beállítások'!$E$17*(10-M127))</f>
        <v/>
      </c>
      <c r="DD127">
        <f>IF($A127="","",'Beállítások'!$E$18*(10-N127))</f>
        <v/>
      </c>
      <c r="DE127">
        <f>IF($A127="","",'Beállítások'!$E$19*(10-O127))</f>
        <v/>
      </c>
      <c r="DF127">
        <f>IF($A127="","",'Beállítások'!$E$20*(10-P127))</f>
        <v/>
      </c>
      <c r="DG127">
        <f>IF($A127="","",'Beállítások'!$E$21*(10-Q127))</f>
        <v/>
      </c>
      <c r="DH127">
        <f>IF($A127="","",'Beállítások'!$E$22*(10-R127))</f>
        <v/>
      </c>
      <c r="DI127">
        <f>IF($A127="","",'Beállítások'!$E$23*(10-S127))</f>
        <v/>
      </c>
      <c r="DJ127">
        <f>IF($A127="","",'Beállítások'!$E$24*(10-T127))</f>
        <v/>
      </c>
      <c r="DK127">
        <f>IF($A127="","",'Beállítások'!$E$25*(10-U127))</f>
        <v/>
      </c>
      <c r="DL127">
        <f>IF($A127="","",'Beállítások'!$E$26*(10-V127))</f>
        <v/>
      </c>
      <c r="DM127">
        <f>IF($A127="","",'Beállítások'!$E$27*(10-W127))</f>
        <v/>
      </c>
      <c r="DN127">
        <f>IF($A127="","",'Beállítások'!$E$28*(10-X127))</f>
        <v/>
      </c>
      <c r="DO127">
        <f>IF($A127="","",'Beállítások'!$E$29*(10-Y127))</f>
        <v/>
      </c>
      <c r="DP127">
        <f>IF($A127="","",'Beállítások'!$E$30*(10-Z127))</f>
        <v/>
      </c>
      <c r="DQ127">
        <f>IF($A127="","",'Beállítások'!$E$31*(10-AA127))</f>
        <v/>
      </c>
      <c r="DR127">
        <f>IF($A127="","",'Beállítások'!$E$32*(10-AB127))</f>
        <v/>
      </c>
      <c r="DS127">
        <f>IF($A127="","",'Beállítások'!$E$33*(10-AC127))</f>
        <v/>
      </c>
      <c r="DT127">
        <f>IF($A127="","",'Beállítások'!$E$34*(10-AD127))</f>
        <v/>
      </c>
      <c r="DU127">
        <f>IF($A127="","",'Beállítások'!$E$35*(10-AE127))</f>
        <v/>
      </c>
      <c r="DV127">
        <f>IF($A127="","",'Beállítások'!$E$36*(10-AF127))</f>
        <v/>
      </c>
      <c r="DW127">
        <f>IF($A127="","",'Beállítások'!$E$37*(10-AG127))</f>
        <v/>
      </c>
      <c r="DX127">
        <f>IF($A127="","",'Beállítások'!$E$38*(10-AH127))</f>
        <v/>
      </c>
      <c r="DY127">
        <f>IF($A127="","",AM127-ROW()/100000)</f>
        <v/>
      </c>
    </row>
    <row r="128">
      <c r="A128">
        <f>IF('Ügyfelek'!A128="","",'Ügyfelek'!A128)</f>
        <v/>
      </c>
      <c r="B128">
        <f>IF($A128="","",IF('Ügyfelek'!B128="",'Beállítások'!$B$84,IFERROR(VLOOKUP(TRIM('Ügyfelek'!B128),'Beállítások'!$A$51:$B$59,2,FALSE),'Beállítások'!$B$84)))</f>
        <v/>
      </c>
      <c r="C128">
        <f>IF($A128="","",IF('Ügyfelek'!C128="",'Beállítások'!$B$84,MIN(10,MAX(1,ROUND('Ügyfelek'!C128,0)))))</f>
        <v/>
      </c>
      <c r="D128">
        <f>IF($A128="","",IF('Ügyfelek'!D128="",'Beállítások'!$B$84,MIN(10,MAX(1,ROUND('Ügyfelek'!D128,0)))))</f>
        <v/>
      </c>
      <c r="E128">
        <f>IF($A128="","",IF('Ügyfelek'!E128="",'Beállítások'!$B$84,MIN(10,MAX(1,ROUND('Ügyfelek'!E128,0)))))</f>
        <v/>
      </c>
      <c r="F128">
        <f>IF($A128="","",IF('Ügyfelek'!F128="",'Beállítások'!$B$84,MIN(10,MAX(1,ROUND('Ügyfelek'!F128,0)))))</f>
        <v/>
      </c>
      <c r="G128">
        <f>IF($A128="","",IF('Ügyfelek'!G128="",'Beállítások'!$B$84,MIN(10,MAX(1,ROUND('Ügyfelek'!G128,0)))))</f>
        <v/>
      </c>
      <c r="H128">
        <f>IF($A128="","",IF('Ügyfelek'!H128="",'Beállítások'!$B$84,MIN(10,MAX(1,ROUND('Ügyfelek'!H128,0)))))</f>
        <v/>
      </c>
      <c r="I128">
        <f>IF($A128="","",IF('Ügyfelek'!I128="",'Beállítások'!$B$84,MIN(10,MAX(1,ROUND('Ügyfelek'!I128,0)))))</f>
        <v/>
      </c>
      <c r="J128">
        <f>IF($A128="","",IF('Ügyfelek'!J128="",'Beállítások'!$B$84,MIN(10,MAX(1,ROUND('Ügyfelek'!J128,0)))))</f>
        <v/>
      </c>
      <c r="K128">
        <f>IF($A128="","",IF('Ügyfelek'!K128="",'Beállítások'!$B$84,MIN(10,MAX(1,ROUND('Ügyfelek'!K128,0)))))</f>
        <v/>
      </c>
      <c r="L128">
        <f>IF($A128="","",IF('Ügyfelek'!L128="",'Beállítások'!$B$84,MIN(10,MAX(1,ROUND('Ügyfelek'!L128,0)))))</f>
        <v/>
      </c>
      <c r="M128">
        <f>IF($A128="","",IF('Ügyfelek'!M128="",'Beállítások'!$B$84,MIN(10,MAX(1,ROUND('Ügyfelek'!M128,0)))))</f>
        <v/>
      </c>
      <c r="N128">
        <f>IF($A128="","",IF('Ügyfelek'!N128="",'Beállítások'!$B$84,MIN(10,MAX(1,ROUND('Ügyfelek'!N128,0)))))</f>
        <v/>
      </c>
      <c r="O128">
        <f>IF($A128="","",IF('Ügyfelek'!O128="",'Beállítások'!$B$84,MIN(10,MAX(1,ROUND('Ügyfelek'!O128,0)))))</f>
        <v/>
      </c>
      <c r="P128">
        <f>IF($A128="","",IF('Ügyfelek'!P128="",'Beállítások'!$B$84,MIN(10,MAX(1,ROUND('Ügyfelek'!P128,0)))))</f>
        <v/>
      </c>
      <c r="Q128">
        <f>IF($A128="","",IF('Ügyfelek'!Q128="",'Beállítások'!$B$84,MIN(10,MAX(1,ROUND('Ügyfelek'!Q128,0)))))</f>
        <v/>
      </c>
      <c r="R128">
        <f>IF($A128="","",IF('Ügyfelek'!R128="",'Beállítások'!$B$84,MIN(10,MAX(1,ROUND('Ügyfelek'!R128,0)))))</f>
        <v/>
      </c>
      <c r="S128">
        <f>IF($A128="","",IF('Ügyfelek'!S128="",'Beállítások'!$B$84,MIN(10,MAX(1,ROUND('Ügyfelek'!S128,0)))))</f>
        <v/>
      </c>
      <c r="T128">
        <f>IF($A128="","",IF('Ügyfelek'!T128="",'Beállítások'!$B$84,VLOOKUP(MAX('Ügyfelek'!T128,'Beállítások'!$H$7),'Beállítások'!$H$7:$I$12,2,TRUE)))</f>
        <v/>
      </c>
      <c r="U128">
        <f>IF($A128="","",IF('Ügyfelek'!U128="",'Beállítások'!$B$84,VLOOKUP(MAX('Ügyfelek'!U128,'Beállítások'!$K$7),'Beállítások'!$K$7:$L$12,2,TRUE)))</f>
        <v/>
      </c>
      <c r="V128">
        <f>IF($A128="","",IF('Ügyfelek'!V128="",'Beállítások'!$B$84,MIN(10,MAX(1,ROUND('Ügyfelek'!V128,0)))))</f>
        <v/>
      </c>
      <c r="W128">
        <f>IF($A128="","",IF('Ügyfelek'!W128="",'Beállítások'!$B$84,VLOOKUP(MAX('Ügyfelek'!W128,'Beállítások'!$N$7),'Beállítások'!$N$7:$O$12,2,TRUE)))</f>
        <v/>
      </c>
      <c r="X128">
        <f>IF($A128="","",IF('Ügyfelek'!X128="",'Beállítások'!$B$84,MIN(10,MAX(1,ROUND('Ügyfelek'!X128,0)))))</f>
        <v/>
      </c>
      <c r="Y128">
        <f>IF($A128="","",IF('Ügyfelek'!Y128="",'Beállítások'!$B$84,IFERROR(VLOOKUP(TRIM('Ügyfelek'!Y128),'Beállítások'!$A$63:$B$69,2,FALSE),'Beállítások'!$B$84)))</f>
        <v/>
      </c>
      <c r="Z128">
        <f>IF($A128="","",IF('Ügyfelek'!Z128="",'Beállítások'!$B$84,VLOOKUP(MAX('Ügyfelek'!Z128,'Beállítások'!$Q$7),'Beállítások'!$Q$7:$R$12,2,TRUE)))</f>
        <v/>
      </c>
      <c r="AA128">
        <f>IF($A128="","",IF('Ügyfelek'!AA128="",'Beállítások'!$B$84,VLOOKUP(MAX('Ügyfelek'!AA128,'Beállítások'!$T$7),'Beállítások'!$T$7:$U$12,2,TRUE)))</f>
        <v/>
      </c>
      <c r="AB128">
        <f>IF($A128="","",IF('Ügyfelek'!AB128="",'Beállítások'!$B$84,MIN(10,MAX(1,ROUND('Ügyfelek'!AB128,0)))))</f>
        <v/>
      </c>
      <c r="AC128">
        <f>IF($A128="","",IF('Ügyfelek'!AC128="",'Beállítások'!$B$84,MIN(10,MAX(1,ROUND('Ügyfelek'!AC128,0)))))</f>
        <v/>
      </c>
      <c r="AD128">
        <f>IF($A128="","",IF('Ügyfelek'!AD128="",'Beállítások'!$B$84,MIN(10,MAX(1,ROUND('Ügyfelek'!AD128,0)))))</f>
        <v/>
      </c>
      <c r="AE128">
        <f>IF($A128="","",IF('Ügyfelek'!AE128="",'Beállítások'!$B$84,MIN(10,MAX(1,ROUND('Ügyfelek'!AE128,0)))))</f>
        <v/>
      </c>
      <c r="AF128">
        <f>IF($A128="","",IF('Ügyfelek'!AF128="",'Beállítások'!$B$84,MIN(10,MAX(1,ROUND('Ügyfelek'!AF128,0)))))</f>
        <v/>
      </c>
      <c r="AG128">
        <f>IF($A128="","",IF('Ügyfelek'!AG128="",'Beállítások'!$B$84,MIN(10,MAX(1,ROUND('Ügyfelek'!AG128,0)))))</f>
        <v/>
      </c>
      <c r="AH128">
        <f>IF($A128="","",IF('Ügyfelek'!AH128="",'Beállítások'!$B$84,IFERROR(VLOOKUP(TRIM('Ügyfelek'!AH128),'Beállítások'!$A$73:$B$79,2,FALSE),'Beállítások'!$B$84)))</f>
        <v/>
      </c>
      <c r="AI128" s="23">
        <f>IF($A128="","",ROUND(100*('Beállítások'!$E$6*(B128-1)+'Beállítások'!$E$7*(C128-1))/(9*'Beállítások'!$B$43),1))</f>
        <v/>
      </c>
      <c r="AJ128" s="23">
        <f>IF($A128="","",ROUND(100*('Beállítások'!$E$8*(D128-1)+'Beállítások'!$E$9*(E128-1)+'Beállítások'!$E$10*(F128-1)+'Beállítások'!$E$11*(G128-1)+'Beállítások'!$E$12*(H128-1)+'Beállítások'!$E$13*(I128-1)+'Beállítások'!$E$14*(J128-1)+'Beállítások'!$E$15*(K128-1)+'Beállítások'!$E$16*(L128-1)+'Beállítások'!$E$17*(M128-1)+'Beállítások'!$E$18*(N128-1)+'Beállítások'!$E$19*(O128-1)+'Beállítások'!$E$20*(P128-1)+'Beállítások'!$E$21*(Q128-1)+'Beállítások'!$E$22*(R128-1))/(9*'Beállítások'!$B$44),1))</f>
        <v/>
      </c>
      <c r="AK128" s="23">
        <f>IF($A128="","",ROUND(100*('Beállítások'!$E$23*(S128-1)+'Beállítások'!$E$24*(T128-1)+'Beállítások'!$E$25*(U128-1)+'Beállítások'!$E$26*(V128-1)+'Beállítások'!$E$27*(W128-1)+'Beállítások'!$E$28*(X128-1)+'Beállítások'!$E$29*(Y128-1))/(9*'Beállítások'!$B$45),1))</f>
        <v/>
      </c>
      <c r="AL128" s="23">
        <f>IF($A128="","",ROUND(100*('Beállítások'!$E$30*(Z128-1)+'Beállítások'!$E$31*(AA128-1)+'Beállítások'!$E$32*(AB128-1)+'Beállítások'!$E$33*(AC128-1)+'Beállítások'!$E$34*(AD128-1)+'Beállítások'!$E$35*(AE128-1)+'Beállítások'!$E$36*(AF128-1)+'Beállítások'!$E$37*(AG128-1)+'Beállítások'!$E$38*(AH128-1))/(9*'Beállítások'!$B$46),1))</f>
        <v/>
      </c>
      <c r="AM128" s="23">
        <f>IF($A128="","",ROUND(100*('Beállítások'!$E$6*(B128-1)+'Beállítások'!$E$7*(C128-1)+'Beállítások'!$E$8*(D128-1)+'Beállítások'!$E$9*(E128-1)+'Beállítások'!$E$10*(F128-1)+'Beállítások'!$E$11*(G128-1)+'Beállítások'!$E$12*(H128-1)+'Beállítások'!$E$13*(I128-1)+'Beállítások'!$E$14*(J128-1)+'Beállítások'!$E$15*(K128-1)+'Beállítások'!$E$16*(L128-1)+'Beállítások'!$E$17*(M128-1)+'Beállítások'!$E$18*(N128-1)+'Beállítások'!$E$19*(O128-1)+'Beállítások'!$E$20*(P128-1)+'Beállítások'!$E$21*(Q128-1)+'Beállítások'!$E$22*(R128-1)+'Beállítások'!$E$23*(S128-1)+'Beállítások'!$E$24*(T128-1)+'Beállítások'!$E$25*(U128-1)+'Beállítások'!$E$26*(V128-1)+'Beállítások'!$E$27*(W128-1)+'Beállítások'!$E$28*(X128-1)+'Beállítások'!$E$29*(Y128-1)+'Beállítások'!$E$30*(Z128-1)+'Beállítások'!$E$31*(AA128-1)+'Beállítások'!$E$32*(AB128-1)+'Beállítások'!$E$33*(AC128-1)+'Beállítások'!$E$34*(AD128-1)+'Beállítások'!$E$35*(AE128-1)+'Beállítások'!$E$36*(AF128-1)+'Beállítások'!$E$37*(AG128-1)+'Beállítások'!$E$38*(AH128-1))/(9*'Beállítások'!$E$39),1))</f>
        <v/>
      </c>
      <c r="AN128" s="23">
        <f>IF($A128="","",ROUND(100*('Beállítások'!$E$8*(D128-1)+'Beállítások'!$E$9*(E128-1)+'Beállítások'!$E$10*(F128-1)+'Beállítások'!$E$11*(G128-1)+'Beállítások'!$E$12*(H128-1)+'Beállítások'!$E$13*(I128-1)+'Beállítások'!$E$14*(J128-1)+'Beállítások'!$E$15*(K128-1)+'Beállítások'!$E$16*(L128-1)+'Beállítások'!$E$17*(M128-1)+'Beállítások'!$E$18*(N128-1)+'Beállítások'!$E$19*(O128-1)+'Beállítások'!$E$20*(P128-1)+'Beállítások'!$E$21*(Q128-1)+'Beállítások'!$E$22*(R128-1)+'Beállítások'!$E$23*(S128-1)+'Beállítások'!$E$24*(T128-1)+'Beállítások'!$E$25*(U128-1)+'Beállítások'!$E$26*(V128-1)+'Beállítások'!$E$27*(W128-1)+'Beállítások'!$E$28*(X128-1)+'Beállítások'!$E$29*(Y128-1))/(9*('Beállítások'!$B$44+'Beállítások'!$B$45)),1))</f>
        <v/>
      </c>
      <c r="AO128" s="24">
        <f>IF($A128="","",RANK(AM128,$AM$2:$AM$201))</f>
        <v/>
      </c>
      <c r="AP128">
        <f>IF($A128="","",IF(OR(AND('Ügyfelek'!B128&lt;&gt;"",B128&lt;='Beállítások'!$B$85),AND('Ügyfelek'!C128&lt;&gt;"",C128&lt;='Beállítások'!$B$86)),"Igen","Nem"))</f>
        <v/>
      </c>
      <c r="AQ128" s="24">
        <f>IF($A128="","",IF(AP128="Igen",5,IF(AN128&gt;='Beállítások'!$C$108,1,IF(AN128&gt;='Beállítások'!$C$109,2,IF(AN128&gt;='Beállítások'!$C$110,3,IF(AND(AN128&gt;='Beállítások'!$B$87,AI128&gt;='Beállítások'!$B$88,AL128&gt;='Beállítások'!$B$89),4,5))))))</f>
        <v/>
      </c>
      <c r="AR128">
        <f>IF($A128="","",INDEX('Beállítások'!$B$108:$B$112,AQ128))</f>
        <v/>
      </c>
      <c r="AS128">
        <f>IF($A128="","",IF(AQ128=5,"Elutasítjuk",IF(AND(AQ128=4,COUNTIFS('Eredmény'!$AQ$2:$AQ$201,4,'Eredmény'!$DY$2:$DY$201,"&gt;"&amp;DY128)&gt;='Beállítások'!$B$90),"Várólista (a 4-es hely foglalt)","Elfogadjuk")))</f>
        <v/>
      </c>
      <c r="AT128">
        <f>IF($A128="","",INDEX('Beállítások'!$F$108:$F$112,AQ128))</f>
        <v/>
      </c>
      <c r="AU128">
        <f>IF($A128="","",INDEX('Beállítások'!$B$6:$B$38,MATCH(MAX(BK128:CQ128),BK128:CQ128,0)))</f>
        <v/>
      </c>
      <c r="AV128">
        <f>IF($A128="","",IF(MAX(CR128:DX128)=0,"—",INDEX('Beállítások'!$B$6:$B$38,MATCH(MAX(CR128:DX128),CR128:DX128,0))))</f>
        <v/>
      </c>
      <c r="AW128" s="10">
        <f>IF($A128="","",'Beállítások'!$B$94*(TRIM('Ügyfelek'!AI128)="igen")+'Beállítások'!$B$95*(TRIM('Ügyfelek'!AJ128)="igen")+'Beállítások'!$B$96*N('Ügyfelek'!AK128)+'Beállítások'!$B$93*N('Ügyfelek'!AL128))</f>
        <v/>
      </c>
      <c r="AX128" s="25">
        <f>IF(OR($A128="",AQ128=5),"",INDEX('Beállítások'!$D$108:$D$112,AQ128))</f>
        <v/>
      </c>
      <c r="AY128" s="10">
        <f>IF($A128="","",N('Ügyfelek'!U128)*'Beállítások'!$B$98)</f>
        <v/>
      </c>
      <c r="AZ128" s="10">
        <f>IF(OR($A128="",AQ128=5),"",CEILING(ROUND(MAX('Beállítások'!$B$97,AW128*AX128,AY128),2),'Beállítások'!$B$99))</f>
        <v/>
      </c>
      <c r="BA128">
        <f>IF($A128="","",IF(AQ128=5,"Elutasítva",IF(MAX('Beállítások'!$B$97,AW128*AX128,AY128)=AW128*AX128,"Munkaigény × státuszszorzó",IF(MAX('Beállítások'!$B$97,AW128*AX128,AY128)=AY128,"Hirdetési keret arányában","Minimumdíj"))))</f>
        <v/>
      </c>
      <c r="BB128" s="10">
        <f>IF(OR($A128="",'Ügyfelek'!AM128=""),"",'Ügyfelek'!AM128)</f>
        <v/>
      </c>
      <c r="BC128" s="10">
        <f>IF(OR(BB128="",AZ128=""),"",AZ128-BB128)</f>
        <v/>
      </c>
      <c r="BD128" s="18">
        <f>IF(OR(BB128="",AZ128="",BB128=0),"",BC128/BB128)</f>
        <v/>
      </c>
      <c r="BE128">
        <f>IF(OR($A128="",AQ128=5),"",IF(AND(INDEX('Beállítások'!$E$108:$E$112,AQ128)&gt;0,Y128&gt;='Beállítások'!$B$91),"Igen","Nem"))</f>
        <v/>
      </c>
      <c r="BF128" s="10">
        <f>IF(BE128="Igen",CEILING(ROUND(AZ128*(1-'Beállítások'!$B$92),2),'Beállítások'!$B$99),"")</f>
        <v/>
      </c>
      <c r="BG128" s="20">
        <f>IF(BE128="Igen",INDEX('Beállítások'!$E$108:$E$112,AQ128),"")</f>
        <v/>
      </c>
      <c r="BH128" s="10">
        <f>IF(OR(BE128&lt;&gt;"Igen",'Ügyfelek'!AN128=""),"",'Ügyfelek'!AN128*BG128)</f>
        <v/>
      </c>
      <c r="BI128" s="24">
        <f>IF($A128="","",('Ügyfelek'!B128="")+('Ügyfelek'!C128="")+('Ügyfelek'!D128="")+('Ügyfelek'!E128="")+('Ügyfelek'!F128="")+('Ügyfelek'!G128="")+('Ügyfelek'!H128="")+('Ügyfelek'!I128="")+('Ügyfelek'!J128="")+('Ügyfelek'!K128="")+('Ügyfelek'!L128="")+('Ügyfelek'!M128="")+('Ügyfelek'!N128="")+('Ügyfelek'!O128="")+('Ügyfelek'!P128="")+('Ügyfelek'!Q128="")+('Ügyfelek'!R128="")+('Ügyfelek'!S128="")+('Ügyfelek'!T128="")+('Ügyfelek'!U128="")+('Ügyfelek'!V128="")+('Ügyfelek'!W128="")+('Ügyfelek'!X128="")+('Ügyfelek'!Y128="")+('Ügyfelek'!Z128="")+('Ügyfelek'!AA128="")+('Ügyfelek'!AB128="")+('Ügyfelek'!AC128="")+('Ügyfelek'!AD128="")+('Ügyfelek'!AE128="")+('Ügyfelek'!AF128="")+('Ügyfelek'!AG128="")+('Ügyfelek'!AH128=""))</f>
        <v/>
      </c>
      <c r="BK128">
        <f>IF($A128="","",B128+'Beállítások'!$E$6/1000)</f>
        <v/>
      </c>
      <c r="BL128">
        <f>IF($A128="","",C128+'Beállítások'!$E$7/1000)</f>
        <v/>
      </c>
      <c r="BM128">
        <f>IF($A128="","",D128+'Beállítások'!$E$8/1000)</f>
        <v/>
      </c>
      <c r="BN128">
        <f>IF($A128="","",E128+'Beállítások'!$E$9/1000)</f>
        <v/>
      </c>
      <c r="BO128">
        <f>IF($A128="","",F128+'Beállítások'!$E$10/1000)</f>
        <v/>
      </c>
      <c r="BP128">
        <f>IF($A128="","",G128+'Beállítások'!$E$11/1000)</f>
        <v/>
      </c>
      <c r="BQ128">
        <f>IF($A128="","",H128+'Beállítások'!$E$12/1000)</f>
        <v/>
      </c>
      <c r="BR128">
        <f>IF($A128="","",I128+'Beállítások'!$E$13/1000)</f>
        <v/>
      </c>
      <c r="BS128">
        <f>IF($A128="","",J128+'Beállítások'!$E$14/1000)</f>
        <v/>
      </c>
      <c r="BT128">
        <f>IF($A128="","",K128+'Beállítások'!$E$15/1000)</f>
        <v/>
      </c>
      <c r="BU128">
        <f>IF($A128="","",L128+'Beállítások'!$E$16/1000)</f>
        <v/>
      </c>
      <c r="BV128">
        <f>IF($A128="","",M128+'Beállítások'!$E$17/1000)</f>
        <v/>
      </c>
      <c r="BW128">
        <f>IF($A128="","",N128+'Beállítások'!$E$18/1000)</f>
        <v/>
      </c>
      <c r="BX128">
        <f>IF($A128="","",O128+'Beállítások'!$E$19/1000)</f>
        <v/>
      </c>
      <c r="BY128">
        <f>IF($A128="","",P128+'Beállítások'!$E$20/1000)</f>
        <v/>
      </c>
      <c r="BZ128">
        <f>IF($A128="","",Q128+'Beállítások'!$E$21/1000)</f>
        <v/>
      </c>
      <c r="CA128">
        <f>IF($A128="","",R128+'Beállítások'!$E$22/1000)</f>
        <v/>
      </c>
      <c r="CB128">
        <f>IF($A128="","",S128+'Beállítások'!$E$23/1000)</f>
        <v/>
      </c>
      <c r="CC128">
        <f>IF($A128="","",T128+'Beállítások'!$E$24/1000)</f>
        <v/>
      </c>
      <c r="CD128">
        <f>IF($A128="","",U128+'Beállítások'!$E$25/1000)</f>
        <v/>
      </c>
      <c r="CE128">
        <f>IF($A128="","",V128+'Beállítások'!$E$26/1000)</f>
        <v/>
      </c>
      <c r="CF128">
        <f>IF($A128="","",W128+'Beállítások'!$E$27/1000)</f>
        <v/>
      </c>
      <c r="CG128">
        <f>IF($A128="","",X128+'Beállítások'!$E$28/1000)</f>
        <v/>
      </c>
      <c r="CH128">
        <f>IF($A128="","",Y128+'Beállítások'!$E$29/1000)</f>
        <v/>
      </c>
      <c r="CI128">
        <f>IF($A128="","",Z128+'Beállítások'!$E$30/1000)</f>
        <v/>
      </c>
      <c r="CJ128">
        <f>IF($A128="","",AA128+'Beállítások'!$E$31/1000)</f>
        <v/>
      </c>
      <c r="CK128">
        <f>IF($A128="","",AB128+'Beállítások'!$E$32/1000)</f>
        <v/>
      </c>
      <c r="CL128">
        <f>IF($A128="","",AC128+'Beállítások'!$E$33/1000)</f>
        <v/>
      </c>
      <c r="CM128">
        <f>IF($A128="","",AD128+'Beállítások'!$E$34/1000)</f>
        <v/>
      </c>
      <c r="CN128">
        <f>IF($A128="","",AE128+'Beállítások'!$E$35/1000)</f>
        <v/>
      </c>
      <c r="CO128">
        <f>IF($A128="","",AF128+'Beállítások'!$E$36/1000)</f>
        <v/>
      </c>
      <c r="CP128">
        <f>IF($A128="","",AG128+'Beállítások'!$E$37/1000)</f>
        <v/>
      </c>
      <c r="CQ128">
        <f>IF($A128="","",AH128+'Beállítások'!$E$38/1000)</f>
        <v/>
      </c>
      <c r="CR128">
        <f>IF($A128="","",'Beállítások'!$E$6*(10-B128))</f>
        <v/>
      </c>
      <c r="CS128">
        <f>IF($A128="","",'Beállítások'!$E$7*(10-C128))</f>
        <v/>
      </c>
      <c r="CT128">
        <f>IF($A128="","",'Beállítások'!$E$8*(10-D128))</f>
        <v/>
      </c>
      <c r="CU128">
        <f>IF($A128="","",'Beállítások'!$E$9*(10-E128))</f>
        <v/>
      </c>
      <c r="CV128">
        <f>IF($A128="","",'Beállítások'!$E$10*(10-F128))</f>
        <v/>
      </c>
      <c r="CW128">
        <f>IF($A128="","",'Beállítások'!$E$11*(10-G128))</f>
        <v/>
      </c>
      <c r="CX128">
        <f>IF($A128="","",'Beállítások'!$E$12*(10-H128))</f>
        <v/>
      </c>
      <c r="CY128">
        <f>IF($A128="","",'Beállítások'!$E$13*(10-I128))</f>
        <v/>
      </c>
      <c r="CZ128">
        <f>IF($A128="","",'Beállítások'!$E$14*(10-J128))</f>
        <v/>
      </c>
      <c r="DA128">
        <f>IF($A128="","",'Beállítások'!$E$15*(10-K128))</f>
        <v/>
      </c>
      <c r="DB128">
        <f>IF($A128="","",'Beállítások'!$E$16*(10-L128))</f>
        <v/>
      </c>
      <c r="DC128">
        <f>IF($A128="","",'Beállítások'!$E$17*(10-M128))</f>
        <v/>
      </c>
      <c r="DD128">
        <f>IF($A128="","",'Beállítások'!$E$18*(10-N128))</f>
        <v/>
      </c>
      <c r="DE128">
        <f>IF($A128="","",'Beállítások'!$E$19*(10-O128))</f>
        <v/>
      </c>
      <c r="DF128">
        <f>IF($A128="","",'Beállítások'!$E$20*(10-P128))</f>
        <v/>
      </c>
      <c r="DG128">
        <f>IF($A128="","",'Beállítások'!$E$21*(10-Q128))</f>
        <v/>
      </c>
      <c r="DH128">
        <f>IF($A128="","",'Beállítások'!$E$22*(10-R128))</f>
        <v/>
      </c>
      <c r="DI128">
        <f>IF($A128="","",'Beállítások'!$E$23*(10-S128))</f>
        <v/>
      </c>
      <c r="DJ128">
        <f>IF($A128="","",'Beállítások'!$E$24*(10-T128))</f>
        <v/>
      </c>
      <c r="DK128">
        <f>IF($A128="","",'Beállítások'!$E$25*(10-U128))</f>
        <v/>
      </c>
      <c r="DL128">
        <f>IF($A128="","",'Beállítások'!$E$26*(10-V128))</f>
        <v/>
      </c>
      <c r="DM128">
        <f>IF($A128="","",'Beállítások'!$E$27*(10-W128))</f>
        <v/>
      </c>
      <c r="DN128">
        <f>IF($A128="","",'Beállítások'!$E$28*(10-X128))</f>
        <v/>
      </c>
      <c r="DO128">
        <f>IF($A128="","",'Beállítások'!$E$29*(10-Y128))</f>
        <v/>
      </c>
      <c r="DP128">
        <f>IF($A128="","",'Beállítások'!$E$30*(10-Z128))</f>
        <v/>
      </c>
      <c r="DQ128">
        <f>IF($A128="","",'Beállítások'!$E$31*(10-AA128))</f>
        <v/>
      </c>
      <c r="DR128">
        <f>IF($A128="","",'Beállítások'!$E$32*(10-AB128))</f>
        <v/>
      </c>
      <c r="DS128">
        <f>IF($A128="","",'Beállítások'!$E$33*(10-AC128))</f>
        <v/>
      </c>
      <c r="DT128">
        <f>IF($A128="","",'Beállítások'!$E$34*(10-AD128))</f>
        <v/>
      </c>
      <c r="DU128">
        <f>IF($A128="","",'Beállítások'!$E$35*(10-AE128))</f>
        <v/>
      </c>
      <c r="DV128">
        <f>IF($A128="","",'Beállítások'!$E$36*(10-AF128))</f>
        <v/>
      </c>
      <c r="DW128">
        <f>IF($A128="","",'Beállítások'!$E$37*(10-AG128))</f>
        <v/>
      </c>
      <c r="DX128">
        <f>IF($A128="","",'Beállítások'!$E$38*(10-AH128))</f>
        <v/>
      </c>
      <c r="DY128">
        <f>IF($A128="","",AM128-ROW()/100000)</f>
        <v/>
      </c>
    </row>
    <row r="129">
      <c r="A129">
        <f>IF('Ügyfelek'!A129="","",'Ügyfelek'!A129)</f>
        <v/>
      </c>
      <c r="B129">
        <f>IF($A129="","",IF('Ügyfelek'!B129="",'Beállítások'!$B$84,IFERROR(VLOOKUP(TRIM('Ügyfelek'!B129),'Beállítások'!$A$51:$B$59,2,FALSE),'Beállítások'!$B$84)))</f>
        <v/>
      </c>
      <c r="C129">
        <f>IF($A129="","",IF('Ügyfelek'!C129="",'Beállítások'!$B$84,MIN(10,MAX(1,ROUND('Ügyfelek'!C129,0)))))</f>
        <v/>
      </c>
      <c r="D129">
        <f>IF($A129="","",IF('Ügyfelek'!D129="",'Beállítások'!$B$84,MIN(10,MAX(1,ROUND('Ügyfelek'!D129,0)))))</f>
        <v/>
      </c>
      <c r="E129">
        <f>IF($A129="","",IF('Ügyfelek'!E129="",'Beállítások'!$B$84,MIN(10,MAX(1,ROUND('Ügyfelek'!E129,0)))))</f>
        <v/>
      </c>
      <c r="F129">
        <f>IF($A129="","",IF('Ügyfelek'!F129="",'Beállítások'!$B$84,MIN(10,MAX(1,ROUND('Ügyfelek'!F129,0)))))</f>
        <v/>
      </c>
      <c r="G129">
        <f>IF($A129="","",IF('Ügyfelek'!G129="",'Beállítások'!$B$84,MIN(10,MAX(1,ROUND('Ügyfelek'!G129,0)))))</f>
        <v/>
      </c>
      <c r="H129">
        <f>IF($A129="","",IF('Ügyfelek'!H129="",'Beállítások'!$B$84,MIN(10,MAX(1,ROUND('Ügyfelek'!H129,0)))))</f>
        <v/>
      </c>
      <c r="I129">
        <f>IF($A129="","",IF('Ügyfelek'!I129="",'Beállítások'!$B$84,MIN(10,MAX(1,ROUND('Ügyfelek'!I129,0)))))</f>
        <v/>
      </c>
      <c r="J129">
        <f>IF($A129="","",IF('Ügyfelek'!J129="",'Beállítások'!$B$84,MIN(10,MAX(1,ROUND('Ügyfelek'!J129,0)))))</f>
        <v/>
      </c>
      <c r="K129">
        <f>IF($A129="","",IF('Ügyfelek'!K129="",'Beállítások'!$B$84,MIN(10,MAX(1,ROUND('Ügyfelek'!K129,0)))))</f>
        <v/>
      </c>
      <c r="L129">
        <f>IF($A129="","",IF('Ügyfelek'!L129="",'Beállítások'!$B$84,MIN(10,MAX(1,ROUND('Ügyfelek'!L129,0)))))</f>
        <v/>
      </c>
      <c r="M129">
        <f>IF($A129="","",IF('Ügyfelek'!M129="",'Beállítások'!$B$84,MIN(10,MAX(1,ROUND('Ügyfelek'!M129,0)))))</f>
        <v/>
      </c>
      <c r="N129">
        <f>IF($A129="","",IF('Ügyfelek'!N129="",'Beállítások'!$B$84,MIN(10,MAX(1,ROUND('Ügyfelek'!N129,0)))))</f>
        <v/>
      </c>
      <c r="O129">
        <f>IF($A129="","",IF('Ügyfelek'!O129="",'Beállítások'!$B$84,MIN(10,MAX(1,ROUND('Ügyfelek'!O129,0)))))</f>
        <v/>
      </c>
      <c r="P129">
        <f>IF($A129="","",IF('Ügyfelek'!P129="",'Beállítások'!$B$84,MIN(10,MAX(1,ROUND('Ügyfelek'!P129,0)))))</f>
        <v/>
      </c>
      <c r="Q129">
        <f>IF($A129="","",IF('Ügyfelek'!Q129="",'Beállítások'!$B$84,MIN(10,MAX(1,ROUND('Ügyfelek'!Q129,0)))))</f>
        <v/>
      </c>
      <c r="R129">
        <f>IF($A129="","",IF('Ügyfelek'!R129="",'Beállítások'!$B$84,MIN(10,MAX(1,ROUND('Ügyfelek'!R129,0)))))</f>
        <v/>
      </c>
      <c r="S129">
        <f>IF($A129="","",IF('Ügyfelek'!S129="",'Beállítások'!$B$84,MIN(10,MAX(1,ROUND('Ügyfelek'!S129,0)))))</f>
        <v/>
      </c>
      <c r="T129">
        <f>IF($A129="","",IF('Ügyfelek'!T129="",'Beállítások'!$B$84,VLOOKUP(MAX('Ügyfelek'!T129,'Beállítások'!$H$7),'Beállítások'!$H$7:$I$12,2,TRUE)))</f>
        <v/>
      </c>
      <c r="U129">
        <f>IF($A129="","",IF('Ügyfelek'!U129="",'Beállítások'!$B$84,VLOOKUP(MAX('Ügyfelek'!U129,'Beállítások'!$K$7),'Beállítások'!$K$7:$L$12,2,TRUE)))</f>
        <v/>
      </c>
      <c r="V129">
        <f>IF($A129="","",IF('Ügyfelek'!V129="",'Beállítások'!$B$84,MIN(10,MAX(1,ROUND('Ügyfelek'!V129,0)))))</f>
        <v/>
      </c>
      <c r="W129">
        <f>IF($A129="","",IF('Ügyfelek'!W129="",'Beállítások'!$B$84,VLOOKUP(MAX('Ügyfelek'!W129,'Beállítások'!$N$7),'Beállítások'!$N$7:$O$12,2,TRUE)))</f>
        <v/>
      </c>
      <c r="X129">
        <f>IF($A129="","",IF('Ügyfelek'!X129="",'Beállítások'!$B$84,MIN(10,MAX(1,ROUND('Ügyfelek'!X129,0)))))</f>
        <v/>
      </c>
      <c r="Y129">
        <f>IF($A129="","",IF('Ügyfelek'!Y129="",'Beállítások'!$B$84,IFERROR(VLOOKUP(TRIM('Ügyfelek'!Y129),'Beállítások'!$A$63:$B$69,2,FALSE),'Beállítások'!$B$84)))</f>
        <v/>
      </c>
      <c r="Z129">
        <f>IF($A129="","",IF('Ügyfelek'!Z129="",'Beállítások'!$B$84,VLOOKUP(MAX('Ügyfelek'!Z129,'Beállítások'!$Q$7),'Beállítások'!$Q$7:$R$12,2,TRUE)))</f>
        <v/>
      </c>
      <c r="AA129">
        <f>IF($A129="","",IF('Ügyfelek'!AA129="",'Beállítások'!$B$84,VLOOKUP(MAX('Ügyfelek'!AA129,'Beállítások'!$T$7),'Beállítások'!$T$7:$U$12,2,TRUE)))</f>
        <v/>
      </c>
      <c r="AB129">
        <f>IF($A129="","",IF('Ügyfelek'!AB129="",'Beállítások'!$B$84,MIN(10,MAX(1,ROUND('Ügyfelek'!AB129,0)))))</f>
        <v/>
      </c>
      <c r="AC129">
        <f>IF($A129="","",IF('Ügyfelek'!AC129="",'Beállítások'!$B$84,MIN(10,MAX(1,ROUND('Ügyfelek'!AC129,0)))))</f>
        <v/>
      </c>
      <c r="AD129">
        <f>IF($A129="","",IF('Ügyfelek'!AD129="",'Beállítások'!$B$84,MIN(10,MAX(1,ROUND('Ügyfelek'!AD129,0)))))</f>
        <v/>
      </c>
      <c r="AE129">
        <f>IF($A129="","",IF('Ügyfelek'!AE129="",'Beállítások'!$B$84,MIN(10,MAX(1,ROUND('Ügyfelek'!AE129,0)))))</f>
        <v/>
      </c>
      <c r="AF129">
        <f>IF($A129="","",IF('Ügyfelek'!AF129="",'Beállítások'!$B$84,MIN(10,MAX(1,ROUND('Ügyfelek'!AF129,0)))))</f>
        <v/>
      </c>
      <c r="AG129">
        <f>IF($A129="","",IF('Ügyfelek'!AG129="",'Beállítások'!$B$84,MIN(10,MAX(1,ROUND('Ügyfelek'!AG129,0)))))</f>
        <v/>
      </c>
      <c r="AH129">
        <f>IF($A129="","",IF('Ügyfelek'!AH129="",'Beállítások'!$B$84,IFERROR(VLOOKUP(TRIM('Ügyfelek'!AH129),'Beállítások'!$A$73:$B$79,2,FALSE),'Beállítások'!$B$84)))</f>
        <v/>
      </c>
      <c r="AI129" s="23">
        <f>IF($A129="","",ROUND(100*('Beállítások'!$E$6*(B129-1)+'Beállítások'!$E$7*(C129-1))/(9*'Beállítások'!$B$43),1))</f>
        <v/>
      </c>
      <c r="AJ129" s="23">
        <f>IF($A129="","",ROUND(100*('Beállítások'!$E$8*(D129-1)+'Beállítások'!$E$9*(E129-1)+'Beállítások'!$E$10*(F129-1)+'Beállítások'!$E$11*(G129-1)+'Beállítások'!$E$12*(H129-1)+'Beállítások'!$E$13*(I129-1)+'Beállítások'!$E$14*(J129-1)+'Beállítások'!$E$15*(K129-1)+'Beállítások'!$E$16*(L129-1)+'Beállítások'!$E$17*(M129-1)+'Beállítások'!$E$18*(N129-1)+'Beállítások'!$E$19*(O129-1)+'Beállítások'!$E$20*(P129-1)+'Beállítások'!$E$21*(Q129-1)+'Beállítások'!$E$22*(R129-1))/(9*'Beállítások'!$B$44),1))</f>
        <v/>
      </c>
      <c r="AK129" s="23">
        <f>IF($A129="","",ROUND(100*('Beállítások'!$E$23*(S129-1)+'Beállítások'!$E$24*(T129-1)+'Beállítások'!$E$25*(U129-1)+'Beállítások'!$E$26*(V129-1)+'Beállítások'!$E$27*(W129-1)+'Beállítások'!$E$28*(X129-1)+'Beállítások'!$E$29*(Y129-1))/(9*'Beállítások'!$B$45),1))</f>
        <v/>
      </c>
      <c r="AL129" s="23">
        <f>IF($A129="","",ROUND(100*('Beállítások'!$E$30*(Z129-1)+'Beállítások'!$E$31*(AA129-1)+'Beállítások'!$E$32*(AB129-1)+'Beállítások'!$E$33*(AC129-1)+'Beállítások'!$E$34*(AD129-1)+'Beállítások'!$E$35*(AE129-1)+'Beállítások'!$E$36*(AF129-1)+'Beállítások'!$E$37*(AG129-1)+'Beállítások'!$E$38*(AH129-1))/(9*'Beállítások'!$B$46),1))</f>
        <v/>
      </c>
      <c r="AM129" s="23">
        <f>IF($A129="","",ROUND(100*('Beállítások'!$E$6*(B129-1)+'Beállítások'!$E$7*(C129-1)+'Beállítások'!$E$8*(D129-1)+'Beállítások'!$E$9*(E129-1)+'Beállítások'!$E$10*(F129-1)+'Beállítások'!$E$11*(G129-1)+'Beállítások'!$E$12*(H129-1)+'Beállítások'!$E$13*(I129-1)+'Beállítások'!$E$14*(J129-1)+'Beállítások'!$E$15*(K129-1)+'Beállítások'!$E$16*(L129-1)+'Beállítások'!$E$17*(M129-1)+'Beállítások'!$E$18*(N129-1)+'Beállítások'!$E$19*(O129-1)+'Beállítások'!$E$20*(P129-1)+'Beállítások'!$E$21*(Q129-1)+'Beállítások'!$E$22*(R129-1)+'Beállítások'!$E$23*(S129-1)+'Beállítások'!$E$24*(T129-1)+'Beállítások'!$E$25*(U129-1)+'Beállítások'!$E$26*(V129-1)+'Beállítások'!$E$27*(W129-1)+'Beállítások'!$E$28*(X129-1)+'Beállítások'!$E$29*(Y129-1)+'Beállítások'!$E$30*(Z129-1)+'Beállítások'!$E$31*(AA129-1)+'Beállítások'!$E$32*(AB129-1)+'Beállítások'!$E$33*(AC129-1)+'Beállítások'!$E$34*(AD129-1)+'Beállítások'!$E$35*(AE129-1)+'Beállítások'!$E$36*(AF129-1)+'Beállítások'!$E$37*(AG129-1)+'Beállítások'!$E$38*(AH129-1))/(9*'Beállítások'!$E$39),1))</f>
        <v/>
      </c>
      <c r="AN129" s="23">
        <f>IF($A129="","",ROUND(100*('Beállítások'!$E$8*(D129-1)+'Beállítások'!$E$9*(E129-1)+'Beállítások'!$E$10*(F129-1)+'Beállítások'!$E$11*(G129-1)+'Beállítások'!$E$12*(H129-1)+'Beállítások'!$E$13*(I129-1)+'Beállítások'!$E$14*(J129-1)+'Beállítások'!$E$15*(K129-1)+'Beállítások'!$E$16*(L129-1)+'Beállítások'!$E$17*(M129-1)+'Beállítások'!$E$18*(N129-1)+'Beállítások'!$E$19*(O129-1)+'Beállítások'!$E$20*(P129-1)+'Beállítások'!$E$21*(Q129-1)+'Beállítások'!$E$22*(R129-1)+'Beállítások'!$E$23*(S129-1)+'Beállítások'!$E$24*(T129-1)+'Beállítások'!$E$25*(U129-1)+'Beállítások'!$E$26*(V129-1)+'Beállítások'!$E$27*(W129-1)+'Beállítások'!$E$28*(X129-1)+'Beállítások'!$E$29*(Y129-1))/(9*('Beállítások'!$B$44+'Beállítások'!$B$45)),1))</f>
        <v/>
      </c>
      <c r="AO129" s="24">
        <f>IF($A129="","",RANK(AM129,$AM$2:$AM$201))</f>
        <v/>
      </c>
      <c r="AP129">
        <f>IF($A129="","",IF(OR(AND('Ügyfelek'!B129&lt;&gt;"",B129&lt;='Beállítások'!$B$85),AND('Ügyfelek'!C129&lt;&gt;"",C129&lt;='Beállítások'!$B$86)),"Igen","Nem"))</f>
        <v/>
      </c>
      <c r="AQ129" s="24">
        <f>IF($A129="","",IF(AP129="Igen",5,IF(AN129&gt;='Beállítások'!$C$108,1,IF(AN129&gt;='Beállítások'!$C$109,2,IF(AN129&gt;='Beállítások'!$C$110,3,IF(AND(AN129&gt;='Beállítások'!$B$87,AI129&gt;='Beállítások'!$B$88,AL129&gt;='Beállítások'!$B$89),4,5))))))</f>
        <v/>
      </c>
      <c r="AR129">
        <f>IF($A129="","",INDEX('Beállítások'!$B$108:$B$112,AQ129))</f>
        <v/>
      </c>
      <c r="AS129">
        <f>IF($A129="","",IF(AQ129=5,"Elutasítjuk",IF(AND(AQ129=4,COUNTIFS('Eredmény'!$AQ$2:$AQ$201,4,'Eredmény'!$DY$2:$DY$201,"&gt;"&amp;DY129)&gt;='Beállítások'!$B$90),"Várólista (a 4-es hely foglalt)","Elfogadjuk")))</f>
        <v/>
      </c>
      <c r="AT129">
        <f>IF($A129="","",INDEX('Beállítások'!$F$108:$F$112,AQ129))</f>
        <v/>
      </c>
      <c r="AU129">
        <f>IF($A129="","",INDEX('Beállítások'!$B$6:$B$38,MATCH(MAX(BK129:CQ129),BK129:CQ129,0)))</f>
        <v/>
      </c>
      <c r="AV129">
        <f>IF($A129="","",IF(MAX(CR129:DX129)=0,"—",INDEX('Beállítások'!$B$6:$B$38,MATCH(MAX(CR129:DX129),CR129:DX129,0))))</f>
        <v/>
      </c>
      <c r="AW129" s="10">
        <f>IF($A129="","",'Beállítások'!$B$94*(TRIM('Ügyfelek'!AI129)="igen")+'Beállítások'!$B$95*(TRIM('Ügyfelek'!AJ129)="igen")+'Beállítások'!$B$96*N('Ügyfelek'!AK129)+'Beállítások'!$B$93*N('Ügyfelek'!AL129))</f>
        <v/>
      </c>
      <c r="AX129" s="25">
        <f>IF(OR($A129="",AQ129=5),"",INDEX('Beállítások'!$D$108:$D$112,AQ129))</f>
        <v/>
      </c>
      <c r="AY129" s="10">
        <f>IF($A129="","",N('Ügyfelek'!U129)*'Beállítások'!$B$98)</f>
        <v/>
      </c>
      <c r="AZ129" s="10">
        <f>IF(OR($A129="",AQ129=5),"",CEILING(ROUND(MAX('Beállítások'!$B$97,AW129*AX129,AY129),2),'Beállítások'!$B$99))</f>
        <v/>
      </c>
      <c r="BA129">
        <f>IF($A129="","",IF(AQ129=5,"Elutasítva",IF(MAX('Beállítások'!$B$97,AW129*AX129,AY129)=AW129*AX129,"Munkaigény × státuszszorzó",IF(MAX('Beállítások'!$B$97,AW129*AX129,AY129)=AY129,"Hirdetési keret arányában","Minimumdíj"))))</f>
        <v/>
      </c>
      <c r="BB129" s="10">
        <f>IF(OR($A129="",'Ügyfelek'!AM129=""),"",'Ügyfelek'!AM129)</f>
        <v/>
      </c>
      <c r="BC129" s="10">
        <f>IF(OR(BB129="",AZ129=""),"",AZ129-BB129)</f>
        <v/>
      </c>
      <c r="BD129" s="18">
        <f>IF(OR(BB129="",AZ129="",BB129=0),"",BC129/BB129)</f>
        <v/>
      </c>
      <c r="BE129">
        <f>IF(OR($A129="",AQ129=5),"",IF(AND(INDEX('Beállítások'!$E$108:$E$112,AQ129)&gt;0,Y129&gt;='Beállítások'!$B$91),"Igen","Nem"))</f>
        <v/>
      </c>
      <c r="BF129" s="10">
        <f>IF(BE129="Igen",CEILING(ROUND(AZ129*(1-'Beállítások'!$B$92),2),'Beállítások'!$B$99),"")</f>
        <v/>
      </c>
      <c r="BG129" s="20">
        <f>IF(BE129="Igen",INDEX('Beállítások'!$E$108:$E$112,AQ129),"")</f>
        <v/>
      </c>
      <c r="BH129" s="10">
        <f>IF(OR(BE129&lt;&gt;"Igen",'Ügyfelek'!AN129=""),"",'Ügyfelek'!AN129*BG129)</f>
        <v/>
      </c>
      <c r="BI129" s="24">
        <f>IF($A129="","",('Ügyfelek'!B129="")+('Ügyfelek'!C129="")+('Ügyfelek'!D129="")+('Ügyfelek'!E129="")+('Ügyfelek'!F129="")+('Ügyfelek'!G129="")+('Ügyfelek'!H129="")+('Ügyfelek'!I129="")+('Ügyfelek'!J129="")+('Ügyfelek'!K129="")+('Ügyfelek'!L129="")+('Ügyfelek'!M129="")+('Ügyfelek'!N129="")+('Ügyfelek'!O129="")+('Ügyfelek'!P129="")+('Ügyfelek'!Q129="")+('Ügyfelek'!R129="")+('Ügyfelek'!S129="")+('Ügyfelek'!T129="")+('Ügyfelek'!U129="")+('Ügyfelek'!V129="")+('Ügyfelek'!W129="")+('Ügyfelek'!X129="")+('Ügyfelek'!Y129="")+('Ügyfelek'!Z129="")+('Ügyfelek'!AA129="")+('Ügyfelek'!AB129="")+('Ügyfelek'!AC129="")+('Ügyfelek'!AD129="")+('Ügyfelek'!AE129="")+('Ügyfelek'!AF129="")+('Ügyfelek'!AG129="")+('Ügyfelek'!AH129=""))</f>
        <v/>
      </c>
      <c r="BK129">
        <f>IF($A129="","",B129+'Beállítások'!$E$6/1000)</f>
        <v/>
      </c>
      <c r="BL129">
        <f>IF($A129="","",C129+'Beállítások'!$E$7/1000)</f>
        <v/>
      </c>
      <c r="BM129">
        <f>IF($A129="","",D129+'Beállítások'!$E$8/1000)</f>
        <v/>
      </c>
      <c r="BN129">
        <f>IF($A129="","",E129+'Beállítások'!$E$9/1000)</f>
        <v/>
      </c>
      <c r="BO129">
        <f>IF($A129="","",F129+'Beállítások'!$E$10/1000)</f>
        <v/>
      </c>
      <c r="BP129">
        <f>IF($A129="","",G129+'Beállítások'!$E$11/1000)</f>
        <v/>
      </c>
      <c r="BQ129">
        <f>IF($A129="","",H129+'Beállítások'!$E$12/1000)</f>
        <v/>
      </c>
      <c r="BR129">
        <f>IF($A129="","",I129+'Beállítások'!$E$13/1000)</f>
        <v/>
      </c>
      <c r="BS129">
        <f>IF($A129="","",J129+'Beállítások'!$E$14/1000)</f>
        <v/>
      </c>
      <c r="BT129">
        <f>IF($A129="","",K129+'Beállítások'!$E$15/1000)</f>
        <v/>
      </c>
      <c r="BU129">
        <f>IF($A129="","",L129+'Beállítások'!$E$16/1000)</f>
        <v/>
      </c>
      <c r="BV129">
        <f>IF($A129="","",M129+'Beállítások'!$E$17/1000)</f>
        <v/>
      </c>
      <c r="BW129">
        <f>IF($A129="","",N129+'Beállítások'!$E$18/1000)</f>
        <v/>
      </c>
      <c r="BX129">
        <f>IF($A129="","",O129+'Beállítások'!$E$19/1000)</f>
        <v/>
      </c>
      <c r="BY129">
        <f>IF($A129="","",P129+'Beállítások'!$E$20/1000)</f>
        <v/>
      </c>
      <c r="BZ129">
        <f>IF($A129="","",Q129+'Beállítások'!$E$21/1000)</f>
        <v/>
      </c>
      <c r="CA129">
        <f>IF($A129="","",R129+'Beállítások'!$E$22/1000)</f>
        <v/>
      </c>
      <c r="CB129">
        <f>IF($A129="","",S129+'Beállítások'!$E$23/1000)</f>
        <v/>
      </c>
      <c r="CC129">
        <f>IF($A129="","",T129+'Beállítások'!$E$24/1000)</f>
        <v/>
      </c>
      <c r="CD129">
        <f>IF($A129="","",U129+'Beállítások'!$E$25/1000)</f>
        <v/>
      </c>
      <c r="CE129">
        <f>IF($A129="","",V129+'Beállítások'!$E$26/1000)</f>
        <v/>
      </c>
      <c r="CF129">
        <f>IF($A129="","",W129+'Beállítások'!$E$27/1000)</f>
        <v/>
      </c>
      <c r="CG129">
        <f>IF($A129="","",X129+'Beállítások'!$E$28/1000)</f>
        <v/>
      </c>
      <c r="CH129">
        <f>IF($A129="","",Y129+'Beállítások'!$E$29/1000)</f>
        <v/>
      </c>
      <c r="CI129">
        <f>IF($A129="","",Z129+'Beállítások'!$E$30/1000)</f>
        <v/>
      </c>
      <c r="CJ129">
        <f>IF($A129="","",AA129+'Beállítások'!$E$31/1000)</f>
        <v/>
      </c>
      <c r="CK129">
        <f>IF($A129="","",AB129+'Beállítások'!$E$32/1000)</f>
        <v/>
      </c>
      <c r="CL129">
        <f>IF($A129="","",AC129+'Beállítások'!$E$33/1000)</f>
        <v/>
      </c>
      <c r="CM129">
        <f>IF($A129="","",AD129+'Beállítások'!$E$34/1000)</f>
        <v/>
      </c>
      <c r="CN129">
        <f>IF($A129="","",AE129+'Beállítások'!$E$35/1000)</f>
        <v/>
      </c>
      <c r="CO129">
        <f>IF($A129="","",AF129+'Beállítások'!$E$36/1000)</f>
        <v/>
      </c>
      <c r="CP129">
        <f>IF($A129="","",AG129+'Beállítások'!$E$37/1000)</f>
        <v/>
      </c>
      <c r="CQ129">
        <f>IF($A129="","",AH129+'Beállítások'!$E$38/1000)</f>
        <v/>
      </c>
      <c r="CR129">
        <f>IF($A129="","",'Beállítások'!$E$6*(10-B129))</f>
        <v/>
      </c>
      <c r="CS129">
        <f>IF($A129="","",'Beállítások'!$E$7*(10-C129))</f>
        <v/>
      </c>
      <c r="CT129">
        <f>IF($A129="","",'Beállítások'!$E$8*(10-D129))</f>
        <v/>
      </c>
      <c r="CU129">
        <f>IF($A129="","",'Beállítások'!$E$9*(10-E129))</f>
        <v/>
      </c>
      <c r="CV129">
        <f>IF($A129="","",'Beállítások'!$E$10*(10-F129))</f>
        <v/>
      </c>
      <c r="CW129">
        <f>IF($A129="","",'Beállítások'!$E$11*(10-G129))</f>
        <v/>
      </c>
      <c r="CX129">
        <f>IF($A129="","",'Beállítások'!$E$12*(10-H129))</f>
        <v/>
      </c>
      <c r="CY129">
        <f>IF($A129="","",'Beállítások'!$E$13*(10-I129))</f>
        <v/>
      </c>
      <c r="CZ129">
        <f>IF($A129="","",'Beállítások'!$E$14*(10-J129))</f>
        <v/>
      </c>
      <c r="DA129">
        <f>IF($A129="","",'Beállítások'!$E$15*(10-K129))</f>
        <v/>
      </c>
      <c r="DB129">
        <f>IF($A129="","",'Beállítások'!$E$16*(10-L129))</f>
        <v/>
      </c>
      <c r="DC129">
        <f>IF($A129="","",'Beállítások'!$E$17*(10-M129))</f>
        <v/>
      </c>
      <c r="DD129">
        <f>IF($A129="","",'Beállítások'!$E$18*(10-N129))</f>
        <v/>
      </c>
      <c r="DE129">
        <f>IF($A129="","",'Beállítások'!$E$19*(10-O129))</f>
        <v/>
      </c>
      <c r="DF129">
        <f>IF($A129="","",'Beállítások'!$E$20*(10-P129))</f>
        <v/>
      </c>
      <c r="DG129">
        <f>IF($A129="","",'Beállítások'!$E$21*(10-Q129))</f>
        <v/>
      </c>
      <c r="DH129">
        <f>IF($A129="","",'Beállítások'!$E$22*(10-R129))</f>
        <v/>
      </c>
      <c r="DI129">
        <f>IF($A129="","",'Beállítások'!$E$23*(10-S129))</f>
        <v/>
      </c>
      <c r="DJ129">
        <f>IF($A129="","",'Beállítások'!$E$24*(10-T129))</f>
        <v/>
      </c>
      <c r="DK129">
        <f>IF($A129="","",'Beállítások'!$E$25*(10-U129))</f>
        <v/>
      </c>
      <c r="DL129">
        <f>IF($A129="","",'Beállítások'!$E$26*(10-V129))</f>
        <v/>
      </c>
      <c r="DM129">
        <f>IF($A129="","",'Beállítások'!$E$27*(10-W129))</f>
        <v/>
      </c>
      <c r="DN129">
        <f>IF($A129="","",'Beállítások'!$E$28*(10-X129))</f>
        <v/>
      </c>
      <c r="DO129">
        <f>IF($A129="","",'Beállítások'!$E$29*(10-Y129))</f>
        <v/>
      </c>
      <c r="DP129">
        <f>IF($A129="","",'Beállítások'!$E$30*(10-Z129))</f>
        <v/>
      </c>
      <c r="DQ129">
        <f>IF($A129="","",'Beállítások'!$E$31*(10-AA129))</f>
        <v/>
      </c>
      <c r="DR129">
        <f>IF($A129="","",'Beállítások'!$E$32*(10-AB129))</f>
        <v/>
      </c>
      <c r="DS129">
        <f>IF($A129="","",'Beállítások'!$E$33*(10-AC129))</f>
        <v/>
      </c>
      <c r="DT129">
        <f>IF($A129="","",'Beállítások'!$E$34*(10-AD129))</f>
        <v/>
      </c>
      <c r="DU129">
        <f>IF($A129="","",'Beállítások'!$E$35*(10-AE129))</f>
        <v/>
      </c>
      <c r="DV129">
        <f>IF($A129="","",'Beállítások'!$E$36*(10-AF129))</f>
        <v/>
      </c>
      <c r="DW129">
        <f>IF($A129="","",'Beállítások'!$E$37*(10-AG129))</f>
        <v/>
      </c>
      <c r="DX129">
        <f>IF($A129="","",'Beállítások'!$E$38*(10-AH129))</f>
        <v/>
      </c>
      <c r="DY129">
        <f>IF($A129="","",AM129-ROW()/100000)</f>
        <v/>
      </c>
    </row>
    <row r="130">
      <c r="A130">
        <f>IF('Ügyfelek'!A130="","",'Ügyfelek'!A130)</f>
        <v/>
      </c>
      <c r="B130">
        <f>IF($A130="","",IF('Ügyfelek'!B130="",'Beállítások'!$B$84,IFERROR(VLOOKUP(TRIM('Ügyfelek'!B130),'Beállítások'!$A$51:$B$59,2,FALSE),'Beállítások'!$B$84)))</f>
        <v/>
      </c>
      <c r="C130">
        <f>IF($A130="","",IF('Ügyfelek'!C130="",'Beállítások'!$B$84,MIN(10,MAX(1,ROUND('Ügyfelek'!C130,0)))))</f>
        <v/>
      </c>
      <c r="D130">
        <f>IF($A130="","",IF('Ügyfelek'!D130="",'Beállítások'!$B$84,MIN(10,MAX(1,ROUND('Ügyfelek'!D130,0)))))</f>
        <v/>
      </c>
      <c r="E130">
        <f>IF($A130="","",IF('Ügyfelek'!E130="",'Beállítások'!$B$84,MIN(10,MAX(1,ROUND('Ügyfelek'!E130,0)))))</f>
        <v/>
      </c>
      <c r="F130">
        <f>IF($A130="","",IF('Ügyfelek'!F130="",'Beállítások'!$B$84,MIN(10,MAX(1,ROUND('Ügyfelek'!F130,0)))))</f>
        <v/>
      </c>
      <c r="G130">
        <f>IF($A130="","",IF('Ügyfelek'!G130="",'Beállítások'!$B$84,MIN(10,MAX(1,ROUND('Ügyfelek'!G130,0)))))</f>
        <v/>
      </c>
      <c r="H130">
        <f>IF($A130="","",IF('Ügyfelek'!H130="",'Beállítások'!$B$84,MIN(10,MAX(1,ROUND('Ügyfelek'!H130,0)))))</f>
        <v/>
      </c>
      <c r="I130">
        <f>IF($A130="","",IF('Ügyfelek'!I130="",'Beállítások'!$B$84,MIN(10,MAX(1,ROUND('Ügyfelek'!I130,0)))))</f>
        <v/>
      </c>
      <c r="J130">
        <f>IF($A130="","",IF('Ügyfelek'!J130="",'Beállítások'!$B$84,MIN(10,MAX(1,ROUND('Ügyfelek'!J130,0)))))</f>
        <v/>
      </c>
      <c r="K130">
        <f>IF($A130="","",IF('Ügyfelek'!K130="",'Beállítások'!$B$84,MIN(10,MAX(1,ROUND('Ügyfelek'!K130,0)))))</f>
        <v/>
      </c>
      <c r="L130">
        <f>IF($A130="","",IF('Ügyfelek'!L130="",'Beállítások'!$B$84,MIN(10,MAX(1,ROUND('Ügyfelek'!L130,0)))))</f>
        <v/>
      </c>
      <c r="M130">
        <f>IF($A130="","",IF('Ügyfelek'!M130="",'Beállítások'!$B$84,MIN(10,MAX(1,ROUND('Ügyfelek'!M130,0)))))</f>
        <v/>
      </c>
      <c r="N130">
        <f>IF($A130="","",IF('Ügyfelek'!N130="",'Beállítások'!$B$84,MIN(10,MAX(1,ROUND('Ügyfelek'!N130,0)))))</f>
        <v/>
      </c>
      <c r="O130">
        <f>IF($A130="","",IF('Ügyfelek'!O130="",'Beállítások'!$B$84,MIN(10,MAX(1,ROUND('Ügyfelek'!O130,0)))))</f>
        <v/>
      </c>
      <c r="P130">
        <f>IF($A130="","",IF('Ügyfelek'!P130="",'Beállítások'!$B$84,MIN(10,MAX(1,ROUND('Ügyfelek'!P130,0)))))</f>
        <v/>
      </c>
      <c r="Q130">
        <f>IF($A130="","",IF('Ügyfelek'!Q130="",'Beállítások'!$B$84,MIN(10,MAX(1,ROUND('Ügyfelek'!Q130,0)))))</f>
        <v/>
      </c>
      <c r="R130">
        <f>IF($A130="","",IF('Ügyfelek'!R130="",'Beállítások'!$B$84,MIN(10,MAX(1,ROUND('Ügyfelek'!R130,0)))))</f>
        <v/>
      </c>
      <c r="S130">
        <f>IF($A130="","",IF('Ügyfelek'!S130="",'Beállítások'!$B$84,MIN(10,MAX(1,ROUND('Ügyfelek'!S130,0)))))</f>
        <v/>
      </c>
      <c r="T130">
        <f>IF($A130="","",IF('Ügyfelek'!T130="",'Beállítások'!$B$84,VLOOKUP(MAX('Ügyfelek'!T130,'Beállítások'!$H$7),'Beállítások'!$H$7:$I$12,2,TRUE)))</f>
        <v/>
      </c>
      <c r="U130">
        <f>IF($A130="","",IF('Ügyfelek'!U130="",'Beállítások'!$B$84,VLOOKUP(MAX('Ügyfelek'!U130,'Beállítások'!$K$7),'Beállítások'!$K$7:$L$12,2,TRUE)))</f>
        <v/>
      </c>
      <c r="V130">
        <f>IF($A130="","",IF('Ügyfelek'!V130="",'Beállítások'!$B$84,MIN(10,MAX(1,ROUND('Ügyfelek'!V130,0)))))</f>
        <v/>
      </c>
      <c r="W130">
        <f>IF($A130="","",IF('Ügyfelek'!W130="",'Beállítások'!$B$84,VLOOKUP(MAX('Ügyfelek'!W130,'Beállítások'!$N$7),'Beállítások'!$N$7:$O$12,2,TRUE)))</f>
        <v/>
      </c>
      <c r="X130">
        <f>IF($A130="","",IF('Ügyfelek'!X130="",'Beállítások'!$B$84,MIN(10,MAX(1,ROUND('Ügyfelek'!X130,0)))))</f>
        <v/>
      </c>
      <c r="Y130">
        <f>IF($A130="","",IF('Ügyfelek'!Y130="",'Beállítások'!$B$84,IFERROR(VLOOKUP(TRIM('Ügyfelek'!Y130),'Beállítások'!$A$63:$B$69,2,FALSE),'Beállítások'!$B$84)))</f>
        <v/>
      </c>
      <c r="Z130">
        <f>IF($A130="","",IF('Ügyfelek'!Z130="",'Beállítások'!$B$84,VLOOKUP(MAX('Ügyfelek'!Z130,'Beállítások'!$Q$7),'Beállítások'!$Q$7:$R$12,2,TRUE)))</f>
        <v/>
      </c>
      <c r="AA130">
        <f>IF($A130="","",IF('Ügyfelek'!AA130="",'Beállítások'!$B$84,VLOOKUP(MAX('Ügyfelek'!AA130,'Beállítások'!$T$7),'Beállítások'!$T$7:$U$12,2,TRUE)))</f>
        <v/>
      </c>
      <c r="AB130">
        <f>IF($A130="","",IF('Ügyfelek'!AB130="",'Beállítások'!$B$84,MIN(10,MAX(1,ROUND('Ügyfelek'!AB130,0)))))</f>
        <v/>
      </c>
      <c r="AC130">
        <f>IF($A130="","",IF('Ügyfelek'!AC130="",'Beállítások'!$B$84,MIN(10,MAX(1,ROUND('Ügyfelek'!AC130,0)))))</f>
        <v/>
      </c>
      <c r="AD130">
        <f>IF($A130="","",IF('Ügyfelek'!AD130="",'Beállítások'!$B$84,MIN(10,MAX(1,ROUND('Ügyfelek'!AD130,0)))))</f>
        <v/>
      </c>
      <c r="AE130">
        <f>IF($A130="","",IF('Ügyfelek'!AE130="",'Beállítások'!$B$84,MIN(10,MAX(1,ROUND('Ügyfelek'!AE130,0)))))</f>
        <v/>
      </c>
      <c r="AF130">
        <f>IF($A130="","",IF('Ügyfelek'!AF130="",'Beállítások'!$B$84,MIN(10,MAX(1,ROUND('Ügyfelek'!AF130,0)))))</f>
        <v/>
      </c>
      <c r="AG130">
        <f>IF($A130="","",IF('Ügyfelek'!AG130="",'Beállítások'!$B$84,MIN(10,MAX(1,ROUND('Ügyfelek'!AG130,0)))))</f>
        <v/>
      </c>
      <c r="AH130">
        <f>IF($A130="","",IF('Ügyfelek'!AH130="",'Beállítások'!$B$84,IFERROR(VLOOKUP(TRIM('Ügyfelek'!AH130),'Beállítások'!$A$73:$B$79,2,FALSE),'Beállítások'!$B$84)))</f>
        <v/>
      </c>
      <c r="AI130" s="23">
        <f>IF($A130="","",ROUND(100*('Beállítások'!$E$6*(B130-1)+'Beállítások'!$E$7*(C130-1))/(9*'Beállítások'!$B$43),1))</f>
        <v/>
      </c>
      <c r="AJ130" s="23">
        <f>IF($A130="","",ROUND(100*('Beállítások'!$E$8*(D130-1)+'Beállítások'!$E$9*(E130-1)+'Beállítások'!$E$10*(F130-1)+'Beállítások'!$E$11*(G130-1)+'Beállítások'!$E$12*(H130-1)+'Beállítások'!$E$13*(I130-1)+'Beállítások'!$E$14*(J130-1)+'Beállítások'!$E$15*(K130-1)+'Beállítások'!$E$16*(L130-1)+'Beállítások'!$E$17*(M130-1)+'Beállítások'!$E$18*(N130-1)+'Beállítások'!$E$19*(O130-1)+'Beállítások'!$E$20*(P130-1)+'Beállítások'!$E$21*(Q130-1)+'Beállítások'!$E$22*(R130-1))/(9*'Beállítások'!$B$44),1))</f>
        <v/>
      </c>
      <c r="AK130" s="23">
        <f>IF($A130="","",ROUND(100*('Beállítások'!$E$23*(S130-1)+'Beállítások'!$E$24*(T130-1)+'Beállítások'!$E$25*(U130-1)+'Beállítások'!$E$26*(V130-1)+'Beállítások'!$E$27*(W130-1)+'Beállítások'!$E$28*(X130-1)+'Beállítások'!$E$29*(Y130-1))/(9*'Beállítások'!$B$45),1))</f>
        <v/>
      </c>
      <c r="AL130" s="23">
        <f>IF($A130="","",ROUND(100*('Beállítások'!$E$30*(Z130-1)+'Beállítások'!$E$31*(AA130-1)+'Beállítások'!$E$32*(AB130-1)+'Beállítások'!$E$33*(AC130-1)+'Beállítások'!$E$34*(AD130-1)+'Beállítások'!$E$35*(AE130-1)+'Beállítások'!$E$36*(AF130-1)+'Beállítások'!$E$37*(AG130-1)+'Beállítások'!$E$38*(AH130-1))/(9*'Beállítások'!$B$46),1))</f>
        <v/>
      </c>
      <c r="AM130" s="23">
        <f>IF($A130="","",ROUND(100*('Beállítások'!$E$6*(B130-1)+'Beállítások'!$E$7*(C130-1)+'Beállítások'!$E$8*(D130-1)+'Beállítások'!$E$9*(E130-1)+'Beállítások'!$E$10*(F130-1)+'Beállítások'!$E$11*(G130-1)+'Beállítások'!$E$12*(H130-1)+'Beállítások'!$E$13*(I130-1)+'Beállítások'!$E$14*(J130-1)+'Beállítások'!$E$15*(K130-1)+'Beállítások'!$E$16*(L130-1)+'Beállítások'!$E$17*(M130-1)+'Beállítások'!$E$18*(N130-1)+'Beállítások'!$E$19*(O130-1)+'Beállítások'!$E$20*(P130-1)+'Beállítások'!$E$21*(Q130-1)+'Beállítások'!$E$22*(R130-1)+'Beállítások'!$E$23*(S130-1)+'Beállítások'!$E$24*(T130-1)+'Beállítások'!$E$25*(U130-1)+'Beállítások'!$E$26*(V130-1)+'Beállítások'!$E$27*(W130-1)+'Beállítások'!$E$28*(X130-1)+'Beállítások'!$E$29*(Y130-1)+'Beállítások'!$E$30*(Z130-1)+'Beállítások'!$E$31*(AA130-1)+'Beállítások'!$E$32*(AB130-1)+'Beállítások'!$E$33*(AC130-1)+'Beállítások'!$E$34*(AD130-1)+'Beállítások'!$E$35*(AE130-1)+'Beállítások'!$E$36*(AF130-1)+'Beállítások'!$E$37*(AG130-1)+'Beállítások'!$E$38*(AH130-1))/(9*'Beállítások'!$E$39),1))</f>
        <v/>
      </c>
      <c r="AN130" s="23">
        <f>IF($A130="","",ROUND(100*('Beállítások'!$E$8*(D130-1)+'Beállítások'!$E$9*(E130-1)+'Beállítások'!$E$10*(F130-1)+'Beállítások'!$E$11*(G130-1)+'Beállítások'!$E$12*(H130-1)+'Beállítások'!$E$13*(I130-1)+'Beállítások'!$E$14*(J130-1)+'Beállítások'!$E$15*(K130-1)+'Beállítások'!$E$16*(L130-1)+'Beállítások'!$E$17*(M130-1)+'Beállítások'!$E$18*(N130-1)+'Beállítások'!$E$19*(O130-1)+'Beállítások'!$E$20*(P130-1)+'Beállítások'!$E$21*(Q130-1)+'Beállítások'!$E$22*(R130-1)+'Beállítások'!$E$23*(S130-1)+'Beállítások'!$E$24*(T130-1)+'Beállítások'!$E$25*(U130-1)+'Beállítások'!$E$26*(V130-1)+'Beállítások'!$E$27*(W130-1)+'Beállítások'!$E$28*(X130-1)+'Beállítások'!$E$29*(Y130-1))/(9*('Beállítások'!$B$44+'Beállítások'!$B$45)),1))</f>
        <v/>
      </c>
      <c r="AO130" s="24">
        <f>IF($A130="","",RANK(AM130,$AM$2:$AM$201))</f>
        <v/>
      </c>
      <c r="AP130">
        <f>IF($A130="","",IF(OR(AND('Ügyfelek'!B130&lt;&gt;"",B130&lt;='Beállítások'!$B$85),AND('Ügyfelek'!C130&lt;&gt;"",C130&lt;='Beállítások'!$B$86)),"Igen","Nem"))</f>
        <v/>
      </c>
      <c r="AQ130" s="24">
        <f>IF($A130="","",IF(AP130="Igen",5,IF(AN130&gt;='Beállítások'!$C$108,1,IF(AN130&gt;='Beállítások'!$C$109,2,IF(AN130&gt;='Beállítások'!$C$110,3,IF(AND(AN130&gt;='Beállítások'!$B$87,AI130&gt;='Beállítások'!$B$88,AL130&gt;='Beállítások'!$B$89),4,5))))))</f>
        <v/>
      </c>
      <c r="AR130">
        <f>IF($A130="","",INDEX('Beállítások'!$B$108:$B$112,AQ130))</f>
        <v/>
      </c>
      <c r="AS130">
        <f>IF($A130="","",IF(AQ130=5,"Elutasítjuk",IF(AND(AQ130=4,COUNTIFS('Eredmény'!$AQ$2:$AQ$201,4,'Eredmény'!$DY$2:$DY$201,"&gt;"&amp;DY130)&gt;='Beállítások'!$B$90),"Várólista (a 4-es hely foglalt)","Elfogadjuk")))</f>
        <v/>
      </c>
      <c r="AT130">
        <f>IF($A130="","",INDEX('Beállítások'!$F$108:$F$112,AQ130))</f>
        <v/>
      </c>
      <c r="AU130">
        <f>IF($A130="","",INDEX('Beállítások'!$B$6:$B$38,MATCH(MAX(BK130:CQ130),BK130:CQ130,0)))</f>
        <v/>
      </c>
      <c r="AV130">
        <f>IF($A130="","",IF(MAX(CR130:DX130)=0,"—",INDEX('Beállítások'!$B$6:$B$38,MATCH(MAX(CR130:DX130),CR130:DX130,0))))</f>
        <v/>
      </c>
      <c r="AW130" s="10">
        <f>IF($A130="","",'Beállítások'!$B$94*(TRIM('Ügyfelek'!AI130)="igen")+'Beállítások'!$B$95*(TRIM('Ügyfelek'!AJ130)="igen")+'Beállítások'!$B$96*N('Ügyfelek'!AK130)+'Beállítások'!$B$93*N('Ügyfelek'!AL130))</f>
        <v/>
      </c>
      <c r="AX130" s="25">
        <f>IF(OR($A130="",AQ130=5),"",INDEX('Beállítások'!$D$108:$D$112,AQ130))</f>
        <v/>
      </c>
      <c r="AY130" s="10">
        <f>IF($A130="","",N('Ügyfelek'!U130)*'Beállítások'!$B$98)</f>
        <v/>
      </c>
      <c r="AZ130" s="10">
        <f>IF(OR($A130="",AQ130=5),"",CEILING(ROUND(MAX('Beállítások'!$B$97,AW130*AX130,AY130),2),'Beállítások'!$B$99))</f>
        <v/>
      </c>
      <c r="BA130">
        <f>IF($A130="","",IF(AQ130=5,"Elutasítva",IF(MAX('Beállítások'!$B$97,AW130*AX130,AY130)=AW130*AX130,"Munkaigény × státuszszorzó",IF(MAX('Beállítások'!$B$97,AW130*AX130,AY130)=AY130,"Hirdetési keret arányában","Minimumdíj"))))</f>
        <v/>
      </c>
      <c r="BB130" s="10">
        <f>IF(OR($A130="",'Ügyfelek'!AM130=""),"",'Ügyfelek'!AM130)</f>
        <v/>
      </c>
      <c r="BC130" s="10">
        <f>IF(OR(BB130="",AZ130=""),"",AZ130-BB130)</f>
        <v/>
      </c>
      <c r="BD130" s="18">
        <f>IF(OR(BB130="",AZ130="",BB130=0),"",BC130/BB130)</f>
        <v/>
      </c>
      <c r="BE130">
        <f>IF(OR($A130="",AQ130=5),"",IF(AND(INDEX('Beállítások'!$E$108:$E$112,AQ130)&gt;0,Y130&gt;='Beállítások'!$B$91),"Igen","Nem"))</f>
        <v/>
      </c>
      <c r="BF130" s="10">
        <f>IF(BE130="Igen",CEILING(ROUND(AZ130*(1-'Beállítások'!$B$92),2),'Beállítások'!$B$99),"")</f>
        <v/>
      </c>
      <c r="BG130" s="20">
        <f>IF(BE130="Igen",INDEX('Beállítások'!$E$108:$E$112,AQ130),"")</f>
        <v/>
      </c>
      <c r="BH130" s="10">
        <f>IF(OR(BE130&lt;&gt;"Igen",'Ügyfelek'!AN130=""),"",'Ügyfelek'!AN130*BG130)</f>
        <v/>
      </c>
      <c r="BI130" s="24">
        <f>IF($A130="","",('Ügyfelek'!B130="")+('Ügyfelek'!C130="")+('Ügyfelek'!D130="")+('Ügyfelek'!E130="")+('Ügyfelek'!F130="")+('Ügyfelek'!G130="")+('Ügyfelek'!H130="")+('Ügyfelek'!I130="")+('Ügyfelek'!J130="")+('Ügyfelek'!K130="")+('Ügyfelek'!L130="")+('Ügyfelek'!M130="")+('Ügyfelek'!N130="")+('Ügyfelek'!O130="")+('Ügyfelek'!P130="")+('Ügyfelek'!Q130="")+('Ügyfelek'!R130="")+('Ügyfelek'!S130="")+('Ügyfelek'!T130="")+('Ügyfelek'!U130="")+('Ügyfelek'!V130="")+('Ügyfelek'!W130="")+('Ügyfelek'!X130="")+('Ügyfelek'!Y130="")+('Ügyfelek'!Z130="")+('Ügyfelek'!AA130="")+('Ügyfelek'!AB130="")+('Ügyfelek'!AC130="")+('Ügyfelek'!AD130="")+('Ügyfelek'!AE130="")+('Ügyfelek'!AF130="")+('Ügyfelek'!AG130="")+('Ügyfelek'!AH130=""))</f>
        <v/>
      </c>
      <c r="BK130">
        <f>IF($A130="","",B130+'Beállítások'!$E$6/1000)</f>
        <v/>
      </c>
      <c r="BL130">
        <f>IF($A130="","",C130+'Beállítások'!$E$7/1000)</f>
        <v/>
      </c>
      <c r="BM130">
        <f>IF($A130="","",D130+'Beállítások'!$E$8/1000)</f>
        <v/>
      </c>
      <c r="BN130">
        <f>IF($A130="","",E130+'Beállítások'!$E$9/1000)</f>
        <v/>
      </c>
      <c r="BO130">
        <f>IF($A130="","",F130+'Beállítások'!$E$10/1000)</f>
        <v/>
      </c>
      <c r="BP130">
        <f>IF($A130="","",G130+'Beállítások'!$E$11/1000)</f>
        <v/>
      </c>
      <c r="BQ130">
        <f>IF($A130="","",H130+'Beállítások'!$E$12/1000)</f>
        <v/>
      </c>
      <c r="BR130">
        <f>IF($A130="","",I130+'Beállítások'!$E$13/1000)</f>
        <v/>
      </c>
      <c r="BS130">
        <f>IF($A130="","",J130+'Beállítások'!$E$14/1000)</f>
        <v/>
      </c>
      <c r="BT130">
        <f>IF($A130="","",K130+'Beállítások'!$E$15/1000)</f>
        <v/>
      </c>
      <c r="BU130">
        <f>IF($A130="","",L130+'Beállítások'!$E$16/1000)</f>
        <v/>
      </c>
      <c r="BV130">
        <f>IF($A130="","",M130+'Beállítások'!$E$17/1000)</f>
        <v/>
      </c>
      <c r="BW130">
        <f>IF($A130="","",N130+'Beállítások'!$E$18/1000)</f>
        <v/>
      </c>
      <c r="BX130">
        <f>IF($A130="","",O130+'Beállítások'!$E$19/1000)</f>
        <v/>
      </c>
      <c r="BY130">
        <f>IF($A130="","",P130+'Beállítások'!$E$20/1000)</f>
        <v/>
      </c>
      <c r="BZ130">
        <f>IF($A130="","",Q130+'Beállítások'!$E$21/1000)</f>
        <v/>
      </c>
      <c r="CA130">
        <f>IF($A130="","",R130+'Beállítások'!$E$22/1000)</f>
        <v/>
      </c>
      <c r="CB130">
        <f>IF($A130="","",S130+'Beállítások'!$E$23/1000)</f>
        <v/>
      </c>
      <c r="CC130">
        <f>IF($A130="","",T130+'Beállítások'!$E$24/1000)</f>
        <v/>
      </c>
      <c r="CD130">
        <f>IF($A130="","",U130+'Beállítások'!$E$25/1000)</f>
        <v/>
      </c>
      <c r="CE130">
        <f>IF($A130="","",V130+'Beállítások'!$E$26/1000)</f>
        <v/>
      </c>
      <c r="CF130">
        <f>IF($A130="","",W130+'Beállítások'!$E$27/1000)</f>
        <v/>
      </c>
      <c r="CG130">
        <f>IF($A130="","",X130+'Beállítások'!$E$28/1000)</f>
        <v/>
      </c>
      <c r="CH130">
        <f>IF($A130="","",Y130+'Beállítások'!$E$29/1000)</f>
        <v/>
      </c>
      <c r="CI130">
        <f>IF($A130="","",Z130+'Beállítások'!$E$30/1000)</f>
        <v/>
      </c>
      <c r="CJ130">
        <f>IF($A130="","",AA130+'Beállítások'!$E$31/1000)</f>
        <v/>
      </c>
      <c r="CK130">
        <f>IF($A130="","",AB130+'Beállítások'!$E$32/1000)</f>
        <v/>
      </c>
      <c r="CL130">
        <f>IF($A130="","",AC130+'Beállítások'!$E$33/1000)</f>
        <v/>
      </c>
      <c r="CM130">
        <f>IF($A130="","",AD130+'Beállítások'!$E$34/1000)</f>
        <v/>
      </c>
      <c r="CN130">
        <f>IF($A130="","",AE130+'Beállítások'!$E$35/1000)</f>
        <v/>
      </c>
      <c r="CO130">
        <f>IF($A130="","",AF130+'Beállítások'!$E$36/1000)</f>
        <v/>
      </c>
      <c r="CP130">
        <f>IF($A130="","",AG130+'Beállítások'!$E$37/1000)</f>
        <v/>
      </c>
      <c r="CQ130">
        <f>IF($A130="","",AH130+'Beállítások'!$E$38/1000)</f>
        <v/>
      </c>
      <c r="CR130">
        <f>IF($A130="","",'Beállítások'!$E$6*(10-B130))</f>
        <v/>
      </c>
      <c r="CS130">
        <f>IF($A130="","",'Beállítások'!$E$7*(10-C130))</f>
        <v/>
      </c>
      <c r="CT130">
        <f>IF($A130="","",'Beállítások'!$E$8*(10-D130))</f>
        <v/>
      </c>
      <c r="CU130">
        <f>IF($A130="","",'Beállítások'!$E$9*(10-E130))</f>
        <v/>
      </c>
      <c r="CV130">
        <f>IF($A130="","",'Beállítások'!$E$10*(10-F130))</f>
        <v/>
      </c>
      <c r="CW130">
        <f>IF($A130="","",'Beállítások'!$E$11*(10-G130))</f>
        <v/>
      </c>
      <c r="CX130">
        <f>IF($A130="","",'Beállítások'!$E$12*(10-H130))</f>
        <v/>
      </c>
      <c r="CY130">
        <f>IF($A130="","",'Beállítások'!$E$13*(10-I130))</f>
        <v/>
      </c>
      <c r="CZ130">
        <f>IF($A130="","",'Beállítások'!$E$14*(10-J130))</f>
        <v/>
      </c>
      <c r="DA130">
        <f>IF($A130="","",'Beállítások'!$E$15*(10-K130))</f>
        <v/>
      </c>
      <c r="DB130">
        <f>IF($A130="","",'Beállítások'!$E$16*(10-L130))</f>
        <v/>
      </c>
      <c r="DC130">
        <f>IF($A130="","",'Beállítások'!$E$17*(10-M130))</f>
        <v/>
      </c>
      <c r="DD130">
        <f>IF($A130="","",'Beállítások'!$E$18*(10-N130))</f>
        <v/>
      </c>
      <c r="DE130">
        <f>IF($A130="","",'Beállítások'!$E$19*(10-O130))</f>
        <v/>
      </c>
      <c r="DF130">
        <f>IF($A130="","",'Beállítások'!$E$20*(10-P130))</f>
        <v/>
      </c>
      <c r="DG130">
        <f>IF($A130="","",'Beállítások'!$E$21*(10-Q130))</f>
        <v/>
      </c>
      <c r="DH130">
        <f>IF($A130="","",'Beállítások'!$E$22*(10-R130))</f>
        <v/>
      </c>
      <c r="DI130">
        <f>IF($A130="","",'Beállítások'!$E$23*(10-S130))</f>
        <v/>
      </c>
      <c r="DJ130">
        <f>IF($A130="","",'Beállítások'!$E$24*(10-T130))</f>
        <v/>
      </c>
      <c r="DK130">
        <f>IF($A130="","",'Beállítások'!$E$25*(10-U130))</f>
        <v/>
      </c>
      <c r="DL130">
        <f>IF($A130="","",'Beállítások'!$E$26*(10-V130))</f>
        <v/>
      </c>
      <c r="DM130">
        <f>IF($A130="","",'Beállítások'!$E$27*(10-W130))</f>
        <v/>
      </c>
      <c r="DN130">
        <f>IF($A130="","",'Beállítások'!$E$28*(10-X130))</f>
        <v/>
      </c>
      <c r="DO130">
        <f>IF($A130="","",'Beállítások'!$E$29*(10-Y130))</f>
        <v/>
      </c>
      <c r="DP130">
        <f>IF($A130="","",'Beállítások'!$E$30*(10-Z130))</f>
        <v/>
      </c>
      <c r="DQ130">
        <f>IF($A130="","",'Beállítások'!$E$31*(10-AA130))</f>
        <v/>
      </c>
      <c r="DR130">
        <f>IF($A130="","",'Beállítások'!$E$32*(10-AB130))</f>
        <v/>
      </c>
      <c r="DS130">
        <f>IF($A130="","",'Beállítások'!$E$33*(10-AC130))</f>
        <v/>
      </c>
      <c r="DT130">
        <f>IF($A130="","",'Beállítások'!$E$34*(10-AD130))</f>
        <v/>
      </c>
      <c r="DU130">
        <f>IF($A130="","",'Beállítások'!$E$35*(10-AE130))</f>
        <v/>
      </c>
      <c r="DV130">
        <f>IF($A130="","",'Beállítások'!$E$36*(10-AF130))</f>
        <v/>
      </c>
      <c r="DW130">
        <f>IF($A130="","",'Beállítások'!$E$37*(10-AG130))</f>
        <v/>
      </c>
      <c r="DX130">
        <f>IF($A130="","",'Beállítások'!$E$38*(10-AH130))</f>
        <v/>
      </c>
      <c r="DY130">
        <f>IF($A130="","",AM130-ROW()/100000)</f>
        <v/>
      </c>
    </row>
    <row r="131">
      <c r="A131">
        <f>IF('Ügyfelek'!A131="","",'Ügyfelek'!A131)</f>
        <v/>
      </c>
      <c r="B131">
        <f>IF($A131="","",IF('Ügyfelek'!B131="",'Beállítások'!$B$84,IFERROR(VLOOKUP(TRIM('Ügyfelek'!B131),'Beállítások'!$A$51:$B$59,2,FALSE),'Beállítások'!$B$84)))</f>
        <v/>
      </c>
      <c r="C131">
        <f>IF($A131="","",IF('Ügyfelek'!C131="",'Beállítások'!$B$84,MIN(10,MAX(1,ROUND('Ügyfelek'!C131,0)))))</f>
        <v/>
      </c>
      <c r="D131">
        <f>IF($A131="","",IF('Ügyfelek'!D131="",'Beállítások'!$B$84,MIN(10,MAX(1,ROUND('Ügyfelek'!D131,0)))))</f>
        <v/>
      </c>
      <c r="E131">
        <f>IF($A131="","",IF('Ügyfelek'!E131="",'Beállítások'!$B$84,MIN(10,MAX(1,ROUND('Ügyfelek'!E131,0)))))</f>
        <v/>
      </c>
      <c r="F131">
        <f>IF($A131="","",IF('Ügyfelek'!F131="",'Beállítások'!$B$84,MIN(10,MAX(1,ROUND('Ügyfelek'!F131,0)))))</f>
        <v/>
      </c>
      <c r="G131">
        <f>IF($A131="","",IF('Ügyfelek'!G131="",'Beállítások'!$B$84,MIN(10,MAX(1,ROUND('Ügyfelek'!G131,0)))))</f>
        <v/>
      </c>
      <c r="H131">
        <f>IF($A131="","",IF('Ügyfelek'!H131="",'Beállítások'!$B$84,MIN(10,MAX(1,ROUND('Ügyfelek'!H131,0)))))</f>
        <v/>
      </c>
      <c r="I131">
        <f>IF($A131="","",IF('Ügyfelek'!I131="",'Beállítások'!$B$84,MIN(10,MAX(1,ROUND('Ügyfelek'!I131,0)))))</f>
        <v/>
      </c>
      <c r="J131">
        <f>IF($A131="","",IF('Ügyfelek'!J131="",'Beállítások'!$B$84,MIN(10,MAX(1,ROUND('Ügyfelek'!J131,0)))))</f>
        <v/>
      </c>
      <c r="K131">
        <f>IF($A131="","",IF('Ügyfelek'!K131="",'Beállítások'!$B$84,MIN(10,MAX(1,ROUND('Ügyfelek'!K131,0)))))</f>
        <v/>
      </c>
      <c r="L131">
        <f>IF($A131="","",IF('Ügyfelek'!L131="",'Beállítások'!$B$84,MIN(10,MAX(1,ROUND('Ügyfelek'!L131,0)))))</f>
        <v/>
      </c>
      <c r="M131">
        <f>IF($A131="","",IF('Ügyfelek'!M131="",'Beállítások'!$B$84,MIN(10,MAX(1,ROUND('Ügyfelek'!M131,0)))))</f>
        <v/>
      </c>
      <c r="N131">
        <f>IF($A131="","",IF('Ügyfelek'!N131="",'Beállítások'!$B$84,MIN(10,MAX(1,ROUND('Ügyfelek'!N131,0)))))</f>
        <v/>
      </c>
      <c r="O131">
        <f>IF($A131="","",IF('Ügyfelek'!O131="",'Beállítások'!$B$84,MIN(10,MAX(1,ROUND('Ügyfelek'!O131,0)))))</f>
        <v/>
      </c>
      <c r="P131">
        <f>IF($A131="","",IF('Ügyfelek'!P131="",'Beállítások'!$B$84,MIN(10,MAX(1,ROUND('Ügyfelek'!P131,0)))))</f>
        <v/>
      </c>
      <c r="Q131">
        <f>IF($A131="","",IF('Ügyfelek'!Q131="",'Beállítások'!$B$84,MIN(10,MAX(1,ROUND('Ügyfelek'!Q131,0)))))</f>
        <v/>
      </c>
      <c r="R131">
        <f>IF($A131="","",IF('Ügyfelek'!R131="",'Beállítások'!$B$84,MIN(10,MAX(1,ROUND('Ügyfelek'!R131,0)))))</f>
        <v/>
      </c>
      <c r="S131">
        <f>IF($A131="","",IF('Ügyfelek'!S131="",'Beállítások'!$B$84,MIN(10,MAX(1,ROUND('Ügyfelek'!S131,0)))))</f>
        <v/>
      </c>
      <c r="T131">
        <f>IF($A131="","",IF('Ügyfelek'!T131="",'Beállítások'!$B$84,VLOOKUP(MAX('Ügyfelek'!T131,'Beállítások'!$H$7),'Beállítások'!$H$7:$I$12,2,TRUE)))</f>
        <v/>
      </c>
      <c r="U131">
        <f>IF($A131="","",IF('Ügyfelek'!U131="",'Beállítások'!$B$84,VLOOKUP(MAX('Ügyfelek'!U131,'Beállítások'!$K$7),'Beállítások'!$K$7:$L$12,2,TRUE)))</f>
        <v/>
      </c>
      <c r="V131">
        <f>IF($A131="","",IF('Ügyfelek'!V131="",'Beállítások'!$B$84,MIN(10,MAX(1,ROUND('Ügyfelek'!V131,0)))))</f>
        <v/>
      </c>
      <c r="W131">
        <f>IF($A131="","",IF('Ügyfelek'!W131="",'Beállítások'!$B$84,VLOOKUP(MAX('Ügyfelek'!W131,'Beállítások'!$N$7),'Beállítások'!$N$7:$O$12,2,TRUE)))</f>
        <v/>
      </c>
      <c r="X131">
        <f>IF($A131="","",IF('Ügyfelek'!X131="",'Beállítások'!$B$84,MIN(10,MAX(1,ROUND('Ügyfelek'!X131,0)))))</f>
        <v/>
      </c>
      <c r="Y131">
        <f>IF($A131="","",IF('Ügyfelek'!Y131="",'Beállítások'!$B$84,IFERROR(VLOOKUP(TRIM('Ügyfelek'!Y131),'Beállítások'!$A$63:$B$69,2,FALSE),'Beállítások'!$B$84)))</f>
        <v/>
      </c>
      <c r="Z131">
        <f>IF($A131="","",IF('Ügyfelek'!Z131="",'Beállítások'!$B$84,VLOOKUP(MAX('Ügyfelek'!Z131,'Beállítások'!$Q$7),'Beállítások'!$Q$7:$R$12,2,TRUE)))</f>
        <v/>
      </c>
      <c r="AA131">
        <f>IF($A131="","",IF('Ügyfelek'!AA131="",'Beállítások'!$B$84,VLOOKUP(MAX('Ügyfelek'!AA131,'Beállítások'!$T$7),'Beállítások'!$T$7:$U$12,2,TRUE)))</f>
        <v/>
      </c>
      <c r="AB131">
        <f>IF($A131="","",IF('Ügyfelek'!AB131="",'Beállítások'!$B$84,MIN(10,MAX(1,ROUND('Ügyfelek'!AB131,0)))))</f>
        <v/>
      </c>
      <c r="AC131">
        <f>IF($A131="","",IF('Ügyfelek'!AC131="",'Beállítások'!$B$84,MIN(10,MAX(1,ROUND('Ügyfelek'!AC131,0)))))</f>
        <v/>
      </c>
      <c r="AD131">
        <f>IF($A131="","",IF('Ügyfelek'!AD131="",'Beállítások'!$B$84,MIN(10,MAX(1,ROUND('Ügyfelek'!AD131,0)))))</f>
        <v/>
      </c>
      <c r="AE131">
        <f>IF($A131="","",IF('Ügyfelek'!AE131="",'Beállítások'!$B$84,MIN(10,MAX(1,ROUND('Ügyfelek'!AE131,0)))))</f>
        <v/>
      </c>
      <c r="AF131">
        <f>IF($A131="","",IF('Ügyfelek'!AF131="",'Beállítások'!$B$84,MIN(10,MAX(1,ROUND('Ügyfelek'!AF131,0)))))</f>
        <v/>
      </c>
      <c r="AG131">
        <f>IF($A131="","",IF('Ügyfelek'!AG131="",'Beállítások'!$B$84,MIN(10,MAX(1,ROUND('Ügyfelek'!AG131,0)))))</f>
        <v/>
      </c>
      <c r="AH131">
        <f>IF($A131="","",IF('Ügyfelek'!AH131="",'Beállítások'!$B$84,IFERROR(VLOOKUP(TRIM('Ügyfelek'!AH131),'Beállítások'!$A$73:$B$79,2,FALSE),'Beállítások'!$B$84)))</f>
        <v/>
      </c>
      <c r="AI131" s="23">
        <f>IF($A131="","",ROUND(100*('Beállítások'!$E$6*(B131-1)+'Beállítások'!$E$7*(C131-1))/(9*'Beállítások'!$B$43),1))</f>
        <v/>
      </c>
      <c r="AJ131" s="23">
        <f>IF($A131="","",ROUND(100*('Beállítások'!$E$8*(D131-1)+'Beállítások'!$E$9*(E131-1)+'Beállítások'!$E$10*(F131-1)+'Beállítások'!$E$11*(G131-1)+'Beállítások'!$E$12*(H131-1)+'Beállítások'!$E$13*(I131-1)+'Beállítások'!$E$14*(J131-1)+'Beállítások'!$E$15*(K131-1)+'Beállítások'!$E$16*(L131-1)+'Beállítások'!$E$17*(M131-1)+'Beállítások'!$E$18*(N131-1)+'Beállítások'!$E$19*(O131-1)+'Beállítások'!$E$20*(P131-1)+'Beállítások'!$E$21*(Q131-1)+'Beállítások'!$E$22*(R131-1))/(9*'Beállítások'!$B$44),1))</f>
        <v/>
      </c>
      <c r="AK131" s="23">
        <f>IF($A131="","",ROUND(100*('Beállítások'!$E$23*(S131-1)+'Beállítások'!$E$24*(T131-1)+'Beállítások'!$E$25*(U131-1)+'Beállítások'!$E$26*(V131-1)+'Beállítások'!$E$27*(W131-1)+'Beállítások'!$E$28*(X131-1)+'Beállítások'!$E$29*(Y131-1))/(9*'Beállítások'!$B$45),1))</f>
        <v/>
      </c>
      <c r="AL131" s="23">
        <f>IF($A131="","",ROUND(100*('Beállítások'!$E$30*(Z131-1)+'Beállítások'!$E$31*(AA131-1)+'Beállítások'!$E$32*(AB131-1)+'Beállítások'!$E$33*(AC131-1)+'Beállítások'!$E$34*(AD131-1)+'Beállítások'!$E$35*(AE131-1)+'Beállítások'!$E$36*(AF131-1)+'Beállítások'!$E$37*(AG131-1)+'Beállítások'!$E$38*(AH131-1))/(9*'Beállítások'!$B$46),1))</f>
        <v/>
      </c>
      <c r="AM131" s="23">
        <f>IF($A131="","",ROUND(100*('Beállítások'!$E$6*(B131-1)+'Beállítások'!$E$7*(C131-1)+'Beállítások'!$E$8*(D131-1)+'Beállítások'!$E$9*(E131-1)+'Beállítások'!$E$10*(F131-1)+'Beállítások'!$E$11*(G131-1)+'Beállítások'!$E$12*(H131-1)+'Beállítások'!$E$13*(I131-1)+'Beállítások'!$E$14*(J131-1)+'Beállítások'!$E$15*(K131-1)+'Beállítások'!$E$16*(L131-1)+'Beállítások'!$E$17*(M131-1)+'Beállítások'!$E$18*(N131-1)+'Beállítások'!$E$19*(O131-1)+'Beállítások'!$E$20*(P131-1)+'Beállítások'!$E$21*(Q131-1)+'Beállítások'!$E$22*(R131-1)+'Beállítások'!$E$23*(S131-1)+'Beállítások'!$E$24*(T131-1)+'Beállítások'!$E$25*(U131-1)+'Beállítások'!$E$26*(V131-1)+'Beállítások'!$E$27*(W131-1)+'Beállítások'!$E$28*(X131-1)+'Beállítások'!$E$29*(Y131-1)+'Beállítások'!$E$30*(Z131-1)+'Beállítások'!$E$31*(AA131-1)+'Beállítások'!$E$32*(AB131-1)+'Beállítások'!$E$33*(AC131-1)+'Beállítások'!$E$34*(AD131-1)+'Beállítások'!$E$35*(AE131-1)+'Beállítások'!$E$36*(AF131-1)+'Beállítások'!$E$37*(AG131-1)+'Beállítások'!$E$38*(AH131-1))/(9*'Beállítások'!$E$39),1))</f>
        <v/>
      </c>
      <c r="AN131" s="23">
        <f>IF($A131="","",ROUND(100*('Beállítások'!$E$8*(D131-1)+'Beállítások'!$E$9*(E131-1)+'Beállítások'!$E$10*(F131-1)+'Beállítások'!$E$11*(G131-1)+'Beállítások'!$E$12*(H131-1)+'Beállítások'!$E$13*(I131-1)+'Beállítások'!$E$14*(J131-1)+'Beállítások'!$E$15*(K131-1)+'Beállítások'!$E$16*(L131-1)+'Beállítások'!$E$17*(M131-1)+'Beállítások'!$E$18*(N131-1)+'Beállítások'!$E$19*(O131-1)+'Beállítások'!$E$20*(P131-1)+'Beállítások'!$E$21*(Q131-1)+'Beállítások'!$E$22*(R131-1)+'Beállítások'!$E$23*(S131-1)+'Beállítások'!$E$24*(T131-1)+'Beállítások'!$E$25*(U131-1)+'Beállítások'!$E$26*(V131-1)+'Beállítások'!$E$27*(W131-1)+'Beállítások'!$E$28*(X131-1)+'Beállítások'!$E$29*(Y131-1))/(9*('Beállítások'!$B$44+'Beállítások'!$B$45)),1))</f>
        <v/>
      </c>
      <c r="AO131" s="24">
        <f>IF($A131="","",RANK(AM131,$AM$2:$AM$201))</f>
        <v/>
      </c>
      <c r="AP131">
        <f>IF($A131="","",IF(OR(AND('Ügyfelek'!B131&lt;&gt;"",B131&lt;='Beállítások'!$B$85),AND('Ügyfelek'!C131&lt;&gt;"",C131&lt;='Beállítások'!$B$86)),"Igen","Nem"))</f>
        <v/>
      </c>
      <c r="AQ131" s="24">
        <f>IF($A131="","",IF(AP131="Igen",5,IF(AN131&gt;='Beállítások'!$C$108,1,IF(AN131&gt;='Beállítások'!$C$109,2,IF(AN131&gt;='Beállítások'!$C$110,3,IF(AND(AN131&gt;='Beállítások'!$B$87,AI131&gt;='Beállítások'!$B$88,AL131&gt;='Beállítások'!$B$89),4,5))))))</f>
        <v/>
      </c>
      <c r="AR131">
        <f>IF($A131="","",INDEX('Beállítások'!$B$108:$B$112,AQ131))</f>
        <v/>
      </c>
      <c r="AS131">
        <f>IF($A131="","",IF(AQ131=5,"Elutasítjuk",IF(AND(AQ131=4,COUNTIFS('Eredmény'!$AQ$2:$AQ$201,4,'Eredmény'!$DY$2:$DY$201,"&gt;"&amp;DY131)&gt;='Beállítások'!$B$90),"Várólista (a 4-es hely foglalt)","Elfogadjuk")))</f>
        <v/>
      </c>
      <c r="AT131">
        <f>IF($A131="","",INDEX('Beállítások'!$F$108:$F$112,AQ131))</f>
        <v/>
      </c>
      <c r="AU131">
        <f>IF($A131="","",INDEX('Beállítások'!$B$6:$B$38,MATCH(MAX(BK131:CQ131),BK131:CQ131,0)))</f>
        <v/>
      </c>
      <c r="AV131">
        <f>IF($A131="","",IF(MAX(CR131:DX131)=0,"—",INDEX('Beállítások'!$B$6:$B$38,MATCH(MAX(CR131:DX131),CR131:DX131,0))))</f>
        <v/>
      </c>
      <c r="AW131" s="10">
        <f>IF($A131="","",'Beállítások'!$B$94*(TRIM('Ügyfelek'!AI131)="igen")+'Beállítások'!$B$95*(TRIM('Ügyfelek'!AJ131)="igen")+'Beállítások'!$B$96*N('Ügyfelek'!AK131)+'Beállítások'!$B$93*N('Ügyfelek'!AL131))</f>
        <v/>
      </c>
      <c r="AX131" s="25">
        <f>IF(OR($A131="",AQ131=5),"",INDEX('Beállítások'!$D$108:$D$112,AQ131))</f>
        <v/>
      </c>
      <c r="AY131" s="10">
        <f>IF($A131="","",N('Ügyfelek'!U131)*'Beállítások'!$B$98)</f>
        <v/>
      </c>
      <c r="AZ131" s="10">
        <f>IF(OR($A131="",AQ131=5),"",CEILING(ROUND(MAX('Beállítások'!$B$97,AW131*AX131,AY131),2),'Beállítások'!$B$99))</f>
        <v/>
      </c>
      <c r="BA131">
        <f>IF($A131="","",IF(AQ131=5,"Elutasítva",IF(MAX('Beállítások'!$B$97,AW131*AX131,AY131)=AW131*AX131,"Munkaigény × státuszszorzó",IF(MAX('Beállítások'!$B$97,AW131*AX131,AY131)=AY131,"Hirdetési keret arányában","Minimumdíj"))))</f>
        <v/>
      </c>
      <c r="BB131" s="10">
        <f>IF(OR($A131="",'Ügyfelek'!AM131=""),"",'Ügyfelek'!AM131)</f>
        <v/>
      </c>
      <c r="BC131" s="10">
        <f>IF(OR(BB131="",AZ131=""),"",AZ131-BB131)</f>
        <v/>
      </c>
      <c r="BD131" s="18">
        <f>IF(OR(BB131="",AZ131="",BB131=0),"",BC131/BB131)</f>
        <v/>
      </c>
      <c r="BE131">
        <f>IF(OR($A131="",AQ131=5),"",IF(AND(INDEX('Beállítások'!$E$108:$E$112,AQ131)&gt;0,Y131&gt;='Beállítások'!$B$91),"Igen","Nem"))</f>
        <v/>
      </c>
      <c r="BF131" s="10">
        <f>IF(BE131="Igen",CEILING(ROUND(AZ131*(1-'Beállítások'!$B$92),2),'Beállítások'!$B$99),"")</f>
        <v/>
      </c>
      <c r="BG131" s="20">
        <f>IF(BE131="Igen",INDEX('Beállítások'!$E$108:$E$112,AQ131),"")</f>
        <v/>
      </c>
      <c r="BH131" s="10">
        <f>IF(OR(BE131&lt;&gt;"Igen",'Ügyfelek'!AN131=""),"",'Ügyfelek'!AN131*BG131)</f>
        <v/>
      </c>
      <c r="BI131" s="24">
        <f>IF($A131="","",('Ügyfelek'!B131="")+('Ügyfelek'!C131="")+('Ügyfelek'!D131="")+('Ügyfelek'!E131="")+('Ügyfelek'!F131="")+('Ügyfelek'!G131="")+('Ügyfelek'!H131="")+('Ügyfelek'!I131="")+('Ügyfelek'!J131="")+('Ügyfelek'!K131="")+('Ügyfelek'!L131="")+('Ügyfelek'!M131="")+('Ügyfelek'!N131="")+('Ügyfelek'!O131="")+('Ügyfelek'!P131="")+('Ügyfelek'!Q131="")+('Ügyfelek'!R131="")+('Ügyfelek'!S131="")+('Ügyfelek'!T131="")+('Ügyfelek'!U131="")+('Ügyfelek'!V131="")+('Ügyfelek'!W131="")+('Ügyfelek'!X131="")+('Ügyfelek'!Y131="")+('Ügyfelek'!Z131="")+('Ügyfelek'!AA131="")+('Ügyfelek'!AB131="")+('Ügyfelek'!AC131="")+('Ügyfelek'!AD131="")+('Ügyfelek'!AE131="")+('Ügyfelek'!AF131="")+('Ügyfelek'!AG131="")+('Ügyfelek'!AH131=""))</f>
        <v/>
      </c>
      <c r="BK131">
        <f>IF($A131="","",B131+'Beállítások'!$E$6/1000)</f>
        <v/>
      </c>
      <c r="BL131">
        <f>IF($A131="","",C131+'Beállítások'!$E$7/1000)</f>
        <v/>
      </c>
      <c r="BM131">
        <f>IF($A131="","",D131+'Beállítások'!$E$8/1000)</f>
        <v/>
      </c>
      <c r="BN131">
        <f>IF($A131="","",E131+'Beállítások'!$E$9/1000)</f>
        <v/>
      </c>
      <c r="BO131">
        <f>IF($A131="","",F131+'Beállítások'!$E$10/1000)</f>
        <v/>
      </c>
      <c r="BP131">
        <f>IF($A131="","",G131+'Beállítások'!$E$11/1000)</f>
        <v/>
      </c>
      <c r="BQ131">
        <f>IF($A131="","",H131+'Beállítások'!$E$12/1000)</f>
        <v/>
      </c>
      <c r="BR131">
        <f>IF($A131="","",I131+'Beállítások'!$E$13/1000)</f>
        <v/>
      </c>
      <c r="BS131">
        <f>IF($A131="","",J131+'Beállítások'!$E$14/1000)</f>
        <v/>
      </c>
      <c r="BT131">
        <f>IF($A131="","",K131+'Beállítások'!$E$15/1000)</f>
        <v/>
      </c>
      <c r="BU131">
        <f>IF($A131="","",L131+'Beállítások'!$E$16/1000)</f>
        <v/>
      </c>
      <c r="BV131">
        <f>IF($A131="","",M131+'Beállítások'!$E$17/1000)</f>
        <v/>
      </c>
      <c r="BW131">
        <f>IF($A131="","",N131+'Beállítások'!$E$18/1000)</f>
        <v/>
      </c>
      <c r="BX131">
        <f>IF($A131="","",O131+'Beállítások'!$E$19/1000)</f>
        <v/>
      </c>
      <c r="BY131">
        <f>IF($A131="","",P131+'Beállítások'!$E$20/1000)</f>
        <v/>
      </c>
      <c r="BZ131">
        <f>IF($A131="","",Q131+'Beállítások'!$E$21/1000)</f>
        <v/>
      </c>
      <c r="CA131">
        <f>IF($A131="","",R131+'Beállítások'!$E$22/1000)</f>
        <v/>
      </c>
      <c r="CB131">
        <f>IF($A131="","",S131+'Beállítások'!$E$23/1000)</f>
        <v/>
      </c>
      <c r="CC131">
        <f>IF($A131="","",T131+'Beállítások'!$E$24/1000)</f>
        <v/>
      </c>
      <c r="CD131">
        <f>IF($A131="","",U131+'Beállítások'!$E$25/1000)</f>
        <v/>
      </c>
      <c r="CE131">
        <f>IF($A131="","",V131+'Beállítások'!$E$26/1000)</f>
        <v/>
      </c>
      <c r="CF131">
        <f>IF($A131="","",W131+'Beállítások'!$E$27/1000)</f>
        <v/>
      </c>
      <c r="CG131">
        <f>IF($A131="","",X131+'Beállítások'!$E$28/1000)</f>
        <v/>
      </c>
      <c r="CH131">
        <f>IF($A131="","",Y131+'Beállítások'!$E$29/1000)</f>
        <v/>
      </c>
      <c r="CI131">
        <f>IF($A131="","",Z131+'Beállítások'!$E$30/1000)</f>
        <v/>
      </c>
      <c r="CJ131">
        <f>IF($A131="","",AA131+'Beállítások'!$E$31/1000)</f>
        <v/>
      </c>
      <c r="CK131">
        <f>IF($A131="","",AB131+'Beállítások'!$E$32/1000)</f>
        <v/>
      </c>
      <c r="CL131">
        <f>IF($A131="","",AC131+'Beállítások'!$E$33/1000)</f>
        <v/>
      </c>
      <c r="CM131">
        <f>IF($A131="","",AD131+'Beállítások'!$E$34/1000)</f>
        <v/>
      </c>
      <c r="CN131">
        <f>IF($A131="","",AE131+'Beállítások'!$E$35/1000)</f>
        <v/>
      </c>
      <c r="CO131">
        <f>IF($A131="","",AF131+'Beállítások'!$E$36/1000)</f>
        <v/>
      </c>
      <c r="CP131">
        <f>IF($A131="","",AG131+'Beállítások'!$E$37/1000)</f>
        <v/>
      </c>
      <c r="CQ131">
        <f>IF($A131="","",AH131+'Beállítások'!$E$38/1000)</f>
        <v/>
      </c>
      <c r="CR131">
        <f>IF($A131="","",'Beállítások'!$E$6*(10-B131))</f>
        <v/>
      </c>
      <c r="CS131">
        <f>IF($A131="","",'Beállítások'!$E$7*(10-C131))</f>
        <v/>
      </c>
      <c r="CT131">
        <f>IF($A131="","",'Beállítások'!$E$8*(10-D131))</f>
        <v/>
      </c>
      <c r="CU131">
        <f>IF($A131="","",'Beállítások'!$E$9*(10-E131))</f>
        <v/>
      </c>
      <c r="CV131">
        <f>IF($A131="","",'Beállítások'!$E$10*(10-F131))</f>
        <v/>
      </c>
      <c r="CW131">
        <f>IF($A131="","",'Beállítások'!$E$11*(10-G131))</f>
        <v/>
      </c>
      <c r="CX131">
        <f>IF($A131="","",'Beállítások'!$E$12*(10-H131))</f>
        <v/>
      </c>
      <c r="CY131">
        <f>IF($A131="","",'Beállítások'!$E$13*(10-I131))</f>
        <v/>
      </c>
      <c r="CZ131">
        <f>IF($A131="","",'Beállítások'!$E$14*(10-J131))</f>
        <v/>
      </c>
      <c r="DA131">
        <f>IF($A131="","",'Beállítások'!$E$15*(10-K131))</f>
        <v/>
      </c>
      <c r="DB131">
        <f>IF($A131="","",'Beállítások'!$E$16*(10-L131))</f>
        <v/>
      </c>
      <c r="DC131">
        <f>IF($A131="","",'Beállítások'!$E$17*(10-M131))</f>
        <v/>
      </c>
      <c r="DD131">
        <f>IF($A131="","",'Beállítások'!$E$18*(10-N131))</f>
        <v/>
      </c>
      <c r="DE131">
        <f>IF($A131="","",'Beállítások'!$E$19*(10-O131))</f>
        <v/>
      </c>
      <c r="DF131">
        <f>IF($A131="","",'Beállítások'!$E$20*(10-P131))</f>
        <v/>
      </c>
      <c r="DG131">
        <f>IF($A131="","",'Beállítások'!$E$21*(10-Q131))</f>
        <v/>
      </c>
      <c r="DH131">
        <f>IF($A131="","",'Beállítások'!$E$22*(10-R131))</f>
        <v/>
      </c>
      <c r="DI131">
        <f>IF($A131="","",'Beállítások'!$E$23*(10-S131))</f>
        <v/>
      </c>
      <c r="DJ131">
        <f>IF($A131="","",'Beállítások'!$E$24*(10-T131))</f>
        <v/>
      </c>
      <c r="DK131">
        <f>IF($A131="","",'Beállítások'!$E$25*(10-U131))</f>
        <v/>
      </c>
      <c r="DL131">
        <f>IF($A131="","",'Beállítások'!$E$26*(10-V131))</f>
        <v/>
      </c>
      <c r="DM131">
        <f>IF($A131="","",'Beállítások'!$E$27*(10-W131))</f>
        <v/>
      </c>
      <c r="DN131">
        <f>IF($A131="","",'Beállítások'!$E$28*(10-X131))</f>
        <v/>
      </c>
      <c r="DO131">
        <f>IF($A131="","",'Beállítások'!$E$29*(10-Y131))</f>
        <v/>
      </c>
      <c r="DP131">
        <f>IF($A131="","",'Beállítások'!$E$30*(10-Z131))</f>
        <v/>
      </c>
      <c r="DQ131">
        <f>IF($A131="","",'Beállítások'!$E$31*(10-AA131))</f>
        <v/>
      </c>
      <c r="DR131">
        <f>IF($A131="","",'Beállítások'!$E$32*(10-AB131))</f>
        <v/>
      </c>
      <c r="DS131">
        <f>IF($A131="","",'Beállítások'!$E$33*(10-AC131))</f>
        <v/>
      </c>
      <c r="DT131">
        <f>IF($A131="","",'Beállítások'!$E$34*(10-AD131))</f>
        <v/>
      </c>
      <c r="DU131">
        <f>IF($A131="","",'Beállítások'!$E$35*(10-AE131))</f>
        <v/>
      </c>
      <c r="DV131">
        <f>IF($A131="","",'Beállítások'!$E$36*(10-AF131))</f>
        <v/>
      </c>
      <c r="DW131">
        <f>IF($A131="","",'Beállítások'!$E$37*(10-AG131))</f>
        <v/>
      </c>
      <c r="DX131">
        <f>IF($A131="","",'Beállítások'!$E$38*(10-AH131))</f>
        <v/>
      </c>
      <c r="DY131">
        <f>IF($A131="","",AM131-ROW()/100000)</f>
        <v/>
      </c>
    </row>
    <row r="132">
      <c r="A132">
        <f>IF('Ügyfelek'!A132="","",'Ügyfelek'!A132)</f>
        <v/>
      </c>
      <c r="B132">
        <f>IF($A132="","",IF('Ügyfelek'!B132="",'Beállítások'!$B$84,IFERROR(VLOOKUP(TRIM('Ügyfelek'!B132),'Beállítások'!$A$51:$B$59,2,FALSE),'Beállítások'!$B$84)))</f>
        <v/>
      </c>
      <c r="C132">
        <f>IF($A132="","",IF('Ügyfelek'!C132="",'Beállítások'!$B$84,MIN(10,MAX(1,ROUND('Ügyfelek'!C132,0)))))</f>
        <v/>
      </c>
      <c r="D132">
        <f>IF($A132="","",IF('Ügyfelek'!D132="",'Beállítások'!$B$84,MIN(10,MAX(1,ROUND('Ügyfelek'!D132,0)))))</f>
        <v/>
      </c>
      <c r="E132">
        <f>IF($A132="","",IF('Ügyfelek'!E132="",'Beállítások'!$B$84,MIN(10,MAX(1,ROUND('Ügyfelek'!E132,0)))))</f>
        <v/>
      </c>
      <c r="F132">
        <f>IF($A132="","",IF('Ügyfelek'!F132="",'Beállítások'!$B$84,MIN(10,MAX(1,ROUND('Ügyfelek'!F132,0)))))</f>
        <v/>
      </c>
      <c r="G132">
        <f>IF($A132="","",IF('Ügyfelek'!G132="",'Beállítások'!$B$84,MIN(10,MAX(1,ROUND('Ügyfelek'!G132,0)))))</f>
        <v/>
      </c>
      <c r="H132">
        <f>IF($A132="","",IF('Ügyfelek'!H132="",'Beállítások'!$B$84,MIN(10,MAX(1,ROUND('Ügyfelek'!H132,0)))))</f>
        <v/>
      </c>
      <c r="I132">
        <f>IF($A132="","",IF('Ügyfelek'!I132="",'Beállítások'!$B$84,MIN(10,MAX(1,ROUND('Ügyfelek'!I132,0)))))</f>
        <v/>
      </c>
      <c r="J132">
        <f>IF($A132="","",IF('Ügyfelek'!J132="",'Beállítások'!$B$84,MIN(10,MAX(1,ROUND('Ügyfelek'!J132,0)))))</f>
        <v/>
      </c>
      <c r="K132">
        <f>IF($A132="","",IF('Ügyfelek'!K132="",'Beállítások'!$B$84,MIN(10,MAX(1,ROUND('Ügyfelek'!K132,0)))))</f>
        <v/>
      </c>
      <c r="L132">
        <f>IF($A132="","",IF('Ügyfelek'!L132="",'Beállítások'!$B$84,MIN(10,MAX(1,ROUND('Ügyfelek'!L132,0)))))</f>
        <v/>
      </c>
      <c r="M132">
        <f>IF($A132="","",IF('Ügyfelek'!M132="",'Beállítások'!$B$84,MIN(10,MAX(1,ROUND('Ügyfelek'!M132,0)))))</f>
        <v/>
      </c>
      <c r="N132">
        <f>IF($A132="","",IF('Ügyfelek'!N132="",'Beállítások'!$B$84,MIN(10,MAX(1,ROUND('Ügyfelek'!N132,0)))))</f>
        <v/>
      </c>
      <c r="O132">
        <f>IF($A132="","",IF('Ügyfelek'!O132="",'Beállítások'!$B$84,MIN(10,MAX(1,ROUND('Ügyfelek'!O132,0)))))</f>
        <v/>
      </c>
      <c r="P132">
        <f>IF($A132="","",IF('Ügyfelek'!P132="",'Beállítások'!$B$84,MIN(10,MAX(1,ROUND('Ügyfelek'!P132,0)))))</f>
        <v/>
      </c>
      <c r="Q132">
        <f>IF($A132="","",IF('Ügyfelek'!Q132="",'Beállítások'!$B$84,MIN(10,MAX(1,ROUND('Ügyfelek'!Q132,0)))))</f>
        <v/>
      </c>
      <c r="R132">
        <f>IF($A132="","",IF('Ügyfelek'!R132="",'Beállítások'!$B$84,MIN(10,MAX(1,ROUND('Ügyfelek'!R132,0)))))</f>
        <v/>
      </c>
      <c r="S132">
        <f>IF($A132="","",IF('Ügyfelek'!S132="",'Beállítások'!$B$84,MIN(10,MAX(1,ROUND('Ügyfelek'!S132,0)))))</f>
        <v/>
      </c>
      <c r="T132">
        <f>IF($A132="","",IF('Ügyfelek'!T132="",'Beállítások'!$B$84,VLOOKUP(MAX('Ügyfelek'!T132,'Beállítások'!$H$7),'Beállítások'!$H$7:$I$12,2,TRUE)))</f>
        <v/>
      </c>
      <c r="U132">
        <f>IF($A132="","",IF('Ügyfelek'!U132="",'Beállítások'!$B$84,VLOOKUP(MAX('Ügyfelek'!U132,'Beállítások'!$K$7),'Beállítások'!$K$7:$L$12,2,TRUE)))</f>
        <v/>
      </c>
      <c r="V132">
        <f>IF($A132="","",IF('Ügyfelek'!V132="",'Beállítások'!$B$84,MIN(10,MAX(1,ROUND('Ügyfelek'!V132,0)))))</f>
        <v/>
      </c>
      <c r="W132">
        <f>IF($A132="","",IF('Ügyfelek'!W132="",'Beállítások'!$B$84,VLOOKUP(MAX('Ügyfelek'!W132,'Beállítások'!$N$7),'Beállítások'!$N$7:$O$12,2,TRUE)))</f>
        <v/>
      </c>
      <c r="X132">
        <f>IF($A132="","",IF('Ügyfelek'!X132="",'Beállítások'!$B$84,MIN(10,MAX(1,ROUND('Ügyfelek'!X132,0)))))</f>
        <v/>
      </c>
      <c r="Y132">
        <f>IF($A132="","",IF('Ügyfelek'!Y132="",'Beállítások'!$B$84,IFERROR(VLOOKUP(TRIM('Ügyfelek'!Y132),'Beállítások'!$A$63:$B$69,2,FALSE),'Beállítások'!$B$84)))</f>
        <v/>
      </c>
      <c r="Z132">
        <f>IF($A132="","",IF('Ügyfelek'!Z132="",'Beállítások'!$B$84,VLOOKUP(MAX('Ügyfelek'!Z132,'Beállítások'!$Q$7),'Beállítások'!$Q$7:$R$12,2,TRUE)))</f>
        <v/>
      </c>
      <c r="AA132">
        <f>IF($A132="","",IF('Ügyfelek'!AA132="",'Beállítások'!$B$84,VLOOKUP(MAX('Ügyfelek'!AA132,'Beállítások'!$T$7),'Beállítások'!$T$7:$U$12,2,TRUE)))</f>
        <v/>
      </c>
      <c r="AB132">
        <f>IF($A132="","",IF('Ügyfelek'!AB132="",'Beállítások'!$B$84,MIN(10,MAX(1,ROUND('Ügyfelek'!AB132,0)))))</f>
        <v/>
      </c>
      <c r="AC132">
        <f>IF($A132="","",IF('Ügyfelek'!AC132="",'Beállítások'!$B$84,MIN(10,MAX(1,ROUND('Ügyfelek'!AC132,0)))))</f>
        <v/>
      </c>
      <c r="AD132">
        <f>IF($A132="","",IF('Ügyfelek'!AD132="",'Beállítások'!$B$84,MIN(10,MAX(1,ROUND('Ügyfelek'!AD132,0)))))</f>
        <v/>
      </c>
      <c r="AE132">
        <f>IF($A132="","",IF('Ügyfelek'!AE132="",'Beállítások'!$B$84,MIN(10,MAX(1,ROUND('Ügyfelek'!AE132,0)))))</f>
        <v/>
      </c>
      <c r="AF132">
        <f>IF($A132="","",IF('Ügyfelek'!AF132="",'Beállítások'!$B$84,MIN(10,MAX(1,ROUND('Ügyfelek'!AF132,0)))))</f>
        <v/>
      </c>
      <c r="AG132">
        <f>IF($A132="","",IF('Ügyfelek'!AG132="",'Beállítások'!$B$84,MIN(10,MAX(1,ROUND('Ügyfelek'!AG132,0)))))</f>
        <v/>
      </c>
      <c r="AH132">
        <f>IF($A132="","",IF('Ügyfelek'!AH132="",'Beállítások'!$B$84,IFERROR(VLOOKUP(TRIM('Ügyfelek'!AH132),'Beállítások'!$A$73:$B$79,2,FALSE),'Beállítások'!$B$84)))</f>
        <v/>
      </c>
      <c r="AI132" s="23">
        <f>IF($A132="","",ROUND(100*('Beállítások'!$E$6*(B132-1)+'Beállítások'!$E$7*(C132-1))/(9*'Beállítások'!$B$43),1))</f>
        <v/>
      </c>
      <c r="AJ132" s="23">
        <f>IF($A132="","",ROUND(100*('Beállítások'!$E$8*(D132-1)+'Beállítások'!$E$9*(E132-1)+'Beállítások'!$E$10*(F132-1)+'Beállítások'!$E$11*(G132-1)+'Beállítások'!$E$12*(H132-1)+'Beállítások'!$E$13*(I132-1)+'Beállítások'!$E$14*(J132-1)+'Beállítások'!$E$15*(K132-1)+'Beállítások'!$E$16*(L132-1)+'Beállítások'!$E$17*(M132-1)+'Beállítások'!$E$18*(N132-1)+'Beállítások'!$E$19*(O132-1)+'Beállítások'!$E$20*(P132-1)+'Beállítások'!$E$21*(Q132-1)+'Beállítások'!$E$22*(R132-1))/(9*'Beállítások'!$B$44),1))</f>
        <v/>
      </c>
      <c r="AK132" s="23">
        <f>IF($A132="","",ROUND(100*('Beállítások'!$E$23*(S132-1)+'Beállítások'!$E$24*(T132-1)+'Beállítások'!$E$25*(U132-1)+'Beállítások'!$E$26*(V132-1)+'Beállítások'!$E$27*(W132-1)+'Beállítások'!$E$28*(X132-1)+'Beállítások'!$E$29*(Y132-1))/(9*'Beállítások'!$B$45),1))</f>
        <v/>
      </c>
      <c r="AL132" s="23">
        <f>IF($A132="","",ROUND(100*('Beállítások'!$E$30*(Z132-1)+'Beállítások'!$E$31*(AA132-1)+'Beállítások'!$E$32*(AB132-1)+'Beállítások'!$E$33*(AC132-1)+'Beállítások'!$E$34*(AD132-1)+'Beállítások'!$E$35*(AE132-1)+'Beállítások'!$E$36*(AF132-1)+'Beállítások'!$E$37*(AG132-1)+'Beállítások'!$E$38*(AH132-1))/(9*'Beállítások'!$B$46),1))</f>
        <v/>
      </c>
      <c r="AM132" s="23">
        <f>IF($A132="","",ROUND(100*('Beállítások'!$E$6*(B132-1)+'Beállítások'!$E$7*(C132-1)+'Beállítások'!$E$8*(D132-1)+'Beállítások'!$E$9*(E132-1)+'Beállítások'!$E$10*(F132-1)+'Beállítások'!$E$11*(G132-1)+'Beállítások'!$E$12*(H132-1)+'Beállítások'!$E$13*(I132-1)+'Beállítások'!$E$14*(J132-1)+'Beállítások'!$E$15*(K132-1)+'Beállítások'!$E$16*(L132-1)+'Beállítások'!$E$17*(M132-1)+'Beállítások'!$E$18*(N132-1)+'Beállítások'!$E$19*(O132-1)+'Beállítások'!$E$20*(P132-1)+'Beállítások'!$E$21*(Q132-1)+'Beállítások'!$E$22*(R132-1)+'Beállítások'!$E$23*(S132-1)+'Beállítások'!$E$24*(T132-1)+'Beállítások'!$E$25*(U132-1)+'Beállítások'!$E$26*(V132-1)+'Beállítások'!$E$27*(W132-1)+'Beállítások'!$E$28*(X132-1)+'Beállítások'!$E$29*(Y132-1)+'Beállítások'!$E$30*(Z132-1)+'Beállítások'!$E$31*(AA132-1)+'Beállítások'!$E$32*(AB132-1)+'Beállítások'!$E$33*(AC132-1)+'Beállítások'!$E$34*(AD132-1)+'Beállítások'!$E$35*(AE132-1)+'Beállítások'!$E$36*(AF132-1)+'Beállítások'!$E$37*(AG132-1)+'Beállítások'!$E$38*(AH132-1))/(9*'Beállítások'!$E$39),1))</f>
        <v/>
      </c>
      <c r="AN132" s="23">
        <f>IF($A132="","",ROUND(100*('Beállítások'!$E$8*(D132-1)+'Beállítások'!$E$9*(E132-1)+'Beállítások'!$E$10*(F132-1)+'Beállítások'!$E$11*(G132-1)+'Beállítások'!$E$12*(H132-1)+'Beállítások'!$E$13*(I132-1)+'Beállítások'!$E$14*(J132-1)+'Beállítások'!$E$15*(K132-1)+'Beállítások'!$E$16*(L132-1)+'Beállítások'!$E$17*(M132-1)+'Beállítások'!$E$18*(N132-1)+'Beállítások'!$E$19*(O132-1)+'Beállítások'!$E$20*(P132-1)+'Beállítások'!$E$21*(Q132-1)+'Beállítások'!$E$22*(R132-1)+'Beállítások'!$E$23*(S132-1)+'Beállítások'!$E$24*(T132-1)+'Beállítások'!$E$25*(U132-1)+'Beállítások'!$E$26*(V132-1)+'Beállítások'!$E$27*(W132-1)+'Beállítások'!$E$28*(X132-1)+'Beállítások'!$E$29*(Y132-1))/(9*('Beállítások'!$B$44+'Beállítások'!$B$45)),1))</f>
        <v/>
      </c>
      <c r="AO132" s="24">
        <f>IF($A132="","",RANK(AM132,$AM$2:$AM$201))</f>
        <v/>
      </c>
      <c r="AP132">
        <f>IF($A132="","",IF(OR(AND('Ügyfelek'!B132&lt;&gt;"",B132&lt;='Beállítások'!$B$85),AND('Ügyfelek'!C132&lt;&gt;"",C132&lt;='Beállítások'!$B$86)),"Igen","Nem"))</f>
        <v/>
      </c>
      <c r="AQ132" s="24">
        <f>IF($A132="","",IF(AP132="Igen",5,IF(AN132&gt;='Beállítások'!$C$108,1,IF(AN132&gt;='Beállítások'!$C$109,2,IF(AN132&gt;='Beállítások'!$C$110,3,IF(AND(AN132&gt;='Beállítások'!$B$87,AI132&gt;='Beállítások'!$B$88,AL132&gt;='Beállítások'!$B$89),4,5))))))</f>
        <v/>
      </c>
      <c r="AR132">
        <f>IF($A132="","",INDEX('Beállítások'!$B$108:$B$112,AQ132))</f>
        <v/>
      </c>
      <c r="AS132">
        <f>IF($A132="","",IF(AQ132=5,"Elutasítjuk",IF(AND(AQ132=4,COUNTIFS('Eredmény'!$AQ$2:$AQ$201,4,'Eredmény'!$DY$2:$DY$201,"&gt;"&amp;DY132)&gt;='Beállítások'!$B$90),"Várólista (a 4-es hely foglalt)","Elfogadjuk")))</f>
        <v/>
      </c>
      <c r="AT132">
        <f>IF($A132="","",INDEX('Beállítások'!$F$108:$F$112,AQ132))</f>
        <v/>
      </c>
      <c r="AU132">
        <f>IF($A132="","",INDEX('Beállítások'!$B$6:$B$38,MATCH(MAX(BK132:CQ132),BK132:CQ132,0)))</f>
        <v/>
      </c>
      <c r="AV132">
        <f>IF($A132="","",IF(MAX(CR132:DX132)=0,"—",INDEX('Beállítások'!$B$6:$B$38,MATCH(MAX(CR132:DX132),CR132:DX132,0))))</f>
        <v/>
      </c>
      <c r="AW132" s="10">
        <f>IF($A132="","",'Beállítások'!$B$94*(TRIM('Ügyfelek'!AI132)="igen")+'Beállítások'!$B$95*(TRIM('Ügyfelek'!AJ132)="igen")+'Beállítások'!$B$96*N('Ügyfelek'!AK132)+'Beállítások'!$B$93*N('Ügyfelek'!AL132))</f>
        <v/>
      </c>
      <c r="AX132" s="25">
        <f>IF(OR($A132="",AQ132=5),"",INDEX('Beállítások'!$D$108:$D$112,AQ132))</f>
        <v/>
      </c>
      <c r="AY132" s="10">
        <f>IF($A132="","",N('Ügyfelek'!U132)*'Beállítások'!$B$98)</f>
        <v/>
      </c>
      <c r="AZ132" s="10">
        <f>IF(OR($A132="",AQ132=5),"",CEILING(ROUND(MAX('Beállítások'!$B$97,AW132*AX132,AY132),2),'Beállítások'!$B$99))</f>
        <v/>
      </c>
      <c r="BA132">
        <f>IF($A132="","",IF(AQ132=5,"Elutasítva",IF(MAX('Beállítások'!$B$97,AW132*AX132,AY132)=AW132*AX132,"Munkaigény × státuszszorzó",IF(MAX('Beállítások'!$B$97,AW132*AX132,AY132)=AY132,"Hirdetési keret arányában","Minimumdíj"))))</f>
        <v/>
      </c>
      <c r="BB132" s="10">
        <f>IF(OR($A132="",'Ügyfelek'!AM132=""),"",'Ügyfelek'!AM132)</f>
        <v/>
      </c>
      <c r="BC132" s="10">
        <f>IF(OR(BB132="",AZ132=""),"",AZ132-BB132)</f>
        <v/>
      </c>
      <c r="BD132" s="18">
        <f>IF(OR(BB132="",AZ132="",BB132=0),"",BC132/BB132)</f>
        <v/>
      </c>
      <c r="BE132">
        <f>IF(OR($A132="",AQ132=5),"",IF(AND(INDEX('Beállítások'!$E$108:$E$112,AQ132)&gt;0,Y132&gt;='Beállítások'!$B$91),"Igen","Nem"))</f>
        <v/>
      </c>
      <c r="BF132" s="10">
        <f>IF(BE132="Igen",CEILING(ROUND(AZ132*(1-'Beállítások'!$B$92),2),'Beállítások'!$B$99),"")</f>
        <v/>
      </c>
      <c r="BG132" s="20">
        <f>IF(BE132="Igen",INDEX('Beállítások'!$E$108:$E$112,AQ132),"")</f>
        <v/>
      </c>
      <c r="BH132" s="10">
        <f>IF(OR(BE132&lt;&gt;"Igen",'Ügyfelek'!AN132=""),"",'Ügyfelek'!AN132*BG132)</f>
        <v/>
      </c>
      <c r="BI132" s="24">
        <f>IF($A132="","",('Ügyfelek'!B132="")+('Ügyfelek'!C132="")+('Ügyfelek'!D132="")+('Ügyfelek'!E132="")+('Ügyfelek'!F132="")+('Ügyfelek'!G132="")+('Ügyfelek'!H132="")+('Ügyfelek'!I132="")+('Ügyfelek'!J132="")+('Ügyfelek'!K132="")+('Ügyfelek'!L132="")+('Ügyfelek'!M132="")+('Ügyfelek'!N132="")+('Ügyfelek'!O132="")+('Ügyfelek'!P132="")+('Ügyfelek'!Q132="")+('Ügyfelek'!R132="")+('Ügyfelek'!S132="")+('Ügyfelek'!T132="")+('Ügyfelek'!U132="")+('Ügyfelek'!V132="")+('Ügyfelek'!W132="")+('Ügyfelek'!X132="")+('Ügyfelek'!Y132="")+('Ügyfelek'!Z132="")+('Ügyfelek'!AA132="")+('Ügyfelek'!AB132="")+('Ügyfelek'!AC132="")+('Ügyfelek'!AD132="")+('Ügyfelek'!AE132="")+('Ügyfelek'!AF132="")+('Ügyfelek'!AG132="")+('Ügyfelek'!AH132=""))</f>
        <v/>
      </c>
      <c r="BK132">
        <f>IF($A132="","",B132+'Beállítások'!$E$6/1000)</f>
        <v/>
      </c>
      <c r="BL132">
        <f>IF($A132="","",C132+'Beállítások'!$E$7/1000)</f>
        <v/>
      </c>
      <c r="BM132">
        <f>IF($A132="","",D132+'Beállítások'!$E$8/1000)</f>
        <v/>
      </c>
      <c r="BN132">
        <f>IF($A132="","",E132+'Beállítások'!$E$9/1000)</f>
        <v/>
      </c>
      <c r="BO132">
        <f>IF($A132="","",F132+'Beállítások'!$E$10/1000)</f>
        <v/>
      </c>
      <c r="BP132">
        <f>IF($A132="","",G132+'Beállítások'!$E$11/1000)</f>
        <v/>
      </c>
      <c r="BQ132">
        <f>IF($A132="","",H132+'Beállítások'!$E$12/1000)</f>
        <v/>
      </c>
      <c r="BR132">
        <f>IF($A132="","",I132+'Beállítások'!$E$13/1000)</f>
        <v/>
      </c>
      <c r="BS132">
        <f>IF($A132="","",J132+'Beállítások'!$E$14/1000)</f>
        <v/>
      </c>
      <c r="BT132">
        <f>IF($A132="","",K132+'Beállítások'!$E$15/1000)</f>
        <v/>
      </c>
      <c r="BU132">
        <f>IF($A132="","",L132+'Beállítások'!$E$16/1000)</f>
        <v/>
      </c>
      <c r="BV132">
        <f>IF($A132="","",M132+'Beállítások'!$E$17/1000)</f>
        <v/>
      </c>
      <c r="BW132">
        <f>IF($A132="","",N132+'Beállítások'!$E$18/1000)</f>
        <v/>
      </c>
      <c r="BX132">
        <f>IF($A132="","",O132+'Beállítások'!$E$19/1000)</f>
        <v/>
      </c>
      <c r="BY132">
        <f>IF($A132="","",P132+'Beállítások'!$E$20/1000)</f>
        <v/>
      </c>
      <c r="BZ132">
        <f>IF($A132="","",Q132+'Beállítások'!$E$21/1000)</f>
        <v/>
      </c>
      <c r="CA132">
        <f>IF($A132="","",R132+'Beállítások'!$E$22/1000)</f>
        <v/>
      </c>
      <c r="CB132">
        <f>IF($A132="","",S132+'Beállítások'!$E$23/1000)</f>
        <v/>
      </c>
      <c r="CC132">
        <f>IF($A132="","",T132+'Beállítások'!$E$24/1000)</f>
        <v/>
      </c>
      <c r="CD132">
        <f>IF($A132="","",U132+'Beállítások'!$E$25/1000)</f>
        <v/>
      </c>
      <c r="CE132">
        <f>IF($A132="","",V132+'Beállítások'!$E$26/1000)</f>
        <v/>
      </c>
      <c r="CF132">
        <f>IF($A132="","",W132+'Beállítások'!$E$27/1000)</f>
        <v/>
      </c>
      <c r="CG132">
        <f>IF($A132="","",X132+'Beállítások'!$E$28/1000)</f>
        <v/>
      </c>
      <c r="CH132">
        <f>IF($A132="","",Y132+'Beállítások'!$E$29/1000)</f>
        <v/>
      </c>
      <c r="CI132">
        <f>IF($A132="","",Z132+'Beállítások'!$E$30/1000)</f>
        <v/>
      </c>
      <c r="CJ132">
        <f>IF($A132="","",AA132+'Beállítások'!$E$31/1000)</f>
        <v/>
      </c>
      <c r="CK132">
        <f>IF($A132="","",AB132+'Beállítások'!$E$32/1000)</f>
        <v/>
      </c>
      <c r="CL132">
        <f>IF($A132="","",AC132+'Beállítások'!$E$33/1000)</f>
        <v/>
      </c>
      <c r="CM132">
        <f>IF($A132="","",AD132+'Beállítások'!$E$34/1000)</f>
        <v/>
      </c>
      <c r="CN132">
        <f>IF($A132="","",AE132+'Beállítások'!$E$35/1000)</f>
        <v/>
      </c>
      <c r="CO132">
        <f>IF($A132="","",AF132+'Beállítások'!$E$36/1000)</f>
        <v/>
      </c>
      <c r="CP132">
        <f>IF($A132="","",AG132+'Beállítások'!$E$37/1000)</f>
        <v/>
      </c>
      <c r="CQ132">
        <f>IF($A132="","",AH132+'Beállítások'!$E$38/1000)</f>
        <v/>
      </c>
      <c r="CR132">
        <f>IF($A132="","",'Beállítások'!$E$6*(10-B132))</f>
        <v/>
      </c>
      <c r="CS132">
        <f>IF($A132="","",'Beállítások'!$E$7*(10-C132))</f>
        <v/>
      </c>
      <c r="CT132">
        <f>IF($A132="","",'Beállítások'!$E$8*(10-D132))</f>
        <v/>
      </c>
      <c r="CU132">
        <f>IF($A132="","",'Beállítások'!$E$9*(10-E132))</f>
        <v/>
      </c>
      <c r="CV132">
        <f>IF($A132="","",'Beállítások'!$E$10*(10-F132))</f>
        <v/>
      </c>
      <c r="CW132">
        <f>IF($A132="","",'Beállítások'!$E$11*(10-G132))</f>
        <v/>
      </c>
      <c r="CX132">
        <f>IF($A132="","",'Beállítások'!$E$12*(10-H132))</f>
        <v/>
      </c>
      <c r="CY132">
        <f>IF($A132="","",'Beállítások'!$E$13*(10-I132))</f>
        <v/>
      </c>
      <c r="CZ132">
        <f>IF($A132="","",'Beállítások'!$E$14*(10-J132))</f>
        <v/>
      </c>
      <c r="DA132">
        <f>IF($A132="","",'Beállítások'!$E$15*(10-K132))</f>
        <v/>
      </c>
      <c r="DB132">
        <f>IF($A132="","",'Beállítások'!$E$16*(10-L132))</f>
        <v/>
      </c>
      <c r="DC132">
        <f>IF($A132="","",'Beállítások'!$E$17*(10-M132))</f>
        <v/>
      </c>
      <c r="DD132">
        <f>IF($A132="","",'Beállítások'!$E$18*(10-N132))</f>
        <v/>
      </c>
      <c r="DE132">
        <f>IF($A132="","",'Beállítások'!$E$19*(10-O132))</f>
        <v/>
      </c>
      <c r="DF132">
        <f>IF($A132="","",'Beállítások'!$E$20*(10-P132))</f>
        <v/>
      </c>
      <c r="DG132">
        <f>IF($A132="","",'Beállítások'!$E$21*(10-Q132))</f>
        <v/>
      </c>
      <c r="DH132">
        <f>IF($A132="","",'Beállítások'!$E$22*(10-R132))</f>
        <v/>
      </c>
      <c r="DI132">
        <f>IF($A132="","",'Beállítások'!$E$23*(10-S132))</f>
        <v/>
      </c>
      <c r="DJ132">
        <f>IF($A132="","",'Beállítások'!$E$24*(10-T132))</f>
        <v/>
      </c>
      <c r="DK132">
        <f>IF($A132="","",'Beállítások'!$E$25*(10-U132))</f>
        <v/>
      </c>
      <c r="DL132">
        <f>IF($A132="","",'Beállítások'!$E$26*(10-V132))</f>
        <v/>
      </c>
      <c r="DM132">
        <f>IF($A132="","",'Beállítások'!$E$27*(10-W132))</f>
        <v/>
      </c>
      <c r="DN132">
        <f>IF($A132="","",'Beállítások'!$E$28*(10-X132))</f>
        <v/>
      </c>
      <c r="DO132">
        <f>IF($A132="","",'Beállítások'!$E$29*(10-Y132))</f>
        <v/>
      </c>
      <c r="DP132">
        <f>IF($A132="","",'Beállítások'!$E$30*(10-Z132))</f>
        <v/>
      </c>
      <c r="DQ132">
        <f>IF($A132="","",'Beállítások'!$E$31*(10-AA132))</f>
        <v/>
      </c>
      <c r="DR132">
        <f>IF($A132="","",'Beállítások'!$E$32*(10-AB132))</f>
        <v/>
      </c>
      <c r="DS132">
        <f>IF($A132="","",'Beállítások'!$E$33*(10-AC132))</f>
        <v/>
      </c>
      <c r="DT132">
        <f>IF($A132="","",'Beállítások'!$E$34*(10-AD132))</f>
        <v/>
      </c>
      <c r="DU132">
        <f>IF($A132="","",'Beállítások'!$E$35*(10-AE132))</f>
        <v/>
      </c>
      <c r="DV132">
        <f>IF($A132="","",'Beállítások'!$E$36*(10-AF132))</f>
        <v/>
      </c>
      <c r="DW132">
        <f>IF($A132="","",'Beállítások'!$E$37*(10-AG132))</f>
        <v/>
      </c>
      <c r="DX132">
        <f>IF($A132="","",'Beállítások'!$E$38*(10-AH132))</f>
        <v/>
      </c>
      <c r="DY132">
        <f>IF($A132="","",AM132-ROW()/100000)</f>
        <v/>
      </c>
    </row>
    <row r="133">
      <c r="A133">
        <f>IF('Ügyfelek'!A133="","",'Ügyfelek'!A133)</f>
        <v/>
      </c>
      <c r="B133">
        <f>IF($A133="","",IF('Ügyfelek'!B133="",'Beállítások'!$B$84,IFERROR(VLOOKUP(TRIM('Ügyfelek'!B133),'Beállítások'!$A$51:$B$59,2,FALSE),'Beállítások'!$B$84)))</f>
        <v/>
      </c>
      <c r="C133">
        <f>IF($A133="","",IF('Ügyfelek'!C133="",'Beállítások'!$B$84,MIN(10,MAX(1,ROUND('Ügyfelek'!C133,0)))))</f>
        <v/>
      </c>
      <c r="D133">
        <f>IF($A133="","",IF('Ügyfelek'!D133="",'Beállítások'!$B$84,MIN(10,MAX(1,ROUND('Ügyfelek'!D133,0)))))</f>
        <v/>
      </c>
      <c r="E133">
        <f>IF($A133="","",IF('Ügyfelek'!E133="",'Beállítások'!$B$84,MIN(10,MAX(1,ROUND('Ügyfelek'!E133,0)))))</f>
        <v/>
      </c>
      <c r="F133">
        <f>IF($A133="","",IF('Ügyfelek'!F133="",'Beállítások'!$B$84,MIN(10,MAX(1,ROUND('Ügyfelek'!F133,0)))))</f>
        <v/>
      </c>
      <c r="G133">
        <f>IF($A133="","",IF('Ügyfelek'!G133="",'Beállítások'!$B$84,MIN(10,MAX(1,ROUND('Ügyfelek'!G133,0)))))</f>
        <v/>
      </c>
      <c r="H133">
        <f>IF($A133="","",IF('Ügyfelek'!H133="",'Beállítások'!$B$84,MIN(10,MAX(1,ROUND('Ügyfelek'!H133,0)))))</f>
        <v/>
      </c>
      <c r="I133">
        <f>IF($A133="","",IF('Ügyfelek'!I133="",'Beállítások'!$B$84,MIN(10,MAX(1,ROUND('Ügyfelek'!I133,0)))))</f>
        <v/>
      </c>
      <c r="J133">
        <f>IF($A133="","",IF('Ügyfelek'!J133="",'Beállítások'!$B$84,MIN(10,MAX(1,ROUND('Ügyfelek'!J133,0)))))</f>
        <v/>
      </c>
      <c r="K133">
        <f>IF($A133="","",IF('Ügyfelek'!K133="",'Beállítások'!$B$84,MIN(10,MAX(1,ROUND('Ügyfelek'!K133,0)))))</f>
        <v/>
      </c>
      <c r="L133">
        <f>IF($A133="","",IF('Ügyfelek'!L133="",'Beállítások'!$B$84,MIN(10,MAX(1,ROUND('Ügyfelek'!L133,0)))))</f>
        <v/>
      </c>
      <c r="M133">
        <f>IF($A133="","",IF('Ügyfelek'!M133="",'Beállítások'!$B$84,MIN(10,MAX(1,ROUND('Ügyfelek'!M133,0)))))</f>
        <v/>
      </c>
      <c r="N133">
        <f>IF($A133="","",IF('Ügyfelek'!N133="",'Beállítások'!$B$84,MIN(10,MAX(1,ROUND('Ügyfelek'!N133,0)))))</f>
        <v/>
      </c>
      <c r="O133">
        <f>IF($A133="","",IF('Ügyfelek'!O133="",'Beállítások'!$B$84,MIN(10,MAX(1,ROUND('Ügyfelek'!O133,0)))))</f>
        <v/>
      </c>
      <c r="P133">
        <f>IF($A133="","",IF('Ügyfelek'!P133="",'Beállítások'!$B$84,MIN(10,MAX(1,ROUND('Ügyfelek'!P133,0)))))</f>
        <v/>
      </c>
      <c r="Q133">
        <f>IF($A133="","",IF('Ügyfelek'!Q133="",'Beállítások'!$B$84,MIN(10,MAX(1,ROUND('Ügyfelek'!Q133,0)))))</f>
        <v/>
      </c>
      <c r="R133">
        <f>IF($A133="","",IF('Ügyfelek'!R133="",'Beállítások'!$B$84,MIN(10,MAX(1,ROUND('Ügyfelek'!R133,0)))))</f>
        <v/>
      </c>
      <c r="S133">
        <f>IF($A133="","",IF('Ügyfelek'!S133="",'Beállítások'!$B$84,MIN(10,MAX(1,ROUND('Ügyfelek'!S133,0)))))</f>
        <v/>
      </c>
      <c r="T133">
        <f>IF($A133="","",IF('Ügyfelek'!T133="",'Beállítások'!$B$84,VLOOKUP(MAX('Ügyfelek'!T133,'Beállítások'!$H$7),'Beállítások'!$H$7:$I$12,2,TRUE)))</f>
        <v/>
      </c>
      <c r="U133">
        <f>IF($A133="","",IF('Ügyfelek'!U133="",'Beállítások'!$B$84,VLOOKUP(MAX('Ügyfelek'!U133,'Beállítások'!$K$7),'Beállítások'!$K$7:$L$12,2,TRUE)))</f>
        <v/>
      </c>
      <c r="V133">
        <f>IF($A133="","",IF('Ügyfelek'!V133="",'Beállítások'!$B$84,MIN(10,MAX(1,ROUND('Ügyfelek'!V133,0)))))</f>
        <v/>
      </c>
      <c r="W133">
        <f>IF($A133="","",IF('Ügyfelek'!W133="",'Beállítások'!$B$84,VLOOKUP(MAX('Ügyfelek'!W133,'Beállítások'!$N$7),'Beállítások'!$N$7:$O$12,2,TRUE)))</f>
        <v/>
      </c>
      <c r="X133">
        <f>IF($A133="","",IF('Ügyfelek'!X133="",'Beállítások'!$B$84,MIN(10,MAX(1,ROUND('Ügyfelek'!X133,0)))))</f>
        <v/>
      </c>
      <c r="Y133">
        <f>IF($A133="","",IF('Ügyfelek'!Y133="",'Beállítások'!$B$84,IFERROR(VLOOKUP(TRIM('Ügyfelek'!Y133),'Beállítások'!$A$63:$B$69,2,FALSE),'Beállítások'!$B$84)))</f>
        <v/>
      </c>
      <c r="Z133">
        <f>IF($A133="","",IF('Ügyfelek'!Z133="",'Beállítások'!$B$84,VLOOKUP(MAX('Ügyfelek'!Z133,'Beállítások'!$Q$7),'Beállítások'!$Q$7:$R$12,2,TRUE)))</f>
        <v/>
      </c>
      <c r="AA133">
        <f>IF($A133="","",IF('Ügyfelek'!AA133="",'Beállítások'!$B$84,VLOOKUP(MAX('Ügyfelek'!AA133,'Beállítások'!$T$7),'Beállítások'!$T$7:$U$12,2,TRUE)))</f>
        <v/>
      </c>
      <c r="AB133">
        <f>IF($A133="","",IF('Ügyfelek'!AB133="",'Beállítások'!$B$84,MIN(10,MAX(1,ROUND('Ügyfelek'!AB133,0)))))</f>
        <v/>
      </c>
      <c r="AC133">
        <f>IF($A133="","",IF('Ügyfelek'!AC133="",'Beállítások'!$B$84,MIN(10,MAX(1,ROUND('Ügyfelek'!AC133,0)))))</f>
        <v/>
      </c>
      <c r="AD133">
        <f>IF($A133="","",IF('Ügyfelek'!AD133="",'Beállítások'!$B$84,MIN(10,MAX(1,ROUND('Ügyfelek'!AD133,0)))))</f>
        <v/>
      </c>
      <c r="AE133">
        <f>IF($A133="","",IF('Ügyfelek'!AE133="",'Beállítások'!$B$84,MIN(10,MAX(1,ROUND('Ügyfelek'!AE133,0)))))</f>
        <v/>
      </c>
      <c r="AF133">
        <f>IF($A133="","",IF('Ügyfelek'!AF133="",'Beállítások'!$B$84,MIN(10,MAX(1,ROUND('Ügyfelek'!AF133,0)))))</f>
        <v/>
      </c>
      <c r="AG133">
        <f>IF($A133="","",IF('Ügyfelek'!AG133="",'Beállítások'!$B$84,MIN(10,MAX(1,ROUND('Ügyfelek'!AG133,0)))))</f>
        <v/>
      </c>
      <c r="AH133">
        <f>IF($A133="","",IF('Ügyfelek'!AH133="",'Beállítások'!$B$84,IFERROR(VLOOKUP(TRIM('Ügyfelek'!AH133),'Beállítások'!$A$73:$B$79,2,FALSE),'Beállítások'!$B$84)))</f>
        <v/>
      </c>
      <c r="AI133" s="23">
        <f>IF($A133="","",ROUND(100*('Beállítások'!$E$6*(B133-1)+'Beállítások'!$E$7*(C133-1))/(9*'Beállítások'!$B$43),1))</f>
        <v/>
      </c>
      <c r="AJ133" s="23">
        <f>IF($A133="","",ROUND(100*('Beállítások'!$E$8*(D133-1)+'Beállítások'!$E$9*(E133-1)+'Beállítások'!$E$10*(F133-1)+'Beállítások'!$E$11*(G133-1)+'Beállítások'!$E$12*(H133-1)+'Beállítások'!$E$13*(I133-1)+'Beállítások'!$E$14*(J133-1)+'Beállítások'!$E$15*(K133-1)+'Beállítások'!$E$16*(L133-1)+'Beállítások'!$E$17*(M133-1)+'Beállítások'!$E$18*(N133-1)+'Beállítások'!$E$19*(O133-1)+'Beállítások'!$E$20*(P133-1)+'Beállítások'!$E$21*(Q133-1)+'Beállítások'!$E$22*(R133-1))/(9*'Beállítások'!$B$44),1))</f>
        <v/>
      </c>
      <c r="AK133" s="23">
        <f>IF($A133="","",ROUND(100*('Beállítások'!$E$23*(S133-1)+'Beállítások'!$E$24*(T133-1)+'Beállítások'!$E$25*(U133-1)+'Beállítások'!$E$26*(V133-1)+'Beállítások'!$E$27*(W133-1)+'Beállítások'!$E$28*(X133-1)+'Beállítások'!$E$29*(Y133-1))/(9*'Beállítások'!$B$45),1))</f>
        <v/>
      </c>
      <c r="AL133" s="23">
        <f>IF($A133="","",ROUND(100*('Beállítások'!$E$30*(Z133-1)+'Beállítások'!$E$31*(AA133-1)+'Beállítások'!$E$32*(AB133-1)+'Beállítások'!$E$33*(AC133-1)+'Beállítások'!$E$34*(AD133-1)+'Beállítások'!$E$35*(AE133-1)+'Beállítások'!$E$36*(AF133-1)+'Beállítások'!$E$37*(AG133-1)+'Beállítások'!$E$38*(AH133-1))/(9*'Beállítások'!$B$46),1))</f>
        <v/>
      </c>
      <c r="AM133" s="23">
        <f>IF($A133="","",ROUND(100*('Beállítások'!$E$6*(B133-1)+'Beállítások'!$E$7*(C133-1)+'Beállítások'!$E$8*(D133-1)+'Beállítások'!$E$9*(E133-1)+'Beállítások'!$E$10*(F133-1)+'Beállítások'!$E$11*(G133-1)+'Beállítások'!$E$12*(H133-1)+'Beállítások'!$E$13*(I133-1)+'Beállítások'!$E$14*(J133-1)+'Beállítások'!$E$15*(K133-1)+'Beállítások'!$E$16*(L133-1)+'Beállítások'!$E$17*(M133-1)+'Beállítások'!$E$18*(N133-1)+'Beállítások'!$E$19*(O133-1)+'Beállítások'!$E$20*(P133-1)+'Beállítások'!$E$21*(Q133-1)+'Beállítások'!$E$22*(R133-1)+'Beállítások'!$E$23*(S133-1)+'Beállítások'!$E$24*(T133-1)+'Beállítások'!$E$25*(U133-1)+'Beállítások'!$E$26*(V133-1)+'Beállítások'!$E$27*(W133-1)+'Beállítások'!$E$28*(X133-1)+'Beállítások'!$E$29*(Y133-1)+'Beállítások'!$E$30*(Z133-1)+'Beállítások'!$E$31*(AA133-1)+'Beállítások'!$E$32*(AB133-1)+'Beállítások'!$E$33*(AC133-1)+'Beállítások'!$E$34*(AD133-1)+'Beállítások'!$E$35*(AE133-1)+'Beállítások'!$E$36*(AF133-1)+'Beállítások'!$E$37*(AG133-1)+'Beállítások'!$E$38*(AH133-1))/(9*'Beállítások'!$E$39),1))</f>
        <v/>
      </c>
      <c r="AN133" s="23">
        <f>IF($A133="","",ROUND(100*('Beállítások'!$E$8*(D133-1)+'Beállítások'!$E$9*(E133-1)+'Beállítások'!$E$10*(F133-1)+'Beállítások'!$E$11*(G133-1)+'Beállítások'!$E$12*(H133-1)+'Beállítások'!$E$13*(I133-1)+'Beállítások'!$E$14*(J133-1)+'Beállítások'!$E$15*(K133-1)+'Beállítások'!$E$16*(L133-1)+'Beállítások'!$E$17*(M133-1)+'Beállítások'!$E$18*(N133-1)+'Beállítások'!$E$19*(O133-1)+'Beállítások'!$E$20*(P133-1)+'Beállítások'!$E$21*(Q133-1)+'Beállítások'!$E$22*(R133-1)+'Beállítások'!$E$23*(S133-1)+'Beállítások'!$E$24*(T133-1)+'Beállítások'!$E$25*(U133-1)+'Beállítások'!$E$26*(V133-1)+'Beállítások'!$E$27*(W133-1)+'Beállítások'!$E$28*(X133-1)+'Beállítások'!$E$29*(Y133-1))/(9*('Beállítások'!$B$44+'Beállítások'!$B$45)),1))</f>
        <v/>
      </c>
      <c r="AO133" s="24">
        <f>IF($A133="","",RANK(AM133,$AM$2:$AM$201))</f>
        <v/>
      </c>
      <c r="AP133">
        <f>IF($A133="","",IF(OR(AND('Ügyfelek'!B133&lt;&gt;"",B133&lt;='Beállítások'!$B$85),AND('Ügyfelek'!C133&lt;&gt;"",C133&lt;='Beállítások'!$B$86)),"Igen","Nem"))</f>
        <v/>
      </c>
      <c r="AQ133" s="24">
        <f>IF($A133="","",IF(AP133="Igen",5,IF(AN133&gt;='Beállítások'!$C$108,1,IF(AN133&gt;='Beállítások'!$C$109,2,IF(AN133&gt;='Beállítások'!$C$110,3,IF(AND(AN133&gt;='Beállítások'!$B$87,AI133&gt;='Beállítások'!$B$88,AL133&gt;='Beállítások'!$B$89),4,5))))))</f>
        <v/>
      </c>
      <c r="AR133">
        <f>IF($A133="","",INDEX('Beállítások'!$B$108:$B$112,AQ133))</f>
        <v/>
      </c>
      <c r="AS133">
        <f>IF($A133="","",IF(AQ133=5,"Elutasítjuk",IF(AND(AQ133=4,COUNTIFS('Eredmény'!$AQ$2:$AQ$201,4,'Eredmény'!$DY$2:$DY$201,"&gt;"&amp;DY133)&gt;='Beállítások'!$B$90),"Várólista (a 4-es hely foglalt)","Elfogadjuk")))</f>
        <v/>
      </c>
      <c r="AT133">
        <f>IF($A133="","",INDEX('Beállítások'!$F$108:$F$112,AQ133))</f>
        <v/>
      </c>
      <c r="AU133">
        <f>IF($A133="","",INDEX('Beállítások'!$B$6:$B$38,MATCH(MAX(BK133:CQ133),BK133:CQ133,0)))</f>
        <v/>
      </c>
      <c r="AV133">
        <f>IF($A133="","",IF(MAX(CR133:DX133)=0,"—",INDEX('Beállítások'!$B$6:$B$38,MATCH(MAX(CR133:DX133),CR133:DX133,0))))</f>
        <v/>
      </c>
      <c r="AW133" s="10">
        <f>IF($A133="","",'Beállítások'!$B$94*(TRIM('Ügyfelek'!AI133)="igen")+'Beállítások'!$B$95*(TRIM('Ügyfelek'!AJ133)="igen")+'Beállítások'!$B$96*N('Ügyfelek'!AK133)+'Beállítások'!$B$93*N('Ügyfelek'!AL133))</f>
        <v/>
      </c>
      <c r="AX133" s="25">
        <f>IF(OR($A133="",AQ133=5),"",INDEX('Beállítások'!$D$108:$D$112,AQ133))</f>
        <v/>
      </c>
      <c r="AY133" s="10">
        <f>IF($A133="","",N('Ügyfelek'!U133)*'Beállítások'!$B$98)</f>
        <v/>
      </c>
      <c r="AZ133" s="10">
        <f>IF(OR($A133="",AQ133=5),"",CEILING(ROUND(MAX('Beállítások'!$B$97,AW133*AX133,AY133),2),'Beállítások'!$B$99))</f>
        <v/>
      </c>
      <c r="BA133">
        <f>IF($A133="","",IF(AQ133=5,"Elutasítva",IF(MAX('Beállítások'!$B$97,AW133*AX133,AY133)=AW133*AX133,"Munkaigény × státuszszorzó",IF(MAX('Beállítások'!$B$97,AW133*AX133,AY133)=AY133,"Hirdetési keret arányában","Minimumdíj"))))</f>
        <v/>
      </c>
      <c r="BB133" s="10">
        <f>IF(OR($A133="",'Ügyfelek'!AM133=""),"",'Ügyfelek'!AM133)</f>
        <v/>
      </c>
      <c r="BC133" s="10">
        <f>IF(OR(BB133="",AZ133=""),"",AZ133-BB133)</f>
        <v/>
      </c>
      <c r="BD133" s="18">
        <f>IF(OR(BB133="",AZ133="",BB133=0),"",BC133/BB133)</f>
        <v/>
      </c>
      <c r="BE133">
        <f>IF(OR($A133="",AQ133=5),"",IF(AND(INDEX('Beállítások'!$E$108:$E$112,AQ133)&gt;0,Y133&gt;='Beállítások'!$B$91),"Igen","Nem"))</f>
        <v/>
      </c>
      <c r="BF133" s="10">
        <f>IF(BE133="Igen",CEILING(ROUND(AZ133*(1-'Beállítások'!$B$92),2),'Beállítások'!$B$99),"")</f>
        <v/>
      </c>
      <c r="BG133" s="20">
        <f>IF(BE133="Igen",INDEX('Beállítások'!$E$108:$E$112,AQ133),"")</f>
        <v/>
      </c>
      <c r="BH133" s="10">
        <f>IF(OR(BE133&lt;&gt;"Igen",'Ügyfelek'!AN133=""),"",'Ügyfelek'!AN133*BG133)</f>
        <v/>
      </c>
      <c r="BI133" s="24">
        <f>IF($A133="","",('Ügyfelek'!B133="")+('Ügyfelek'!C133="")+('Ügyfelek'!D133="")+('Ügyfelek'!E133="")+('Ügyfelek'!F133="")+('Ügyfelek'!G133="")+('Ügyfelek'!H133="")+('Ügyfelek'!I133="")+('Ügyfelek'!J133="")+('Ügyfelek'!K133="")+('Ügyfelek'!L133="")+('Ügyfelek'!M133="")+('Ügyfelek'!N133="")+('Ügyfelek'!O133="")+('Ügyfelek'!P133="")+('Ügyfelek'!Q133="")+('Ügyfelek'!R133="")+('Ügyfelek'!S133="")+('Ügyfelek'!T133="")+('Ügyfelek'!U133="")+('Ügyfelek'!V133="")+('Ügyfelek'!W133="")+('Ügyfelek'!X133="")+('Ügyfelek'!Y133="")+('Ügyfelek'!Z133="")+('Ügyfelek'!AA133="")+('Ügyfelek'!AB133="")+('Ügyfelek'!AC133="")+('Ügyfelek'!AD133="")+('Ügyfelek'!AE133="")+('Ügyfelek'!AF133="")+('Ügyfelek'!AG133="")+('Ügyfelek'!AH133=""))</f>
        <v/>
      </c>
      <c r="BK133">
        <f>IF($A133="","",B133+'Beállítások'!$E$6/1000)</f>
        <v/>
      </c>
      <c r="BL133">
        <f>IF($A133="","",C133+'Beállítások'!$E$7/1000)</f>
        <v/>
      </c>
      <c r="BM133">
        <f>IF($A133="","",D133+'Beállítások'!$E$8/1000)</f>
        <v/>
      </c>
      <c r="BN133">
        <f>IF($A133="","",E133+'Beállítások'!$E$9/1000)</f>
        <v/>
      </c>
      <c r="BO133">
        <f>IF($A133="","",F133+'Beállítások'!$E$10/1000)</f>
        <v/>
      </c>
      <c r="BP133">
        <f>IF($A133="","",G133+'Beállítások'!$E$11/1000)</f>
        <v/>
      </c>
      <c r="BQ133">
        <f>IF($A133="","",H133+'Beállítások'!$E$12/1000)</f>
        <v/>
      </c>
      <c r="BR133">
        <f>IF($A133="","",I133+'Beállítások'!$E$13/1000)</f>
        <v/>
      </c>
      <c r="BS133">
        <f>IF($A133="","",J133+'Beállítások'!$E$14/1000)</f>
        <v/>
      </c>
      <c r="BT133">
        <f>IF($A133="","",K133+'Beállítások'!$E$15/1000)</f>
        <v/>
      </c>
      <c r="BU133">
        <f>IF($A133="","",L133+'Beállítások'!$E$16/1000)</f>
        <v/>
      </c>
      <c r="BV133">
        <f>IF($A133="","",M133+'Beállítások'!$E$17/1000)</f>
        <v/>
      </c>
      <c r="BW133">
        <f>IF($A133="","",N133+'Beállítások'!$E$18/1000)</f>
        <v/>
      </c>
      <c r="BX133">
        <f>IF($A133="","",O133+'Beállítások'!$E$19/1000)</f>
        <v/>
      </c>
      <c r="BY133">
        <f>IF($A133="","",P133+'Beállítások'!$E$20/1000)</f>
        <v/>
      </c>
      <c r="BZ133">
        <f>IF($A133="","",Q133+'Beállítások'!$E$21/1000)</f>
        <v/>
      </c>
      <c r="CA133">
        <f>IF($A133="","",R133+'Beállítások'!$E$22/1000)</f>
        <v/>
      </c>
      <c r="CB133">
        <f>IF($A133="","",S133+'Beállítások'!$E$23/1000)</f>
        <v/>
      </c>
      <c r="CC133">
        <f>IF($A133="","",T133+'Beállítások'!$E$24/1000)</f>
        <v/>
      </c>
      <c r="CD133">
        <f>IF($A133="","",U133+'Beállítások'!$E$25/1000)</f>
        <v/>
      </c>
      <c r="CE133">
        <f>IF($A133="","",V133+'Beállítások'!$E$26/1000)</f>
        <v/>
      </c>
      <c r="CF133">
        <f>IF($A133="","",W133+'Beállítások'!$E$27/1000)</f>
        <v/>
      </c>
      <c r="CG133">
        <f>IF($A133="","",X133+'Beállítások'!$E$28/1000)</f>
        <v/>
      </c>
      <c r="CH133">
        <f>IF($A133="","",Y133+'Beállítások'!$E$29/1000)</f>
        <v/>
      </c>
      <c r="CI133">
        <f>IF($A133="","",Z133+'Beállítások'!$E$30/1000)</f>
        <v/>
      </c>
      <c r="CJ133">
        <f>IF($A133="","",AA133+'Beállítások'!$E$31/1000)</f>
        <v/>
      </c>
      <c r="CK133">
        <f>IF($A133="","",AB133+'Beállítások'!$E$32/1000)</f>
        <v/>
      </c>
      <c r="CL133">
        <f>IF($A133="","",AC133+'Beállítások'!$E$33/1000)</f>
        <v/>
      </c>
      <c r="CM133">
        <f>IF($A133="","",AD133+'Beállítások'!$E$34/1000)</f>
        <v/>
      </c>
      <c r="CN133">
        <f>IF($A133="","",AE133+'Beállítások'!$E$35/1000)</f>
        <v/>
      </c>
      <c r="CO133">
        <f>IF($A133="","",AF133+'Beállítások'!$E$36/1000)</f>
        <v/>
      </c>
      <c r="CP133">
        <f>IF($A133="","",AG133+'Beállítások'!$E$37/1000)</f>
        <v/>
      </c>
      <c r="CQ133">
        <f>IF($A133="","",AH133+'Beállítások'!$E$38/1000)</f>
        <v/>
      </c>
      <c r="CR133">
        <f>IF($A133="","",'Beállítások'!$E$6*(10-B133))</f>
        <v/>
      </c>
      <c r="CS133">
        <f>IF($A133="","",'Beállítások'!$E$7*(10-C133))</f>
        <v/>
      </c>
      <c r="CT133">
        <f>IF($A133="","",'Beállítások'!$E$8*(10-D133))</f>
        <v/>
      </c>
      <c r="CU133">
        <f>IF($A133="","",'Beállítások'!$E$9*(10-E133))</f>
        <v/>
      </c>
      <c r="CV133">
        <f>IF($A133="","",'Beállítások'!$E$10*(10-F133))</f>
        <v/>
      </c>
      <c r="CW133">
        <f>IF($A133="","",'Beállítások'!$E$11*(10-G133))</f>
        <v/>
      </c>
      <c r="CX133">
        <f>IF($A133="","",'Beállítások'!$E$12*(10-H133))</f>
        <v/>
      </c>
      <c r="CY133">
        <f>IF($A133="","",'Beállítások'!$E$13*(10-I133))</f>
        <v/>
      </c>
      <c r="CZ133">
        <f>IF($A133="","",'Beállítások'!$E$14*(10-J133))</f>
        <v/>
      </c>
      <c r="DA133">
        <f>IF($A133="","",'Beállítások'!$E$15*(10-K133))</f>
        <v/>
      </c>
      <c r="DB133">
        <f>IF($A133="","",'Beállítások'!$E$16*(10-L133))</f>
        <v/>
      </c>
      <c r="DC133">
        <f>IF($A133="","",'Beállítások'!$E$17*(10-M133))</f>
        <v/>
      </c>
      <c r="DD133">
        <f>IF($A133="","",'Beállítások'!$E$18*(10-N133))</f>
        <v/>
      </c>
      <c r="DE133">
        <f>IF($A133="","",'Beállítások'!$E$19*(10-O133))</f>
        <v/>
      </c>
      <c r="DF133">
        <f>IF($A133="","",'Beállítások'!$E$20*(10-P133))</f>
        <v/>
      </c>
      <c r="DG133">
        <f>IF($A133="","",'Beállítások'!$E$21*(10-Q133))</f>
        <v/>
      </c>
      <c r="DH133">
        <f>IF($A133="","",'Beállítások'!$E$22*(10-R133))</f>
        <v/>
      </c>
      <c r="DI133">
        <f>IF($A133="","",'Beállítások'!$E$23*(10-S133))</f>
        <v/>
      </c>
      <c r="DJ133">
        <f>IF($A133="","",'Beállítások'!$E$24*(10-T133))</f>
        <v/>
      </c>
      <c r="DK133">
        <f>IF($A133="","",'Beállítások'!$E$25*(10-U133))</f>
        <v/>
      </c>
      <c r="DL133">
        <f>IF($A133="","",'Beállítások'!$E$26*(10-V133))</f>
        <v/>
      </c>
      <c r="DM133">
        <f>IF($A133="","",'Beállítások'!$E$27*(10-W133))</f>
        <v/>
      </c>
      <c r="DN133">
        <f>IF($A133="","",'Beállítások'!$E$28*(10-X133))</f>
        <v/>
      </c>
      <c r="DO133">
        <f>IF($A133="","",'Beállítások'!$E$29*(10-Y133))</f>
        <v/>
      </c>
      <c r="DP133">
        <f>IF($A133="","",'Beállítások'!$E$30*(10-Z133))</f>
        <v/>
      </c>
      <c r="DQ133">
        <f>IF($A133="","",'Beállítások'!$E$31*(10-AA133))</f>
        <v/>
      </c>
      <c r="DR133">
        <f>IF($A133="","",'Beállítások'!$E$32*(10-AB133))</f>
        <v/>
      </c>
      <c r="DS133">
        <f>IF($A133="","",'Beállítások'!$E$33*(10-AC133))</f>
        <v/>
      </c>
      <c r="DT133">
        <f>IF($A133="","",'Beállítások'!$E$34*(10-AD133))</f>
        <v/>
      </c>
      <c r="DU133">
        <f>IF($A133="","",'Beállítások'!$E$35*(10-AE133))</f>
        <v/>
      </c>
      <c r="DV133">
        <f>IF($A133="","",'Beállítások'!$E$36*(10-AF133))</f>
        <v/>
      </c>
      <c r="DW133">
        <f>IF($A133="","",'Beállítások'!$E$37*(10-AG133))</f>
        <v/>
      </c>
      <c r="DX133">
        <f>IF($A133="","",'Beállítások'!$E$38*(10-AH133))</f>
        <v/>
      </c>
      <c r="DY133">
        <f>IF($A133="","",AM133-ROW()/100000)</f>
        <v/>
      </c>
    </row>
    <row r="134">
      <c r="A134">
        <f>IF('Ügyfelek'!A134="","",'Ügyfelek'!A134)</f>
        <v/>
      </c>
      <c r="B134">
        <f>IF($A134="","",IF('Ügyfelek'!B134="",'Beállítások'!$B$84,IFERROR(VLOOKUP(TRIM('Ügyfelek'!B134),'Beállítások'!$A$51:$B$59,2,FALSE),'Beállítások'!$B$84)))</f>
        <v/>
      </c>
      <c r="C134">
        <f>IF($A134="","",IF('Ügyfelek'!C134="",'Beállítások'!$B$84,MIN(10,MAX(1,ROUND('Ügyfelek'!C134,0)))))</f>
        <v/>
      </c>
      <c r="D134">
        <f>IF($A134="","",IF('Ügyfelek'!D134="",'Beállítások'!$B$84,MIN(10,MAX(1,ROUND('Ügyfelek'!D134,0)))))</f>
        <v/>
      </c>
      <c r="E134">
        <f>IF($A134="","",IF('Ügyfelek'!E134="",'Beállítások'!$B$84,MIN(10,MAX(1,ROUND('Ügyfelek'!E134,0)))))</f>
        <v/>
      </c>
      <c r="F134">
        <f>IF($A134="","",IF('Ügyfelek'!F134="",'Beállítások'!$B$84,MIN(10,MAX(1,ROUND('Ügyfelek'!F134,0)))))</f>
        <v/>
      </c>
      <c r="G134">
        <f>IF($A134="","",IF('Ügyfelek'!G134="",'Beállítások'!$B$84,MIN(10,MAX(1,ROUND('Ügyfelek'!G134,0)))))</f>
        <v/>
      </c>
      <c r="H134">
        <f>IF($A134="","",IF('Ügyfelek'!H134="",'Beállítások'!$B$84,MIN(10,MAX(1,ROUND('Ügyfelek'!H134,0)))))</f>
        <v/>
      </c>
      <c r="I134">
        <f>IF($A134="","",IF('Ügyfelek'!I134="",'Beállítások'!$B$84,MIN(10,MAX(1,ROUND('Ügyfelek'!I134,0)))))</f>
        <v/>
      </c>
      <c r="J134">
        <f>IF($A134="","",IF('Ügyfelek'!J134="",'Beállítások'!$B$84,MIN(10,MAX(1,ROUND('Ügyfelek'!J134,0)))))</f>
        <v/>
      </c>
      <c r="K134">
        <f>IF($A134="","",IF('Ügyfelek'!K134="",'Beállítások'!$B$84,MIN(10,MAX(1,ROUND('Ügyfelek'!K134,0)))))</f>
        <v/>
      </c>
      <c r="L134">
        <f>IF($A134="","",IF('Ügyfelek'!L134="",'Beállítások'!$B$84,MIN(10,MAX(1,ROUND('Ügyfelek'!L134,0)))))</f>
        <v/>
      </c>
      <c r="M134">
        <f>IF($A134="","",IF('Ügyfelek'!M134="",'Beállítások'!$B$84,MIN(10,MAX(1,ROUND('Ügyfelek'!M134,0)))))</f>
        <v/>
      </c>
      <c r="N134">
        <f>IF($A134="","",IF('Ügyfelek'!N134="",'Beállítások'!$B$84,MIN(10,MAX(1,ROUND('Ügyfelek'!N134,0)))))</f>
        <v/>
      </c>
      <c r="O134">
        <f>IF($A134="","",IF('Ügyfelek'!O134="",'Beállítások'!$B$84,MIN(10,MAX(1,ROUND('Ügyfelek'!O134,0)))))</f>
        <v/>
      </c>
      <c r="P134">
        <f>IF($A134="","",IF('Ügyfelek'!P134="",'Beállítások'!$B$84,MIN(10,MAX(1,ROUND('Ügyfelek'!P134,0)))))</f>
        <v/>
      </c>
      <c r="Q134">
        <f>IF($A134="","",IF('Ügyfelek'!Q134="",'Beállítások'!$B$84,MIN(10,MAX(1,ROUND('Ügyfelek'!Q134,0)))))</f>
        <v/>
      </c>
      <c r="R134">
        <f>IF($A134="","",IF('Ügyfelek'!R134="",'Beállítások'!$B$84,MIN(10,MAX(1,ROUND('Ügyfelek'!R134,0)))))</f>
        <v/>
      </c>
      <c r="S134">
        <f>IF($A134="","",IF('Ügyfelek'!S134="",'Beállítások'!$B$84,MIN(10,MAX(1,ROUND('Ügyfelek'!S134,0)))))</f>
        <v/>
      </c>
      <c r="T134">
        <f>IF($A134="","",IF('Ügyfelek'!T134="",'Beállítások'!$B$84,VLOOKUP(MAX('Ügyfelek'!T134,'Beállítások'!$H$7),'Beállítások'!$H$7:$I$12,2,TRUE)))</f>
        <v/>
      </c>
      <c r="U134">
        <f>IF($A134="","",IF('Ügyfelek'!U134="",'Beállítások'!$B$84,VLOOKUP(MAX('Ügyfelek'!U134,'Beállítások'!$K$7),'Beállítások'!$K$7:$L$12,2,TRUE)))</f>
        <v/>
      </c>
      <c r="V134">
        <f>IF($A134="","",IF('Ügyfelek'!V134="",'Beállítások'!$B$84,MIN(10,MAX(1,ROUND('Ügyfelek'!V134,0)))))</f>
        <v/>
      </c>
      <c r="W134">
        <f>IF($A134="","",IF('Ügyfelek'!W134="",'Beállítások'!$B$84,VLOOKUP(MAX('Ügyfelek'!W134,'Beállítások'!$N$7),'Beállítások'!$N$7:$O$12,2,TRUE)))</f>
        <v/>
      </c>
      <c r="X134">
        <f>IF($A134="","",IF('Ügyfelek'!X134="",'Beállítások'!$B$84,MIN(10,MAX(1,ROUND('Ügyfelek'!X134,0)))))</f>
        <v/>
      </c>
      <c r="Y134">
        <f>IF($A134="","",IF('Ügyfelek'!Y134="",'Beállítások'!$B$84,IFERROR(VLOOKUP(TRIM('Ügyfelek'!Y134),'Beállítások'!$A$63:$B$69,2,FALSE),'Beállítások'!$B$84)))</f>
        <v/>
      </c>
      <c r="Z134">
        <f>IF($A134="","",IF('Ügyfelek'!Z134="",'Beállítások'!$B$84,VLOOKUP(MAX('Ügyfelek'!Z134,'Beállítások'!$Q$7),'Beállítások'!$Q$7:$R$12,2,TRUE)))</f>
        <v/>
      </c>
      <c r="AA134">
        <f>IF($A134="","",IF('Ügyfelek'!AA134="",'Beállítások'!$B$84,VLOOKUP(MAX('Ügyfelek'!AA134,'Beállítások'!$T$7),'Beállítások'!$T$7:$U$12,2,TRUE)))</f>
        <v/>
      </c>
      <c r="AB134">
        <f>IF($A134="","",IF('Ügyfelek'!AB134="",'Beállítások'!$B$84,MIN(10,MAX(1,ROUND('Ügyfelek'!AB134,0)))))</f>
        <v/>
      </c>
      <c r="AC134">
        <f>IF($A134="","",IF('Ügyfelek'!AC134="",'Beállítások'!$B$84,MIN(10,MAX(1,ROUND('Ügyfelek'!AC134,0)))))</f>
        <v/>
      </c>
      <c r="AD134">
        <f>IF($A134="","",IF('Ügyfelek'!AD134="",'Beállítások'!$B$84,MIN(10,MAX(1,ROUND('Ügyfelek'!AD134,0)))))</f>
        <v/>
      </c>
      <c r="AE134">
        <f>IF($A134="","",IF('Ügyfelek'!AE134="",'Beállítások'!$B$84,MIN(10,MAX(1,ROUND('Ügyfelek'!AE134,0)))))</f>
        <v/>
      </c>
      <c r="AF134">
        <f>IF($A134="","",IF('Ügyfelek'!AF134="",'Beállítások'!$B$84,MIN(10,MAX(1,ROUND('Ügyfelek'!AF134,0)))))</f>
        <v/>
      </c>
      <c r="AG134">
        <f>IF($A134="","",IF('Ügyfelek'!AG134="",'Beállítások'!$B$84,MIN(10,MAX(1,ROUND('Ügyfelek'!AG134,0)))))</f>
        <v/>
      </c>
      <c r="AH134">
        <f>IF($A134="","",IF('Ügyfelek'!AH134="",'Beállítások'!$B$84,IFERROR(VLOOKUP(TRIM('Ügyfelek'!AH134),'Beállítások'!$A$73:$B$79,2,FALSE),'Beállítások'!$B$84)))</f>
        <v/>
      </c>
      <c r="AI134" s="23">
        <f>IF($A134="","",ROUND(100*('Beállítások'!$E$6*(B134-1)+'Beállítások'!$E$7*(C134-1))/(9*'Beállítások'!$B$43),1))</f>
        <v/>
      </c>
      <c r="AJ134" s="23">
        <f>IF($A134="","",ROUND(100*('Beállítások'!$E$8*(D134-1)+'Beállítások'!$E$9*(E134-1)+'Beállítások'!$E$10*(F134-1)+'Beállítások'!$E$11*(G134-1)+'Beállítások'!$E$12*(H134-1)+'Beállítások'!$E$13*(I134-1)+'Beállítások'!$E$14*(J134-1)+'Beállítások'!$E$15*(K134-1)+'Beállítások'!$E$16*(L134-1)+'Beállítások'!$E$17*(M134-1)+'Beállítások'!$E$18*(N134-1)+'Beállítások'!$E$19*(O134-1)+'Beállítások'!$E$20*(P134-1)+'Beállítások'!$E$21*(Q134-1)+'Beállítások'!$E$22*(R134-1))/(9*'Beállítások'!$B$44),1))</f>
        <v/>
      </c>
      <c r="AK134" s="23">
        <f>IF($A134="","",ROUND(100*('Beállítások'!$E$23*(S134-1)+'Beállítások'!$E$24*(T134-1)+'Beállítások'!$E$25*(U134-1)+'Beállítások'!$E$26*(V134-1)+'Beállítások'!$E$27*(W134-1)+'Beállítások'!$E$28*(X134-1)+'Beállítások'!$E$29*(Y134-1))/(9*'Beállítások'!$B$45),1))</f>
        <v/>
      </c>
      <c r="AL134" s="23">
        <f>IF($A134="","",ROUND(100*('Beállítások'!$E$30*(Z134-1)+'Beállítások'!$E$31*(AA134-1)+'Beállítások'!$E$32*(AB134-1)+'Beállítások'!$E$33*(AC134-1)+'Beállítások'!$E$34*(AD134-1)+'Beállítások'!$E$35*(AE134-1)+'Beállítások'!$E$36*(AF134-1)+'Beállítások'!$E$37*(AG134-1)+'Beállítások'!$E$38*(AH134-1))/(9*'Beállítások'!$B$46),1))</f>
        <v/>
      </c>
      <c r="AM134" s="23">
        <f>IF($A134="","",ROUND(100*('Beállítások'!$E$6*(B134-1)+'Beállítások'!$E$7*(C134-1)+'Beállítások'!$E$8*(D134-1)+'Beállítások'!$E$9*(E134-1)+'Beállítások'!$E$10*(F134-1)+'Beállítások'!$E$11*(G134-1)+'Beállítások'!$E$12*(H134-1)+'Beállítások'!$E$13*(I134-1)+'Beállítások'!$E$14*(J134-1)+'Beállítások'!$E$15*(K134-1)+'Beállítások'!$E$16*(L134-1)+'Beállítások'!$E$17*(M134-1)+'Beállítások'!$E$18*(N134-1)+'Beállítások'!$E$19*(O134-1)+'Beállítások'!$E$20*(P134-1)+'Beállítások'!$E$21*(Q134-1)+'Beállítások'!$E$22*(R134-1)+'Beállítások'!$E$23*(S134-1)+'Beállítások'!$E$24*(T134-1)+'Beállítások'!$E$25*(U134-1)+'Beállítások'!$E$26*(V134-1)+'Beállítások'!$E$27*(W134-1)+'Beállítások'!$E$28*(X134-1)+'Beállítások'!$E$29*(Y134-1)+'Beállítások'!$E$30*(Z134-1)+'Beállítások'!$E$31*(AA134-1)+'Beállítások'!$E$32*(AB134-1)+'Beállítások'!$E$33*(AC134-1)+'Beállítások'!$E$34*(AD134-1)+'Beállítások'!$E$35*(AE134-1)+'Beállítások'!$E$36*(AF134-1)+'Beállítások'!$E$37*(AG134-1)+'Beállítások'!$E$38*(AH134-1))/(9*'Beállítások'!$E$39),1))</f>
        <v/>
      </c>
      <c r="AN134" s="23">
        <f>IF($A134="","",ROUND(100*('Beállítások'!$E$8*(D134-1)+'Beállítások'!$E$9*(E134-1)+'Beállítások'!$E$10*(F134-1)+'Beállítások'!$E$11*(G134-1)+'Beállítások'!$E$12*(H134-1)+'Beállítások'!$E$13*(I134-1)+'Beállítások'!$E$14*(J134-1)+'Beállítások'!$E$15*(K134-1)+'Beállítások'!$E$16*(L134-1)+'Beállítások'!$E$17*(M134-1)+'Beállítások'!$E$18*(N134-1)+'Beállítások'!$E$19*(O134-1)+'Beállítások'!$E$20*(P134-1)+'Beállítások'!$E$21*(Q134-1)+'Beállítások'!$E$22*(R134-1)+'Beállítások'!$E$23*(S134-1)+'Beállítások'!$E$24*(T134-1)+'Beállítások'!$E$25*(U134-1)+'Beállítások'!$E$26*(V134-1)+'Beállítások'!$E$27*(W134-1)+'Beállítások'!$E$28*(X134-1)+'Beállítások'!$E$29*(Y134-1))/(9*('Beállítások'!$B$44+'Beállítások'!$B$45)),1))</f>
        <v/>
      </c>
      <c r="AO134" s="24">
        <f>IF($A134="","",RANK(AM134,$AM$2:$AM$201))</f>
        <v/>
      </c>
      <c r="AP134">
        <f>IF($A134="","",IF(OR(AND('Ügyfelek'!B134&lt;&gt;"",B134&lt;='Beállítások'!$B$85),AND('Ügyfelek'!C134&lt;&gt;"",C134&lt;='Beállítások'!$B$86)),"Igen","Nem"))</f>
        <v/>
      </c>
      <c r="AQ134" s="24">
        <f>IF($A134="","",IF(AP134="Igen",5,IF(AN134&gt;='Beállítások'!$C$108,1,IF(AN134&gt;='Beállítások'!$C$109,2,IF(AN134&gt;='Beállítások'!$C$110,3,IF(AND(AN134&gt;='Beállítások'!$B$87,AI134&gt;='Beállítások'!$B$88,AL134&gt;='Beállítások'!$B$89),4,5))))))</f>
        <v/>
      </c>
      <c r="AR134">
        <f>IF($A134="","",INDEX('Beállítások'!$B$108:$B$112,AQ134))</f>
        <v/>
      </c>
      <c r="AS134">
        <f>IF($A134="","",IF(AQ134=5,"Elutasítjuk",IF(AND(AQ134=4,COUNTIFS('Eredmény'!$AQ$2:$AQ$201,4,'Eredmény'!$DY$2:$DY$201,"&gt;"&amp;DY134)&gt;='Beállítások'!$B$90),"Várólista (a 4-es hely foglalt)","Elfogadjuk")))</f>
        <v/>
      </c>
      <c r="AT134">
        <f>IF($A134="","",INDEX('Beállítások'!$F$108:$F$112,AQ134))</f>
        <v/>
      </c>
      <c r="AU134">
        <f>IF($A134="","",INDEX('Beállítások'!$B$6:$B$38,MATCH(MAX(BK134:CQ134),BK134:CQ134,0)))</f>
        <v/>
      </c>
      <c r="AV134">
        <f>IF($A134="","",IF(MAX(CR134:DX134)=0,"—",INDEX('Beállítások'!$B$6:$B$38,MATCH(MAX(CR134:DX134),CR134:DX134,0))))</f>
        <v/>
      </c>
      <c r="AW134" s="10">
        <f>IF($A134="","",'Beállítások'!$B$94*(TRIM('Ügyfelek'!AI134)="igen")+'Beállítások'!$B$95*(TRIM('Ügyfelek'!AJ134)="igen")+'Beállítások'!$B$96*N('Ügyfelek'!AK134)+'Beállítások'!$B$93*N('Ügyfelek'!AL134))</f>
        <v/>
      </c>
      <c r="AX134" s="25">
        <f>IF(OR($A134="",AQ134=5),"",INDEX('Beállítások'!$D$108:$D$112,AQ134))</f>
        <v/>
      </c>
      <c r="AY134" s="10">
        <f>IF($A134="","",N('Ügyfelek'!U134)*'Beállítások'!$B$98)</f>
        <v/>
      </c>
      <c r="AZ134" s="10">
        <f>IF(OR($A134="",AQ134=5),"",CEILING(ROUND(MAX('Beállítások'!$B$97,AW134*AX134,AY134),2),'Beállítások'!$B$99))</f>
        <v/>
      </c>
      <c r="BA134">
        <f>IF($A134="","",IF(AQ134=5,"Elutasítva",IF(MAX('Beállítások'!$B$97,AW134*AX134,AY134)=AW134*AX134,"Munkaigény × státuszszorzó",IF(MAX('Beállítások'!$B$97,AW134*AX134,AY134)=AY134,"Hirdetési keret arányában","Minimumdíj"))))</f>
        <v/>
      </c>
      <c r="BB134" s="10">
        <f>IF(OR($A134="",'Ügyfelek'!AM134=""),"",'Ügyfelek'!AM134)</f>
        <v/>
      </c>
      <c r="BC134" s="10">
        <f>IF(OR(BB134="",AZ134=""),"",AZ134-BB134)</f>
        <v/>
      </c>
      <c r="BD134" s="18">
        <f>IF(OR(BB134="",AZ134="",BB134=0),"",BC134/BB134)</f>
        <v/>
      </c>
      <c r="BE134">
        <f>IF(OR($A134="",AQ134=5),"",IF(AND(INDEX('Beállítások'!$E$108:$E$112,AQ134)&gt;0,Y134&gt;='Beállítások'!$B$91),"Igen","Nem"))</f>
        <v/>
      </c>
      <c r="BF134" s="10">
        <f>IF(BE134="Igen",CEILING(ROUND(AZ134*(1-'Beállítások'!$B$92),2),'Beállítások'!$B$99),"")</f>
        <v/>
      </c>
      <c r="BG134" s="20">
        <f>IF(BE134="Igen",INDEX('Beállítások'!$E$108:$E$112,AQ134),"")</f>
        <v/>
      </c>
      <c r="BH134" s="10">
        <f>IF(OR(BE134&lt;&gt;"Igen",'Ügyfelek'!AN134=""),"",'Ügyfelek'!AN134*BG134)</f>
        <v/>
      </c>
      <c r="BI134" s="24">
        <f>IF($A134="","",('Ügyfelek'!B134="")+('Ügyfelek'!C134="")+('Ügyfelek'!D134="")+('Ügyfelek'!E134="")+('Ügyfelek'!F134="")+('Ügyfelek'!G134="")+('Ügyfelek'!H134="")+('Ügyfelek'!I134="")+('Ügyfelek'!J134="")+('Ügyfelek'!K134="")+('Ügyfelek'!L134="")+('Ügyfelek'!M134="")+('Ügyfelek'!N134="")+('Ügyfelek'!O134="")+('Ügyfelek'!P134="")+('Ügyfelek'!Q134="")+('Ügyfelek'!R134="")+('Ügyfelek'!S134="")+('Ügyfelek'!T134="")+('Ügyfelek'!U134="")+('Ügyfelek'!V134="")+('Ügyfelek'!W134="")+('Ügyfelek'!X134="")+('Ügyfelek'!Y134="")+('Ügyfelek'!Z134="")+('Ügyfelek'!AA134="")+('Ügyfelek'!AB134="")+('Ügyfelek'!AC134="")+('Ügyfelek'!AD134="")+('Ügyfelek'!AE134="")+('Ügyfelek'!AF134="")+('Ügyfelek'!AG134="")+('Ügyfelek'!AH134=""))</f>
        <v/>
      </c>
      <c r="BK134">
        <f>IF($A134="","",B134+'Beállítások'!$E$6/1000)</f>
        <v/>
      </c>
      <c r="BL134">
        <f>IF($A134="","",C134+'Beállítások'!$E$7/1000)</f>
        <v/>
      </c>
      <c r="BM134">
        <f>IF($A134="","",D134+'Beállítások'!$E$8/1000)</f>
        <v/>
      </c>
      <c r="BN134">
        <f>IF($A134="","",E134+'Beállítások'!$E$9/1000)</f>
        <v/>
      </c>
      <c r="BO134">
        <f>IF($A134="","",F134+'Beállítások'!$E$10/1000)</f>
        <v/>
      </c>
      <c r="BP134">
        <f>IF($A134="","",G134+'Beállítások'!$E$11/1000)</f>
        <v/>
      </c>
      <c r="BQ134">
        <f>IF($A134="","",H134+'Beállítások'!$E$12/1000)</f>
        <v/>
      </c>
      <c r="BR134">
        <f>IF($A134="","",I134+'Beállítások'!$E$13/1000)</f>
        <v/>
      </c>
      <c r="BS134">
        <f>IF($A134="","",J134+'Beállítások'!$E$14/1000)</f>
        <v/>
      </c>
      <c r="BT134">
        <f>IF($A134="","",K134+'Beállítások'!$E$15/1000)</f>
        <v/>
      </c>
      <c r="BU134">
        <f>IF($A134="","",L134+'Beállítások'!$E$16/1000)</f>
        <v/>
      </c>
      <c r="BV134">
        <f>IF($A134="","",M134+'Beállítások'!$E$17/1000)</f>
        <v/>
      </c>
      <c r="BW134">
        <f>IF($A134="","",N134+'Beállítások'!$E$18/1000)</f>
        <v/>
      </c>
      <c r="BX134">
        <f>IF($A134="","",O134+'Beállítások'!$E$19/1000)</f>
        <v/>
      </c>
      <c r="BY134">
        <f>IF($A134="","",P134+'Beállítások'!$E$20/1000)</f>
        <v/>
      </c>
      <c r="BZ134">
        <f>IF($A134="","",Q134+'Beállítások'!$E$21/1000)</f>
        <v/>
      </c>
      <c r="CA134">
        <f>IF($A134="","",R134+'Beállítások'!$E$22/1000)</f>
        <v/>
      </c>
      <c r="CB134">
        <f>IF($A134="","",S134+'Beállítások'!$E$23/1000)</f>
        <v/>
      </c>
      <c r="CC134">
        <f>IF($A134="","",T134+'Beállítások'!$E$24/1000)</f>
        <v/>
      </c>
      <c r="CD134">
        <f>IF($A134="","",U134+'Beállítások'!$E$25/1000)</f>
        <v/>
      </c>
      <c r="CE134">
        <f>IF($A134="","",V134+'Beállítások'!$E$26/1000)</f>
        <v/>
      </c>
      <c r="CF134">
        <f>IF($A134="","",W134+'Beállítások'!$E$27/1000)</f>
        <v/>
      </c>
      <c r="CG134">
        <f>IF($A134="","",X134+'Beállítások'!$E$28/1000)</f>
        <v/>
      </c>
      <c r="CH134">
        <f>IF($A134="","",Y134+'Beállítások'!$E$29/1000)</f>
        <v/>
      </c>
      <c r="CI134">
        <f>IF($A134="","",Z134+'Beállítások'!$E$30/1000)</f>
        <v/>
      </c>
      <c r="CJ134">
        <f>IF($A134="","",AA134+'Beállítások'!$E$31/1000)</f>
        <v/>
      </c>
      <c r="CK134">
        <f>IF($A134="","",AB134+'Beállítások'!$E$32/1000)</f>
        <v/>
      </c>
      <c r="CL134">
        <f>IF($A134="","",AC134+'Beállítások'!$E$33/1000)</f>
        <v/>
      </c>
      <c r="CM134">
        <f>IF($A134="","",AD134+'Beállítások'!$E$34/1000)</f>
        <v/>
      </c>
      <c r="CN134">
        <f>IF($A134="","",AE134+'Beállítások'!$E$35/1000)</f>
        <v/>
      </c>
      <c r="CO134">
        <f>IF($A134="","",AF134+'Beállítások'!$E$36/1000)</f>
        <v/>
      </c>
      <c r="CP134">
        <f>IF($A134="","",AG134+'Beállítások'!$E$37/1000)</f>
        <v/>
      </c>
      <c r="CQ134">
        <f>IF($A134="","",AH134+'Beállítások'!$E$38/1000)</f>
        <v/>
      </c>
      <c r="CR134">
        <f>IF($A134="","",'Beállítások'!$E$6*(10-B134))</f>
        <v/>
      </c>
      <c r="CS134">
        <f>IF($A134="","",'Beállítások'!$E$7*(10-C134))</f>
        <v/>
      </c>
      <c r="CT134">
        <f>IF($A134="","",'Beállítások'!$E$8*(10-D134))</f>
        <v/>
      </c>
      <c r="CU134">
        <f>IF($A134="","",'Beállítások'!$E$9*(10-E134))</f>
        <v/>
      </c>
      <c r="CV134">
        <f>IF($A134="","",'Beállítások'!$E$10*(10-F134))</f>
        <v/>
      </c>
      <c r="CW134">
        <f>IF($A134="","",'Beállítások'!$E$11*(10-G134))</f>
        <v/>
      </c>
      <c r="CX134">
        <f>IF($A134="","",'Beállítások'!$E$12*(10-H134))</f>
        <v/>
      </c>
      <c r="CY134">
        <f>IF($A134="","",'Beállítások'!$E$13*(10-I134))</f>
        <v/>
      </c>
      <c r="CZ134">
        <f>IF($A134="","",'Beállítások'!$E$14*(10-J134))</f>
        <v/>
      </c>
      <c r="DA134">
        <f>IF($A134="","",'Beállítások'!$E$15*(10-K134))</f>
        <v/>
      </c>
      <c r="DB134">
        <f>IF($A134="","",'Beállítások'!$E$16*(10-L134))</f>
        <v/>
      </c>
      <c r="DC134">
        <f>IF($A134="","",'Beállítások'!$E$17*(10-M134))</f>
        <v/>
      </c>
      <c r="DD134">
        <f>IF($A134="","",'Beállítások'!$E$18*(10-N134))</f>
        <v/>
      </c>
      <c r="DE134">
        <f>IF($A134="","",'Beállítások'!$E$19*(10-O134))</f>
        <v/>
      </c>
      <c r="DF134">
        <f>IF($A134="","",'Beállítások'!$E$20*(10-P134))</f>
        <v/>
      </c>
      <c r="DG134">
        <f>IF($A134="","",'Beállítások'!$E$21*(10-Q134))</f>
        <v/>
      </c>
      <c r="DH134">
        <f>IF($A134="","",'Beállítások'!$E$22*(10-R134))</f>
        <v/>
      </c>
      <c r="DI134">
        <f>IF($A134="","",'Beállítások'!$E$23*(10-S134))</f>
        <v/>
      </c>
      <c r="DJ134">
        <f>IF($A134="","",'Beállítások'!$E$24*(10-T134))</f>
        <v/>
      </c>
      <c r="DK134">
        <f>IF($A134="","",'Beállítások'!$E$25*(10-U134))</f>
        <v/>
      </c>
      <c r="DL134">
        <f>IF($A134="","",'Beállítások'!$E$26*(10-V134))</f>
        <v/>
      </c>
      <c r="DM134">
        <f>IF($A134="","",'Beállítások'!$E$27*(10-W134))</f>
        <v/>
      </c>
      <c r="DN134">
        <f>IF($A134="","",'Beállítások'!$E$28*(10-X134))</f>
        <v/>
      </c>
      <c r="DO134">
        <f>IF($A134="","",'Beállítások'!$E$29*(10-Y134))</f>
        <v/>
      </c>
      <c r="DP134">
        <f>IF($A134="","",'Beállítások'!$E$30*(10-Z134))</f>
        <v/>
      </c>
      <c r="DQ134">
        <f>IF($A134="","",'Beállítások'!$E$31*(10-AA134))</f>
        <v/>
      </c>
      <c r="DR134">
        <f>IF($A134="","",'Beállítások'!$E$32*(10-AB134))</f>
        <v/>
      </c>
      <c r="DS134">
        <f>IF($A134="","",'Beállítások'!$E$33*(10-AC134))</f>
        <v/>
      </c>
      <c r="DT134">
        <f>IF($A134="","",'Beállítások'!$E$34*(10-AD134))</f>
        <v/>
      </c>
      <c r="DU134">
        <f>IF($A134="","",'Beállítások'!$E$35*(10-AE134))</f>
        <v/>
      </c>
      <c r="DV134">
        <f>IF($A134="","",'Beállítások'!$E$36*(10-AF134))</f>
        <v/>
      </c>
      <c r="DW134">
        <f>IF($A134="","",'Beállítások'!$E$37*(10-AG134))</f>
        <v/>
      </c>
      <c r="DX134">
        <f>IF($A134="","",'Beállítások'!$E$38*(10-AH134))</f>
        <v/>
      </c>
      <c r="DY134">
        <f>IF($A134="","",AM134-ROW()/100000)</f>
        <v/>
      </c>
    </row>
    <row r="135">
      <c r="A135">
        <f>IF('Ügyfelek'!A135="","",'Ügyfelek'!A135)</f>
        <v/>
      </c>
      <c r="B135">
        <f>IF($A135="","",IF('Ügyfelek'!B135="",'Beállítások'!$B$84,IFERROR(VLOOKUP(TRIM('Ügyfelek'!B135),'Beállítások'!$A$51:$B$59,2,FALSE),'Beállítások'!$B$84)))</f>
        <v/>
      </c>
      <c r="C135">
        <f>IF($A135="","",IF('Ügyfelek'!C135="",'Beállítások'!$B$84,MIN(10,MAX(1,ROUND('Ügyfelek'!C135,0)))))</f>
        <v/>
      </c>
      <c r="D135">
        <f>IF($A135="","",IF('Ügyfelek'!D135="",'Beállítások'!$B$84,MIN(10,MAX(1,ROUND('Ügyfelek'!D135,0)))))</f>
        <v/>
      </c>
      <c r="E135">
        <f>IF($A135="","",IF('Ügyfelek'!E135="",'Beállítások'!$B$84,MIN(10,MAX(1,ROUND('Ügyfelek'!E135,0)))))</f>
        <v/>
      </c>
      <c r="F135">
        <f>IF($A135="","",IF('Ügyfelek'!F135="",'Beállítások'!$B$84,MIN(10,MAX(1,ROUND('Ügyfelek'!F135,0)))))</f>
        <v/>
      </c>
      <c r="G135">
        <f>IF($A135="","",IF('Ügyfelek'!G135="",'Beállítások'!$B$84,MIN(10,MAX(1,ROUND('Ügyfelek'!G135,0)))))</f>
        <v/>
      </c>
      <c r="H135">
        <f>IF($A135="","",IF('Ügyfelek'!H135="",'Beállítások'!$B$84,MIN(10,MAX(1,ROUND('Ügyfelek'!H135,0)))))</f>
        <v/>
      </c>
      <c r="I135">
        <f>IF($A135="","",IF('Ügyfelek'!I135="",'Beállítások'!$B$84,MIN(10,MAX(1,ROUND('Ügyfelek'!I135,0)))))</f>
        <v/>
      </c>
      <c r="J135">
        <f>IF($A135="","",IF('Ügyfelek'!J135="",'Beállítások'!$B$84,MIN(10,MAX(1,ROUND('Ügyfelek'!J135,0)))))</f>
        <v/>
      </c>
      <c r="K135">
        <f>IF($A135="","",IF('Ügyfelek'!K135="",'Beállítások'!$B$84,MIN(10,MAX(1,ROUND('Ügyfelek'!K135,0)))))</f>
        <v/>
      </c>
      <c r="L135">
        <f>IF($A135="","",IF('Ügyfelek'!L135="",'Beállítások'!$B$84,MIN(10,MAX(1,ROUND('Ügyfelek'!L135,0)))))</f>
        <v/>
      </c>
      <c r="M135">
        <f>IF($A135="","",IF('Ügyfelek'!M135="",'Beállítások'!$B$84,MIN(10,MAX(1,ROUND('Ügyfelek'!M135,0)))))</f>
        <v/>
      </c>
      <c r="N135">
        <f>IF($A135="","",IF('Ügyfelek'!N135="",'Beállítások'!$B$84,MIN(10,MAX(1,ROUND('Ügyfelek'!N135,0)))))</f>
        <v/>
      </c>
      <c r="O135">
        <f>IF($A135="","",IF('Ügyfelek'!O135="",'Beállítások'!$B$84,MIN(10,MAX(1,ROUND('Ügyfelek'!O135,0)))))</f>
        <v/>
      </c>
      <c r="P135">
        <f>IF($A135="","",IF('Ügyfelek'!P135="",'Beállítások'!$B$84,MIN(10,MAX(1,ROUND('Ügyfelek'!P135,0)))))</f>
        <v/>
      </c>
      <c r="Q135">
        <f>IF($A135="","",IF('Ügyfelek'!Q135="",'Beállítások'!$B$84,MIN(10,MAX(1,ROUND('Ügyfelek'!Q135,0)))))</f>
        <v/>
      </c>
      <c r="R135">
        <f>IF($A135="","",IF('Ügyfelek'!R135="",'Beállítások'!$B$84,MIN(10,MAX(1,ROUND('Ügyfelek'!R135,0)))))</f>
        <v/>
      </c>
      <c r="S135">
        <f>IF($A135="","",IF('Ügyfelek'!S135="",'Beállítások'!$B$84,MIN(10,MAX(1,ROUND('Ügyfelek'!S135,0)))))</f>
        <v/>
      </c>
      <c r="T135">
        <f>IF($A135="","",IF('Ügyfelek'!T135="",'Beállítások'!$B$84,VLOOKUP(MAX('Ügyfelek'!T135,'Beállítások'!$H$7),'Beállítások'!$H$7:$I$12,2,TRUE)))</f>
        <v/>
      </c>
      <c r="U135">
        <f>IF($A135="","",IF('Ügyfelek'!U135="",'Beállítások'!$B$84,VLOOKUP(MAX('Ügyfelek'!U135,'Beállítások'!$K$7),'Beállítások'!$K$7:$L$12,2,TRUE)))</f>
        <v/>
      </c>
      <c r="V135">
        <f>IF($A135="","",IF('Ügyfelek'!V135="",'Beállítások'!$B$84,MIN(10,MAX(1,ROUND('Ügyfelek'!V135,0)))))</f>
        <v/>
      </c>
      <c r="W135">
        <f>IF($A135="","",IF('Ügyfelek'!W135="",'Beállítások'!$B$84,VLOOKUP(MAX('Ügyfelek'!W135,'Beállítások'!$N$7),'Beállítások'!$N$7:$O$12,2,TRUE)))</f>
        <v/>
      </c>
      <c r="X135">
        <f>IF($A135="","",IF('Ügyfelek'!X135="",'Beállítások'!$B$84,MIN(10,MAX(1,ROUND('Ügyfelek'!X135,0)))))</f>
        <v/>
      </c>
      <c r="Y135">
        <f>IF($A135="","",IF('Ügyfelek'!Y135="",'Beállítások'!$B$84,IFERROR(VLOOKUP(TRIM('Ügyfelek'!Y135),'Beállítások'!$A$63:$B$69,2,FALSE),'Beállítások'!$B$84)))</f>
        <v/>
      </c>
      <c r="Z135">
        <f>IF($A135="","",IF('Ügyfelek'!Z135="",'Beállítások'!$B$84,VLOOKUP(MAX('Ügyfelek'!Z135,'Beállítások'!$Q$7),'Beállítások'!$Q$7:$R$12,2,TRUE)))</f>
        <v/>
      </c>
      <c r="AA135">
        <f>IF($A135="","",IF('Ügyfelek'!AA135="",'Beállítások'!$B$84,VLOOKUP(MAX('Ügyfelek'!AA135,'Beállítások'!$T$7),'Beállítások'!$T$7:$U$12,2,TRUE)))</f>
        <v/>
      </c>
      <c r="AB135">
        <f>IF($A135="","",IF('Ügyfelek'!AB135="",'Beállítások'!$B$84,MIN(10,MAX(1,ROUND('Ügyfelek'!AB135,0)))))</f>
        <v/>
      </c>
      <c r="AC135">
        <f>IF($A135="","",IF('Ügyfelek'!AC135="",'Beállítások'!$B$84,MIN(10,MAX(1,ROUND('Ügyfelek'!AC135,0)))))</f>
        <v/>
      </c>
      <c r="AD135">
        <f>IF($A135="","",IF('Ügyfelek'!AD135="",'Beállítások'!$B$84,MIN(10,MAX(1,ROUND('Ügyfelek'!AD135,0)))))</f>
        <v/>
      </c>
      <c r="AE135">
        <f>IF($A135="","",IF('Ügyfelek'!AE135="",'Beállítások'!$B$84,MIN(10,MAX(1,ROUND('Ügyfelek'!AE135,0)))))</f>
        <v/>
      </c>
      <c r="AF135">
        <f>IF($A135="","",IF('Ügyfelek'!AF135="",'Beállítások'!$B$84,MIN(10,MAX(1,ROUND('Ügyfelek'!AF135,0)))))</f>
        <v/>
      </c>
      <c r="AG135">
        <f>IF($A135="","",IF('Ügyfelek'!AG135="",'Beállítások'!$B$84,MIN(10,MAX(1,ROUND('Ügyfelek'!AG135,0)))))</f>
        <v/>
      </c>
      <c r="AH135">
        <f>IF($A135="","",IF('Ügyfelek'!AH135="",'Beállítások'!$B$84,IFERROR(VLOOKUP(TRIM('Ügyfelek'!AH135),'Beállítások'!$A$73:$B$79,2,FALSE),'Beállítások'!$B$84)))</f>
        <v/>
      </c>
      <c r="AI135" s="23">
        <f>IF($A135="","",ROUND(100*('Beállítások'!$E$6*(B135-1)+'Beállítások'!$E$7*(C135-1))/(9*'Beállítások'!$B$43),1))</f>
        <v/>
      </c>
      <c r="AJ135" s="23">
        <f>IF($A135="","",ROUND(100*('Beállítások'!$E$8*(D135-1)+'Beállítások'!$E$9*(E135-1)+'Beállítások'!$E$10*(F135-1)+'Beállítások'!$E$11*(G135-1)+'Beállítások'!$E$12*(H135-1)+'Beállítások'!$E$13*(I135-1)+'Beállítások'!$E$14*(J135-1)+'Beállítások'!$E$15*(K135-1)+'Beállítások'!$E$16*(L135-1)+'Beállítások'!$E$17*(M135-1)+'Beállítások'!$E$18*(N135-1)+'Beállítások'!$E$19*(O135-1)+'Beállítások'!$E$20*(P135-1)+'Beállítások'!$E$21*(Q135-1)+'Beállítások'!$E$22*(R135-1))/(9*'Beállítások'!$B$44),1))</f>
        <v/>
      </c>
      <c r="AK135" s="23">
        <f>IF($A135="","",ROUND(100*('Beállítások'!$E$23*(S135-1)+'Beállítások'!$E$24*(T135-1)+'Beállítások'!$E$25*(U135-1)+'Beállítások'!$E$26*(V135-1)+'Beállítások'!$E$27*(W135-1)+'Beállítások'!$E$28*(X135-1)+'Beállítások'!$E$29*(Y135-1))/(9*'Beállítások'!$B$45),1))</f>
        <v/>
      </c>
      <c r="AL135" s="23">
        <f>IF($A135="","",ROUND(100*('Beállítások'!$E$30*(Z135-1)+'Beállítások'!$E$31*(AA135-1)+'Beállítások'!$E$32*(AB135-1)+'Beállítások'!$E$33*(AC135-1)+'Beállítások'!$E$34*(AD135-1)+'Beállítások'!$E$35*(AE135-1)+'Beállítások'!$E$36*(AF135-1)+'Beállítások'!$E$37*(AG135-1)+'Beállítások'!$E$38*(AH135-1))/(9*'Beállítások'!$B$46),1))</f>
        <v/>
      </c>
      <c r="AM135" s="23">
        <f>IF($A135="","",ROUND(100*('Beállítások'!$E$6*(B135-1)+'Beállítások'!$E$7*(C135-1)+'Beállítások'!$E$8*(D135-1)+'Beállítások'!$E$9*(E135-1)+'Beállítások'!$E$10*(F135-1)+'Beállítások'!$E$11*(G135-1)+'Beállítások'!$E$12*(H135-1)+'Beállítások'!$E$13*(I135-1)+'Beállítások'!$E$14*(J135-1)+'Beállítások'!$E$15*(K135-1)+'Beállítások'!$E$16*(L135-1)+'Beállítások'!$E$17*(M135-1)+'Beállítások'!$E$18*(N135-1)+'Beállítások'!$E$19*(O135-1)+'Beállítások'!$E$20*(P135-1)+'Beállítások'!$E$21*(Q135-1)+'Beállítások'!$E$22*(R135-1)+'Beállítások'!$E$23*(S135-1)+'Beállítások'!$E$24*(T135-1)+'Beállítások'!$E$25*(U135-1)+'Beállítások'!$E$26*(V135-1)+'Beállítások'!$E$27*(W135-1)+'Beállítások'!$E$28*(X135-1)+'Beállítások'!$E$29*(Y135-1)+'Beállítások'!$E$30*(Z135-1)+'Beállítások'!$E$31*(AA135-1)+'Beállítások'!$E$32*(AB135-1)+'Beállítások'!$E$33*(AC135-1)+'Beállítások'!$E$34*(AD135-1)+'Beállítások'!$E$35*(AE135-1)+'Beállítások'!$E$36*(AF135-1)+'Beállítások'!$E$37*(AG135-1)+'Beállítások'!$E$38*(AH135-1))/(9*'Beállítások'!$E$39),1))</f>
        <v/>
      </c>
      <c r="AN135" s="23">
        <f>IF($A135="","",ROUND(100*('Beállítások'!$E$8*(D135-1)+'Beállítások'!$E$9*(E135-1)+'Beállítások'!$E$10*(F135-1)+'Beállítások'!$E$11*(G135-1)+'Beállítások'!$E$12*(H135-1)+'Beállítások'!$E$13*(I135-1)+'Beállítások'!$E$14*(J135-1)+'Beállítások'!$E$15*(K135-1)+'Beállítások'!$E$16*(L135-1)+'Beállítások'!$E$17*(M135-1)+'Beállítások'!$E$18*(N135-1)+'Beállítások'!$E$19*(O135-1)+'Beállítások'!$E$20*(P135-1)+'Beállítások'!$E$21*(Q135-1)+'Beállítások'!$E$22*(R135-1)+'Beállítások'!$E$23*(S135-1)+'Beállítások'!$E$24*(T135-1)+'Beállítások'!$E$25*(U135-1)+'Beállítások'!$E$26*(V135-1)+'Beállítások'!$E$27*(W135-1)+'Beállítások'!$E$28*(X135-1)+'Beállítások'!$E$29*(Y135-1))/(9*('Beállítások'!$B$44+'Beállítások'!$B$45)),1))</f>
        <v/>
      </c>
      <c r="AO135" s="24">
        <f>IF($A135="","",RANK(AM135,$AM$2:$AM$201))</f>
        <v/>
      </c>
      <c r="AP135">
        <f>IF($A135="","",IF(OR(AND('Ügyfelek'!B135&lt;&gt;"",B135&lt;='Beállítások'!$B$85),AND('Ügyfelek'!C135&lt;&gt;"",C135&lt;='Beállítások'!$B$86)),"Igen","Nem"))</f>
        <v/>
      </c>
      <c r="AQ135" s="24">
        <f>IF($A135="","",IF(AP135="Igen",5,IF(AN135&gt;='Beállítások'!$C$108,1,IF(AN135&gt;='Beállítások'!$C$109,2,IF(AN135&gt;='Beállítások'!$C$110,3,IF(AND(AN135&gt;='Beállítások'!$B$87,AI135&gt;='Beállítások'!$B$88,AL135&gt;='Beállítások'!$B$89),4,5))))))</f>
        <v/>
      </c>
      <c r="AR135">
        <f>IF($A135="","",INDEX('Beállítások'!$B$108:$B$112,AQ135))</f>
        <v/>
      </c>
      <c r="AS135">
        <f>IF($A135="","",IF(AQ135=5,"Elutasítjuk",IF(AND(AQ135=4,COUNTIFS('Eredmény'!$AQ$2:$AQ$201,4,'Eredmény'!$DY$2:$DY$201,"&gt;"&amp;DY135)&gt;='Beállítások'!$B$90),"Várólista (a 4-es hely foglalt)","Elfogadjuk")))</f>
        <v/>
      </c>
      <c r="AT135">
        <f>IF($A135="","",INDEX('Beállítások'!$F$108:$F$112,AQ135))</f>
        <v/>
      </c>
      <c r="AU135">
        <f>IF($A135="","",INDEX('Beállítások'!$B$6:$B$38,MATCH(MAX(BK135:CQ135),BK135:CQ135,0)))</f>
        <v/>
      </c>
      <c r="AV135">
        <f>IF($A135="","",IF(MAX(CR135:DX135)=0,"—",INDEX('Beállítások'!$B$6:$B$38,MATCH(MAX(CR135:DX135),CR135:DX135,0))))</f>
        <v/>
      </c>
      <c r="AW135" s="10">
        <f>IF($A135="","",'Beállítások'!$B$94*(TRIM('Ügyfelek'!AI135)="igen")+'Beállítások'!$B$95*(TRIM('Ügyfelek'!AJ135)="igen")+'Beállítások'!$B$96*N('Ügyfelek'!AK135)+'Beállítások'!$B$93*N('Ügyfelek'!AL135))</f>
        <v/>
      </c>
      <c r="AX135" s="25">
        <f>IF(OR($A135="",AQ135=5),"",INDEX('Beállítások'!$D$108:$D$112,AQ135))</f>
        <v/>
      </c>
      <c r="AY135" s="10">
        <f>IF($A135="","",N('Ügyfelek'!U135)*'Beállítások'!$B$98)</f>
        <v/>
      </c>
      <c r="AZ135" s="10">
        <f>IF(OR($A135="",AQ135=5),"",CEILING(ROUND(MAX('Beállítások'!$B$97,AW135*AX135,AY135),2),'Beállítások'!$B$99))</f>
        <v/>
      </c>
      <c r="BA135">
        <f>IF($A135="","",IF(AQ135=5,"Elutasítva",IF(MAX('Beállítások'!$B$97,AW135*AX135,AY135)=AW135*AX135,"Munkaigény × státuszszorzó",IF(MAX('Beállítások'!$B$97,AW135*AX135,AY135)=AY135,"Hirdetési keret arányában","Minimumdíj"))))</f>
        <v/>
      </c>
      <c r="BB135" s="10">
        <f>IF(OR($A135="",'Ügyfelek'!AM135=""),"",'Ügyfelek'!AM135)</f>
        <v/>
      </c>
      <c r="BC135" s="10">
        <f>IF(OR(BB135="",AZ135=""),"",AZ135-BB135)</f>
        <v/>
      </c>
      <c r="BD135" s="18">
        <f>IF(OR(BB135="",AZ135="",BB135=0),"",BC135/BB135)</f>
        <v/>
      </c>
      <c r="BE135">
        <f>IF(OR($A135="",AQ135=5),"",IF(AND(INDEX('Beállítások'!$E$108:$E$112,AQ135)&gt;0,Y135&gt;='Beállítások'!$B$91),"Igen","Nem"))</f>
        <v/>
      </c>
      <c r="BF135" s="10">
        <f>IF(BE135="Igen",CEILING(ROUND(AZ135*(1-'Beállítások'!$B$92),2),'Beállítások'!$B$99),"")</f>
        <v/>
      </c>
      <c r="BG135" s="20">
        <f>IF(BE135="Igen",INDEX('Beállítások'!$E$108:$E$112,AQ135),"")</f>
        <v/>
      </c>
      <c r="BH135" s="10">
        <f>IF(OR(BE135&lt;&gt;"Igen",'Ügyfelek'!AN135=""),"",'Ügyfelek'!AN135*BG135)</f>
        <v/>
      </c>
      <c r="BI135" s="24">
        <f>IF($A135="","",('Ügyfelek'!B135="")+('Ügyfelek'!C135="")+('Ügyfelek'!D135="")+('Ügyfelek'!E135="")+('Ügyfelek'!F135="")+('Ügyfelek'!G135="")+('Ügyfelek'!H135="")+('Ügyfelek'!I135="")+('Ügyfelek'!J135="")+('Ügyfelek'!K135="")+('Ügyfelek'!L135="")+('Ügyfelek'!M135="")+('Ügyfelek'!N135="")+('Ügyfelek'!O135="")+('Ügyfelek'!P135="")+('Ügyfelek'!Q135="")+('Ügyfelek'!R135="")+('Ügyfelek'!S135="")+('Ügyfelek'!T135="")+('Ügyfelek'!U135="")+('Ügyfelek'!V135="")+('Ügyfelek'!W135="")+('Ügyfelek'!X135="")+('Ügyfelek'!Y135="")+('Ügyfelek'!Z135="")+('Ügyfelek'!AA135="")+('Ügyfelek'!AB135="")+('Ügyfelek'!AC135="")+('Ügyfelek'!AD135="")+('Ügyfelek'!AE135="")+('Ügyfelek'!AF135="")+('Ügyfelek'!AG135="")+('Ügyfelek'!AH135=""))</f>
        <v/>
      </c>
      <c r="BK135">
        <f>IF($A135="","",B135+'Beállítások'!$E$6/1000)</f>
        <v/>
      </c>
      <c r="BL135">
        <f>IF($A135="","",C135+'Beállítások'!$E$7/1000)</f>
        <v/>
      </c>
      <c r="BM135">
        <f>IF($A135="","",D135+'Beállítások'!$E$8/1000)</f>
        <v/>
      </c>
      <c r="BN135">
        <f>IF($A135="","",E135+'Beállítások'!$E$9/1000)</f>
        <v/>
      </c>
      <c r="BO135">
        <f>IF($A135="","",F135+'Beállítások'!$E$10/1000)</f>
        <v/>
      </c>
      <c r="BP135">
        <f>IF($A135="","",G135+'Beállítások'!$E$11/1000)</f>
        <v/>
      </c>
      <c r="BQ135">
        <f>IF($A135="","",H135+'Beállítások'!$E$12/1000)</f>
        <v/>
      </c>
      <c r="BR135">
        <f>IF($A135="","",I135+'Beállítások'!$E$13/1000)</f>
        <v/>
      </c>
      <c r="BS135">
        <f>IF($A135="","",J135+'Beállítások'!$E$14/1000)</f>
        <v/>
      </c>
      <c r="BT135">
        <f>IF($A135="","",K135+'Beállítások'!$E$15/1000)</f>
        <v/>
      </c>
      <c r="BU135">
        <f>IF($A135="","",L135+'Beállítások'!$E$16/1000)</f>
        <v/>
      </c>
      <c r="BV135">
        <f>IF($A135="","",M135+'Beállítások'!$E$17/1000)</f>
        <v/>
      </c>
      <c r="BW135">
        <f>IF($A135="","",N135+'Beállítások'!$E$18/1000)</f>
        <v/>
      </c>
      <c r="BX135">
        <f>IF($A135="","",O135+'Beállítások'!$E$19/1000)</f>
        <v/>
      </c>
      <c r="BY135">
        <f>IF($A135="","",P135+'Beállítások'!$E$20/1000)</f>
        <v/>
      </c>
      <c r="BZ135">
        <f>IF($A135="","",Q135+'Beállítások'!$E$21/1000)</f>
        <v/>
      </c>
      <c r="CA135">
        <f>IF($A135="","",R135+'Beállítások'!$E$22/1000)</f>
        <v/>
      </c>
      <c r="CB135">
        <f>IF($A135="","",S135+'Beállítások'!$E$23/1000)</f>
        <v/>
      </c>
      <c r="CC135">
        <f>IF($A135="","",T135+'Beállítások'!$E$24/1000)</f>
        <v/>
      </c>
      <c r="CD135">
        <f>IF($A135="","",U135+'Beállítások'!$E$25/1000)</f>
        <v/>
      </c>
      <c r="CE135">
        <f>IF($A135="","",V135+'Beállítások'!$E$26/1000)</f>
        <v/>
      </c>
      <c r="CF135">
        <f>IF($A135="","",W135+'Beállítások'!$E$27/1000)</f>
        <v/>
      </c>
      <c r="CG135">
        <f>IF($A135="","",X135+'Beállítások'!$E$28/1000)</f>
        <v/>
      </c>
      <c r="CH135">
        <f>IF($A135="","",Y135+'Beállítások'!$E$29/1000)</f>
        <v/>
      </c>
      <c r="CI135">
        <f>IF($A135="","",Z135+'Beállítások'!$E$30/1000)</f>
        <v/>
      </c>
      <c r="CJ135">
        <f>IF($A135="","",AA135+'Beállítások'!$E$31/1000)</f>
        <v/>
      </c>
      <c r="CK135">
        <f>IF($A135="","",AB135+'Beállítások'!$E$32/1000)</f>
        <v/>
      </c>
      <c r="CL135">
        <f>IF($A135="","",AC135+'Beállítások'!$E$33/1000)</f>
        <v/>
      </c>
      <c r="CM135">
        <f>IF($A135="","",AD135+'Beállítások'!$E$34/1000)</f>
        <v/>
      </c>
      <c r="CN135">
        <f>IF($A135="","",AE135+'Beállítások'!$E$35/1000)</f>
        <v/>
      </c>
      <c r="CO135">
        <f>IF($A135="","",AF135+'Beállítások'!$E$36/1000)</f>
        <v/>
      </c>
      <c r="CP135">
        <f>IF($A135="","",AG135+'Beállítások'!$E$37/1000)</f>
        <v/>
      </c>
      <c r="CQ135">
        <f>IF($A135="","",AH135+'Beállítások'!$E$38/1000)</f>
        <v/>
      </c>
      <c r="CR135">
        <f>IF($A135="","",'Beállítások'!$E$6*(10-B135))</f>
        <v/>
      </c>
      <c r="CS135">
        <f>IF($A135="","",'Beállítások'!$E$7*(10-C135))</f>
        <v/>
      </c>
      <c r="CT135">
        <f>IF($A135="","",'Beállítások'!$E$8*(10-D135))</f>
        <v/>
      </c>
      <c r="CU135">
        <f>IF($A135="","",'Beállítások'!$E$9*(10-E135))</f>
        <v/>
      </c>
      <c r="CV135">
        <f>IF($A135="","",'Beállítások'!$E$10*(10-F135))</f>
        <v/>
      </c>
      <c r="CW135">
        <f>IF($A135="","",'Beállítások'!$E$11*(10-G135))</f>
        <v/>
      </c>
      <c r="CX135">
        <f>IF($A135="","",'Beállítások'!$E$12*(10-H135))</f>
        <v/>
      </c>
      <c r="CY135">
        <f>IF($A135="","",'Beállítások'!$E$13*(10-I135))</f>
        <v/>
      </c>
      <c r="CZ135">
        <f>IF($A135="","",'Beállítások'!$E$14*(10-J135))</f>
        <v/>
      </c>
      <c r="DA135">
        <f>IF($A135="","",'Beállítások'!$E$15*(10-K135))</f>
        <v/>
      </c>
      <c r="DB135">
        <f>IF($A135="","",'Beállítások'!$E$16*(10-L135))</f>
        <v/>
      </c>
      <c r="DC135">
        <f>IF($A135="","",'Beállítások'!$E$17*(10-M135))</f>
        <v/>
      </c>
      <c r="DD135">
        <f>IF($A135="","",'Beállítások'!$E$18*(10-N135))</f>
        <v/>
      </c>
      <c r="DE135">
        <f>IF($A135="","",'Beállítások'!$E$19*(10-O135))</f>
        <v/>
      </c>
      <c r="DF135">
        <f>IF($A135="","",'Beállítások'!$E$20*(10-P135))</f>
        <v/>
      </c>
      <c r="DG135">
        <f>IF($A135="","",'Beállítások'!$E$21*(10-Q135))</f>
        <v/>
      </c>
      <c r="DH135">
        <f>IF($A135="","",'Beállítások'!$E$22*(10-R135))</f>
        <v/>
      </c>
      <c r="DI135">
        <f>IF($A135="","",'Beállítások'!$E$23*(10-S135))</f>
        <v/>
      </c>
      <c r="DJ135">
        <f>IF($A135="","",'Beállítások'!$E$24*(10-T135))</f>
        <v/>
      </c>
      <c r="DK135">
        <f>IF($A135="","",'Beállítások'!$E$25*(10-U135))</f>
        <v/>
      </c>
      <c r="DL135">
        <f>IF($A135="","",'Beállítások'!$E$26*(10-V135))</f>
        <v/>
      </c>
      <c r="DM135">
        <f>IF($A135="","",'Beállítások'!$E$27*(10-W135))</f>
        <v/>
      </c>
      <c r="DN135">
        <f>IF($A135="","",'Beállítások'!$E$28*(10-X135))</f>
        <v/>
      </c>
      <c r="DO135">
        <f>IF($A135="","",'Beállítások'!$E$29*(10-Y135))</f>
        <v/>
      </c>
      <c r="DP135">
        <f>IF($A135="","",'Beállítások'!$E$30*(10-Z135))</f>
        <v/>
      </c>
      <c r="DQ135">
        <f>IF($A135="","",'Beállítások'!$E$31*(10-AA135))</f>
        <v/>
      </c>
      <c r="DR135">
        <f>IF($A135="","",'Beállítások'!$E$32*(10-AB135))</f>
        <v/>
      </c>
      <c r="DS135">
        <f>IF($A135="","",'Beállítások'!$E$33*(10-AC135))</f>
        <v/>
      </c>
      <c r="DT135">
        <f>IF($A135="","",'Beállítások'!$E$34*(10-AD135))</f>
        <v/>
      </c>
      <c r="DU135">
        <f>IF($A135="","",'Beállítások'!$E$35*(10-AE135))</f>
        <v/>
      </c>
      <c r="DV135">
        <f>IF($A135="","",'Beállítások'!$E$36*(10-AF135))</f>
        <v/>
      </c>
      <c r="DW135">
        <f>IF($A135="","",'Beállítások'!$E$37*(10-AG135))</f>
        <v/>
      </c>
      <c r="DX135">
        <f>IF($A135="","",'Beállítások'!$E$38*(10-AH135))</f>
        <v/>
      </c>
      <c r="DY135">
        <f>IF($A135="","",AM135-ROW()/100000)</f>
        <v/>
      </c>
    </row>
    <row r="136">
      <c r="A136">
        <f>IF('Ügyfelek'!A136="","",'Ügyfelek'!A136)</f>
        <v/>
      </c>
      <c r="B136">
        <f>IF($A136="","",IF('Ügyfelek'!B136="",'Beállítások'!$B$84,IFERROR(VLOOKUP(TRIM('Ügyfelek'!B136),'Beállítások'!$A$51:$B$59,2,FALSE),'Beállítások'!$B$84)))</f>
        <v/>
      </c>
      <c r="C136">
        <f>IF($A136="","",IF('Ügyfelek'!C136="",'Beállítások'!$B$84,MIN(10,MAX(1,ROUND('Ügyfelek'!C136,0)))))</f>
        <v/>
      </c>
      <c r="D136">
        <f>IF($A136="","",IF('Ügyfelek'!D136="",'Beállítások'!$B$84,MIN(10,MAX(1,ROUND('Ügyfelek'!D136,0)))))</f>
        <v/>
      </c>
      <c r="E136">
        <f>IF($A136="","",IF('Ügyfelek'!E136="",'Beállítások'!$B$84,MIN(10,MAX(1,ROUND('Ügyfelek'!E136,0)))))</f>
        <v/>
      </c>
      <c r="F136">
        <f>IF($A136="","",IF('Ügyfelek'!F136="",'Beállítások'!$B$84,MIN(10,MAX(1,ROUND('Ügyfelek'!F136,0)))))</f>
        <v/>
      </c>
      <c r="G136">
        <f>IF($A136="","",IF('Ügyfelek'!G136="",'Beállítások'!$B$84,MIN(10,MAX(1,ROUND('Ügyfelek'!G136,0)))))</f>
        <v/>
      </c>
      <c r="H136">
        <f>IF($A136="","",IF('Ügyfelek'!H136="",'Beállítások'!$B$84,MIN(10,MAX(1,ROUND('Ügyfelek'!H136,0)))))</f>
        <v/>
      </c>
      <c r="I136">
        <f>IF($A136="","",IF('Ügyfelek'!I136="",'Beállítások'!$B$84,MIN(10,MAX(1,ROUND('Ügyfelek'!I136,0)))))</f>
        <v/>
      </c>
      <c r="J136">
        <f>IF($A136="","",IF('Ügyfelek'!J136="",'Beállítások'!$B$84,MIN(10,MAX(1,ROUND('Ügyfelek'!J136,0)))))</f>
        <v/>
      </c>
      <c r="K136">
        <f>IF($A136="","",IF('Ügyfelek'!K136="",'Beállítások'!$B$84,MIN(10,MAX(1,ROUND('Ügyfelek'!K136,0)))))</f>
        <v/>
      </c>
      <c r="L136">
        <f>IF($A136="","",IF('Ügyfelek'!L136="",'Beállítások'!$B$84,MIN(10,MAX(1,ROUND('Ügyfelek'!L136,0)))))</f>
        <v/>
      </c>
      <c r="M136">
        <f>IF($A136="","",IF('Ügyfelek'!M136="",'Beállítások'!$B$84,MIN(10,MAX(1,ROUND('Ügyfelek'!M136,0)))))</f>
        <v/>
      </c>
      <c r="N136">
        <f>IF($A136="","",IF('Ügyfelek'!N136="",'Beállítások'!$B$84,MIN(10,MAX(1,ROUND('Ügyfelek'!N136,0)))))</f>
        <v/>
      </c>
      <c r="O136">
        <f>IF($A136="","",IF('Ügyfelek'!O136="",'Beállítások'!$B$84,MIN(10,MAX(1,ROUND('Ügyfelek'!O136,0)))))</f>
        <v/>
      </c>
      <c r="P136">
        <f>IF($A136="","",IF('Ügyfelek'!P136="",'Beállítások'!$B$84,MIN(10,MAX(1,ROUND('Ügyfelek'!P136,0)))))</f>
        <v/>
      </c>
      <c r="Q136">
        <f>IF($A136="","",IF('Ügyfelek'!Q136="",'Beállítások'!$B$84,MIN(10,MAX(1,ROUND('Ügyfelek'!Q136,0)))))</f>
        <v/>
      </c>
      <c r="R136">
        <f>IF($A136="","",IF('Ügyfelek'!R136="",'Beállítások'!$B$84,MIN(10,MAX(1,ROUND('Ügyfelek'!R136,0)))))</f>
        <v/>
      </c>
      <c r="S136">
        <f>IF($A136="","",IF('Ügyfelek'!S136="",'Beállítások'!$B$84,MIN(10,MAX(1,ROUND('Ügyfelek'!S136,0)))))</f>
        <v/>
      </c>
      <c r="T136">
        <f>IF($A136="","",IF('Ügyfelek'!T136="",'Beállítások'!$B$84,VLOOKUP(MAX('Ügyfelek'!T136,'Beállítások'!$H$7),'Beállítások'!$H$7:$I$12,2,TRUE)))</f>
        <v/>
      </c>
      <c r="U136">
        <f>IF($A136="","",IF('Ügyfelek'!U136="",'Beállítások'!$B$84,VLOOKUP(MAX('Ügyfelek'!U136,'Beállítások'!$K$7),'Beállítások'!$K$7:$L$12,2,TRUE)))</f>
        <v/>
      </c>
      <c r="V136">
        <f>IF($A136="","",IF('Ügyfelek'!V136="",'Beállítások'!$B$84,MIN(10,MAX(1,ROUND('Ügyfelek'!V136,0)))))</f>
        <v/>
      </c>
      <c r="W136">
        <f>IF($A136="","",IF('Ügyfelek'!W136="",'Beállítások'!$B$84,VLOOKUP(MAX('Ügyfelek'!W136,'Beállítások'!$N$7),'Beállítások'!$N$7:$O$12,2,TRUE)))</f>
        <v/>
      </c>
      <c r="X136">
        <f>IF($A136="","",IF('Ügyfelek'!X136="",'Beállítások'!$B$84,MIN(10,MAX(1,ROUND('Ügyfelek'!X136,0)))))</f>
        <v/>
      </c>
      <c r="Y136">
        <f>IF($A136="","",IF('Ügyfelek'!Y136="",'Beállítások'!$B$84,IFERROR(VLOOKUP(TRIM('Ügyfelek'!Y136),'Beállítások'!$A$63:$B$69,2,FALSE),'Beállítások'!$B$84)))</f>
        <v/>
      </c>
      <c r="Z136">
        <f>IF($A136="","",IF('Ügyfelek'!Z136="",'Beállítások'!$B$84,VLOOKUP(MAX('Ügyfelek'!Z136,'Beállítások'!$Q$7),'Beállítások'!$Q$7:$R$12,2,TRUE)))</f>
        <v/>
      </c>
      <c r="AA136">
        <f>IF($A136="","",IF('Ügyfelek'!AA136="",'Beállítások'!$B$84,VLOOKUP(MAX('Ügyfelek'!AA136,'Beállítások'!$T$7),'Beállítások'!$T$7:$U$12,2,TRUE)))</f>
        <v/>
      </c>
      <c r="AB136">
        <f>IF($A136="","",IF('Ügyfelek'!AB136="",'Beállítások'!$B$84,MIN(10,MAX(1,ROUND('Ügyfelek'!AB136,0)))))</f>
        <v/>
      </c>
      <c r="AC136">
        <f>IF($A136="","",IF('Ügyfelek'!AC136="",'Beállítások'!$B$84,MIN(10,MAX(1,ROUND('Ügyfelek'!AC136,0)))))</f>
        <v/>
      </c>
      <c r="AD136">
        <f>IF($A136="","",IF('Ügyfelek'!AD136="",'Beállítások'!$B$84,MIN(10,MAX(1,ROUND('Ügyfelek'!AD136,0)))))</f>
        <v/>
      </c>
      <c r="AE136">
        <f>IF($A136="","",IF('Ügyfelek'!AE136="",'Beállítások'!$B$84,MIN(10,MAX(1,ROUND('Ügyfelek'!AE136,0)))))</f>
        <v/>
      </c>
      <c r="AF136">
        <f>IF($A136="","",IF('Ügyfelek'!AF136="",'Beállítások'!$B$84,MIN(10,MAX(1,ROUND('Ügyfelek'!AF136,0)))))</f>
        <v/>
      </c>
      <c r="AG136">
        <f>IF($A136="","",IF('Ügyfelek'!AG136="",'Beállítások'!$B$84,MIN(10,MAX(1,ROUND('Ügyfelek'!AG136,0)))))</f>
        <v/>
      </c>
      <c r="AH136">
        <f>IF($A136="","",IF('Ügyfelek'!AH136="",'Beállítások'!$B$84,IFERROR(VLOOKUP(TRIM('Ügyfelek'!AH136),'Beállítások'!$A$73:$B$79,2,FALSE),'Beállítások'!$B$84)))</f>
        <v/>
      </c>
      <c r="AI136" s="23">
        <f>IF($A136="","",ROUND(100*('Beállítások'!$E$6*(B136-1)+'Beállítások'!$E$7*(C136-1))/(9*'Beállítások'!$B$43),1))</f>
        <v/>
      </c>
      <c r="AJ136" s="23">
        <f>IF($A136="","",ROUND(100*('Beállítások'!$E$8*(D136-1)+'Beállítások'!$E$9*(E136-1)+'Beállítások'!$E$10*(F136-1)+'Beállítások'!$E$11*(G136-1)+'Beállítások'!$E$12*(H136-1)+'Beállítások'!$E$13*(I136-1)+'Beállítások'!$E$14*(J136-1)+'Beállítások'!$E$15*(K136-1)+'Beállítások'!$E$16*(L136-1)+'Beállítások'!$E$17*(M136-1)+'Beállítások'!$E$18*(N136-1)+'Beállítások'!$E$19*(O136-1)+'Beállítások'!$E$20*(P136-1)+'Beállítások'!$E$21*(Q136-1)+'Beállítások'!$E$22*(R136-1))/(9*'Beállítások'!$B$44),1))</f>
        <v/>
      </c>
      <c r="AK136" s="23">
        <f>IF($A136="","",ROUND(100*('Beállítások'!$E$23*(S136-1)+'Beállítások'!$E$24*(T136-1)+'Beállítások'!$E$25*(U136-1)+'Beállítások'!$E$26*(V136-1)+'Beállítások'!$E$27*(W136-1)+'Beállítások'!$E$28*(X136-1)+'Beállítások'!$E$29*(Y136-1))/(9*'Beállítások'!$B$45),1))</f>
        <v/>
      </c>
      <c r="AL136" s="23">
        <f>IF($A136="","",ROUND(100*('Beállítások'!$E$30*(Z136-1)+'Beállítások'!$E$31*(AA136-1)+'Beállítások'!$E$32*(AB136-1)+'Beállítások'!$E$33*(AC136-1)+'Beállítások'!$E$34*(AD136-1)+'Beállítások'!$E$35*(AE136-1)+'Beállítások'!$E$36*(AF136-1)+'Beállítások'!$E$37*(AG136-1)+'Beállítások'!$E$38*(AH136-1))/(9*'Beállítások'!$B$46),1))</f>
        <v/>
      </c>
      <c r="AM136" s="23">
        <f>IF($A136="","",ROUND(100*('Beállítások'!$E$6*(B136-1)+'Beállítások'!$E$7*(C136-1)+'Beállítások'!$E$8*(D136-1)+'Beállítások'!$E$9*(E136-1)+'Beállítások'!$E$10*(F136-1)+'Beállítások'!$E$11*(G136-1)+'Beállítások'!$E$12*(H136-1)+'Beállítások'!$E$13*(I136-1)+'Beállítások'!$E$14*(J136-1)+'Beállítások'!$E$15*(K136-1)+'Beállítások'!$E$16*(L136-1)+'Beállítások'!$E$17*(M136-1)+'Beállítások'!$E$18*(N136-1)+'Beállítások'!$E$19*(O136-1)+'Beállítások'!$E$20*(P136-1)+'Beállítások'!$E$21*(Q136-1)+'Beállítások'!$E$22*(R136-1)+'Beállítások'!$E$23*(S136-1)+'Beállítások'!$E$24*(T136-1)+'Beállítások'!$E$25*(U136-1)+'Beállítások'!$E$26*(V136-1)+'Beállítások'!$E$27*(W136-1)+'Beállítások'!$E$28*(X136-1)+'Beállítások'!$E$29*(Y136-1)+'Beállítások'!$E$30*(Z136-1)+'Beállítások'!$E$31*(AA136-1)+'Beállítások'!$E$32*(AB136-1)+'Beállítások'!$E$33*(AC136-1)+'Beállítások'!$E$34*(AD136-1)+'Beállítások'!$E$35*(AE136-1)+'Beállítások'!$E$36*(AF136-1)+'Beállítások'!$E$37*(AG136-1)+'Beállítások'!$E$38*(AH136-1))/(9*'Beállítások'!$E$39),1))</f>
        <v/>
      </c>
      <c r="AN136" s="23">
        <f>IF($A136="","",ROUND(100*('Beállítások'!$E$8*(D136-1)+'Beállítások'!$E$9*(E136-1)+'Beállítások'!$E$10*(F136-1)+'Beállítások'!$E$11*(G136-1)+'Beállítások'!$E$12*(H136-1)+'Beállítások'!$E$13*(I136-1)+'Beállítások'!$E$14*(J136-1)+'Beállítások'!$E$15*(K136-1)+'Beállítások'!$E$16*(L136-1)+'Beállítások'!$E$17*(M136-1)+'Beállítások'!$E$18*(N136-1)+'Beállítások'!$E$19*(O136-1)+'Beállítások'!$E$20*(P136-1)+'Beállítások'!$E$21*(Q136-1)+'Beállítások'!$E$22*(R136-1)+'Beállítások'!$E$23*(S136-1)+'Beállítások'!$E$24*(T136-1)+'Beállítások'!$E$25*(U136-1)+'Beállítások'!$E$26*(V136-1)+'Beállítások'!$E$27*(W136-1)+'Beállítások'!$E$28*(X136-1)+'Beállítások'!$E$29*(Y136-1))/(9*('Beállítások'!$B$44+'Beállítások'!$B$45)),1))</f>
        <v/>
      </c>
      <c r="AO136" s="24">
        <f>IF($A136="","",RANK(AM136,$AM$2:$AM$201))</f>
        <v/>
      </c>
      <c r="AP136">
        <f>IF($A136="","",IF(OR(AND('Ügyfelek'!B136&lt;&gt;"",B136&lt;='Beállítások'!$B$85),AND('Ügyfelek'!C136&lt;&gt;"",C136&lt;='Beállítások'!$B$86)),"Igen","Nem"))</f>
        <v/>
      </c>
      <c r="AQ136" s="24">
        <f>IF($A136="","",IF(AP136="Igen",5,IF(AN136&gt;='Beállítások'!$C$108,1,IF(AN136&gt;='Beállítások'!$C$109,2,IF(AN136&gt;='Beállítások'!$C$110,3,IF(AND(AN136&gt;='Beállítások'!$B$87,AI136&gt;='Beállítások'!$B$88,AL136&gt;='Beállítások'!$B$89),4,5))))))</f>
        <v/>
      </c>
      <c r="AR136">
        <f>IF($A136="","",INDEX('Beállítások'!$B$108:$B$112,AQ136))</f>
        <v/>
      </c>
      <c r="AS136">
        <f>IF($A136="","",IF(AQ136=5,"Elutasítjuk",IF(AND(AQ136=4,COUNTIFS('Eredmény'!$AQ$2:$AQ$201,4,'Eredmény'!$DY$2:$DY$201,"&gt;"&amp;DY136)&gt;='Beállítások'!$B$90),"Várólista (a 4-es hely foglalt)","Elfogadjuk")))</f>
        <v/>
      </c>
      <c r="AT136">
        <f>IF($A136="","",INDEX('Beállítások'!$F$108:$F$112,AQ136))</f>
        <v/>
      </c>
      <c r="AU136">
        <f>IF($A136="","",INDEX('Beállítások'!$B$6:$B$38,MATCH(MAX(BK136:CQ136),BK136:CQ136,0)))</f>
        <v/>
      </c>
      <c r="AV136">
        <f>IF($A136="","",IF(MAX(CR136:DX136)=0,"—",INDEX('Beállítások'!$B$6:$B$38,MATCH(MAX(CR136:DX136),CR136:DX136,0))))</f>
        <v/>
      </c>
      <c r="AW136" s="10">
        <f>IF($A136="","",'Beállítások'!$B$94*(TRIM('Ügyfelek'!AI136)="igen")+'Beállítások'!$B$95*(TRIM('Ügyfelek'!AJ136)="igen")+'Beállítások'!$B$96*N('Ügyfelek'!AK136)+'Beállítások'!$B$93*N('Ügyfelek'!AL136))</f>
        <v/>
      </c>
      <c r="AX136" s="25">
        <f>IF(OR($A136="",AQ136=5),"",INDEX('Beállítások'!$D$108:$D$112,AQ136))</f>
        <v/>
      </c>
      <c r="AY136" s="10">
        <f>IF($A136="","",N('Ügyfelek'!U136)*'Beállítások'!$B$98)</f>
        <v/>
      </c>
      <c r="AZ136" s="10">
        <f>IF(OR($A136="",AQ136=5),"",CEILING(ROUND(MAX('Beállítások'!$B$97,AW136*AX136,AY136),2),'Beállítások'!$B$99))</f>
        <v/>
      </c>
      <c r="BA136">
        <f>IF($A136="","",IF(AQ136=5,"Elutasítva",IF(MAX('Beállítások'!$B$97,AW136*AX136,AY136)=AW136*AX136,"Munkaigény × státuszszorzó",IF(MAX('Beállítások'!$B$97,AW136*AX136,AY136)=AY136,"Hirdetési keret arányában","Minimumdíj"))))</f>
        <v/>
      </c>
      <c r="BB136" s="10">
        <f>IF(OR($A136="",'Ügyfelek'!AM136=""),"",'Ügyfelek'!AM136)</f>
        <v/>
      </c>
      <c r="BC136" s="10">
        <f>IF(OR(BB136="",AZ136=""),"",AZ136-BB136)</f>
        <v/>
      </c>
      <c r="BD136" s="18">
        <f>IF(OR(BB136="",AZ136="",BB136=0),"",BC136/BB136)</f>
        <v/>
      </c>
      <c r="BE136">
        <f>IF(OR($A136="",AQ136=5),"",IF(AND(INDEX('Beállítások'!$E$108:$E$112,AQ136)&gt;0,Y136&gt;='Beállítások'!$B$91),"Igen","Nem"))</f>
        <v/>
      </c>
      <c r="BF136" s="10">
        <f>IF(BE136="Igen",CEILING(ROUND(AZ136*(1-'Beállítások'!$B$92),2),'Beállítások'!$B$99),"")</f>
        <v/>
      </c>
      <c r="BG136" s="20">
        <f>IF(BE136="Igen",INDEX('Beállítások'!$E$108:$E$112,AQ136),"")</f>
        <v/>
      </c>
      <c r="BH136" s="10">
        <f>IF(OR(BE136&lt;&gt;"Igen",'Ügyfelek'!AN136=""),"",'Ügyfelek'!AN136*BG136)</f>
        <v/>
      </c>
      <c r="BI136" s="24">
        <f>IF($A136="","",('Ügyfelek'!B136="")+('Ügyfelek'!C136="")+('Ügyfelek'!D136="")+('Ügyfelek'!E136="")+('Ügyfelek'!F136="")+('Ügyfelek'!G136="")+('Ügyfelek'!H136="")+('Ügyfelek'!I136="")+('Ügyfelek'!J136="")+('Ügyfelek'!K136="")+('Ügyfelek'!L136="")+('Ügyfelek'!M136="")+('Ügyfelek'!N136="")+('Ügyfelek'!O136="")+('Ügyfelek'!P136="")+('Ügyfelek'!Q136="")+('Ügyfelek'!R136="")+('Ügyfelek'!S136="")+('Ügyfelek'!T136="")+('Ügyfelek'!U136="")+('Ügyfelek'!V136="")+('Ügyfelek'!W136="")+('Ügyfelek'!X136="")+('Ügyfelek'!Y136="")+('Ügyfelek'!Z136="")+('Ügyfelek'!AA136="")+('Ügyfelek'!AB136="")+('Ügyfelek'!AC136="")+('Ügyfelek'!AD136="")+('Ügyfelek'!AE136="")+('Ügyfelek'!AF136="")+('Ügyfelek'!AG136="")+('Ügyfelek'!AH136=""))</f>
        <v/>
      </c>
      <c r="BK136">
        <f>IF($A136="","",B136+'Beállítások'!$E$6/1000)</f>
        <v/>
      </c>
      <c r="BL136">
        <f>IF($A136="","",C136+'Beállítások'!$E$7/1000)</f>
        <v/>
      </c>
      <c r="BM136">
        <f>IF($A136="","",D136+'Beállítások'!$E$8/1000)</f>
        <v/>
      </c>
      <c r="BN136">
        <f>IF($A136="","",E136+'Beállítások'!$E$9/1000)</f>
        <v/>
      </c>
      <c r="BO136">
        <f>IF($A136="","",F136+'Beállítások'!$E$10/1000)</f>
        <v/>
      </c>
      <c r="BP136">
        <f>IF($A136="","",G136+'Beállítások'!$E$11/1000)</f>
        <v/>
      </c>
      <c r="BQ136">
        <f>IF($A136="","",H136+'Beállítások'!$E$12/1000)</f>
        <v/>
      </c>
      <c r="BR136">
        <f>IF($A136="","",I136+'Beállítások'!$E$13/1000)</f>
        <v/>
      </c>
      <c r="BS136">
        <f>IF($A136="","",J136+'Beállítások'!$E$14/1000)</f>
        <v/>
      </c>
      <c r="BT136">
        <f>IF($A136="","",K136+'Beállítások'!$E$15/1000)</f>
        <v/>
      </c>
      <c r="BU136">
        <f>IF($A136="","",L136+'Beállítások'!$E$16/1000)</f>
        <v/>
      </c>
      <c r="BV136">
        <f>IF($A136="","",M136+'Beállítások'!$E$17/1000)</f>
        <v/>
      </c>
      <c r="BW136">
        <f>IF($A136="","",N136+'Beállítások'!$E$18/1000)</f>
        <v/>
      </c>
      <c r="BX136">
        <f>IF($A136="","",O136+'Beállítások'!$E$19/1000)</f>
        <v/>
      </c>
      <c r="BY136">
        <f>IF($A136="","",P136+'Beállítások'!$E$20/1000)</f>
        <v/>
      </c>
      <c r="BZ136">
        <f>IF($A136="","",Q136+'Beállítások'!$E$21/1000)</f>
        <v/>
      </c>
      <c r="CA136">
        <f>IF($A136="","",R136+'Beállítások'!$E$22/1000)</f>
        <v/>
      </c>
      <c r="CB136">
        <f>IF($A136="","",S136+'Beállítások'!$E$23/1000)</f>
        <v/>
      </c>
      <c r="CC136">
        <f>IF($A136="","",T136+'Beállítások'!$E$24/1000)</f>
        <v/>
      </c>
      <c r="CD136">
        <f>IF($A136="","",U136+'Beállítások'!$E$25/1000)</f>
        <v/>
      </c>
      <c r="CE136">
        <f>IF($A136="","",V136+'Beállítások'!$E$26/1000)</f>
        <v/>
      </c>
      <c r="CF136">
        <f>IF($A136="","",W136+'Beállítások'!$E$27/1000)</f>
        <v/>
      </c>
      <c r="CG136">
        <f>IF($A136="","",X136+'Beállítások'!$E$28/1000)</f>
        <v/>
      </c>
      <c r="CH136">
        <f>IF($A136="","",Y136+'Beállítások'!$E$29/1000)</f>
        <v/>
      </c>
      <c r="CI136">
        <f>IF($A136="","",Z136+'Beállítások'!$E$30/1000)</f>
        <v/>
      </c>
      <c r="CJ136">
        <f>IF($A136="","",AA136+'Beállítások'!$E$31/1000)</f>
        <v/>
      </c>
      <c r="CK136">
        <f>IF($A136="","",AB136+'Beállítások'!$E$32/1000)</f>
        <v/>
      </c>
      <c r="CL136">
        <f>IF($A136="","",AC136+'Beállítások'!$E$33/1000)</f>
        <v/>
      </c>
      <c r="CM136">
        <f>IF($A136="","",AD136+'Beállítások'!$E$34/1000)</f>
        <v/>
      </c>
      <c r="CN136">
        <f>IF($A136="","",AE136+'Beállítások'!$E$35/1000)</f>
        <v/>
      </c>
      <c r="CO136">
        <f>IF($A136="","",AF136+'Beállítások'!$E$36/1000)</f>
        <v/>
      </c>
      <c r="CP136">
        <f>IF($A136="","",AG136+'Beállítások'!$E$37/1000)</f>
        <v/>
      </c>
      <c r="CQ136">
        <f>IF($A136="","",AH136+'Beállítások'!$E$38/1000)</f>
        <v/>
      </c>
      <c r="CR136">
        <f>IF($A136="","",'Beállítások'!$E$6*(10-B136))</f>
        <v/>
      </c>
      <c r="CS136">
        <f>IF($A136="","",'Beállítások'!$E$7*(10-C136))</f>
        <v/>
      </c>
      <c r="CT136">
        <f>IF($A136="","",'Beállítások'!$E$8*(10-D136))</f>
        <v/>
      </c>
      <c r="CU136">
        <f>IF($A136="","",'Beállítások'!$E$9*(10-E136))</f>
        <v/>
      </c>
      <c r="CV136">
        <f>IF($A136="","",'Beállítások'!$E$10*(10-F136))</f>
        <v/>
      </c>
      <c r="CW136">
        <f>IF($A136="","",'Beállítások'!$E$11*(10-G136))</f>
        <v/>
      </c>
      <c r="CX136">
        <f>IF($A136="","",'Beállítások'!$E$12*(10-H136))</f>
        <v/>
      </c>
      <c r="CY136">
        <f>IF($A136="","",'Beállítások'!$E$13*(10-I136))</f>
        <v/>
      </c>
      <c r="CZ136">
        <f>IF($A136="","",'Beállítások'!$E$14*(10-J136))</f>
        <v/>
      </c>
      <c r="DA136">
        <f>IF($A136="","",'Beállítások'!$E$15*(10-K136))</f>
        <v/>
      </c>
      <c r="DB136">
        <f>IF($A136="","",'Beállítások'!$E$16*(10-L136))</f>
        <v/>
      </c>
      <c r="DC136">
        <f>IF($A136="","",'Beállítások'!$E$17*(10-M136))</f>
        <v/>
      </c>
      <c r="DD136">
        <f>IF($A136="","",'Beállítások'!$E$18*(10-N136))</f>
        <v/>
      </c>
      <c r="DE136">
        <f>IF($A136="","",'Beállítások'!$E$19*(10-O136))</f>
        <v/>
      </c>
      <c r="DF136">
        <f>IF($A136="","",'Beállítások'!$E$20*(10-P136))</f>
        <v/>
      </c>
      <c r="DG136">
        <f>IF($A136="","",'Beállítások'!$E$21*(10-Q136))</f>
        <v/>
      </c>
      <c r="DH136">
        <f>IF($A136="","",'Beállítások'!$E$22*(10-R136))</f>
        <v/>
      </c>
      <c r="DI136">
        <f>IF($A136="","",'Beállítások'!$E$23*(10-S136))</f>
        <v/>
      </c>
      <c r="DJ136">
        <f>IF($A136="","",'Beállítások'!$E$24*(10-T136))</f>
        <v/>
      </c>
      <c r="DK136">
        <f>IF($A136="","",'Beállítások'!$E$25*(10-U136))</f>
        <v/>
      </c>
      <c r="DL136">
        <f>IF($A136="","",'Beállítások'!$E$26*(10-V136))</f>
        <v/>
      </c>
      <c r="DM136">
        <f>IF($A136="","",'Beállítások'!$E$27*(10-W136))</f>
        <v/>
      </c>
      <c r="DN136">
        <f>IF($A136="","",'Beállítások'!$E$28*(10-X136))</f>
        <v/>
      </c>
      <c r="DO136">
        <f>IF($A136="","",'Beállítások'!$E$29*(10-Y136))</f>
        <v/>
      </c>
      <c r="DP136">
        <f>IF($A136="","",'Beállítások'!$E$30*(10-Z136))</f>
        <v/>
      </c>
      <c r="DQ136">
        <f>IF($A136="","",'Beállítások'!$E$31*(10-AA136))</f>
        <v/>
      </c>
      <c r="DR136">
        <f>IF($A136="","",'Beállítások'!$E$32*(10-AB136))</f>
        <v/>
      </c>
      <c r="DS136">
        <f>IF($A136="","",'Beállítások'!$E$33*(10-AC136))</f>
        <v/>
      </c>
      <c r="DT136">
        <f>IF($A136="","",'Beállítások'!$E$34*(10-AD136))</f>
        <v/>
      </c>
      <c r="DU136">
        <f>IF($A136="","",'Beállítások'!$E$35*(10-AE136))</f>
        <v/>
      </c>
      <c r="DV136">
        <f>IF($A136="","",'Beállítások'!$E$36*(10-AF136))</f>
        <v/>
      </c>
      <c r="DW136">
        <f>IF($A136="","",'Beállítások'!$E$37*(10-AG136))</f>
        <v/>
      </c>
      <c r="DX136">
        <f>IF($A136="","",'Beállítások'!$E$38*(10-AH136))</f>
        <v/>
      </c>
      <c r="DY136">
        <f>IF($A136="","",AM136-ROW()/100000)</f>
        <v/>
      </c>
    </row>
    <row r="137">
      <c r="A137">
        <f>IF('Ügyfelek'!A137="","",'Ügyfelek'!A137)</f>
        <v/>
      </c>
      <c r="B137">
        <f>IF($A137="","",IF('Ügyfelek'!B137="",'Beállítások'!$B$84,IFERROR(VLOOKUP(TRIM('Ügyfelek'!B137),'Beállítások'!$A$51:$B$59,2,FALSE),'Beállítások'!$B$84)))</f>
        <v/>
      </c>
      <c r="C137">
        <f>IF($A137="","",IF('Ügyfelek'!C137="",'Beállítások'!$B$84,MIN(10,MAX(1,ROUND('Ügyfelek'!C137,0)))))</f>
        <v/>
      </c>
      <c r="D137">
        <f>IF($A137="","",IF('Ügyfelek'!D137="",'Beállítások'!$B$84,MIN(10,MAX(1,ROUND('Ügyfelek'!D137,0)))))</f>
        <v/>
      </c>
      <c r="E137">
        <f>IF($A137="","",IF('Ügyfelek'!E137="",'Beállítások'!$B$84,MIN(10,MAX(1,ROUND('Ügyfelek'!E137,0)))))</f>
        <v/>
      </c>
      <c r="F137">
        <f>IF($A137="","",IF('Ügyfelek'!F137="",'Beállítások'!$B$84,MIN(10,MAX(1,ROUND('Ügyfelek'!F137,0)))))</f>
        <v/>
      </c>
      <c r="G137">
        <f>IF($A137="","",IF('Ügyfelek'!G137="",'Beállítások'!$B$84,MIN(10,MAX(1,ROUND('Ügyfelek'!G137,0)))))</f>
        <v/>
      </c>
      <c r="H137">
        <f>IF($A137="","",IF('Ügyfelek'!H137="",'Beállítások'!$B$84,MIN(10,MAX(1,ROUND('Ügyfelek'!H137,0)))))</f>
        <v/>
      </c>
      <c r="I137">
        <f>IF($A137="","",IF('Ügyfelek'!I137="",'Beállítások'!$B$84,MIN(10,MAX(1,ROUND('Ügyfelek'!I137,0)))))</f>
        <v/>
      </c>
      <c r="J137">
        <f>IF($A137="","",IF('Ügyfelek'!J137="",'Beállítások'!$B$84,MIN(10,MAX(1,ROUND('Ügyfelek'!J137,0)))))</f>
        <v/>
      </c>
      <c r="K137">
        <f>IF($A137="","",IF('Ügyfelek'!K137="",'Beállítások'!$B$84,MIN(10,MAX(1,ROUND('Ügyfelek'!K137,0)))))</f>
        <v/>
      </c>
      <c r="L137">
        <f>IF($A137="","",IF('Ügyfelek'!L137="",'Beállítások'!$B$84,MIN(10,MAX(1,ROUND('Ügyfelek'!L137,0)))))</f>
        <v/>
      </c>
      <c r="M137">
        <f>IF($A137="","",IF('Ügyfelek'!M137="",'Beállítások'!$B$84,MIN(10,MAX(1,ROUND('Ügyfelek'!M137,0)))))</f>
        <v/>
      </c>
      <c r="N137">
        <f>IF($A137="","",IF('Ügyfelek'!N137="",'Beállítások'!$B$84,MIN(10,MAX(1,ROUND('Ügyfelek'!N137,0)))))</f>
        <v/>
      </c>
      <c r="O137">
        <f>IF($A137="","",IF('Ügyfelek'!O137="",'Beállítások'!$B$84,MIN(10,MAX(1,ROUND('Ügyfelek'!O137,0)))))</f>
        <v/>
      </c>
      <c r="P137">
        <f>IF($A137="","",IF('Ügyfelek'!P137="",'Beállítások'!$B$84,MIN(10,MAX(1,ROUND('Ügyfelek'!P137,0)))))</f>
        <v/>
      </c>
      <c r="Q137">
        <f>IF($A137="","",IF('Ügyfelek'!Q137="",'Beállítások'!$B$84,MIN(10,MAX(1,ROUND('Ügyfelek'!Q137,0)))))</f>
        <v/>
      </c>
      <c r="R137">
        <f>IF($A137="","",IF('Ügyfelek'!R137="",'Beállítások'!$B$84,MIN(10,MAX(1,ROUND('Ügyfelek'!R137,0)))))</f>
        <v/>
      </c>
      <c r="S137">
        <f>IF($A137="","",IF('Ügyfelek'!S137="",'Beállítások'!$B$84,MIN(10,MAX(1,ROUND('Ügyfelek'!S137,0)))))</f>
        <v/>
      </c>
      <c r="T137">
        <f>IF($A137="","",IF('Ügyfelek'!T137="",'Beállítások'!$B$84,VLOOKUP(MAX('Ügyfelek'!T137,'Beállítások'!$H$7),'Beállítások'!$H$7:$I$12,2,TRUE)))</f>
        <v/>
      </c>
      <c r="U137">
        <f>IF($A137="","",IF('Ügyfelek'!U137="",'Beállítások'!$B$84,VLOOKUP(MAX('Ügyfelek'!U137,'Beállítások'!$K$7),'Beállítások'!$K$7:$L$12,2,TRUE)))</f>
        <v/>
      </c>
      <c r="V137">
        <f>IF($A137="","",IF('Ügyfelek'!V137="",'Beállítások'!$B$84,MIN(10,MAX(1,ROUND('Ügyfelek'!V137,0)))))</f>
        <v/>
      </c>
      <c r="W137">
        <f>IF($A137="","",IF('Ügyfelek'!W137="",'Beállítások'!$B$84,VLOOKUP(MAX('Ügyfelek'!W137,'Beállítások'!$N$7),'Beállítások'!$N$7:$O$12,2,TRUE)))</f>
        <v/>
      </c>
      <c r="X137">
        <f>IF($A137="","",IF('Ügyfelek'!X137="",'Beállítások'!$B$84,MIN(10,MAX(1,ROUND('Ügyfelek'!X137,0)))))</f>
        <v/>
      </c>
      <c r="Y137">
        <f>IF($A137="","",IF('Ügyfelek'!Y137="",'Beállítások'!$B$84,IFERROR(VLOOKUP(TRIM('Ügyfelek'!Y137),'Beállítások'!$A$63:$B$69,2,FALSE),'Beállítások'!$B$84)))</f>
        <v/>
      </c>
      <c r="Z137">
        <f>IF($A137="","",IF('Ügyfelek'!Z137="",'Beállítások'!$B$84,VLOOKUP(MAX('Ügyfelek'!Z137,'Beállítások'!$Q$7),'Beállítások'!$Q$7:$R$12,2,TRUE)))</f>
        <v/>
      </c>
      <c r="AA137">
        <f>IF($A137="","",IF('Ügyfelek'!AA137="",'Beállítások'!$B$84,VLOOKUP(MAX('Ügyfelek'!AA137,'Beállítások'!$T$7),'Beállítások'!$T$7:$U$12,2,TRUE)))</f>
        <v/>
      </c>
      <c r="AB137">
        <f>IF($A137="","",IF('Ügyfelek'!AB137="",'Beállítások'!$B$84,MIN(10,MAX(1,ROUND('Ügyfelek'!AB137,0)))))</f>
        <v/>
      </c>
      <c r="AC137">
        <f>IF($A137="","",IF('Ügyfelek'!AC137="",'Beállítások'!$B$84,MIN(10,MAX(1,ROUND('Ügyfelek'!AC137,0)))))</f>
        <v/>
      </c>
      <c r="AD137">
        <f>IF($A137="","",IF('Ügyfelek'!AD137="",'Beállítások'!$B$84,MIN(10,MAX(1,ROUND('Ügyfelek'!AD137,0)))))</f>
        <v/>
      </c>
      <c r="AE137">
        <f>IF($A137="","",IF('Ügyfelek'!AE137="",'Beállítások'!$B$84,MIN(10,MAX(1,ROUND('Ügyfelek'!AE137,0)))))</f>
        <v/>
      </c>
      <c r="AF137">
        <f>IF($A137="","",IF('Ügyfelek'!AF137="",'Beállítások'!$B$84,MIN(10,MAX(1,ROUND('Ügyfelek'!AF137,0)))))</f>
        <v/>
      </c>
      <c r="AG137">
        <f>IF($A137="","",IF('Ügyfelek'!AG137="",'Beállítások'!$B$84,MIN(10,MAX(1,ROUND('Ügyfelek'!AG137,0)))))</f>
        <v/>
      </c>
      <c r="AH137">
        <f>IF($A137="","",IF('Ügyfelek'!AH137="",'Beállítások'!$B$84,IFERROR(VLOOKUP(TRIM('Ügyfelek'!AH137),'Beállítások'!$A$73:$B$79,2,FALSE),'Beállítások'!$B$84)))</f>
        <v/>
      </c>
      <c r="AI137" s="23">
        <f>IF($A137="","",ROUND(100*('Beállítások'!$E$6*(B137-1)+'Beállítások'!$E$7*(C137-1))/(9*'Beállítások'!$B$43),1))</f>
        <v/>
      </c>
      <c r="AJ137" s="23">
        <f>IF($A137="","",ROUND(100*('Beállítások'!$E$8*(D137-1)+'Beállítások'!$E$9*(E137-1)+'Beállítások'!$E$10*(F137-1)+'Beállítások'!$E$11*(G137-1)+'Beállítások'!$E$12*(H137-1)+'Beállítások'!$E$13*(I137-1)+'Beállítások'!$E$14*(J137-1)+'Beállítások'!$E$15*(K137-1)+'Beállítások'!$E$16*(L137-1)+'Beállítások'!$E$17*(M137-1)+'Beállítások'!$E$18*(N137-1)+'Beállítások'!$E$19*(O137-1)+'Beállítások'!$E$20*(P137-1)+'Beállítások'!$E$21*(Q137-1)+'Beállítások'!$E$22*(R137-1))/(9*'Beállítások'!$B$44),1))</f>
        <v/>
      </c>
      <c r="AK137" s="23">
        <f>IF($A137="","",ROUND(100*('Beállítások'!$E$23*(S137-1)+'Beállítások'!$E$24*(T137-1)+'Beállítások'!$E$25*(U137-1)+'Beállítások'!$E$26*(V137-1)+'Beállítások'!$E$27*(W137-1)+'Beállítások'!$E$28*(X137-1)+'Beállítások'!$E$29*(Y137-1))/(9*'Beállítások'!$B$45),1))</f>
        <v/>
      </c>
      <c r="AL137" s="23">
        <f>IF($A137="","",ROUND(100*('Beállítások'!$E$30*(Z137-1)+'Beállítások'!$E$31*(AA137-1)+'Beállítások'!$E$32*(AB137-1)+'Beállítások'!$E$33*(AC137-1)+'Beállítások'!$E$34*(AD137-1)+'Beállítások'!$E$35*(AE137-1)+'Beállítások'!$E$36*(AF137-1)+'Beállítások'!$E$37*(AG137-1)+'Beállítások'!$E$38*(AH137-1))/(9*'Beállítások'!$B$46),1))</f>
        <v/>
      </c>
      <c r="AM137" s="23">
        <f>IF($A137="","",ROUND(100*('Beállítások'!$E$6*(B137-1)+'Beállítások'!$E$7*(C137-1)+'Beállítások'!$E$8*(D137-1)+'Beállítások'!$E$9*(E137-1)+'Beállítások'!$E$10*(F137-1)+'Beállítások'!$E$11*(G137-1)+'Beállítások'!$E$12*(H137-1)+'Beállítások'!$E$13*(I137-1)+'Beállítások'!$E$14*(J137-1)+'Beállítások'!$E$15*(K137-1)+'Beállítások'!$E$16*(L137-1)+'Beállítások'!$E$17*(M137-1)+'Beállítások'!$E$18*(N137-1)+'Beállítások'!$E$19*(O137-1)+'Beállítások'!$E$20*(P137-1)+'Beállítások'!$E$21*(Q137-1)+'Beállítások'!$E$22*(R137-1)+'Beállítások'!$E$23*(S137-1)+'Beállítások'!$E$24*(T137-1)+'Beállítások'!$E$25*(U137-1)+'Beállítások'!$E$26*(V137-1)+'Beállítások'!$E$27*(W137-1)+'Beállítások'!$E$28*(X137-1)+'Beállítások'!$E$29*(Y137-1)+'Beállítások'!$E$30*(Z137-1)+'Beállítások'!$E$31*(AA137-1)+'Beállítások'!$E$32*(AB137-1)+'Beállítások'!$E$33*(AC137-1)+'Beállítások'!$E$34*(AD137-1)+'Beállítások'!$E$35*(AE137-1)+'Beállítások'!$E$36*(AF137-1)+'Beállítások'!$E$37*(AG137-1)+'Beállítások'!$E$38*(AH137-1))/(9*'Beállítások'!$E$39),1))</f>
        <v/>
      </c>
      <c r="AN137" s="23">
        <f>IF($A137="","",ROUND(100*('Beállítások'!$E$8*(D137-1)+'Beállítások'!$E$9*(E137-1)+'Beállítások'!$E$10*(F137-1)+'Beállítások'!$E$11*(G137-1)+'Beállítások'!$E$12*(H137-1)+'Beállítások'!$E$13*(I137-1)+'Beállítások'!$E$14*(J137-1)+'Beállítások'!$E$15*(K137-1)+'Beállítások'!$E$16*(L137-1)+'Beállítások'!$E$17*(M137-1)+'Beállítások'!$E$18*(N137-1)+'Beállítások'!$E$19*(O137-1)+'Beállítások'!$E$20*(P137-1)+'Beállítások'!$E$21*(Q137-1)+'Beállítások'!$E$22*(R137-1)+'Beállítások'!$E$23*(S137-1)+'Beállítások'!$E$24*(T137-1)+'Beállítások'!$E$25*(U137-1)+'Beállítások'!$E$26*(V137-1)+'Beállítások'!$E$27*(W137-1)+'Beállítások'!$E$28*(X137-1)+'Beállítások'!$E$29*(Y137-1))/(9*('Beállítások'!$B$44+'Beállítások'!$B$45)),1))</f>
        <v/>
      </c>
      <c r="AO137" s="24">
        <f>IF($A137="","",RANK(AM137,$AM$2:$AM$201))</f>
        <v/>
      </c>
      <c r="AP137">
        <f>IF($A137="","",IF(OR(AND('Ügyfelek'!B137&lt;&gt;"",B137&lt;='Beállítások'!$B$85),AND('Ügyfelek'!C137&lt;&gt;"",C137&lt;='Beállítások'!$B$86)),"Igen","Nem"))</f>
        <v/>
      </c>
      <c r="AQ137" s="24">
        <f>IF($A137="","",IF(AP137="Igen",5,IF(AN137&gt;='Beállítások'!$C$108,1,IF(AN137&gt;='Beállítások'!$C$109,2,IF(AN137&gt;='Beállítások'!$C$110,3,IF(AND(AN137&gt;='Beállítások'!$B$87,AI137&gt;='Beállítások'!$B$88,AL137&gt;='Beállítások'!$B$89),4,5))))))</f>
        <v/>
      </c>
      <c r="AR137">
        <f>IF($A137="","",INDEX('Beállítások'!$B$108:$B$112,AQ137))</f>
        <v/>
      </c>
      <c r="AS137">
        <f>IF($A137="","",IF(AQ137=5,"Elutasítjuk",IF(AND(AQ137=4,COUNTIFS('Eredmény'!$AQ$2:$AQ$201,4,'Eredmény'!$DY$2:$DY$201,"&gt;"&amp;DY137)&gt;='Beállítások'!$B$90),"Várólista (a 4-es hely foglalt)","Elfogadjuk")))</f>
        <v/>
      </c>
      <c r="AT137">
        <f>IF($A137="","",INDEX('Beállítások'!$F$108:$F$112,AQ137))</f>
        <v/>
      </c>
      <c r="AU137">
        <f>IF($A137="","",INDEX('Beállítások'!$B$6:$B$38,MATCH(MAX(BK137:CQ137),BK137:CQ137,0)))</f>
        <v/>
      </c>
      <c r="AV137">
        <f>IF($A137="","",IF(MAX(CR137:DX137)=0,"—",INDEX('Beállítások'!$B$6:$B$38,MATCH(MAX(CR137:DX137),CR137:DX137,0))))</f>
        <v/>
      </c>
      <c r="AW137" s="10">
        <f>IF($A137="","",'Beállítások'!$B$94*(TRIM('Ügyfelek'!AI137)="igen")+'Beállítások'!$B$95*(TRIM('Ügyfelek'!AJ137)="igen")+'Beállítások'!$B$96*N('Ügyfelek'!AK137)+'Beállítások'!$B$93*N('Ügyfelek'!AL137))</f>
        <v/>
      </c>
      <c r="AX137" s="25">
        <f>IF(OR($A137="",AQ137=5),"",INDEX('Beállítások'!$D$108:$D$112,AQ137))</f>
        <v/>
      </c>
      <c r="AY137" s="10">
        <f>IF($A137="","",N('Ügyfelek'!U137)*'Beállítások'!$B$98)</f>
        <v/>
      </c>
      <c r="AZ137" s="10">
        <f>IF(OR($A137="",AQ137=5),"",CEILING(ROUND(MAX('Beállítások'!$B$97,AW137*AX137,AY137),2),'Beállítások'!$B$99))</f>
        <v/>
      </c>
      <c r="BA137">
        <f>IF($A137="","",IF(AQ137=5,"Elutasítva",IF(MAX('Beállítások'!$B$97,AW137*AX137,AY137)=AW137*AX137,"Munkaigény × státuszszorzó",IF(MAX('Beállítások'!$B$97,AW137*AX137,AY137)=AY137,"Hirdetési keret arányában","Minimumdíj"))))</f>
        <v/>
      </c>
      <c r="BB137" s="10">
        <f>IF(OR($A137="",'Ügyfelek'!AM137=""),"",'Ügyfelek'!AM137)</f>
        <v/>
      </c>
      <c r="BC137" s="10">
        <f>IF(OR(BB137="",AZ137=""),"",AZ137-BB137)</f>
        <v/>
      </c>
      <c r="BD137" s="18">
        <f>IF(OR(BB137="",AZ137="",BB137=0),"",BC137/BB137)</f>
        <v/>
      </c>
      <c r="BE137">
        <f>IF(OR($A137="",AQ137=5),"",IF(AND(INDEX('Beállítások'!$E$108:$E$112,AQ137)&gt;0,Y137&gt;='Beállítások'!$B$91),"Igen","Nem"))</f>
        <v/>
      </c>
      <c r="BF137" s="10">
        <f>IF(BE137="Igen",CEILING(ROUND(AZ137*(1-'Beállítások'!$B$92),2),'Beállítások'!$B$99),"")</f>
        <v/>
      </c>
      <c r="BG137" s="20">
        <f>IF(BE137="Igen",INDEX('Beállítások'!$E$108:$E$112,AQ137),"")</f>
        <v/>
      </c>
      <c r="BH137" s="10">
        <f>IF(OR(BE137&lt;&gt;"Igen",'Ügyfelek'!AN137=""),"",'Ügyfelek'!AN137*BG137)</f>
        <v/>
      </c>
      <c r="BI137" s="24">
        <f>IF($A137="","",('Ügyfelek'!B137="")+('Ügyfelek'!C137="")+('Ügyfelek'!D137="")+('Ügyfelek'!E137="")+('Ügyfelek'!F137="")+('Ügyfelek'!G137="")+('Ügyfelek'!H137="")+('Ügyfelek'!I137="")+('Ügyfelek'!J137="")+('Ügyfelek'!K137="")+('Ügyfelek'!L137="")+('Ügyfelek'!M137="")+('Ügyfelek'!N137="")+('Ügyfelek'!O137="")+('Ügyfelek'!P137="")+('Ügyfelek'!Q137="")+('Ügyfelek'!R137="")+('Ügyfelek'!S137="")+('Ügyfelek'!T137="")+('Ügyfelek'!U137="")+('Ügyfelek'!V137="")+('Ügyfelek'!W137="")+('Ügyfelek'!X137="")+('Ügyfelek'!Y137="")+('Ügyfelek'!Z137="")+('Ügyfelek'!AA137="")+('Ügyfelek'!AB137="")+('Ügyfelek'!AC137="")+('Ügyfelek'!AD137="")+('Ügyfelek'!AE137="")+('Ügyfelek'!AF137="")+('Ügyfelek'!AG137="")+('Ügyfelek'!AH137=""))</f>
        <v/>
      </c>
      <c r="BK137">
        <f>IF($A137="","",B137+'Beállítások'!$E$6/1000)</f>
        <v/>
      </c>
      <c r="BL137">
        <f>IF($A137="","",C137+'Beállítások'!$E$7/1000)</f>
        <v/>
      </c>
      <c r="BM137">
        <f>IF($A137="","",D137+'Beállítások'!$E$8/1000)</f>
        <v/>
      </c>
      <c r="BN137">
        <f>IF($A137="","",E137+'Beállítások'!$E$9/1000)</f>
        <v/>
      </c>
      <c r="BO137">
        <f>IF($A137="","",F137+'Beállítások'!$E$10/1000)</f>
        <v/>
      </c>
      <c r="BP137">
        <f>IF($A137="","",G137+'Beállítások'!$E$11/1000)</f>
        <v/>
      </c>
      <c r="BQ137">
        <f>IF($A137="","",H137+'Beállítások'!$E$12/1000)</f>
        <v/>
      </c>
      <c r="BR137">
        <f>IF($A137="","",I137+'Beállítások'!$E$13/1000)</f>
        <v/>
      </c>
      <c r="BS137">
        <f>IF($A137="","",J137+'Beállítások'!$E$14/1000)</f>
        <v/>
      </c>
      <c r="BT137">
        <f>IF($A137="","",K137+'Beállítások'!$E$15/1000)</f>
        <v/>
      </c>
      <c r="BU137">
        <f>IF($A137="","",L137+'Beállítások'!$E$16/1000)</f>
        <v/>
      </c>
      <c r="BV137">
        <f>IF($A137="","",M137+'Beállítások'!$E$17/1000)</f>
        <v/>
      </c>
      <c r="BW137">
        <f>IF($A137="","",N137+'Beállítások'!$E$18/1000)</f>
        <v/>
      </c>
      <c r="BX137">
        <f>IF($A137="","",O137+'Beállítások'!$E$19/1000)</f>
        <v/>
      </c>
      <c r="BY137">
        <f>IF($A137="","",P137+'Beállítások'!$E$20/1000)</f>
        <v/>
      </c>
      <c r="BZ137">
        <f>IF($A137="","",Q137+'Beállítások'!$E$21/1000)</f>
        <v/>
      </c>
      <c r="CA137">
        <f>IF($A137="","",R137+'Beállítások'!$E$22/1000)</f>
        <v/>
      </c>
      <c r="CB137">
        <f>IF($A137="","",S137+'Beállítások'!$E$23/1000)</f>
        <v/>
      </c>
      <c r="CC137">
        <f>IF($A137="","",T137+'Beállítások'!$E$24/1000)</f>
        <v/>
      </c>
      <c r="CD137">
        <f>IF($A137="","",U137+'Beállítások'!$E$25/1000)</f>
        <v/>
      </c>
      <c r="CE137">
        <f>IF($A137="","",V137+'Beállítások'!$E$26/1000)</f>
        <v/>
      </c>
      <c r="CF137">
        <f>IF($A137="","",W137+'Beállítások'!$E$27/1000)</f>
        <v/>
      </c>
      <c r="CG137">
        <f>IF($A137="","",X137+'Beállítások'!$E$28/1000)</f>
        <v/>
      </c>
      <c r="CH137">
        <f>IF($A137="","",Y137+'Beállítások'!$E$29/1000)</f>
        <v/>
      </c>
      <c r="CI137">
        <f>IF($A137="","",Z137+'Beállítások'!$E$30/1000)</f>
        <v/>
      </c>
      <c r="CJ137">
        <f>IF($A137="","",AA137+'Beállítások'!$E$31/1000)</f>
        <v/>
      </c>
      <c r="CK137">
        <f>IF($A137="","",AB137+'Beállítások'!$E$32/1000)</f>
        <v/>
      </c>
      <c r="CL137">
        <f>IF($A137="","",AC137+'Beállítások'!$E$33/1000)</f>
        <v/>
      </c>
      <c r="CM137">
        <f>IF($A137="","",AD137+'Beállítások'!$E$34/1000)</f>
        <v/>
      </c>
      <c r="CN137">
        <f>IF($A137="","",AE137+'Beállítások'!$E$35/1000)</f>
        <v/>
      </c>
      <c r="CO137">
        <f>IF($A137="","",AF137+'Beállítások'!$E$36/1000)</f>
        <v/>
      </c>
      <c r="CP137">
        <f>IF($A137="","",AG137+'Beállítások'!$E$37/1000)</f>
        <v/>
      </c>
      <c r="CQ137">
        <f>IF($A137="","",AH137+'Beállítások'!$E$38/1000)</f>
        <v/>
      </c>
      <c r="CR137">
        <f>IF($A137="","",'Beállítások'!$E$6*(10-B137))</f>
        <v/>
      </c>
      <c r="CS137">
        <f>IF($A137="","",'Beállítások'!$E$7*(10-C137))</f>
        <v/>
      </c>
      <c r="CT137">
        <f>IF($A137="","",'Beállítások'!$E$8*(10-D137))</f>
        <v/>
      </c>
      <c r="CU137">
        <f>IF($A137="","",'Beállítások'!$E$9*(10-E137))</f>
        <v/>
      </c>
      <c r="CV137">
        <f>IF($A137="","",'Beállítások'!$E$10*(10-F137))</f>
        <v/>
      </c>
      <c r="CW137">
        <f>IF($A137="","",'Beállítások'!$E$11*(10-G137))</f>
        <v/>
      </c>
      <c r="CX137">
        <f>IF($A137="","",'Beállítások'!$E$12*(10-H137))</f>
        <v/>
      </c>
      <c r="CY137">
        <f>IF($A137="","",'Beállítások'!$E$13*(10-I137))</f>
        <v/>
      </c>
      <c r="CZ137">
        <f>IF($A137="","",'Beállítások'!$E$14*(10-J137))</f>
        <v/>
      </c>
      <c r="DA137">
        <f>IF($A137="","",'Beállítások'!$E$15*(10-K137))</f>
        <v/>
      </c>
      <c r="DB137">
        <f>IF($A137="","",'Beállítások'!$E$16*(10-L137))</f>
        <v/>
      </c>
      <c r="DC137">
        <f>IF($A137="","",'Beállítások'!$E$17*(10-M137))</f>
        <v/>
      </c>
      <c r="DD137">
        <f>IF($A137="","",'Beállítások'!$E$18*(10-N137))</f>
        <v/>
      </c>
      <c r="DE137">
        <f>IF($A137="","",'Beállítások'!$E$19*(10-O137))</f>
        <v/>
      </c>
      <c r="DF137">
        <f>IF($A137="","",'Beállítások'!$E$20*(10-P137))</f>
        <v/>
      </c>
      <c r="DG137">
        <f>IF($A137="","",'Beállítások'!$E$21*(10-Q137))</f>
        <v/>
      </c>
      <c r="DH137">
        <f>IF($A137="","",'Beállítások'!$E$22*(10-R137))</f>
        <v/>
      </c>
      <c r="DI137">
        <f>IF($A137="","",'Beállítások'!$E$23*(10-S137))</f>
        <v/>
      </c>
      <c r="DJ137">
        <f>IF($A137="","",'Beállítások'!$E$24*(10-T137))</f>
        <v/>
      </c>
      <c r="DK137">
        <f>IF($A137="","",'Beállítások'!$E$25*(10-U137))</f>
        <v/>
      </c>
      <c r="DL137">
        <f>IF($A137="","",'Beállítások'!$E$26*(10-V137))</f>
        <v/>
      </c>
      <c r="DM137">
        <f>IF($A137="","",'Beállítások'!$E$27*(10-W137))</f>
        <v/>
      </c>
      <c r="DN137">
        <f>IF($A137="","",'Beállítások'!$E$28*(10-X137))</f>
        <v/>
      </c>
      <c r="DO137">
        <f>IF($A137="","",'Beállítások'!$E$29*(10-Y137))</f>
        <v/>
      </c>
      <c r="DP137">
        <f>IF($A137="","",'Beállítások'!$E$30*(10-Z137))</f>
        <v/>
      </c>
      <c r="DQ137">
        <f>IF($A137="","",'Beállítások'!$E$31*(10-AA137))</f>
        <v/>
      </c>
      <c r="DR137">
        <f>IF($A137="","",'Beállítások'!$E$32*(10-AB137))</f>
        <v/>
      </c>
      <c r="DS137">
        <f>IF($A137="","",'Beállítások'!$E$33*(10-AC137))</f>
        <v/>
      </c>
      <c r="DT137">
        <f>IF($A137="","",'Beállítások'!$E$34*(10-AD137))</f>
        <v/>
      </c>
      <c r="DU137">
        <f>IF($A137="","",'Beállítások'!$E$35*(10-AE137))</f>
        <v/>
      </c>
      <c r="DV137">
        <f>IF($A137="","",'Beállítások'!$E$36*(10-AF137))</f>
        <v/>
      </c>
      <c r="DW137">
        <f>IF($A137="","",'Beállítások'!$E$37*(10-AG137))</f>
        <v/>
      </c>
      <c r="DX137">
        <f>IF($A137="","",'Beállítások'!$E$38*(10-AH137))</f>
        <v/>
      </c>
      <c r="DY137">
        <f>IF($A137="","",AM137-ROW()/100000)</f>
        <v/>
      </c>
    </row>
    <row r="138">
      <c r="A138">
        <f>IF('Ügyfelek'!A138="","",'Ügyfelek'!A138)</f>
        <v/>
      </c>
      <c r="B138">
        <f>IF($A138="","",IF('Ügyfelek'!B138="",'Beállítások'!$B$84,IFERROR(VLOOKUP(TRIM('Ügyfelek'!B138),'Beállítások'!$A$51:$B$59,2,FALSE),'Beállítások'!$B$84)))</f>
        <v/>
      </c>
      <c r="C138">
        <f>IF($A138="","",IF('Ügyfelek'!C138="",'Beállítások'!$B$84,MIN(10,MAX(1,ROUND('Ügyfelek'!C138,0)))))</f>
        <v/>
      </c>
      <c r="D138">
        <f>IF($A138="","",IF('Ügyfelek'!D138="",'Beállítások'!$B$84,MIN(10,MAX(1,ROUND('Ügyfelek'!D138,0)))))</f>
        <v/>
      </c>
      <c r="E138">
        <f>IF($A138="","",IF('Ügyfelek'!E138="",'Beállítások'!$B$84,MIN(10,MAX(1,ROUND('Ügyfelek'!E138,0)))))</f>
        <v/>
      </c>
      <c r="F138">
        <f>IF($A138="","",IF('Ügyfelek'!F138="",'Beállítások'!$B$84,MIN(10,MAX(1,ROUND('Ügyfelek'!F138,0)))))</f>
        <v/>
      </c>
      <c r="G138">
        <f>IF($A138="","",IF('Ügyfelek'!G138="",'Beállítások'!$B$84,MIN(10,MAX(1,ROUND('Ügyfelek'!G138,0)))))</f>
        <v/>
      </c>
      <c r="H138">
        <f>IF($A138="","",IF('Ügyfelek'!H138="",'Beállítások'!$B$84,MIN(10,MAX(1,ROUND('Ügyfelek'!H138,0)))))</f>
        <v/>
      </c>
      <c r="I138">
        <f>IF($A138="","",IF('Ügyfelek'!I138="",'Beállítások'!$B$84,MIN(10,MAX(1,ROUND('Ügyfelek'!I138,0)))))</f>
        <v/>
      </c>
      <c r="J138">
        <f>IF($A138="","",IF('Ügyfelek'!J138="",'Beállítások'!$B$84,MIN(10,MAX(1,ROUND('Ügyfelek'!J138,0)))))</f>
        <v/>
      </c>
      <c r="K138">
        <f>IF($A138="","",IF('Ügyfelek'!K138="",'Beállítások'!$B$84,MIN(10,MAX(1,ROUND('Ügyfelek'!K138,0)))))</f>
        <v/>
      </c>
      <c r="L138">
        <f>IF($A138="","",IF('Ügyfelek'!L138="",'Beállítások'!$B$84,MIN(10,MAX(1,ROUND('Ügyfelek'!L138,0)))))</f>
        <v/>
      </c>
      <c r="M138">
        <f>IF($A138="","",IF('Ügyfelek'!M138="",'Beállítások'!$B$84,MIN(10,MAX(1,ROUND('Ügyfelek'!M138,0)))))</f>
        <v/>
      </c>
      <c r="N138">
        <f>IF($A138="","",IF('Ügyfelek'!N138="",'Beállítások'!$B$84,MIN(10,MAX(1,ROUND('Ügyfelek'!N138,0)))))</f>
        <v/>
      </c>
      <c r="O138">
        <f>IF($A138="","",IF('Ügyfelek'!O138="",'Beállítások'!$B$84,MIN(10,MAX(1,ROUND('Ügyfelek'!O138,0)))))</f>
        <v/>
      </c>
      <c r="P138">
        <f>IF($A138="","",IF('Ügyfelek'!P138="",'Beállítások'!$B$84,MIN(10,MAX(1,ROUND('Ügyfelek'!P138,0)))))</f>
        <v/>
      </c>
      <c r="Q138">
        <f>IF($A138="","",IF('Ügyfelek'!Q138="",'Beállítások'!$B$84,MIN(10,MAX(1,ROUND('Ügyfelek'!Q138,0)))))</f>
        <v/>
      </c>
      <c r="R138">
        <f>IF($A138="","",IF('Ügyfelek'!R138="",'Beállítások'!$B$84,MIN(10,MAX(1,ROUND('Ügyfelek'!R138,0)))))</f>
        <v/>
      </c>
      <c r="S138">
        <f>IF($A138="","",IF('Ügyfelek'!S138="",'Beállítások'!$B$84,MIN(10,MAX(1,ROUND('Ügyfelek'!S138,0)))))</f>
        <v/>
      </c>
      <c r="T138">
        <f>IF($A138="","",IF('Ügyfelek'!T138="",'Beállítások'!$B$84,VLOOKUP(MAX('Ügyfelek'!T138,'Beállítások'!$H$7),'Beállítások'!$H$7:$I$12,2,TRUE)))</f>
        <v/>
      </c>
      <c r="U138">
        <f>IF($A138="","",IF('Ügyfelek'!U138="",'Beállítások'!$B$84,VLOOKUP(MAX('Ügyfelek'!U138,'Beállítások'!$K$7),'Beállítások'!$K$7:$L$12,2,TRUE)))</f>
        <v/>
      </c>
      <c r="V138">
        <f>IF($A138="","",IF('Ügyfelek'!V138="",'Beállítások'!$B$84,MIN(10,MAX(1,ROUND('Ügyfelek'!V138,0)))))</f>
        <v/>
      </c>
      <c r="W138">
        <f>IF($A138="","",IF('Ügyfelek'!W138="",'Beállítások'!$B$84,VLOOKUP(MAX('Ügyfelek'!W138,'Beállítások'!$N$7),'Beállítások'!$N$7:$O$12,2,TRUE)))</f>
        <v/>
      </c>
      <c r="X138">
        <f>IF($A138="","",IF('Ügyfelek'!X138="",'Beállítások'!$B$84,MIN(10,MAX(1,ROUND('Ügyfelek'!X138,0)))))</f>
        <v/>
      </c>
      <c r="Y138">
        <f>IF($A138="","",IF('Ügyfelek'!Y138="",'Beállítások'!$B$84,IFERROR(VLOOKUP(TRIM('Ügyfelek'!Y138),'Beállítások'!$A$63:$B$69,2,FALSE),'Beállítások'!$B$84)))</f>
        <v/>
      </c>
      <c r="Z138">
        <f>IF($A138="","",IF('Ügyfelek'!Z138="",'Beállítások'!$B$84,VLOOKUP(MAX('Ügyfelek'!Z138,'Beállítások'!$Q$7),'Beállítások'!$Q$7:$R$12,2,TRUE)))</f>
        <v/>
      </c>
      <c r="AA138">
        <f>IF($A138="","",IF('Ügyfelek'!AA138="",'Beállítások'!$B$84,VLOOKUP(MAX('Ügyfelek'!AA138,'Beállítások'!$T$7),'Beállítások'!$T$7:$U$12,2,TRUE)))</f>
        <v/>
      </c>
      <c r="AB138">
        <f>IF($A138="","",IF('Ügyfelek'!AB138="",'Beállítások'!$B$84,MIN(10,MAX(1,ROUND('Ügyfelek'!AB138,0)))))</f>
        <v/>
      </c>
      <c r="AC138">
        <f>IF($A138="","",IF('Ügyfelek'!AC138="",'Beállítások'!$B$84,MIN(10,MAX(1,ROUND('Ügyfelek'!AC138,0)))))</f>
        <v/>
      </c>
      <c r="AD138">
        <f>IF($A138="","",IF('Ügyfelek'!AD138="",'Beállítások'!$B$84,MIN(10,MAX(1,ROUND('Ügyfelek'!AD138,0)))))</f>
        <v/>
      </c>
      <c r="AE138">
        <f>IF($A138="","",IF('Ügyfelek'!AE138="",'Beállítások'!$B$84,MIN(10,MAX(1,ROUND('Ügyfelek'!AE138,0)))))</f>
        <v/>
      </c>
      <c r="AF138">
        <f>IF($A138="","",IF('Ügyfelek'!AF138="",'Beállítások'!$B$84,MIN(10,MAX(1,ROUND('Ügyfelek'!AF138,0)))))</f>
        <v/>
      </c>
      <c r="AG138">
        <f>IF($A138="","",IF('Ügyfelek'!AG138="",'Beállítások'!$B$84,MIN(10,MAX(1,ROUND('Ügyfelek'!AG138,0)))))</f>
        <v/>
      </c>
      <c r="AH138">
        <f>IF($A138="","",IF('Ügyfelek'!AH138="",'Beállítások'!$B$84,IFERROR(VLOOKUP(TRIM('Ügyfelek'!AH138),'Beállítások'!$A$73:$B$79,2,FALSE),'Beállítások'!$B$84)))</f>
        <v/>
      </c>
      <c r="AI138" s="23">
        <f>IF($A138="","",ROUND(100*('Beállítások'!$E$6*(B138-1)+'Beállítások'!$E$7*(C138-1))/(9*'Beállítások'!$B$43),1))</f>
        <v/>
      </c>
      <c r="AJ138" s="23">
        <f>IF($A138="","",ROUND(100*('Beállítások'!$E$8*(D138-1)+'Beállítások'!$E$9*(E138-1)+'Beállítások'!$E$10*(F138-1)+'Beállítások'!$E$11*(G138-1)+'Beállítások'!$E$12*(H138-1)+'Beállítások'!$E$13*(I138-1)+'Beállítások'!$E$14*(J138-1)+'Beállítások'!$E$15*(K138-1)+'Beállítások'!$E$16*(L138-1)+'Beállítások'!$E$17*(M138-1)+'Beállítások'!$E$18*(N138-1)+'Beállítások'!$E$19*(O138-1)+'Beállítások'!$E$20*(P138-1)+'Beállítások'!$E$21*(Q138-1)+'Beállítások'!$E$22*(R138-1))/(9*'Beállítások'!$B$44),1))</f>
        <v/>
      </c>
      <c r="AK138" s="23">
        <f>IF($A138="","",ROUND(100*('Beállítások'!$E$23*(S138-1)+'Beállítások'!$E$24*(T138-1)+'Beállítások'!$E$25*(U138-1)+'Beállítások'!$E$26*(V138-1)+'Beállítások'!$E$27*(W138-1)+'Beállítások'!$E$28*(X138-1)+'Beállítások'!$E$29*(Y138-1))/(9*'Beállítások'!$B$45),1))</f>
        <v/>
      </c>
      <c r="AL138" s="23">
        <f>IF($A138="","",ROUND(100*('Beállítások'!$E$30*(Z138-1)+'Beállítások'!$E$31*(AA138-1)+'Beállítások'!$E$32*(AB138-1)+'Beállítások'!$E$33*(AC138-1)+'Beállítások'!$E$34*(AD138-1)+'Beállítások'!$E$35*(AE138-1)+'Beállítások'!$E$36*(AF138-1)+'Beállítások'!$E$37*(AG138-1)+'Beállítások'!$E$38*(AH138-1))/(9*'Beállítások'!$B$46),1))</f>
        <v/>
      </c>
      <c r="AM138" s="23">
        <f>IF($A138="","",ROUND(100*('Beállítások'!$E$6*(B138-1)+'Beállítások'!$E$7*(C138-1)+'Beállítások'!$E$8*(D138-1)+'Beállítások'!$E$9*(E138-1)+'Beállítások'!$E$10*(F138-1)+'Beállítások'!$E$11*(G138-1)+'Beállítások'!$E$12*(H138-1)+'Beállítások'!$E$13*(I138-1)+'Beállítások'!$E$14*(J138-1)+'Beállítások'!$E$15*(K138-1)+'Beállítások'!$E$16*(L138-1)+'Beállítások'!$E$17*(M138-1)+'Beállítások'!$E$18*(N138-1)+'Beállítások'!$E$19*(O138-1)+'Beállítások'!$E$20*(P138-1)+'Beállítások'!$E$21*(Q138-1)+'Beállítások'!$E$22*(R138-1)+'Beállítások'!$E$23*(S138-1)+'Beállítások'!$E$24*(T138-1)+'Beállítások'!$E$25*(U138-1)+'Beállítások'!$E$26*(V138-1)+'Beállítások'!$E$27*(W138-1)+'Beállítások'!$E$28*(X138-1)+'Beállítások'!$E$29*(Y138-1)+'Beállítások'!$E$30*(Z138-1)+'Beállítások'!$E$31*(AA138-1)+'Beállítások'!$E$32*(AB138-1)+'Beállítások'!$E$33*(AC138-1)+'Beállítások'!$E$34*(AD138-1)+'Beállítások'!$E$35*(AE138-1)+'Beállítások'!$E$36*(AF138-1)+'Beállítások'!$E$37*(AG138-1)+'Beállítások'!$E$38*(AH138-1))/(9*'Beállítások'!$E$39),1))</f>
        <v/>
      </c>
      <c r="AN138" s="23">
        <f>IF($A138="","",ROUND(100*('Beállítások'!$E$8*(D138-1)+'Beállítások'!$E$9*(E138-1)+'Beállítások'!$E$10*(F138-1)+'Beállítások'!$E$11*(G138-1)+'Beállítások'!$E$12*(H138-1)+'Beállítások'!$E$13*(I138-1)+'Beállítások'!$E$14*(J138-1)+'Beállítások'!$E$15*(K138-1)+'Beállítások'!$E$16*(L138-1)+'Beállítások'!$E$17*(M138-1)+'Beállítások'!$E$18*(N138-1)+'Beállítások'!$E$19*(O138-1)+'Beállítások'!$E$20*(P138-1)+'Beállítások'!$E$21*(Q138-1)+'Beállítások'!$E$22*(R138-1)+'Beállítások'!$E$23*(S138-1)+'Beállítások'!$E$24*(T138-1)+'Beállítások'!$E$25*(U138-1)+'Beállítások'!$E$26*(V138-1)+'Beállítások'!$E$27*(W138-1)+'Beállítások'!$E$28*(X138-1)+'Beállítások'!$E$29*(Y138-1))/(9*('Beállítások'!$B$44+'Beállítások'!$B$45)),1))</f>
        <v/>
      </c>
      <c r="AO138" s="24">
        <f>IF($A138="","",RANK(AM138,$AM$2:$AM$201))</f>
        <v/>
      </c>
      <c r="AP138">
        <f>IF($A138="","",IF(OR(AND('Ügyfelek'!B138&lt;&gt;"",B138&lt;='Beállítások'!$B$85),AND('Ügyfelek'!C138&lt;&gt;"",C138&lt;='Beállítások'!$B$86)),"Igen","Nem"))</f>
        <v/>
      </c>
      <c r="AQ138" s="24">
        <f>IF($A138="","",IF(AP138="Igen",5,IF(AN138&gt;='Beállítások'!$C$108,1,IF(AN138&gt;='Beállítások'!$C$109,2,IF(AN138&gt;='Beállítások'!$C$110,3,IF(AND(AN138&gt;='Beállítások'!$B$87,AI138&gt;='Beállítások'!$B$88,AL138&gt;='Beállítások'!$B$89),4,5))))))</f>
        <v/>
      </c>
      <c r="AR138">
        <f>IF($A138="","",INDEX('Beállítások'!$B$108:$B$112,AQ138))</f>
        <v/>
      </c>
      <c r="AS138">
        <f>IF($A138="","",IF(AQ138=5,"Elutasítjuk",IF(AND(AQ138=4,COUNTIFS('Eredmény'!$AQ$2:$AQ$201,4,'Eredmény'!$DY$2:$DY$201,"&gt;"&amp;DY138)&gt;='Beállítások'!$B$90),"Várólista (a 4-es hely foglalt)","Elfogadjuk")))</f>
        <v/>
      </c>
      <c r="AT138">
        <f>IF($A138="","",INDEX('Beállítások'!$F$108:$F$112,AQ138))</f>
        <v/>
      </c>
      <c r="AU138">
        <f>IF($A138="","",INDEX('Beállítások'!$B$6:$B$38,MATCH(MAX(BK138:CQ138),BK138:CQ138,0)))</f>
        <v/>
      </c>
      <c r="AV138">
        <f>IF($A138="","",IF(MAX(CR138:DX138)=0,"—",INDEX('Beállítások'!$B$6:$B$38,MATCH(MAX(CR138:DX138),CR138:DX138,0))))</f>
        <v/>
      </c>
      <c r="AW138" s="10">
        <f>IF($A138="","",'Beállítások'!$B$94*(TRIM('Ügyfelek'!AI138)="igen")+'Beállítások'!$B$95*(TRIM('Ügyfelek'!AJ138)="igen")+'Beállítások'!$B$96*N('Ügyfelek'!AK138)+'Beállítások'!$B$93*N('Ügyfelek'!AL138))</f>
        <v/>
      </c>
      <c r="AX138" s="25">
        <f>IF(OR($A138="",AQ138=5),"",INDEX('Beállítások'!$D$108:$D$112,AQ138))</f>
        <v/>
      </c>
      <c r="AY138" s="10">
        <f>IF($A138="","",N('Ügyfelek'!U138)*'Beállítások'!$B$98)</f>
        <v/>
      </c>
      <c r="AZ138" s="10">
        <f>IF(OR($A138="",AQ138=5),"",CEILING(ROUND(MAX('Beállítások'!$B$97,AW138*AX138,AY138),2),'Beállítások'!$B$99))</f>
        <v/>
      </c>
      <c r="BA138">
        <f>IF($A138="","",IF(AQ138=5,"Elutasítva",IF(MAX('Beállítások'!$B$97,AW138*AX138,AY138)=AW138*AX138,"Munkaigény × státuszszorzó",IF(MAX('Beállítások'!$B$97,AW138*AX138,AY138)=AY138,"Hirdetési keret arányában","Minimumdíj"))))</f>
        <v/>
      </c>
      <c r="BB138" s="10">
        <f>IF(OR($A138="",'Ügyfelek'!AM138=""),"",'Ügyfelek'!AM138)</f>
        <v/>
      </c>
      <c r="BC138" s="10">
        <f>IF(OR(BB138="",AZ138=""),"",AZ138-BB138)</f>
        <v/>
      </c>
      <c r="BD138" s="18">
        <f>IF(OR(BB138="",AZ138="",BB138=0),"",BC138/BB138)</f>
        <v/>
      </c>
      <c r="BE138">
        <f>IF(OR($A138="",AQ138=5),"",IF(AND(INDEX('Beállítások'!$E$108:$E$112,AQ138)&gt;0,Y138&gt;='Beállítások'!$B$91),"Igen","Nem"))</f>
        <v/>
      </c>
      <c r="BF138" s="10">
        <f>IF(BE138="Igen",CEILING(ROUND(AZ138*(1-'Beállítások'!$B$92),2),'Beállítások'!$B$99),"")</f>
        <v/>
      </c>
      <c r="BG138" s="20">
        <f>IF(BE138="Igen",INDEX('Beállítások'!$E$108:$E$112,AQ138),"")</f>
        <v/>
      </c>
      <c r="BH138" s="10">
        <f>IF(OR(BE138&lt;&gt;"Igen",'Ügyfelek'!AN138=""),"",'Ügyfelek'!AN138*BG138)</f>
        <v/>
      </c>
      <c r="BI138" s="24">
        <f>IF($A138="","",('Ügyfelek'!B138="")+('Ügyfelek'!C138="")+('Ügyfelek'!D138="")+('Ügyfelek'!E138="")+('Ügyfelek'!F138="")+('Ügyfelek'!G138="")+('Ügyfelek'!H138="")+('Ügyfelek'!I138="")+('Ügyfelek'!J138="")+('Ügyfelek'!K138="")+('Ügyfelek'!L138="")+('Ügyfelek'!M138="")+('Ügyfelek'!N138="")+('Ügyfelek'!O138="")+('Ügyfelek'!P138="")+('Ügyfelek'!Q138="")+('Ügyfelek'!R138="")+('Ügyfelek'!S138="")+('Ügyfelek'!T138="")+('Ügyfelek'!U138="")+('Ügyfelek'!V138="")+('Ügyfelek'!W138="")+('Ügyfelek'!X138="")+('Ügyfelek'!Y138="")+('Ügyfelek'!Z138="")+('Ügyfelek'!AA138="")+('Ügyfelek'!AB138="")+('Ügyfelek'!AC138="")+('Ügyfelek'!AD138="")+('Ügyfelek'!AE138="")+('Ügyfelek'!AF138="")+('Ügyfelek'!AG138="")+('Ügyfelek'!AH138=""))</f>
        <v/>
      </c>
      <c r="BK138">
        <f>IF($A138="","",B138+'Beállítások'!$E$6/1000)</f>
        <v/>
      </c>
      <c r="BL138">
        <f>IF($A138="","",C138+'Beállítások'!$E$7/1000)</f>
        <v/>
      </c>
      <c r="BM138">
        <f>IF($A138="","",D138+'Beállítások'!$E$8/1000)</f>
        <v/>
      </c>
      <c r="BN138">
        <f>IF($A138="","",E138+'Beállítások'!$E$9/1000)</f>
        <v/>
      </c>
      <c r="BO138">
        <f>IF($A138="","",F138+'Beállítások'!$E$10/1000)</f>
        <v/>
      </c>
      <c r="BP138">
        <f>IF($A138="","",G138+'Beállítások'!$E$11/1000)</f>
        <v/>
      </c>
      <c r="BQ138">
        <f>IF($A138="","",H138+'Beállítások'!$E$12/1000)</f>
        <v/>
      </c>
      <c r="BR138">
        <f>IF($A138="","",I138+'Beállítások'!$E$13/1000)</f>
        <v/>
      </c>
      <c r="BS138">
        <f>IF($A138="","",J138+'Beállítások'!$E$14/1000)</f>
        <v/>
      </c>
      <c r="BT138">
        <f>IF($A138="","",K138+'Beállítások'!$E$15/1000)</f>
        <v/>
      </c>
      <c r="BU138">
        <f>IF($A138="","",L138+'Beállítások'!$E$16/1000)</f>
        <v/>
      </c>
      <c r="BV138">
        <f>IF($A138="","",M138+'Beállítások'!$E$17/1000)</f>
        <v/>
      </c>
      <c r="BW138">
        <f>IF($A138="","",N138+'Beállítások'!$E$18/1000)</f>
        <v/>
      </c>
      <c r="BX138">
        <f>IF($A138="","",O138+'Beállítások'!$E$19/1000)</f>
        <v/>
      </c>
      <c r="BY138">
        <f>IF($A138="","",P138+'Beállítások'!$E$20/1000)</f>
        <v/>
      </c>
      <c r="BZ138">
        <f>IF($A138="","",Q138+'Beállítások'!$E$21/1000)</f>
        <v/>
      </c>
      <c r="CA138">
        <f>IF($A138="","",R138+'Beállítások'!$E$22/1000)</f>
        <v/>
      </c>
      <c r="CB138">
        <f>IF($A138="","",S138+'Beállítások'!$E$23/1000)</f>
        <v/>
      </c>
      <c r="CC138">
        <f>IF($A138="","",T138+'Beállítások'!$E$24/1000)</f>
        <v/>
      </c>
      <c r="CD138">
        <f>IF($A138="","",U138+'Beállítások'!$E$25/1000)</f>
        <v/>
      </c>
      <c r="CE138">
        <f>IF($A138="","",V138+'Beállítások'!$E$26/1000)</f>
        <v/>
      </c>
      <c r="CF138">
        <f>IF($A138="","",W138+'Beállítások'!$E$27/1000)</f>
        <v/>
      </c>
      <c r="CG138">
        <f>IF($A138="","",X138+'Beállítások'!$E$28/1000)</f>
        <v/>
      </c>
      <c r="CH138">
        <f>IF($A138="","",Y138+'Beállítások'!$E$29/1000)</f>
        <v/>
      </c>
      <c r="CI138">
        <f>IF($A138="","",Z138+'Beállítások'!$E$30/1000)</f>
        <v/>
      </c>
      <c r="CJ138">
        <f>IF($A138="","",AA138+'Beállítások'!$E$31/1000)</f>
        <v/>
      </c>
      <c r="CK138">
        <f>IF($A138="","",AB138+'Beállítások'!$E$32/1000)</f>
        <v/>
      </c>
      <c r="CL138">
        <f>IF($A138="","",AC138+'Beállítások'!$E$33/1000)</f>
        <v/>
      </c>
      <c r="CM138">
        <f>IF($A138="","",AD138+'Beállítások'!$E$34/1000)</f>
        <v/>
      </c>
      <c r="CN138">
        <f>IF($A138="","",AE138+'Beállítások'!$E$35/1000)</f>
        <v/>
      </c>
      <c r="CO138">
        <f>IF($A138="","",AF138+'Beállítások'!$E$36/1000)</f>
        <v/>
      </c>
      <c r="CP138">
        <f>IF($A138="","",AG138+'Beállítások'!$E$37/1000)</f>
        <v/>
      </c>
      <c r="CQ138">
        <f>IF($A138="","",AH138+'Beállítások'!$E$38/1000)</f>
        <v/>
      </c>
      <c r="CR138">
        <f>IF($A138="","",'Beállítások'!$E$6*(10-B138))</f>
        <v/>
      </c>
      <c r="CS138">
        <f>IF($A138="","",'Beállítások'!$E$7*(10-C138))</f>
        <v/>
      </c>
      <c r="CT138">
        <f>IF($A138="","",'Beállítások'!$E$8*(10-D138))</f>
        <v/>
      </c>
      <c r="CU138">
        <f>IF($A138="","",'Beállítások'!$E$9*(10-E138))</f>
        <v/>
      </c>
      <c r="CV138">
        <f>IF($A138="","",'Beállítások'!$E$10*(10-F138))</f>
        <v/>
      </c>
      <c r="CW138">
        <f>IF($A138="","",'Beállítások'!$E$11*(10-G138))</f>
        <v/>
      </c>
      <c r="CX138">
        <f>IF($A138="","",'Beállítások'!$E$12*(10-H138))</f>
        <v/>
      </c>
      <c r="CY138">
        <f>IF($A138="","",'Beállítások'!$E$13*(10-I138))</f>
        <v/>
      </c>
      <c r="CZ138">
        <f>IF($A138="","",'Beállítások'!$E$14*(10-J138))</f>
        <v/>
      </c>
      <c r="DA138">
        <f>IF($A138="","",'Beállítások'!$E$15*(10-K138))</f>
        <v/>
      </c>
      <c r="DB138">
        <f>IF($A138="","",'Beállítások'!$E$16*(10-L138))</f>
        <v/>
      </c>
      <c r="DC138">
        <f>IF($A138="","",'Beállítások'!$E$17*(10-M138))</f>
        <v/>
      </c>
      <c r="DD138">
        <f>IF($A138="","",'Beállítások'!$E$18*(10-N138))</f>
        <v/>
      </c>
      <c r="DE138">
        <f>IF($A138="","",'Beállítások'!$E$19*(10-O138))</f>
        <v/>
      </c>
      <c r="DF138">
        <f>IF($A138="","",'Beállítások'!$E$20*(10-P138))</f>
        <v/>
      </c>
      <c r="DG138">
        <f>IF($A138="","",'Beállítások'!$E$21*(10-Q138))</f>
        <v/>
      </c>
      <c r="DH138">
        <f>IF($A138="","",'Beállítások'!$E$22*(10-R138))</f>
        <v/>
      </c>
      <c r="DI138">
        <f>IF($A138="","",'Beállítások'!$E$23*(10-S138))</f>
        <v/>
      </c>
      <c r="DJ138">
        <f>IF($A138="","",'Beállítások'!$E$24*(10-T138))</f>
        <v/>
      </c>
      <c r="DK138">
        <f>IF($A138="","",'Beállítások'!$E$25*(10-U138))</f>
        <v/>
      </c>
      <c r="DL138">
        <f>IF($A138="","",'Beállítások'!$E$26*(10-V138))</f>
        <v/>
      </c>
      <c r="DM138">
        <f>IF($A138="","",'Beállítások'!$E$27*(10-W138))</f>
        <v/>
      </c>
      <c r="DN138">
        <f>IF($A138="","",'Beállítások'!$E$28*(10-X138))</f>
        <v/>
      </c>
      <c r="DO138">
        <f>IF($A138="","",'Beállítások'!$E$29*(10-Y138))</f>
        <v/>
      </c>
      <c r="DP138">
        <f>IF($A138="","",'Beállítások'!$E$30*(10-Z138))</f>
        <v/>
      </c>
      <c r="DQ138">
        <f>IF($A138="","",'Beállítások'!$E$31*(10-AA138))</f>
        <v/>
      </c>
      <c r="DR138">
        <f>IF($A138="","",'Beállítások'!$E$32*(10-AB138))</f>
        <v/>
      </c>
      <c r="DS138">
        <f>IF($A138="","",'Beállítások'!$E$33*(10-AC138))</f>
        <v/>
      </c>
      <c r="DT138">
        <f>IF($A138="","",'Beállítások'!$E$34*(10-AD138))</f>
        <v/>
      </c>
      <c r="DU138">
        <f>IF($A138="","",'Beállítások'!$E$35*(10-AE138))</f>
        <v/>
      </c>
      <c r="DV138">
        <f>IF($A138="","",'Beállítások'!$E$36*(10-AF138))</f>
        <v/>
      </c>
      <c r="DW138">
        <f>IF($A138="","",'Beállítások'!$E$37*(10-AG138))</f>
        <v/>
      </c>
      <c r="DX138">
        <f>IF($A138="","",'Beállítások'!$E$38*(10-AH138))</f>
        <v/>
      </c>
      <c r="DY138">
        <f>IF($A138="","",AM138-ROW()/100000)</f>
        <v/>
      </c>
    </row>
    <row r="139">
      <c r="A139">
        <f>IF('Ügyfelek'!A139="","",'Ügyfelek'!A139)</f>
        <v/>
      </c>
      <c r="B139">
        <f>IF($A139="","",IF('Ügyfelek'!B139="",'Beállítások'!$B$84,IFERROR(VLOOKUP(TRIM('Ügyfelek'!B139),'Beállítások'!$A$51:$B$59,2,FALSE),'Beállítások'!$B$84)))</f>
        <v/>
      </c>
      <c r="C139">
        <f>IF($A139="","",IF('Ügyfelek'!C139="",'Beállítások'!$B$84,MIN(10,MAX(1,ROUND('Ügyfelek'!C139,0)))))</f>
        <v/>
      </c>
      <c r="D139">
        <f>IF($A139="","",IF('Ügyfelek'!D139="",'Beállítások'!$B$84,MIN(10,MAX(1,ROUND('Ügyfelek'!D139,0)))))</f>
        <v/>
      </c>
      <c r="E139">
        <f>IF($A139="","",IF('Ügyfelek'!E139="",'Beállítások'!$B$84,MIN(10,MAX(1,ROUND('Ügyfelek'!E139,0)))))</f>
        <v/>
      </c>
      <c r="F139">
        <f>IF($A139="","",IF('Ügyfelek'!F139="",'Beállítások'!$B$84,MIN(10,MAX(1,ROUND('Ügyfelek'!F139,0)))))</f>
        <v/>
      </c>
      <c r="G139">
        <f>IF($A139="","",IF('Ügyfelek'!G139="",'Beállítások'!$B$84,MIN(10,MAX(1,ROUND('Ügyfelek'!G139,0)))))</f>
        <v/>
      </c>
      <c r="H139">
        <f>IF($A139="","",IF('Ügyfelek'!H139="",'Beállítások'!$B$84,MIN(10,MAX(1,ROUND('Ügyfelek'!H139,0)))))</f>
        <v/>
      </c>
      <c r="I139">
        <f>IF($A139="","",IF('Ügyfelek'!I139="",'Beállítások'!$B$84,MIN(10,MAX(1,ROUND('Ügyfelek'!I139,0)))))</f>
        <v/>
      </c>
      <c r="J139">
        <f>IF($A139="","",IF('Ügyfelek'!J139="",'Beállítások'!$B$84,MIN(10,MAX(1,ROUND('Ügyfelek'!J139,0)))))</f>
        <v/>
      </c>
      <c r="K139">
        <f>IF($A139="","",IF('Ügyfelek'!K139="",'Beállítások'!$B$84,MIN(10,MAX(1,ROUND('Ügyfelek'!K139,0)))))</f>
        <v/>
      </c>
      <c r="L139">
        <f>IF($A139="","",IF('Ügyfelek'!L139="",'Beállítások'!$B$84,MIN(10,MAX(1,ROUND('Ügyfelek'!L139,0)))))</f>
        <v/>
      </c>
      <c r="M139">
        <f>IF($A139="","",IF('Ügyfelek'!M139="",'Beállítások'!$B$84,MIN(10,MAX(1,ROUND('Ügyfelek'!M139,0)))))</f>
        <v/>
      </c>
      <c r="N139">
        <f>IF($A139="","",IF('Ügyfelek'!N139="",'Beállítások'!$B$84,MIN(10,MAX(1,ROUND('Ügyfelek'!N139,0)))))</f>
        <v/>
      </c>
      <c r="O139">
        <f>IF($A139="","",IF('Ügyfelek'!O139="",'Beállítások'!$B$84,MIN(10,MAX(1,ROUND('Ügyfelek'!O139,0)))))</f>
        <v/>
      </c>
      <c r="P139">
        <f>IF($A139="","",IF('Ügyfelek'!P139="",'Beállítások'!$B$84,MIN(10,MAX(1,ROUND('Ügyfelek'!P139,0)))))</f>
        <v/>
      </c>
      <c r="Q139">
        <f>IF($A139="","",IF('Ügyfelek'!Q139="",'Beállítások'!$B$84,MIN(10,MAX(1,ROUND('Ügyfelek'!Q139,0)))))</f>
        <v/>
      </c>
      <c r="R139">
        <f>IF($A139="","",IF('Ügyfelek'!R139="",'Beállítások'!$B$84,MIN(10,MAX(1,ROUND('Ügyfelek'!R139,0)))))</f>
        <v/>
      </c>
      <c r="S139">
        <f>IF($A139="","",IF('Ügyfelek'!S139="",'Beállítások'!$B$84,MIN(10,MAX(1,ROUND('Ügyfelek'!S139,0)))))</f>
        <v/>
      </c>
      <c r="T139">
        <f>IF($A139="","",IF('Ügyfelek'!T139="",'Beállítások'!$B$84,VLOOKUP(MAX('Ügyfelek'!T139,'Beállítások'!$H$7),'Beállítások'!$H$7:$I$12,2,TRUE)))</f>
        <v/>
      </c>
      <c r="U139">
        <f>IF($A139="","",IF('Ügyfelek'!U139="",'Beállítások'!$B$84,VLOOKUP(MAX('Ügyfelek'!U139,'Beállítások'!$K$7),'Beállítások'!$K$7:$L$12,2,TRUE)))</f>
        <v/>
      </c>
      <c r="V139">
        <f>IF($A139="","",IF('Ügyfelek'!V139="",'Beállítások'!$B$84,MIN(10,MAX(1,ROUND('Ügyfelek'!V139,0)))))</f>
        <v/>
      </c>
      <c r="W139">
        <f>IF($A139="","",IF('Ügyfelek'!W139="",'Beállítások'!$B$84,VLOOKUP(MAX('Ügyfelek'!W139,'Beállítások'!$N$7),'Beállítások'!$N$7:$O$12,2,TRUE)))</f>
        <v/>
      </c>
      <c r="X139">
        <f>IF($A139="","",IF('Ügyfelek'!X139="",'Beállítások'!$B$84,MIN(10,MAX(1,ROUND('Ügyfelek'!X139,0)))))</f>
        <v/>
      </c>
      <c r="Y139">
        <f>IF($A139="","",IF('Ügyfelek'!Y139="",'Beállítások'!$B$84,IFERROR(VLOOKUP(TRIM('Ügyfelek'!Y139),'Beállítások'!$A$63:$B$69,2,FALSE),'Beállítások'!$B$84)))</f>
        <v/>
      </c>
      <c r="Z139">
        <f>IF($A139="","",IF('Ügyfelek'!Z139="",'Beállítások'!$B$84,VLOOKUP(MAX('Ügyfelek'!Z139,'Beállítások'!$Q$7),'Beállítások'!$Q$7:$R$12,2,TRUE)))</f>
        <v/>
      </c>
      <c r="AA139">
        <f>IF($A139="","",IF('Ügyfelek'!AA139="",'Beállítások'!$B$84,VLOOKUP(MAX('Ügyfelek'!AA139,'Beállítások'!$T$7),'Beállítások'!$T$7:$U$12,2,TRUE)))</f>
        <v/>
      </c>
      <c r="AB139">
        <f>IF($A139="","",IF('Ügyfelek'!AB139="",'Beállítások'!$B$84,MIN(10,MAX(1,ROUND('Ügyfelek'!AB139,0)))))</f>
        <v/>
      </c>
      <c r="AC139">
        <f>IF($A139="","",IF('Ügyfelek'!AC139="",'Beállítások'!$B$84,MIN(10,MAX(1,ROUND('Ügyfelek'!AC139,0)))))</f>
        <v/>
      </c>
      <c r="AD139">
        <f>IF($A139="","",IF('Ügyfelek'!AD139="",'Beállítások'!$B$84,MIN(10,MAX(1,ROUND('Ügyfelek'!AD139,0)))))</f>
        <v/>
      </c>
      <c r="AE139">
        <f>IF($A139="","",IF('Ügyfelek'!AE139="",'Beállítások'!$B$84,MIN(10,MAX(1,ROUND('Ügyfelek'!AE139,0)))))</f>
        <v/>
      </c>
      <c r="AF139">
        <f>IF($A139="","",IF('Ügyfelek'!AF139="",'Beállítások'!$B$84,MIN(10,MAX(1,ROUND('Ügyfelek'!AF139,0)))))</f>
        <v/>
      </c>
      <c r="AG139">
        <f>IF($A139="","",IF('Ügyfelek'!AG139="",'Beállítások'!$B$84,MIN(10,MAX(1,ROUND('Ügyfelek'!AG139,0)))))</f>
        <v/>
      </c>
      <c r="AH139">
        <f>IF($A139="","",IF('Ügyfelek'!AH139="",'Beállítások'!$B$84,IFERROR(VLOOKUP(TRIM('Ügyfelek'!AH139),'Beállítások'!$A$73:$B$79,2,FALSE),'Beállítások'!$B$84)))</f>
        <v/>
      </c>
      <c r="AI139" s="23">
        <f>IF($A139="","",ROUND(100*('Beállítások'!$E$6*(B139-1)+'Beállítások'!$E$7*(C139-1))/(9*'Beállítások'!$B$43),1))</f>
        <v/>
      </c>
      <c r="AJ139" s="23">
        <f>IF($A139="","",ROUND(100*('Beállítások'!$E$8*(D139-1)+'Beállítások'!$E$9*(E139-1)+'Beállítások'!$E$10*(F139-1)+'Beállítások'!$E$11*(G139-1)+'Beállítások'!$E$12*(H139-1)+'Beállítások'!$E$13*(I139-1)+'Beállítások'!$E$14*(J139-1)+'Beállítások'!$E$15*(K139-1)+'Beállítások'!$E$16*(L139-1)+'Beállítások'!$E$17*(M139-1)+'Beállítások'!$E$18*(N139-1)+'Beállítások'!$E$19*(O139-1)+'Beállítások'!$E$20*(P139-1)+'Beállítások'!$E$21*(Q139-1)+'Beállítások'!$E$22*(R139-1))/(9*'Beállítások'!$B$44),1))</f>
        <v/>
      </c>
      <c r="AK139" s="23">
        <f>IF($A139="","",ROUND(100*('Beállítások'!$E$23*(S139-1)+'Beállítások'!$E$24*(T139-1)+'Beállítások'!$E$25*(U139-1)+'Beállítások'!$E$26*(V139-1)+'Beállítások'!$E$27*(W139-1)+'Beállítások'!$E$28*(X139-1)+'Beállítások'!$E$29*(Y139-1))/(9*'Beállítások'!$B$45),1))</f>
        <v/>
      </c>
      <c r="AL139" s="23">
        <f>IF($A139="","",ROUND(100*('Beállítások'!$E$30*(Z139-1)+'Beállítások'!$E$31*(AA139-1)+'Beállítások'!$E$32*(AB139-1)+'Beállítások'!$E$33*(AC139-1)+'Beállítások'!$E$34*(AD139-1)+'Beállítások'!$E$35*(AE139-1)+'Beállítások'!$E$36*(AF139-1)+'Beállítások'!$E$37*(AG139-1)+'Beállítások'!$E$38*(AH139-1))/(9*'Beállítások'!$B$46),1))</f>
        <v/>
      </c>
      <c r="AM139" s="23">
        <f>IF($A139="","",ROUND(100*('Beállítások'!$E$6*(B139-1)+'Beállítások'!$E$7*(C139-1)+'Beállítások'!$E$8*(D139-1)+'Beállítások'!$E$9*(E139-1)+'Beállítások'!$E$10*(F139-1)+'Beállítások'!$E$11*(G139-1)+'Beállítások'!$E$12*(H139-1)+'Beállítások'!$E$13*(I139-1)+'Beállítások'!$E$14*(J139-1)+'Beállítások'!$E$15*(K139-1)+'Beállítások'!$E$16*(L139-1)+'Beállítások'!$E$17*(M139-1)+'Beállítások'!$E$18*(N139-1)+'Beállítások'!$E$19*(O139-1)+'Beállítások'!$E$20*(P139-1)+'Beállítások'!$E$21*(Q139-1)+'Beállítások'!$E$22*(R139-1)+'Beállítások'!$E$23*(S139-1)+'Beállítások'!$E$24*(T139-1)+'Beállítások'!$E$25*(U139-1)+'Beállítások'!$E$26*(V139-1)+'Beállítások'!$E$27*(W139-1)+'Beállítások'!$E$28*(X139-1)+'Beállítások'!$E$29*(Y139-1)+'Beállítások'!$E$30*(Z139-1)+'Beállítások'!$E$31*(AA139-1)+'Beállítások'!$E$32*(AB139-1)+'Beállítások'!$E$33*(AC139-1)+'Beállítások'!$E$34*(AD139-1)+'Beállítások'!$E$35*(AE139-1)+'Beállítások'!$E$36*(AF139-1)+'Beállítások'!$E$37*(AG139-1)+'Beállítások'!$E$38*(AH139-1))/(9*'Beállítások'!$E$39),1))</f>
        <v/>
      </c>
      <c r="AN139" s="23">
        <f>IF($A139="","",ROUND(100*('Beállítások'!$E$8*(D139-1)+'Beállítások'!$E$9*(E139-1)+'Beállítások'!$E$10*(F139-1)+'Beállítások'!$E$11*(G139-1)+'Beállítások'!$E$12*(H139-1)+'Beállítások'!$E$13*(I139-1)+'Beállítások'!$E$14*(J139-1)+'Beállítások'!$E$15*(K139-1)+'Beállítások'!$E$16*(L139-1)+'Beállítások'!$E$17*(M139-1)+'Beállítások'!$E$18*(N139-1)+'Beállítások'!$E$19*(O139-1)+'Beállítások'!$E$20*(P139-1)+'Beállítások'!$E$21*(Q139-1)+'Beállítások'!$E$22*(R139-1)+'Beállítások'!$E$23*(S139-1)+'Beállítások'!$E$24*(T139-1)+'Beállítások'!$E$25*(U139-1)+'Beállítások'!$E$26*(V139-1)+'Beállítások'!$E$27*(W139-1)+'Beállítások'!$E$28*(X139-1)+'Beállítások'!$E$29*(Y139-1))/(9*('Beállítások'!$B$44+'Beállítások'!$B$45)),1))</f>
        <v/>
      </c>
      <c r="AO139" s="24">
        <f>IF($A139="","",RANK(AM139,$AM$2:$AM$201))</f>
        <v/>
      </c>
      <c r="AP139">
        <f>IF($A139="","",IF(OR(AND('Ügyfelek'!B139&lt;&gt;"",B139&lt;='Beállítások'!$B$85),AND('Ügyfelek'!C139&lt;&gt;"",C139&lt;='Beállítások'!$B$86)),"Igen","Nem"))</f>
        <v/>
      </c>
      <c r="AQ139" s="24">
        <f>IF($A139="","",IF(AP139="Igen",5,IF(AN139&gt;='Beállítások'!$C$108,1,IF(AN139&gt;='Beállítások'!$C$109,2,IF(AN139&gt;='Beállítások'!$C$110,3,IF(AND(AN139&gt;='Beállítások'!$B$87,AI139&gt;='Beállítások'!$B$88,AL139&gt;='Beállítások'!$B$89),4,5))))))</f>
        <v/>
      </c>
      <c r="AR139">
        <f>IF($A139="","",INDEX('Beállítások'!$B$108:$B$112,AQ139))</f>
        <v/>
      </c>
      <c r="AS139">
        <f>IF($A139="","",IF(AQ139=5,"Elutasítjuk",IF(AND(AQ139=4,COUNTIFS('Eredmény'!$AQ$2:$AQ$201,4,'Eredmény'!$DY$2:$DY$201,"&gt;"&amp;DY139)&gt;='Beállítások'!$B$90),"Várólista (a 4-es hely foglalt)","Elfogadjuk")))</f>
        <v/>
      </c>
      <c r="AT139">
        <f>IF($A139="","",INDEX('Beállítások'!$F$108:$F$112,AQ139))</f>
        <v/>
      </c>
      <c r="AU139">
        <f>IF($A139="","",INDEX('Beállítások'!$B$6:$B$38,MATCH(MAX(BK139:CQ139),BK139:CQ139,0)))</f>
        <v/>
      </c>
      <c r="AV139">
        <f>IF($A139="","",IF(MAX(CR139:DX139)=0,"—",INDEX('Beállítások'!$B$6:$B$38,MATCH(MAX(CR139:DX139),CR139:DX139,0))))</f>
        <v/>
      </c>
      <c r="AW139" s="10">
        <f>IF($A139="","",'Beállítások'!$B$94*(TRIM('Ügyfelek'!AI139)="igen")+'Beállítások'!$B$95*(TRIM('Ügyfelek'!AJ139)="igen")+'Beállítások'!$B$96*N('Ügyfelek'!AK139)+'Beállítások'!$B$93*N('Ügyfelek'!AL139))</f>
        <v/>
      </c>
      <c r="AX139" s="25">
        <f>IF(OR($A139="",AQ139=5),"",INDEX('Beállítások'!$D$108:$D$112,AQ139))</f>
        <v/>
      </c>
      <c r="AY139" s="10">
        <f>IF($A139="","",N('Ügyfelek'!U139)*'Beállítások'!$B$98)</f>
        <v/>
      </c>
      <c r="AZ139" s="10">
        <f>IF(OR($A139="",AQ139=5),"",CEILING(ROUND(MAX('Beállítások'!$B$97,AW139*AX139,AY139),2),'Beállítások'!$B$99))</f>
        <v/>
      </c>
      <c r="BA139">
        <f>IF($A139="","",IF(AQ139=5,"Elutasítva",IF(MAX('Beállítások'!$B$97,AW139*AX139,AY139)=AW139*AX139,"Munkaigény × státuszszorzó",IF(MAX('Beállítások'!$B$97,AW139*AX139,AY139)=AY139,"Hirdetési keret arányában","Minimumdíj"))))</f>
        <v/>
      </c>
      <c r="BB139" s="10">
        <f>IF(OR($A139="",'Ügyfelek'!AM139=""),"",'Ügyfelek'!AM139)</f>
        <v/>
      </c>
      <c r="BC139" s="10">
        <f>IF(OR(BB139="",AZ139=""),"",AZ139-BB139)</f>
        <v/>
      </c>
      <c r="BD139" s="18">
        <f>IF(OR(BB139="",AZ139="",BB139=0),"",BC139/BB139)</f>
        <v/>
      </c>
      <c r="BE139">
        <f>IF(OR($A139="",AQ139=5),"",IF(AND(INDEX('Beállítások'!$E$108:$E$112,AQ139)&gt;0,Y139&gt;='Beállítások'!$B$91),"Igen","Nem"))</f>
        <v/>
      </c>
      <c r="BF139" s="10">
        <f>IF(BE139="Igen",CEILING(ROUND(AZ139*(1-'Beállítások'!$B$92),2),'Beállítások'!$B$99),"")</f>
        <v/>
      </c>
      <c r="BG139" s="20">
        <f>IF(BE139="Igen",INDEX('Beállítások'!$E$108:$E$112,AQ139),"")</f>
        <v/>
      </c>
      <c r="BH139" s="10">
        <f>IF(OR(BE139&lt;&gt;"Igen",'Ügyfelek'!AN139=""),"",'Ügyfelek'!AN139*BG139)</f>
        <v/>
      </c>
      <c r="BI139" s="24">
        <f>IF($A139="","",('Ügyfelek'!B139="")+('Ügyfelek'!C139="")+('Ügyfelek'!D139="")+('Ügyfelek'!E139="")+('Ügyfelek'!F139="")+('Ügyfelek'!G139="")+('Ügyfelek'!H139="")+('Ügyfelek'!I139="")+('Ügyfelek'!J139="")+('Ügyfelek'!K139="")+('Ügyfelek'!L139="")+('Ügyfelek'!M139="")+('Ügyfelek'!N139="")+('Ügyfelek'!O139="")+('Ügyfelek'!P139="")+('Ügyfelek'!Q139="")+('Ügyfelek'!R139="")+('Ügyfelek'!S139="")+('Ügyfelek'!T139="")+('Ügyfelek'!U139="")+('Ügyfelek'!V139="")+('Ügyfelek'!W139="")+('Ügyfelek'!X139="")+('Ügyfelek'!Y139="")+('Ügyfelek'!Z139="")+('Ügyfelek'!AA139="")+('Ügyfelek'!AB139="")+('Ügyfelek'!AC139="")+('Ügyfelek'!AD139="")+('Ügyfelek'!AE139="")+('Ügyfelek'!AF139="")+('Ügyfelek'!AG139="")+('Ügyfelek'!AH139=""))</f>
        <v/>
      </c>
      <c r="BK139">
        <f>IF($A139="","",B139+'Beállítások'!$E$6/1000)</f>
        <v/>
      </c>
      <c r="BL139">
        <f>IF($A139="","",C139+'Beállítások'!$E$7/1000)</f>
        <v/>
      </c>
      <c r="BM139">
        <f>IF($A139="","",D139+'Beállítások'!$E$8/1000)</f>
        <v/>
      </c>
      <c r="BN139">
        <f>IF($A139="","",E139+'Beállítások'!$E$9/1000)</f>
        <v/>
      </c>
      <c r="BO139">
        <f>IF($A139="","",F139+'Beállítások'!$E$10/1000)</f>
        <v/>
      </c>
      <c r="BP139">
        <f>IF($A139="","",G139+'Beállítások'!$E$11/1000)</f>
        <v/>
      </c>
      <c r="BQ139">
        <f>IF($A139="","",H139+'Beállítások'!$E$12/1000)</f>
        <v/>
      </c>
      <c r="BR139">
        <f>IF($A139="","",I139+'Beállítások'!$E$13/1000)</f>
        <v/>
      </c>
      <c r="BS139">
        <f>IF($A139="","",J139+'Beállítások'!$E$14/1000)</f>
        <v/>
      </c>
      <c r="BT139">
        <f>IF($A139="","",K139+'Beállítások'!$E$15/1000)</f>
        <v/>
      </c>
      <c r="BU139">
        <f>IF($A139="","",L139+'Beállítások'!$E$16/1000)</f>
        <v/>
      </c>
      <c r="BV139">
        <f>IF($A139="","",M139+'Beállítások'!$E$17/1000)</f>
        <v/>
      </c>
      <c r="BW139">
        <f>IF($A139="","",N139+'Beállítások'!$E$18/1000)</f>
        <v/>
      </c>
      <c r="BX139">
        <f>IF($A139="","",O139+'Beállítások'!$E$19/1000)</f>
        <v/>
      </c>
      <c r="BY139">
        <f>IF($A139="","",P139+'Beállítások'!$E$20/1000)</f>
        <v/>
      </c>
      <c r="BZ139">
        <f>IF($A139="","",Q139+'Beállítások'!$E$21/1000)</f>
        <v/>
      </c>
      <c r="CA139">
        <f>IF($A139="","",R139+'Beállítások'!$E$22/1000)</f>
        <v/>
      </c>
      <c r="CB139">
        <f>IF($A139="","",S139+'Beállítások'!$E$23/1000)</f>
        <v/>
      </c>
      <c r="CC139">
        <f>IF($A139="","",T139+'Beállítások'!$E$24/1000)</f>
        <v/>
      </c>
      <c r="CD139">
        <f>IF($A139="","",U139+'Beállítások'!$E$25/1000)</f>
        <v/>
      </c>
      <c r="CE139">
        <f>IF($A139="","",V139+'Beállítások'!$E$26/1000)</f>
        <v/>
      </c>
      <c r="CF139">
        <f>IF($A139="","",W139+'Beállítások'!$E$27/1000)</f>
        <v/>
      </c>
      <c r="CG139">
        <f>IF($A139="","",X139+'Beállítások'!$E$28/1000)</f>
        <v/>
      </c>
      <c r="CH139">
        <f>IF($A139="","",Y139+'Beállítások'!$E$29/1000)</f>
        <v/>
      </c>
      <c r="CI139">
        <f>IF($A139="","",Z139+'Beállítások'!$E$30/1000)</f>
        <v/>
      </c>
      <c r="CJ139">
        <f>IF($A139="","",AA139+'Beállítások'!$E$31/1000)</f>
        <v/>
      </c>
      <c r="CK139">
        <f>IF($A139="","",AB139+'Beállítások'!$E$32/1000)</f>
        <v/>
      </c>
      <c r="CL139">
        <f>IF($A139="","",AC139+'Beállítások'!$E$33/1000)</f>
        <v/>
      </c>
      <c r="CM139">
        <f>IF($A139="","",AD139+'Beállítások'!$E$34/1000)</f>
        <v/>
      </c>
      <c r="CN139">
        <f>IF($A139="","",AE139+'Beállítások'!$E$35/1000)</f>
        <v/>
      </c>
      <c r="CO139">
        <f>IF($A139="","",AF139+'Beállítások'!$E$36/1000)</f>
        <v/>
      </c>
      <c r="CP139">
        <f>IF($A139="","",AG139+'Beállítások'!$E$37/1000)</f>
        <v/>
      </c>
      <c r="CQ139">
        <f>IF($A139="","",AH139+'Beállítások'!$E$38/1000)</f>
        <v/>
      </c>
      <c r="CR139">
        <f>IF($A139="","",'Beállítások'!$E$6*(10-B139))</f>
        <v/>
      </c>
      <c r="CS139">
        <f>IF($A139="","",'Beállítások'!$E$7*(10-C139))</f>
        <v/>
      </c>
      <c r="CT139">
        <f>IF($A139="","",'Beállítások'!$E$8*(10-D139))</f>
        <v/>
      </c>
      <c r="CU139">
        <f>IF($A139="","",'Beállítások'!$E$9*(10-E139))</f>
        <v/>
      </c>
      <c r="CV139">
        <f>IF($A139="","",'Beállítások'!$E$10*(10-F139))</f>
        <v/>
      </c>
      <c r="CW139">
        <f>IF($A139="","",'Beállítások'!$E$11*(10-G139))</f>
        <v/>
      </c>
      <c r="CX139">
        <f>IF($A139="","",'Beállítások'!$E$12*(10-H139))</f>
        <v/>
      </c>
      <c r="CY139">
        <f>IF($A139="","",'Beállítások'!$E$13*(10-I139))</f>
        <v/>
      </c>
      <c r="CZ139">
        <f>IF($A139="","",'Beállítások'!$E$14*(10-J139))</f>
        <v/>
      </c>
      <c r="DA139">
        <f>IF($A139="","",'Beállítások'!$E$15*(10-K139))</f>
        <v/>
      </c>
      <c r="DB139">
        <f>IF($A139="","",'Beállítások'!$E$16*(10-L139))</f>
        <v/>
      </c>
      <c r="DC139">
        <f>IF($A139="","",'Beállítások'!$E$17*(10-M139))</f>
        <v/>
      </c>
      <c r="DD139">
        <f>IF($A139="","",'Beállítások'!$E$18*(10-N139))</f>
        <v/>
      </c>
      <c r="DE139">
        <f>IF($A139="","",'Beállítások'!$E$19*(10-O139))</f>
        <v/>
      </c>
      <c r="DF139">
        <f>IF($A139="","",'Beállítások'!$E$20*(10-P139))</f>
        <v/>
      </c>
      <c r="DG139">
        <f>IF($A139="","",'Beállítások'!$E$21*(10-Q139))</f>
        <v/>
      </c>
      <c r="DH139">
        <f>IF($A139="","",'Beállítások'!$E$22*(10-R139))</f>
        <v/>
      </c>
      <c r="DI139">
        <f>IF($A139="","",'Beállítások'!$E$23*(10-S139))</f>
        <v/>
      </c>
      <c r="DJ139">
        <f>IF($A139="","",'Beállítások'!$E$24*(10-T139))</f>
        <v/>
      </c>
      <c r="DK139">
        <f>IF($A139="","",'Beállítások'!$E$25*(10-U139))</f>
        <v/>
      </c>
      <c r="DL139">
        <f>IF($A139="","",'Beállítások'!$E$26*(10-V139))</f>
        <v/>
      </c>
      <c r="DM139">
        <f>IF($A139="","",'Beállítások'!$E$27*(10-W139))</f>
        <v/>
      </c>
      <c r="DN139">
        <f>IF($A139="","",'Beállítások'!$E$28*(10-X139))</f>
        <v/>
      </c>
      <c r="DO139">
        <f>IF($A139="","",'Beállítások'!$E$29*(10-Y139))</f>
        <v/>
      </c>
      <c r="DP139">
        <f>IF($A139="","",'Beállítások'!$E$30*(10-Z139))</f>
        <v/>
      </c>
      <c r="DQ139">
        <f>IF($A139="","",'Beállítások'!$E$31*(10-AA139))</f>
        <v/>
      </c>
      <c r="DR139">
        <f>IF($A139="","",'Beállítások'!$E$32*(10-AB139))</f>
        <v/>
      </c>
      <c r="DS139">
        <f>IF($A139="","",'Beállítások'!$E$33*(10-AC139))</f>
        <v/>
      </c>
      <c r="DT139">
        <f>IF($A139="","",'Beállítások'!$E$34*(10-AD139))</f>
        <v/>
      </c>
      <c r="DU139">
        <f>IF($A139="","",'Beállítások'!$E$35*(10-AE139))</f>
        <v/>
      </c>
      <c r="DV139">
        <f>IF($A139="","",'Beállítások'!$E$36*(10-AF139))</f>
        <v/>
      </c>
      <c r="DW139">
        <f>IF($A139="","",'Beállítások'!$E$37*(10-AG139))</f>
        <v/>
      </c>
      <c r="DX139">
        <f>IF($A139="","",'Beállítások'!$E$38*(10-AH139))</f>
        <v/>
      </c>
      <c r="DY139">
        <f>IF($A139="","",AM139-ROW()/100000)</f>
        <v/>
      </c>
    </row>
    <row r="140">
      <c r="A140">
        <f>IF('Ügyfelek'!A140="","",'Ügyfelek'!A140)</f>
        <v/>
      </c>
      <c r="B140">
        <f>IF($A140="","",IF('Ügyfelek'!B140="",'Beállítások'!$B$84,IFERROR(VLOOKUP(TRIM('Ügyfelek'!B140),'Beállítások'!$A$51:$B$59,2,FALSE),'Beállítások'!$B$84)))</f>
        <v/>
      </c>
      <c r="C140">
        <f>IF($A140="","",IF('Ügyfelek'!C140="",'Beállítások'!$B$84,MIN(10,MAX(1,ROUND('Ügyfelek'!C140,0)))))</f>
        <v/>
      </c>
      <c r="D140">
        <f>IF($A140="","",IF('Ügyfelek'!D140="",'Beállítások'!$B$84,MIN(10,MAX(1,ROUND('Ügyfelek'!D140,0)))))</f>
        <v/>
      </c>
      <c r="E140">
        <f>IF($A140="","",IF('Ügyfelek'!E140="",'Beállítások'!$B$84,MIN(10,MAX(1,ROUND('Ügyfelek'!E140,0)))))</f>
        <v/>
      </c>
      <c r="F140">
        <f>IF($A140="","",IF('Ügyfelek'!F140="",'Beállítások'!$B$84,MIN(10,MAX(1,ROUND('Ügyfelek'!F140,0)))))</f>
        <v/>
      </c>
      <c r="G140">
        <f>IF($A140="","",IF('Ügyfelek'!G140="",'Beállítások'!$B$84,MIN(10,MAX(1,ROUND('Ügyfelek'!G140,0)))))</f>
        <v/>
      </c>
      <c r="H140">
        <f>IF($A140="","",IF('Ügyfelek'!H140="",'Beállítások'!$B$84,MIN(10,MAX(1,ROUND('Ügyfelek'!H140,0)))))</f>
        <v/>
      </c>
      <c r="I140">
        <f>IF($A140="","",IF('Ügyfelek'!I140="",'Beállítások'!$B$84,MIN(10,MAX(1,ROUND('Ügyfelek'!I140,0)))))</f>
        <v/>
      </c>
      <c r="J140">
        <f>IF($A140="","",IF('Ügyfelek'!J140="",'Beállítások'!$B$84,MIN(10,MAX(1,ROUND('Ügyfelek'!J140,0)))))</f>
        <v/>
      </c>
      <c r="K140">
        <f>IF($A140="","",IF('Ügyfelek'!K140="",'Beállítások'!$B$84,MIN(10,MAX(1,ROUND('Ügyfelek'!K140,0)))))</f>
        <v/>
      </c>
      <c r="L140">
        <f>IF($A140="","",IF('Ügyfelek'!L140="",'Beállítások'!$B$84,MIN(10,MAX(1,ROUND('Ügyfelek'!L140,0)))))</f>
        <v/>
      </c>
      <c r="M140">
        <f>IF($A140="","",IF('Ügyfelek'!M140="",'Beállítások'!$B$84,MIN(10,MAX(1,ROUND('Ügyfelek'!M140,0)))))</f>
        <v/>
      </c>
      <c r="N140">
        <f>IF($A140="","",IF('Ügyfelek'!N140="",'Beállítások'!$B$84,MIN(10,MAX(1,ROUND('Ügyfelek'!N140,0)))))</f>
        <v/>
      </c>
      <c r="O140">
        <f>IF($A140="","",IF('Ügyfelek'!O140="",'Beállítások'!$B$84,MIN(10,MAX(1,ROUND('Ügyfelek'!O140,0)))))</f>
        <v/>
      </c>
      <c r="P140">
        <f>IF($A140="","",IF('Ügyfelek'!P140="",'Beállítások'!$B$84,MIN(10,MAX(1,ROUND('Ügyfelek'!P140,0)))))</f>
        <v/>
      </c>
      <c r="Q140">
        <f>IF($A140="","",IF('Ügyfelek'!Q140="",'Beállítások'!$B$84,MIN(10,MAX(1,ROUND('Ügyfelek'!Q140,0)))))</f>
        <v/>
      </c>
      <c r="R140">
        <f>IF($A140="","",IF('Ügyfelek'!R140="",'Beállítások'!$B$84,MIN(10,MAX(1,ROUND('Ügyfelek'!R140,0)))))</f>
        <v/>
      </c>
      <c r="S140">
        <f>IF($A140="","",IF('Ügyfelek'!S140="",'Beállítások'!$B$84,MIN(10,MAX(1,ROUND('Ügyfelek'!S140,0)))))</f>
        <v/>
      </c>
      <c r="T140">
        <f>IF($A140="","",IF('Ügyfelek'!T140="",'Beállítások'!$B$84,VLOOKUP(MAX('Ügyfelek'!T140,'Beállítások'!$H$7),'Beállítások'!$H$7:$I$12,2,TRUE)))</f>
        <v/>
      </c>
      <c r="U140">
        <f>IF($A140="","",IF('Ügyfelek'!U140="",'Beállítások'!$B$84,VLOOKUP(MAX('Ügyfelek'!U140,'Beállítások'!$K$7),'Beállítások'!$K$7:$L$12,2,TRUE)))</f>
        <v/>
      </c>
      <c r="V140">
        <f>IF($A140="","",IF('Ügyfelek'!V140="",'Beállítások'!$B$84,MIN(10,MAX(1,ROUND('Ügyfelek'!V140,0)))))</f>
        <v/>
      </c>
      <c r="W140">
        <f>IF($A140="","",IF('Ügyfelek'!W140="",'Beállítások'!$B$84,VLOOKUP(MAX('Ügyfelek'!W140,'Beállítások'!$N$7),'Beállítások'!$N$7:$O$12,2,TRUE)))</f>
        <v/>
      </c>
      <c r="X140">
        <f>IF($A140="","",IF('Ügyfelek'!X140="",'Beállítások'!$B$84,MIN(10,MAX(1,ROUND('Ügyfelek'!X140,0)))))</f>
        <v/>
      </c>
      <c r="Y140">
        <f>IF($A140="","",IF('Ügyfelek'!Y140="",'Beállítások'!$B$84,IFERROR(VLOOKUP(TRIM('Ügyfelek'!Y140),'Beállítások'!$A$63:$B$69,2,FALSE),'Beállítások'!$B$84)))</f>
        <v/>
      </c>
      <c r="Z140">
        <f>IF($A140="","",IF('Ügyfelek'!Z140="",'Beállítások'!$B$84,VLOOKUP(MAX('Ügyfelek'!Z140,'Beállítások'!$Q$7),'Beállítások'!$Q$7:$R$12,2,TRUE)))</f>
        <v/>
      </c>
      <c r="AA140">
        <f>IF($A140="","",IF('Ügyfelek'!AA140="",'Beállítások'!$B$84,VLOOKUP(MAX('Ügyfelek'!AA140,'Beállítások'!$T$7),'Beállítások'!$T$7:$U$12,2,TRUE)))</f>
        <v/>
      </c>
      <c r="AB140">
        <f>IF($A140="","",IF('Ügyfelek'!AB140="",'Beállítások'!$B$84,MIN(10,MAX(1,ROUND('Ügyfelek'!AB140,0)))))</f>
        <v/>
      </c>
      <c r="AC140">
        <f>IF($A140="","",IF('Ügyfelek'!AC140="",'Beállítások'!$B$84,MIN(10,MAX(1,ROUND('Ügyfelek'!AC140,0)))))</f>
        <v/>
      </c>
      <c r="AD140">
        <f>IF($A140="","",IF('Ügyfelek'!AD140="",'Beállítások'!$B$84,MIN(10,MAX(1,ROUND('Ügyfelek'!AD140,0)))))</f>
        <v/>
      </c>
      <c r="AE140">
        <f>IF($A140="","",IF('Ügyfelek'!AE140="",'Beállítások'!$B$84,MIN(10,MAX(1,ROUND('Ügyfelek'!AE140,0)))))</f>
        <v/>
      </c>
      <c r="AF140">
        <f>IF($A140="","",IF('Ügyfelek'!AF140="",'Beállítások'!$B$84,MIN(10,MAX(1,ROUND('Ügyfelek'!AF140,0)))))</f>
        <v/>
      </c>
      <c r="AG140">
        <f>IF($A140="","",IF('Ügyfelek'!AG140="",'Beállítások'!$B$84,MIN(10,MAX(1,ROUND('Ügyfelek'!AG140,0)))))</f>
        <v/>
      </c>
      <c r="AH140">
        <f>IF($A140="","",IF('Ügyfelek'!AH140="",'Beállítások'!$B$84,IFERROR(VLOOKUP(TRIM('Ügyfelek'!AH140),'Beállítások'!$A$73:$B$79,2,FALSE),'Beállítások'!$B$84)))</f>
        <v/>
      </c>
      <c r="AI140" s="23">
        <f>IF($A140="","",ROUND(100*('Beállítások'!$E$6*(B140-1)+'Beállítások'!$E$7*(C140-1))/(9*'Beállítások'!$B$43),1))</f>
        <v/>
      </c>
      <c r="AJ140" s="23">
        <f>IF($A140="","",ROUND(100*('Beállítások'!$E$8*(D140-1)+'Beállítások'!$E$9*(E140-1)+'Beállítások'!$E$10*(F140-1)+'Beállítások'!$E$11*(G140-1)+'Beállítások'!$E$12*(H140-1)+'Beállítások'!$E$13*(I140-1)+'Beállítások'!$E$14*(J140-1)+'Beállítások'!$E$15*(K140-1)+'Beállítások'!$E$16*(L140-1)+'Beállítások'!$E$17*(M140-1)+'Beállítások'!$E$18*(N140-1)+'Beállítások'!$E$19*(O140-1)+'Beállítások'!$E$20*(P140-1)+'Beállítások'!$E$21*(Q140-1)+'Beállítások'!$E$22*(R140-1))/(9*'Beállítások'!$B$44),1))</f>
        <v/>
      </c>
      <c r="AK140" s="23">
        <f>IF($A140="","",ROUND(100*('Beállítások'!$E$23*(S140-1)+'Beállítások'!$E$24*(T140-1)+'Beállítások'!$E$25*(U140-1)+'Beállítások'!$E$26*(V140-1)+'Beállítások'!$E$27*(W140-1)+'Beállítások'!$E$28*(X140-1)+'Beállítások'!$E$29*(Y140-1))/(9*'Beállítások'!$B$45),1))</f>
        <v/>
      </c>
      <c r="AL140" s="23">
        <f>IF($A140="","",ROUND(100*('Beállítások'!$E$30*(Z140-1)+'Beállítások'!$E$31*(AA140-1)+'Beállítások'!$E$32*(AB140-1)+'Beállítások'!$E$33*(AC140-1)+'Beállítások'!$E$34*(AD140-1)+'Beállítások'!$E$35*(AE140-1)+'Beállítások'!$E$36*(AF140-1)+'Beállítások'!$E$37*(AG140-1)+'Beállítások'!$E$38*(AH140-1))/(9*'Beállítások'!$B$46),1))</f>
        <v/>
      </c>
      <c r="AM140" s="23">
        <f>IF($A140="","",ROUND(100*('Beállítások'!$E$6*(B140-1)+'Beállítások'!$E$7*(C140-1)+'Beállítások'!$E$8*(D140-1)+'Beállítások'!$E$9*(E140-1)+'Beállítások'!$E$10*(F140-1)+'Beállítások'!$E$11*(G140-1)+'Beállítások'!$E$12*(H140-1)+'Beállítások'!$E$13*(I140-1)+'Beállítások'!$E$14*(J140-1)+'Beállítások'!$E$15*(K140-1)+'Beállítások'!$E$16*(L140-1)+'Beállítások'!$E$17*(M140-1)+'Beállítások'!$E$18*(N140-1)+'Beállítások'!$E$19*(O140-1)+'Beállítások'!$E$20*(P140-1)+'Beállítások'!$E$21*(Q140-1)+'Beállítások'!$E$22*(R140-1)+'Beállítások'!$E$23*(S140-1)+'Beállítások'!$E$24*(T140-1)+'Beállítások'!$E$25*(U140-1)+'Beállítások'!$E$26*(V140-1)+'Beállítások'!$E$27*(W140-1)+'Beállítások'!$E$28*(X140-1)+'Beállítások'!$E$29*(Y140-1)+'Beállítások'!$E$30*(Z140-1)+'Beállítások'!$E$31*(AA140-1)+'Beállítások'!$E$32*(AB140-1)+'Beállítások'!$E$33*(AC140-1)+'Beállítások'!$E$34*(AD140-1)+'Beállítások'!$E$35*(AE140-1)+'Beállítások'!$E$36*(AF140-1)+'Beállítások'!$E$37*(AG140-1)+'Beállítások'!$E$38*(AH140-1))/(9*'Beállítások'!$E$39),1))</f>
        <v/>
      </c>
      <c r="AN140" s="23">
        <f>IF($A140="","",ROUND(100*('Beállítások'!$E$8*(D140-1)+'Beállítások'!$E$9*(E140-1)+'Beállítások'!$E$10*(F140-1)+'Beállítások'!$E$11*(G140-1)+'Beállítások'!$E$12*(H140-1)+'Beállítások'!$E$13*(I140-1)+'Beállítások'!$E$14*(J140-1)+'Beállítások'!$E$15*(K140-1)+'Beállítások'!$E$16*(L140-1)+'Beállítások'!$E$17*(M140-1)+'Beállítások'!$E$18*(N140-1)+'Beállítások'!$E$19*(O140-1)+'Beállítások'!$E$20*(P140-1)+'Beállítások'!$E$21*(Q140-1)+'Beállítások'!$E$22*(R140-1)+'Beállítások'!$E$23*(S140-1)+'Beállítások'!$E$24*(T140-1)+'Beállítások'!$E$25*(U140-1)+'Beállítások'!$E$26*(V140-1)+'Beállítások'!$E$27*(W140-1)+'Beállítások'!$E$28*(X140-1)+'Beállítások'!$E$29*(Y140-1))/(9*('Beállítások'!$B$44+'Beállítások'!$B$45)),1))</f>
        <v/>
      </c>
      <c r="AO140" s="24">
        <f>IF($A140="","",RANK(AM140,$AM$2:$AM$201))</f>
        <v/>
      </c>
      <c r="AP140">
        <f>IF($A140="","",IF(OR(AND('Ügyfelek'!B140&lt;&gt;"",B140&lt;='Beállítások'!$B$85),AND('Ügyfelek'!C140&lt;&gt;"",C140&lt;='Beállítások'!$B$86)),"Igen","Nem"))</f>
        <v/>
      </c>
      <c r="AQ140" s="24">
        <f>IF($A140="","",IF(AP140="Igen",5,IF(AN140&gt;='Beállítások'!$C$108,1,IF(AN140&gt;='Beállítások'!$C$109,2,IF(AN140&gt;='Beállítások'!$C$110,3,IF(AND(AN140&gt;='Beállítások'!$B$87,AI140&gt;='Beállítások'!$B$88,AL140&gt;='Beállítások'!$B$89),4,5))))))</f>
        <v/>
      </c>
      <c r="AR140">
        <f>IF($A140="","",INDEX('Beállítások'!$B$108:$B$112,AQ140))</f>
        <v/>
      </c>
      <c r="AS140">
        <f>IF($A140="","",IF(AQ140=5,"Elutasítjuk",IF(AND(AQ140=4,COUNTIFS('Eredmény'!$AQ$2:$AQ$201,4,'Eredmény'!$DY$2:$DY$201,"&gt;"&amp;DY140)&gt;='Beállítások'!$B$90),"Várólista (a 4-es hely foglalt)","Elfogadjuk")))</f>
        <v/>
      </c>
      <c r="AT140">
        <f>IF($A140="","",INDEX('Beállítások'!$F$108:$F$112,AQ140))</f>
        <v/>
      </c>
      <c r="AU140">
        <f>IF($A140="","",INDEX('Beállítások'!$B$6:$B$38,MATCH(MAX(BK140:CQ140),BK140:CQ140,0)))</f>
        <v/>
      </c>
      <c r="AV140">
        <f>IF($A140="","",IF(MAX(CR140:DX140)=0,"—",INDEX('Beállítások'!$B$6:$B$38,MATCH(MAX(CR140:DX140),CR140:DX140,0))))</f>
        <v/>
      </c>
      <c r="AW140" s="10">
        <f>IF($A140="","",'Beállítások'!$B$94*(TRIM('Ügyfelek'!AI140)="igen")+'Beállítások'!$B$95*(TRIM('Ügyfelek'!AJ140)="igen")+'Beállítások'!$B$96*N('Ügyfelek'!AK140)+'Beállítások'!$B$93*N('Ügyfelek'!AL140))</f>
        <v/>
      </c>
      <c r="AX140" s="25">
        <f>IF(OR($A140="",AQ140=5),"",INDEX('Beállítások'!$D$108:$D$112,AQ140))</f>
        <v/>
      </c>
      <c r="AY140" s="10">
        <f>IF($A140="","",N('Ügyfelek'!U140)*'Beállítások'!$B$98)</f>
        <v/>
      </c>
      <c r="AZ140" s="10">
        <f>IF(OR($A140="",AQ140=5),"",CEILING(ROUND(MAX('Beállítások'!$B$97,AW140*AX140,AY140),2),'Beállítások'!$B$99))</f>
        <v/>
      </c>
      <c r="BA140">
        <f>IF($A140="","",IF(AQ140=5,"Elutasítva",IF(MAX('Beállítások'!$B$97,AW140*AX140,AY140)=AW140*AX140,"Munkaigény × státuszszorzó",IF(MAX('Beállítások'!$B$97,AW140*AX140,AY140)=AY140,"Hirdetési keret arányában","Minimumdíj"))))</f>
        <v/>
      </c>
      <c r="BB140" s="10">
        <f>IF(OR($A140="",'Ügyfelek'!AM140=""),"",'Ügyfelek'!AM140)</f>
        <v/>
      </c>
      <c r="BC140" s="10">
        <f>IF(OR(BB140="",AZ140=""),"",AZ140-BB140)</f>
        <v/>
      </c>
      <c r="BD140" s="18">
        <f>IF(OR(BB140="",AZ140="",BB140=0),"",BC140/BB140)</f>
        <v/>
      </c>
      <c r="BE140">
        <f>IF(OR($A140="",AQ140=5),"",IF(AND(INDEX('Beállítások'!$E$108:$E$112,AQ140)&gt;0,Y140&gt;='Beállítások'!$B$91),"Igen","Nem"))</f>
        <v/>
      </c>
      <c r="BF140" s="10">
        <f>IF(BE140="Igen",CEILING(ROUND(AZ140*(1-'Beállítások'!$B$92),2),'Beállítások'!$B$99),"")</f>
        <v/>
      </c>
      <c r="BG140" s="20">
        <f>IF(BE140="Igen",INDEX('Beállítások'!$E$108:$E$112,AQ140),"")</f>
        <v/>
      </c>
      <c r="BH140" s="10">
        <f>IF(OR(BE140&lt;&gt;"Igen",'Ügyfelek'!AN140=""),"",'Ügyfelek'!AN140*BG140)</f>
        <v/>
      </c>
      <c r="BI140" s="24">
        <f>IF($A140="","",('Ügyfelek'!B140="")+('Ügyfelek'!C140="")+('Ügyfelek'!D140="")+('Ügyfelek'!E140="")+('Ügyfelek'!F140="")+('Ügyfelek'!G140="")+('Ügyfelek'!H140="")+('Ügyfelek'!I140="")+('Ügyfelek'!J140="")+('Ügyfelek'!K140="")+('Ügyfelek'!L140="")+('Ügyfelek'!M140="")+('Ügyfelek'!N140="")+('Ügyfelek'!O140="")+('Ügyfelek'!P140="")+('Ügyfelek'!Q140="")+('Ügyfelek'!R140="")+('Ügyfelek'!S140="")+('Ügyfelek'!T140="")+('Ügyfelek'!U140="")+('Ügyfelek'!V140="")+('Ügyfelek'!W140="")+('Ügyfelek'!X140="")+('Ügyfelek'!Y140="")+('Ügyfelek'!Z140="")+('Ügyfelek'!AA140="")+('Ügyfelek'!AB140="")+('Ügyfelek'!AC140="")+('Ügyfelek'!AD140="")+('Ügyfelek'!AE140="")+('Ügyfelek'!AF140="")+('Ügyfelek'!AG140="")+('Ügyfelek'!AH140=""))</f>
        <v/>
      </c>
      <c r="BK140">
        <f>IF($A140="","",B140+'Beállítások'!$E$6/1000)</f>
        <v/>
      </c>
      <c r="BL140">
        <f>IF($A140="","",C140+'Beállítások'!$E$7/1000)</f>
        <v/>
      </c>
      <c r="BM140">
        <f>IF($A140="","",D140+'Beállítások'!$E$8/1000)</f>
        <v/>
      </c>
      <c r="BN140">
        <f>IF($A140="","",E140+'Beállítások'!$E$9/1000)</f>
        <v/>
      </c>
      <c r="BO140">
        <f>IF($A140="","",F140+'Beállítások'!$E$10/1000)</f>
        <v/>
      </c>
      <c r="BP140">
        <f>IF($A140="","",G140+'Beállítások'!$E$11/1000)</f>
        <v/>
      </c>
      <c r="BQ140">
        <f>IF($A140="","",H140+'Beállítások'!$E$12/1000)</f>
        <v/>
      </c>
      <c r="BR140">
        <f>IF($A140="","",I140+'Beállítások'!$E$13/1000)</f>
        <v/>
      </c>
      <c r="BS140">
        <f>IF($A140="","",J140+'Beállítások'!$E$14/1000)</f>
        <v/>
      </c>
      <c r="BT140">
        <f>IF($A140="","",K140+'Beállítások'!$E$15/1000)</f>
        <v/>
      </c>
      <c r="BU140">
        <f>IF($A140="","",L140+'Beállítások'!$E$16/1000)</f>
        <v/>
      </c>
      <c r="BV140">
        <f>IF($A140="","",M140+'Beállítások'!$E$17/1000)</f>
        <v/>
      </c>
      <c r="BW140">
        <f>IF($A140="","",N140+'Beállítások'!$E$18/1000)</f>
        <v/>
      </c>
      <c r="BX140">
        <f>IF($A140="","",O140+'Beállítások'!$E$19/1000)</f>
        <v/>
      </c>
      <c r="BY140">
        <f>IF($A140="","",P140+'Beállítások'!$E$20/1000)</f>
        <v/>
      </c>
      <c r="BZ140">
        <f>IF($A140="","",Q140+'Beállítások'!$E$21/1000)</f>
        <v/>
      </c>
      <c r="CA140">
        <f>IF($A140="","",R140+'Beállítások'!$E$22/1000)</f>
        <v/>
      </c>
      <c r="CB140">
        <f>IF($A140="","",S140+'Beállítások'!$E$23/1000)</f>
        <v/>
      </c>
      <c r="CC140">
        <f>IF($A140="","",T140+'Beállítások'!$E$24/1000)</f>
        <v/>
      </c>
      <c r="CD140">
        <f>IF($A140="","",U140+'Beállítások'!$E$25/1000)</f>
        <v/>
      </c>
      <c r="CE140">
        <f>IF($A140="","",V140+'Beállítások'!$E$26/1000)</f>
        <v/>
      </c>
      <c r="CF140">
        <f>IF($A140="","",W140+'Beállítások'!$E$27/1000)</f>
        <v/>
      </c>
      <c r="CG140">
        <f>IF($A140="","",X140+'Beállítások'!$E$28/1000)</f>
        <v/>
      </c>
      <c r="CH140">
        <f>IF($A140="","",Y140+'Beállítások'!$E$29/1000)</f>
        <v/>
      </c>
      <c r="CI140">
        <f>IF($A140="","",Z140+'Beállítások'!$E$30/1000)</f>
        <v/>
      </c>
      <c r="CJ140">
        <f>IF($A140="","",AA140+'Beállítások'!$E$31/1000)</f>
        <v/>
      </c>
      <c r="CK140">
        <f>IF($A140="","",AB140+'Beállítások'!$E$32/1000)</f>
        <v/>
      </c>
      <c r="CL140">
        <f>IF($A140="","",AC140+'Beállítások'!$E$33/1000)</f>
        <v/>
      </c>
      <c r="CM140">
        <f>IF($A140="","",AD140+'Beállítások'!$E$34/1000)</f>
        <v/>
      </c>
      <c r="CN140">
        <f>IF($A140="","",AE140+'Beállítások'!$E$35/1000)</f>
        <v/>
      </c>
      <c r="CO140">
        <f>IF($A140="","",AF140+'Beállítások'!$E$36/1000)</f>
        <v/>
      </c>
      <c r="CP140">
        <f>IF($A140="","",AG140+'Beállítások'!$E$37/1000)</f>
        <v/>
      </c>
      <c r="CQ140">
        <f>IF($A140="","",AH140+'Beállítások'!$E$38/1000)</f>
        <v/>
      </c>
      <c r="CR140">
        <f>IF($A140="","",'Beállítások'!$E$6*(10-B140))</f>
        <v/>
      </c>
      <c r="CS140">
        <f>IF($A140="","",'Beállítások'!$E$7*(10-C140))</f>
        <v/>
      </c>
      <c r="CT140">
        <f>IF($A140="","",'Beállítások'!$E$8*(10-D140))</f>
        <v/>
      </c>
      <c r="CU140">
        <f>IF($A140="","",'Beállítások'!$E$9*(10-E140))</f>
        <v/>
      </c>
      <c r="CV140">
        <f>IF($A140="","",'Beállítások'!$E$10*(10-F140))</f>
        <v/>
      </c>
      <c r="CW140">
        <f>IF($A140="","",'Beállítások'!$E$11*(10-G140))</f>
        <v/>
      </c>
      <c r="CX140">
        <f>IF($A140="","",'Beállítások'!$E$12*(10-H140))</f>
        <v/>
      </c>
      <c r="CY140">
        <f>IF($A140="","",'Beállítások'!$E$13*(10-I140))</f>
        <v/>
      </c>
      <c r="CZ140">
        <f>IF($A140="","",'Beállítások'!$E$14*(10-J140))</f>
        <v/>
      </c>
      <c r="DA140">
        <f>IF($A140="","",'Beállítások'!$E$15*(10-K140))</f>
        <v/>
      </c>
      <c r="DB140">
        <f>IF($A140="","",'Beállítások'!$E$16*(10-L140))</f>
        <v/>
      </c>
      <c r="DC140">
        <f>IF($A140="","",'Beállítások'!$E$17*(10-M140))</f>
        <v/>
      </c>
      <c r="DD140">
        <f>IF($A140="","",'Beállítások'!$E$18*(10-N140))</f>
        <v/>
      </c>
      <c r="DE140">
        <f>IF($A140="","",'Beállítások'!$E$19*(10-O140))</f>
        <v/>
      </c>
      <c r="DF140">
        <f>IF($A140="","",'Beállítások'!$E$20*(10-P140))</f>
        <v/>
      </c>
      <c r="DG140">
        <f>IF($A140="","",'Beállítások'!$E$21*(10-Q140))</f>
        <v/>
      </c>
      <c r="DH140">
        <f>IF($A140="","",'Beállítások'!$E$22*(10-R140))</f>
        <v/>
      </c>
      <c r="DI140">
        <f>IF($A140="","",'Beállítások'!$E$23*(10-S140))</f>
        <v/>
      </c>
      <c r="DJ140">
        <f>IF($A140="","",'Beállítások'!$E$24*(10-T140))</f>
        <v/>
      </c>
      <c r="DK140">
        <f>IF($A140="","",'Beállítások'!$E$25*(10-U140))</f>
        <v/>
      </c>
      <c r="DL140">
        <f>IF($A140="","",'Beállítások'!$E$26*(10-V140))</f>
        <v/>
      </c>
      <c r="DM140">
        <f>IF($A140="","",'Beállítások'!$E$27*(10-W140))</f>
        <v/>
      </c>
      <c r="DN140">
        <f>IF($A140="","",'Beállítások'!$E$28*(10-X140))</f>
        <v/>
      </c>
      <c r="DO140">
        <f>IF($A140="","",'Beállítások'!$E$29*(10-Y140))</f>
        <v/>
      </c>
      <c r="DP140">
        <f>IF($A140="","",'Beállítások'!$E$30*(10-Z140))</f>
        <v/>
      </c>
      <c r="DQ140">
        <f>IF($A140="","",'Beállítások'!$E$31*(10-AA140))</f>
        <v/>
      </c>
      <c r="DR140">
        <f>IF($A140="","",'Beállítások'!$E$32*(10-AB140))</f>
        <v/>
      </c>
      <c r="DS140">
        <f>IF($A140="","",'Beállítások'!$E$33*(10-AC140))</f>
        <v/>
      </c>
      <c r="DT140">
        <f>IF($A140="","",'Beállítások'!$E$34*(10-AD140))</f>
        <v/>
      </c>
      <c r="DU140">
        <f>IF($A140="","",'Beállítások'!$E$35*(10-AE140))</f>
        <v/>
      </c>
      <c r="DV140">
        <f>IF($A140="","",'Beállítások'!$E$36*(10-AF140))</f>
        <v/>
      </c>
      <c r="DW140">
        <f>IF($A140="","",'Beállítások'!$E$37*(10-AG140))</f>
        <v/>
      </c>
      <c r="DX140">
        <f>IF($A140="","",'Beállítások'!$E$38*(10-AH140))</f>
        <v/>
      </c>
      <c r="DY140">
        <f>IF($A140="","",AM140-ROW()/100000)</f>
        <v/>
      </c>
    </row>
    <row r="141">
      <c r="A141">
        <f>IF('Ügyfelek'!A141="","",'Ügyfelek'!A141)</f>
        <v/>
      </c>
      <c r="B141">
        <f>IF($A141="","",IF('Ügyfelek'!B141="",'Beállítások'!$B$84,IFERROR(VLOOKUP(TRIM('Ügyfelek'!B141),'Beállítások'!$A$51:$B$59,2,FALSE),'Beállítások'!$B$84)))</f>
        <v/>
      </c>
      <c r="C141">
        <f>IF($A141="","",IF('Ügyfelek'!C141="",'Beállítások'!$B$84,MIN(10,MAX(1,ROUND('Ügyfelek'!C141,0)))))</f>
        <v/>
      </c>
      <c r="D141">
        <f>IF($A141="","",IF('Ügyfelek'!D141="",'Beállítások'!$B$84,MIN(10,MAX(1,ROUND('Ügyfelek'!D141,0)))))</f>
        <v/>
      </c>
      <c r="E141">
        <f>IF($A141="","",IF('Ügyfelek'!E141="",'Beállítások'!$B$84,MIN(10,MAX(1,ROUND('Ügyfelek'!E141,0)))))</f>
        <v/>
      </c>
      <c r="F141">
        <f>IF($A141="","",IF('Ügyfelek'!F141="",'Beállítások'!$B$84,MIN(10,MAX(1,ROUND('Ügyfelek'!F141,0)))))</f>
        <v/>
      </c>
      <c r="G141">
        <f>IF($A141="","",IF('Ügyfelek'!G141="",'Beállítások'!$B$84,MIN(10,MAX(1,ROUND('Ügyfelek'!G141,0)))))</f>
        <v/>
      </c>
      <c r="H141">
        <f>IF($A141="","",IF('Ügyfelek'!H141="",'Beállítások'!$B$84,MIN(10,MAX(1,ROUND('Ügyfelek'!H141,0)))))</f>
        <v/>
      </c>
      <c r="I141">
        <f>IF($A141="","",IF('Ügyfelek'!I141="",'Beállítások'!$B$84,MIN(10,MAX(1,ROUND('Ügyfelek'!I141,0)))))</f>
        <v/>
      </c>
      <c r="J141">
        <f>IF($A141="","",IF('Ügyfelek'!J141="",'Beállítások'!$B$84,MIN(10,MAX(1,ROUND('Ügyfelek'!J141,0)))))</f>
        <v/>
      </c>
      <c r="K141">
        <f>IF($A141="","",IF('Ügyfelek'!K141="",'Beállítások'!$B$84,MIN(10,MAX(1,ROUND('Ügyfelek'!K141,0)))))</f>
        <v/>
      </c>
      <c r="L141">
        <f>IF($A141="","",IF('Ügyfelek'!L141="",'Beállítások'!$B$84,MIN(10,MAX(1,ROUND('Ügyfelek'!L141,0)))))</f>
        <v/>
      </c>
      <c r="M141">
        <f>IF($A141="","",IF('Ügyfelek'!M141="",'Beállítások'!$B$84,MIN(10,MAX(1,ROUND('Ügyfelek'!M141,0)))))</f>
        <v/>
      </c>
      <c r="N141">
        <f>IF($A141="","",IF('Ügyfelek'!N141="",'Beállítások'!$B$84,MIN(10,MAX(1,ROUND('Ügyfelek'!N141,0)))))</f>
        <v/>
      </c>
      <c r="O141">
        <f>IF($A141="","",IF('Ügyfelek'!O141="",'Beállítások'!$B$84,MIN(10,MAX(1,ROUND('Ügyfelek'!O141,0)))))</f>
        <v/>
      </c>
      <c r="P141">
        <f>IF($A141="","",IF('Ügyfelek'!P141="",'Beállítások'!$B$84,MIN(10,MAX(1,ROUND('Ügyfelek'!P141,0)))))</f>
        <v/>
      </c>
      <c r="Q141">
        <f>IF($A141="","",IF('Ügyfelek'!Q141="",'Beállítások'!$B$84,MIN(10,MAX(1,ROUND('Ügyfelek'!Q141,0)))))</f>
        <v/>
      </c>
      <c r="R141">
        <f>IF($A141="","",IF('Ügyfelek'!R141="",'Beállítások'!$B$84,MIN(10,MAX(1,ROUND('Ügyfelek'!R141,0)))))</f>
        <v/>
      </c>
      <c r="S141">
        <f>IF($A141="","",IF('Ügyfelek'!S141="",'Beállítások'!$B$84,MIN(10,MAX(1,ROUND('Ügyfelek'!S141,0)))))</f>
        <v/>
      </c>
      <c r="T141">
        <f>IF($A141="","",IF('Ügyfelek'!T141="",'Beállítások'!$B$84,VLOOKUP(MAX('Ügyfelek'!T141,'Beállítások'!$H$7),'Beállítások'!$H$7:$I$12,2,TRUE)))</f>
        <v/>
      </c>
      <c r="U141">
        <f>IF($A141="","",IF('Ügyfelek'!U141="",'Beállítások'!$B$84,VLOOKUP(MAX('Ügyfelek'!U141,'Beállítások'!$K$7),'Beállítások'!$K$7:$L$12,2,TRUE)))</f>
        <v/>
      </c>
      <c r="V141">
        <f>IF($A141="","",IF('Ügyfelek'!V141="",'Beállítások'!$B$84,MIN(10,MAX(1,ROUND('Ügyfelek'!V141,0)))))</f>
        <v/>
      </c>
      <c r="W141">
        <f>IF($A141="","",IF('Ügyfelek'!W141="",'Beállítások'!$B$84,VLOOKUP(MAX('Ügyfelek'!W141,'Beállítások'!$N$7),'Beállítások'!$N$7:$O$12,2,TRUE)))</f>
        <v/>
      </c>
      <c r="X141">
        <f>IF($A141="","",IF('Ügyfelek'!X141="",'Beállítások'!$B$84,MIN(10,MAX(1,ROUND('Ügyfelek'!X141,0)))))</f>
        <v/>
      </c>
      <c r="Y141">
        <f>IF($A141="","",IF('Ügyfelek'!Y141="",'Beállítások'!$B$84,IFERROR(VLOOKUP(TRIM('Ügyfelek'!Y141),'Beállítások'!$A$63:$B$69,2,FALSE),'Beállítások'!$B$84)))</f>
        <v/>
      </c>
      <c r="Z141">
        <f>IF($A141="","",IF('Ügyfelek'!Z141="",'Beállítások'!$B$84,VLOOKUP(MAX('Ügyfelek'!Z141,'Beállítások'!$Q$7),'Beállítások'!$Q$7:$R$12,2,TRUE)))</f>
        <v/>
      </c>
      <c r="AA141">
        <f>IF($A141="","",IF('Ügyfelek'!AA141="",'Beállítások'!$B$84,VLOOKUP(MAX('Ügyfelek'!AA141,'Beállítások'!$T$7),'Beállítások'!$T$7:$U$12,2,TRUE)))</f>
        <v/>
      </c>
      <c r="AB141">
        <f>IF($A141="","",IF('Ügyfelek'!AB141="",'Beállítások'!$B$84,MIN(10,MAX(1,ROUND('Ügyfelek'!AB141,0)))))</f>
        <v/>
      </c>
      <c r="AC141">
        <f>IF($A141="","",IF('Ügyfelek'!AC141="",'Beállítások'!$B$84,MIN(10,MAX(1,ROUND('Ügyfelek'!AC141,0)))))</f>
        <v/>
      </c>
      <c r="AD141">
        <f>IF($A141="","",IF('Ügyfelek'!AD141="",'Beállítások'!$B$84,MIN(10,MAX(1,ROUND('Ügyfelek'!AD141,0)))))</f>
        <v/>
      </c>
      <c r="AE141">
        <f>IF($A141="","",IF('Ügyfelek'!AE141="",'Beállítások'!$B$84,MIN(10,MAX(1,ROUND('Ügyfelek'!AE141,0)))))</f>
        <v/>
      </c>
      <c r="AF141">
        <f>IF($A141="","",IF('Ügyfelek'!AF141="",'Beállítások'!$B$84,MIN(10,MAX(1,ROUND('Ügyfelek'!AF141,0)))))</f>
        <v/>
      </c>
      <c r="AG141">
        <f>IF($A141="","",IF('Ügyfelek'!AG141="",'Beállítások'!$B$84,MIN(10,MAX(1,ROUND('Ügyfelek'!AG141,0)))))</f>
        <v/>
      </c>
      <c r="AH141">
        <f>IF($A141="","",IF('Ügyfelek'!AH141="",'Beállítások'!$B$84,IFERROR(VLOOKUP(TRIM('Ügyfelek'!AH141),'Beállítások'!$A$73:$B$79,2,FALSE),'Beállítások'!$B$84)))</f>
        <v/>
      </c>
      <c r="AI141" s="23">
        <f>IF($A141="","",ROUND(100*('Beállítások'!$E$6*(B141-1)+'Beállítások'!$E$7*(C141-1))/(9*'Beállítások'!$B$43),1))</f>
        <v/>
      </c>
      <c r="AJ141" s="23">
        <f>IF($A141="","",ROUND(100*('Beállítások'!$E$8*(D141-1)+'Beállítások'!$E$9*(E141-1)+'Beállítások'!$E$10*(F141-1)+'Beállítások'!$E$11*(G141-1)+'Beállítások'!$E$12*(H141-1)+'Beállítások'!$E$13*(I141-1)+'Beállítások'!$E$14*(J141-1)+'Beállítások'!$E$15*(K141-1)+'Beállítások'!$E$16*(L141-1)+'Beállítások'!$E$17*(M141-1)+'Beállítások'!$E$18*(N141-1)+'Beállítások'!$E$19*(O141-1)+'Beállítások'!$E$20*(P141-1)+'Beállítások'!$E$21*(Q141-1)+'Beállítások'!$E$22*(R141-1))/(9*'Beállítások'!$B$44),1))</f>
        <v/>
      </c>
      <c r="AK141" s="23">
        <f>IF($A141="","",ROUND(100*('Beállítások'!$E$23*(S141-1)+'Beállítások'!$E$24*(T141-1)+'Beállítások'!$E$25*(U141-1)+'Beállítások'!$E$26*(V141-1)+'Beállítások'!$E$27*(W141-1)+'Beállítások'!$E$28*(X141-1)+'Beállítások'!$E$29*(Y141-1))/(9*'Beállítások'!$B$45),1))</f>
        <v/>
      </c>
      <c r="AL141" s="23">
        <f>IF($A141="","",ROUND(100*('Beállítások'!$E$30*(Z141-1)+'Beállítások'!$E$31*(AA141-1)+'Beállítások'!$E$32*(AB141-1)+'Beállítások'!$E$33*(AC141-1)+'Beállítások'!$E$34*(AD141-1)+'Beállítások'!$E$35*(AE141-1)+'Beállítások'!$E$36*(AF141-1)+'Beállítások'!$E$37*(AG141-1)+'Beállítások'!$E$38*(AH141-1))/(9*'Beállítások'!$B$46),1))</f>
        <v/>
      </c>
      <c r="AM141" s="23">
        <f>IF($A141="","",ROUND(100*('Beállítások'!$E$6*(B141-1)+'Beállítások'!$E$7*(C141-1)+'Beállítások'!$E$8*(D141-1)+'Beállítások'!$E$9*(E141-1)+'Beállítások'!$E$10*(F141-1)+'Beállítások'!$E$11*(G141-1)+'Beállítások'!$E$12*(H141-1)+'Beállítások'!$E$13*(I141-1)+'Beállítások'!$E$14*(J141-1)+'Beállítások'!$E$15*(K141-1)+'Beállítások'!$E$16*(L141-1)+'Beállítások'!$E$17*(M141-1)+'Beállítások'!$E$18*(N141-1)+'Beállítások'!$E$19*(O141-1)+'Beállítások'!$E$20*(P141-1)+'Beállítások'!$E$21*(Q141-1)+'Beállítások'!$E$22*(R141-1)+'Beállítások'!$E$23*(S141-1)+'Beállítások'!$E$24*(T141-1)+'Beállítások'!$E$25*(U141-1)+'Beállítások'!$E$26*(V141-1)+'Beállítások'!$E$27*(W141-1)+'Beállítások'!$E$28*(X141-1)+'Beállítások'!$E$29*(Y141-1)+'Beállítások'!$E$30*(Z141-1)+'Beállítások'!$E$31*(AA141-1)+'Beállítások'!$E$32*(AB141-1)+'Beállítások'!$E$33*(AC141-1)+'Beállítások'!$E$34*(AD141-1)+'Beállítások'!$E$35*(AE141-1)+'Beállítások'!$E$36*(AF141-1)+'Beállítások'!$E$37*(AG141-1)+'Beállítások'!$E$38*(AH141-1))/(9*'Beállítások'!$E$39),1))</f>
        <v/>
      </c>
      <c r="AN141" s="23">
        <f>IF($A141="","",ROUND(100*('Beállítások'!$E$8*(D141-1)+'Beállítások'!$E$9*(E141-1)+'Beállítások'!$E$10*(F141-1)+'Beállítások'!$E$11*(G141-1)+'Beállítások'!$E$12*(H141-1)+'Beállítások'!$E$13*(I141-1)+'Beállítások'!$E$14*(J141-1)+'Beállítások'!$E$15*(K141-1)+'Beállítások'!$E$16*(L141-1)+'Beállítások'!$E$17*(M141-1)+'Beállítások'!$E$18*(N141-1)+'Beállítások'!$E$19*(O141-1)+'Beállítások'!$E$20*(P141-1)+'Beállítások'!$E$21*(Q141-1)+'Beállítások'!$E$22*(R141-1)+'Beállítások'!$E$23*(S141-1)+'Beállítások'!$E$24*(T141-1)+'Beállítások'!$E$25*(U141-1)+'Beállítások'!$E$26*(V141-1)+'Beállítások'!$E$27*(W141-1)+'Beállítások'!$E$28*(X141-1)+'Beállítások'!$E$29*(Y141-1))/(9*('Beállítások'!$B$44+'Beállítások'!$B$45)),1))</f>
        <v/>
      </c>
      <c r="AO141" s="24">
        <f>IF($A141="","",RANK(AM141,$AM$2:$AM$201))</f>
        <v/>
      </c>
      <c r="AP141">
        <f>IF($A141="","",IF(OR(AND('Ügyfelek'!B141&lt;&gt;"",B141&lt;='Beállítások'!$B$85),AND('Ügyfelek'!C141&lt;&gt;"",C141&lt;='Beállítások'!$B$86)),"Igen","Nem"))</f>
        <v/>
      </c>
      <c r="AQ141" s="24">
        <f>IF($A141="","",IF(AP141="Igen",5,IF(AN141&gt;='Beállítások'!$C$108,1,IF(AN141&gt;='Beállítások'!$C$109,2,IF(AN141&gt;='Beállítások'!$C$110,3,IF(AND(AN141&gt;='Beállítások'!$B$87,AI141&gt;='Beállítások'!$B$88,AL141&gt;='Beállítások'!$B$89),4,5))))))</f>
        <v/>
      </c>
      <c r="AR141">
        <f>IF($A141="","",INDEX('Beállítások'!$B$108:$B$112,AQ141))</f>
        <v/>
      </c>
      <c r="AS141">
        <f>IF($A141="","",IF(AQ141=5,"Elutasítjuk",IF(AND(AQ141=4,COUNTIFS('Eredmény'!$AQ$2:$AQ$201,4,'Eredmény'!$DY$2:$DY$201,"&gt;"&amp;DY141)&gt;='Beállítások'!$B$90),"Várólista (a 4-es hely foglalt)","Elfogadjuk")))</f>
        <v/>
      </c>
      <c r="AT141">
        <f>IF($A141="","",INDEX('Beállítások'!$F$108:$F$112,AQ141))</f>
        <v/>
      </c>
      <c r="AU141">
        <f>IF($A141="","",INDEX('Beállítások'!$B$6:$B$38,MATCH(MAX(BK141:CQ141),BK141:CQ141,0)))</f>
        <v/>
      </c>
      <c r="AV141">
        <f>IF($A141="","",IF(MAX(CR141:DX141)=0,"—",INDEX('Beállítások'!$B$6:$B$38,MATCH(MAX(CR141:DX141),CR141:DX141,0))))</f>
        <v/>
      </c>
      <c r="AW141" s="10">
        <f>IF($A141="","",'Beállítások'!$B$94*(TRIM('Ügyfelek'!AI141)="igen")+'Beállítások'!$B$95*(TRIM('Ügyfelek'!AJ141)="igen")+'Beállítások'!$B$96*N('Ügyfelek'!AK141)+'Beállítások'!$B$93*N('Ügyfelek'!AL141))</f>
        <v/>
      </c>
      <c r="AX141" s="25">
        <f>IF(OR($A141="",AQ141=5),"",INDEX('Beállítások'!$D$108:$D$112,AQ141))</f>
        <v/>
      </c>
      <c r="AY141" s="10">
        <f>IF($A141="","",N('Ügyfelek'!U141)*'Beállítások'!$B$98)</f>
        <v/>
      </c>
      <c r="AZ141" s="10">
        <f>IF(OR($A141="",AQ141=5),"",CEILING(ROUND(MAX('Beállítások'!$B$97,AW141*AX141,AY141),2),'Beállítások'!$B$99))</f>
        <v/>
      </c>
      <c r="BA141">
        <f>IF($A141="","",IF(AQ141=5,"Elutasítva",IF(MAX('Beállítások'!$B$97,AW141*AX141,AY141)=AW141*AX141,"Munkaigény × státuszszorzó",IF(MAX('Beállítások'!$B$97,AW141*AX141,AY141)=AY141,"Hirdetési keret arányában","Minimumdíj"))))</f>
        <v/>
      </c>
      <c r="BB141" s="10">
        <f>IF(OR($A141="",'Ügyfelek'!AM141=""),"",'Ügyfelek'!AM141)</f>
        <v/>
      </c>
      <c r="BC141" s="10">
        <f>IF(OR(BB141="",AZ141=""),"",AZ141-BB141)</f>
        <v/>
      </c>
      <c r="BD141" s="18">
        <f>IF(OR(BB141="",AZ141="",BB141=0),"",BC141/BB141)</f>
        <v/>
      </c>
      <c r="BE141">
        <f>IF(OR($A141="",AQ141=5),"",IF(AND(INDEX('Beállítások'!$E$108:$E$112,AQ141)&gt;0,Y141&gt;='Beállítások'!$B$91),"Igen","Nem"))</f>
        <v/>
      </c>
      <c r="BF141" s="10">
        <f>IF(BE141="Igen",CEILING(ROUND(AZ141*(1-'Beállítások'!$B$92),2),'Beállítások'!$B$99),"")</f>
        <v/>
      </c>
      <c r="BG141" s="20">
        <f>IF(BE141="Igen",INDEX('Beállítások'!$E$108:$E$112,AQ141),"")</f>
        <v/>
      </c>
      <c r="BH141" s="10">
        <f>IF(OR(BE141&lt;&gt;"Igen",'Ügyfelek'!AN141=""),"",'Ügyfelek'!AN141*BG141)</f>
        <v/>
      </c>
      <c r="BI141" s="24">
        <f>IF($A141="","",('Ügyfelek'!B141="")+('Ügyfelek'!C141="")+('Ügyfelek'!D141="")+('Ügyfelek'!E141="")+('Ügyfelek'!F141="")+('Ügyfelek'!G141="")+('Ügyfelek'!H141="")+('Ügyfelek'!I141="")+('Ügyfelek'!J141="")+('Ügyfelek'!K141="")+('Ügyfelek'!L141="")+('Ügyfelek'!M141="")+('Ügyfelek'!N141="")+('Ügyfelek'!O141="")+('Ügyfelek'!P141="")+('Ügyfelek'!Q141="")+('Ügyfelek'!R141="")+('Ügyfelek'!S141="")+('Ügyfelek'!T141="")+('Ügyfelek'!U141="")+('Ügyfelek'!V141="")+('Ügyfelek'!W141="")+('Ügyfelek'!X141="")+('Ügyfelek'!Y141="")+('Ügyfelek'!Z141="")+('Ügyfelek'!AA141="")+('Ügyfelek'!AB141="")+('Ügyfelek'!AC141="")+('Ügyfelek'!AD141="")+('Ügyfelek'!AE141="")+('Ügyfelek'!AF141="")+('Ügyfelek'!AG141="")+('Ügyfelek'!AH141=""))</f>
        <v/>
      </c>
      <c r="BK141">
        <f>IF($A141="","",B141+'Beállítások'!$E$6/1000)</f>
        <v/>
      </c>
      <c r="BL141">
        <f>IF($A141="","",C141+'Beállítások'!$E$7/1000)</f>
        <v/>
      </c>
      <c r="BM141">
        <f>IF($A141="","",D141+'Beállítások'!$E$8/1000)</f>
        <v/>
      </c>
      <c r="BN141">
        <f>IF($A141="","",E141+'Beállítások'!$E$9/1000)</f>
        <v/>
      </c>
      <c r="BO141">
        <f>IF($A141="","",F141+'Beállítások'!$E$10/1000)</f>
        <v/>
      </c>
      <c r="BP141">
        <f>IF($A141="","",G141+'Beállítások'!$E$11/1000)</f>
        <v/>
      </c>
      <c r="BQ141">
        <f>IF($A141="","",H141+'Beállítások'!$E$12/1000)</f>
        <v/>
      </c>
      <c r="BR141">
        <f>IF($A141="","",I141+'Beállítások'!$E$13/1000)</f>
        <v/>
      </c>
      <c r="BS141">
        <f>IF($A141="","",J141+'Beállítások'!$E$14/1000)</f>
        <v/>
      </c>
      <c r="BT141">
        <f>IF($A141="","",K141+'Beállítások'!$E$15/1000)</f>
        <v/>
      </c>
      <c r="BU141">
        <f>IF($A141="","",L141+'Beállítások'!$E$16/1000)</f>
        <v/>
      </c>
      <c r="BV141">
        <f>IF($A141="","",M141+'Beállítások'!$E$17/1000)</f>
        <v/>
      </c>
      <c r="BW141">
        <f>IF($A141="","",N141+'Beállítások'!$E$18/1000)</f>
        <v/>
      </c>
      <c r="BX141">
        <f>IF($A141="","",O141+'Beállítások'!$E$19/1000)</f>
        <v/>
      </c>
      <c r="BY141">
        <f>IF($A141="","",P141+'Beállítások'!$E$20/1000)</f>
        <v/>
      </c>
      <c r="BZ141">
        <f>IF($A141="","",Q141+'Beállítások'!$E$21/1000)</f>
        <v/>
      </c>
      <c r="CA141">
        <f>IF($A141="","",R141+'Beállítások'!$E$22/1000)</f>
        <v/>
      </c>
      <c r="CB141">
        <f>IF($A141="","",S141+'Beállítások'!$E$23/1000)</f>
        <v/>
      </c>
      <c r="CC141">
        <f>IF($A141="","",T141+'Beállítások'!$E$24/1000)</f>
        <v/>
      </c>
      <c r="CD141">
        <f>IF($A141="","",U141+'Beállítások'!$E$25/1000)</f>
        <v/>
      </c>
      <c r="CE141">
        <f>IF($A141="","",V141+'Beállítások'!$E$26/1000)</f>
        <v/>
      </c>
      <c r="CF141">
        <f>IF($A141="","",W141+'Beállítások'!$E$27/1000)</f>
        <v/>
      </c>
      <c r="CG141">
        <f>IF($A141="","",X141+'Beállítások'!$E$28/1000)</f>
        <v/>
      </c>
      <c r="CH141">
        <f>IF($A141="","",Y141+'Beállítások'!$E$29/1000)</f>
        <v/>
      </c>
      <c r="CI141">
        <f>IF($A141="","",Z141+'Beállítások'!$E$30/1000)</f>
        <v/>
      </c>
      <c r="CJ141">
        <f>IF($A141="","",AA141+'Beállítások'!$E$31/1000)</f>
        <v/>
      </c>
      <c r="CK141">
        <f>IF($A141="","",AB141+'Beállítások'!$E$32/1000)</f>
        <v/>
      </c>
      <c r="CL141">
        <f>IF($A141="","",AC141+'Beállítások'!$E$33/1000)</f>
        <v/>
      </c>
      <c r="CM141">
        <f>IF($A141="","",AD141+'Beállítások'!$E$34/1000)</f>
        <v/>
      </c>
      <c r="CN141">
        <f>IF($A141="","",AE141+'Beállítások'!$E$35/1000)</f>
        <v/>
      </c>
      <c r="CO141">
        <f>IF($A141="","",AF141+'Beállítások'!$E$36/1000)</f>
        <v/>
      </c>
      <c r="CP141">
        <f>IF($A141="","",AG141+'Beállítások'!$E$37/1000)</f>
        <v/>
      </c>
      <c r="CQ141">
        <f>IF($A141="","",AH141+'Beállítások'!$E$38/1000)</f>
        <v/>
      </c>
      <c r="CR141">
        <f>IF($A141="","",'Beállítások'!$E$6*(10-B141))</f>
        <v/>
      </c>
      <c r="CS141">
        <f>IF($A141="","",'Beállítások'!$E$7*(10-C141))</f>
        <v/>
      </c>
      <c r="CT141">
        <f>IF($A141="","",'Beállítások'!$E$8*(10-D141))</f>
        <v/>
      </c>
      <c r="CU141">
        <f>IF($A141="","",'Beállítások'!$E$9*(10-E141))</f>
        <v/>
      </c>
      <c r="CV141">
        <f>IF($A141="","",'Beállítások'!$E$10*(10-F141))</f>
        <v/>
      </c>
      <c r="CW141">
        <f>IF($A141="","",'Beállítások'!$E$11*(10-G141))</f>
        <v/>
      </c>
      <c r="CX141">
        <f>IF($A141="","",'Beállítások'!$E$12*(10-H141))</f>
        <v/>
      </c>
      <c r="CY141">
        <f>IF($A141="","",'Beállítások'!$E$13*(10-I141))</f>
        <v/>
      </c>
      <c r="CZ141">
        <f>IF($A141="","",'Beállítások'!$E$14*(10-J141))</f>
        <v/>
      </c>
      <c r="DA141">
        <f>IF($A141="","",'Beállítások'!$E$15*(10-K141))</f>
        <v/>
      </c>
      <c r="DB141">
        <f>IF($A141="","",'Beállítások'!$E$16*(10-L141))</f>
        <v/>
      </c>
      <c r="DC141">
        <f>IF($A141="","",'Beállítások'!$E$17*(10-M141))</f>
        <v/>
      </c>
      <c r="DD141">
        <f>IF($A141="","",'Beállítások'!$E$18*(10-N141))</f>
        <v/>
      </c>
      <c r="DE141">
        <f>IF($A141="","",'Beállítások'!$E$19*(10-O141))</f>
        <v/>
      </c>
      <c r="DF141">
        <f>IF($A141="","",'Beállítások'!$E$20*(10-P141))</f>
        <v/>
      </c>
      <c r="DG141">
        <f>IF($A141="","",'Beállítások'!$E$21*(10-Q141))</f>
        <v/>
      </c>
      <c r="DH141">
        <f>IF($A141="","",'Beállítások'!$E$22*(10-R141))</f>
        <v/>
      </c>
      <c r="DI141">
        <f>IF($A141="","",'Beállítások'!$E$23*(10-S141))</f>
        <v/>
      </c>
      <c r="DJ141">
        <f>IF($A141="","",'Beállítások'!$E$24*(10-T141))</f>
        <v/>
      </c>
      <c r="DK141">
        <f>IF($A141="","",'Beállítások'!$E$25*(10-U141))</f>
        <v/>
      </c>
      <c r="DL141">
        <f>IF($A141="","",'Beállítások'!$E$26*(10-V141))</f>
        <v/>
      </c>
      <c r="DM141">
        <f>IF($A141="","",'Beállítások'!$E$27*(10-W141))</f>
        <v/>
      </c>
      <c r="DN141">
        <f>IF($A141="","",'Beállítások'!$E$28*(10-X141))</f>
        <v/>
      </c>
      <c r="DO141">
        <f>IF($A141="","",'Beállítások'!$E$29*(10-Y141))</f>
        <v/>
      </c>
      <c r="DP141">
        <f>IF($A141="","",'Beállítások'!$E$30*(10-Z141))</f>
        <v/>
      </c>
      <c r="DQ141">
        <f>IF($A141="","",'Beállítások'!$E$31*(10-AA141))</f>
        <v/>
      </c>
      <c r="DR141">
        <f>IF($A141="","",'Beállítások'!$E$32*(10-AB141))</f>
        <v/>
      </c>
      <c r="DS141">
        <f>IF($A141="","",'Beállítások'!$E$33*(10-AC141))</f>
        <v/>
      </c>
      <c r="DT141">
        <f>IF($A141="","",'Beállítások'!$E$34*(10-AD141))</f>
        <v/>
      </c>
      <c r="DU141">
        <f>IF($A141="","",'Beállítások'!$E$35*(10-AE141))</f>
        <v/>
      </c>
      <c r="DV141">
        <f>IF($A141="","",'Beállítások'!$E$36*(10-AF141))</f>
        <v/>
      </c>
      <c r="DW141">
        <f>IF($A141="","",'Beállítások'!$E$37*(10-AG141))</f>
        <v/>
      </c>
      <c r="DX141">
        <f>IF($A141="","",'Beállítások'!$E$38*(10-AH141))</f>
        <v/>
      </c>
      <c r="DY141">
        <f>IF($A141="","",AM141-ROW()/100000)</f>
        <v/>
      </c>
    </row>
    <row r="142">
      <c r="A142">
        <f>IF('Ügyfelek'!A142="","",'Ügyfelek'!A142)</f>
        <v/>
      </c>
      <c r="B142">
        <f>IF($A142="","",IF('Ügyfelek'!B142="",'Beállítások'!$B$84,IFERROR(VLOOKUP(TRIM('Ügyfelek'!B142),'Beállítások'!$A$51:$B$59,2,FALSE),'Beállítások'!$B$84)))</f>
        <v/>
      </c>
      <c r="C142">
        <f>IF($A142="","",IF('Ügyfelek'!C142="",'Beállítások'!$B$84,MIN(10,MAX(1,ROUND('Ügyfelek'!C142,0)))))</f>
        <v/>
      </c>
      <c r="D142">
        <f>IF($A142="","",IF('Ügyfelek'!D142="",'Beállítások'!$B$84,MIN(10,MAX(1,ROUND('Ügyfelek'!D142,0)))))</f>
        <v/>
      </c>
      <c r="E142">
        <f>IF($A142="","",IF('Ügyfelek'!E142="",'Beállítások'!$B$84,MIN(10,MAX(1,ROUND('Ügyfelek'!E142,0)))))</f>
        <v/>
      </c>
      <c r="F142">
        <f>IF($A142="","",IF('Ügyfelek'!F142="",'Beállítások'!$B$84,MIN(10,MAX(1,ROUND('Ügyfelek'!F142,0)))))</f>
        <v/>
      </c>
      <c r="G142">
        <f>IF($A142="","",IF('Ügyfelek'!G142="",'Beállítások'!$B$84,MIN(10,MAX(1,ROUND('Ügyfelek'!G142,0)))))</f>
        <v/>
      </c>
      <c r="H142">
        <f>IF($A142="","",IF('Ügyfelek'!H142="",'Beállítások'!$B$84,MIN(10,MAX(1,ROUND('Ügyfelek'!H142,0)))))</f>
        <v/>
      </c>
      <c r="I142">
        <f>IF($A142="","",IF('Ügyfelek'!I142="",'Beállítások'!$B$84,MIN(10,MAX(1,ROUND('Ügyfelek'!I142,0)))))</f>
        <v/>
      </c>
      <c r="J142">
        <f>IF($A142="","",IF('Ügyfelek'!J142="",'Beállítások'!$B$84,MIN(10,MAX(1,ROUND('Ügyfelek'!J142,0)))))</f>
        <v/>
      </c>
      <c r="K142">
        <f>IF($A142="","",IF('Ügyfelek'!K142="",'Beállítások'!$B$84,MIN(10,MAX(1,ROUND('Ügyfelek'!K142,0)))))</f>
        <v/>
      </c>
      <c r="L142">
        <f>IF($A142="","",IF('Ügyfelek'!L142="",'Beállítások'!$B$84,MIN(10,MAX(1,ROUND('Ügyfelek'!L142,0)))))</f>
        <v/>
      </c>
      <c r="M142">
        <f>IF($A142="","",IF('Ügyfelek'!M142="",'Beállítások'!$B$84,MIN(10,MAX(1,ROUND('Ügyfelek'!M142,0)))))</f>
        <v/>
      </c>
      <c r="N142">
        <f>IF($A142="","",IF('Ügyfelek'!N142="",'Beállítások'!$B$84,MIN(10,MAX(1,ROUND('Ügyfelek'!N142,0)))))</f>
        <v/>
      </c>
      <c r="O142">
        <f>IF($A142="","",IF('Ügyfelek'!O142="",'Beállítások'!$B$84,MIN(10,MAX(1,ROUND('Ügyfelek'!O142,0)))))</f>
        <v/>
      </c>
      <c r="P142">
        <f>IF($A142="","",IF('Ügyfelek'!P142="",'Beállítások'!$B$84,MIN(10,MAX(1,ROUND('Ügyfelek'!P142,0)))))</f>
        <v/>
      </c>
      <c r="Q142">
        <f>IF($A142="","",IF('Ügyfelek'!Q142="",'Beállítások'!$B$84,MIN(10,MAX(1,ROUND('Ügyfelek'!Q142,0)))))</f>
        <v/>
      </c>
      <c r="R142">
        <f>IF($A142="","",IF('Ügyfelek'!R142="",'Beállítások'!$B$84,MIN(10,MAX(1,ROUND('Ügyfelek'!R142,0)))))</f>
        <v/>
      </c>
      <c r="S142">
        <f>IF($A142="","",IF('Ügyfelek'!S142="",'Beállítások'!$B$84,MIN(10,MAX(1,ROUND('Ügyfelek'!S142,0)))))</f>
        <v/>
      </c>
      <c r="T142">
        <f>IF($A142="","",IF('Ügyfelek'!T142="",'Beállítások'!$B$84,VLOOKUP(MAX('Ügyfelek'!T142,'Beállítások'!$H$7),'Beállítások'!$H$7:$I$12,2,TRUE)))</f>
        <v/>
      </c>
      <c r="U142">
        <f>IF($A142="","",IF('Ügyfelek'!U142="",'Beállítások'!$B$84,VLOOKUP(MAX('Ügyfelek'!U142,'Beállítások'!$K$7),'Beállítások'!$K$7:$L$12,2,TRUE)))</f>
        <v/>
      </c>
      <c r="V142">
        <f>IF($A142="","",IF('Ügyfelek'!V142="",'Beállítások'!$B$84,MIN(10,MAX(1,ROUND('Ügyfelek'!V142,0)))))</f>
        <v/>
      </c>
      <c r="W142">
        <f>IF($A142="","",IF('Ügyfelek'!W142="",'Beállítások'!$B$84,VLOOKUP(MAX('Ügyfelek'!W142,'Beállítások'!$N$7),'Beállítások'!$N$7:$O$12,2,TRUE)))</f>
        <v/>
      </c>
      <c r="X142">
        <f>IF($A142="","",IF('Ügyfelek'!X142="",'Beállítások'!$B$84,MIN(10,MAX(1,ROUND('Ügyfelek'!X142,0)))))</f>
        <v/>
      </c>
      <c r="Y142">
        <f>IF($A142="","",IF('Ügyfelek'!Y142="",'Beállítások'!$B$84,IFERROR(VLOOKUP(TRIM('Ügyfelek'!Y142),'Beállítások'!$A$63:$B$69,2,FALSE),'Beállítások'!$B$84)))</f>
        <v/>
      </c>
      <c r="Z142">
        <f>IF($A142="","",IF('Ügyfelek'!Z142="",'Beállítások'!$B$84,VLOOKUP(MAX('Ügyfelek'!Z142,'Beállítások'!$Q$7),'Beállítások'!$Q$7:$R$12,2,TRUE)))</f>
        <v/>
      </c>
      <c r="AA142">
        <f>IF($A142="","",IF('Ügyfelek'!AA142="",'Beállítások'!$B$84,VLOOKUP(MAX('Ügyfelek'!AA142,'Beállítások'!$T$7),'Beállítások'!$T$7:$U$12,2,TRUE)))</f>
        <v/>
      </c>
      <c r="AB142">
        <f>IF($A142="","",IF('Ügyfelek'!AB142="",'Beállítások'!$B$84,MIN(10,MAX(1,ROUND('Ügyfelek'!AB142,0)))))</f>
        <v/>
      </c>
      <c r="AC142">
        <f>IF($A142="","",IF('Ügyfelek'!AC142="",'Beállítások'!$B$84,MIN(10,MAX(1,ROUND('Ügyfelek'!AC142,0)))))</f>
        <v/>
      </c>
      <c r="AD142">
        <f>IF($A142="","",IF('Ügyfelek'!AD142="",'Beállítások'!$B$84,MIN(10,MAX(1,ROUND('Ügyfelek'!AD142,0)))))</f>
        <v/>
      </c>
      <c r="AE142">
        <f>IF($A142="","",IF('Ügyfelek'!AE142="",'Beállítások'!$B$84,MIN(10,MAX(1,ROUND('Ügyfelek'!AE142,0)))))</f>
        <v/>
      </c>
      <c r="AF142">
        <f>IF($A142="","",IF('Ügyfelek'!AF142="",'Beállítások'!$B$84,MIN(10,MAX(1,ROUND('Ügyfelek'!AF142,0)))))</f>
        <v/>
      </c>
      <c r="AG142">
        <f>IF($A142="","",IF('Ügyfelek'!AG142="",'Beállítások'!$B$84,MIN(10,MAX(1,ROUND('Ügyfelek'!AG142,0)))))</f>
        <v/>
      </c>
      <c r="AH142">
        <f>IF($A142="","",IF('Ügyfelek'!AH142="",'Beállítások'!$B$84,IFERROR(VLOOKUP(TRIM('Ügyfelek'!AH142),'Beállítások'!$A$73:$B$79,2,FALSE),'Beállítások'!$B$84)))</f>
        <v/>
      </c>
      <c r="AI142" s="23">
        <f>IF($A142="","",ROUND(100*('Beállítások'!$E$6*(B142-1)+'Beállítások'!$E$7*(C142-1))/(9*'Beállítások'!$B$43),1))</f>
        <v/>
      </c>
      <c r="AJ142" s="23">
        <f>IF($A142="","",ROUND(100*('Beállítások'!$E$8*(D142-1)+'Beállítások'!$E$9*(E142-1)+'Beállítások'!$E$10*(F142-1)+'Beállítások'!$E$11*(G142-1)+'Beállítások'!$E$12*(H142-1)+'Beállítások'!$E$13*(I142-1)+'Beállítások'!$E$14*(J142-1)+'Beállítások'!$E$15*(K142-1)+'Beállítások'!$E$16*(L142-1)+'Beállítások'!$E$17*(M142-1)+'Beállítások'!$E$18*(N142-1)+'Beállítások'!$E$19*(O142-1)+'Beállítások'!$E$20*(P142-1)+'Beállítások'!$E$21*(Q142-1)+'Beállítások'!$E$22*(R142-1))/(9*'Beállítások'!$B$44),1))</f>
        <v/>
      </c>
      <c r="AK142" s="23">
        <f>IF($A142="","",ROUND(100*('Beállítások'!$E$23*(S142-1)+'Beállítások'!$E$24*(T142-1)+'Beállítások'!$E$25*(U142-1)+'Beállítások'!$E$26*(V142-1)+'Beállítások'!$E$27*(W142-1)+'Beállítások'!$E$28*(X142-1)+'Beállítások'!$E$29*(Y142-1))/(9*'Beállítások'!$B$45),1))</f>
        <v/>
      </c>
      <c r="AL142" s="23">
        <f>IF($A142="","",ROUND(100*('Beállítások'!$E$30*(Z142-1)+'Beállítások'!$E$31*(AA142-1)+'Beállítások'!$E$32*(AB142-1)+'Beállítások'!$E$33*(AC142-1)+'Beállítások'!$E$34*(AD142-1)+'Beállítások'!$E$35*(AE142-1)+'Beállítások'!$E$36*(AF142-1)+'Beállítások'!$E$37*(AG142-1)+'Beállítások'!$E$38*(AH142-1))/(9*'Beállítások'!$B$46),1))</f>
        <v/>
      </c>
      <c r="AM142" s="23">
        <f>IF($A142="","",ROUND(100*('Beállítások'!$E$6*(B142-1)+'Beállítások'!$E$7*(C142-1)+'Beállítások'!$E$8*(D142-1)+'Beállítások'!$E$9*(E142-1)+'Beállítások'!$E$10*(F142-1)+'Beállítások'!$E$11*(G142-1)+'Beállítások'!$E$12*(H142-1)+'Beállítások'!$E$13*(I142-1)+'Beállítások'!$E$14*(J142-1)+'Beállítások'!$E$15*(K142-1)+'Beállítások'!$E$16*(L142-1)+'Beállítások'!$E$17*(M142-1)+'Beállítások'!$E$18*(N142-1)+'Beállítások'!$E$19*(O142-1)+'Beállítások'!$E$20*(P142-1)+'Beállítások'!$E$21*(Q142-1)+'Beállítások'!$E$22*(R142-1)+'Beállítások'!$E$23*(S142-1)+'Beállítások'!$E$24*(T142-1)+'Beállítások'!$E$25*(U142-1)+'Beállítások'!$E$26*(V142-1)+'Beállítások'!$E$27*(W142-1)+'Beállítások'!$E$28*(X142-1)+'Beállítások'!$E$29*(Y142-1)+'Beállítások'!$E$30*(Z142-1)+'Beállítások'!$E$31*(AA142-1)+'Beállítások'!$E$32*(AB142-1)+'Beállítások'!$E$33*(AC142-1)+'Beállítások'!$E$34*(AD142-1)+'Beállítások'!$E$35*(AE142-1)+'Beállítások'!$E$36*(AF142-1)+'Beállítások'!$E$37*(AG142-1)+'Beállítások'!$E$38*(AH142-1))/(9*'Beállítások'!$E$39),1))</f>
        <v/>
      </c>
      <c r="AN142" s="23">
        <f>IF($A142="","",ROUND(100*('Beállítások'!$E$8*(D142-1)+'Beállítások'!$E$9*(E142-1)+'Beállítások'!$E$10*(F142-1)+'Beállítások'!$E$11*(G142-1)+'Beállítások'!$E$12*(H142-1)+'Beállítások'!$E$13*(I142-1)+'Beállítások'!$E$14*(J142-1)+'Beállítások'!$E$15*(K142-1)+'Beállítások'!$E$16*(L142-1)+'Beállítások'!$E$17*(M142-1)+'Beállítások'!$E$18*(N142-1)+'Beállítások'!$E$19*(O142-1)+'Beállítások'!$E$20*(P142-1)+'Beállítások'!$E$21*(Q142-1)+'Beállítások'!$E$22*(R142-1)+'Beállítások'!$E$23*(S142-1)+'Beállítások'!$E$24*(T142-1)+'Beállítások'!$E$25*(U142-1)+'Beállítások'!$E$26*(V142-1)+'Beállítások'!$E$27*(W142-1)+'Beállítások'!$E$28*(X142-1)+'Beállítások'!$E$29*(Y142-1))/(9*('Beállítások'!$B$44+'Beállítások'!$B$45)),1))</f>
        <v/>
      </c>
      <c r="AO142" s="24">
        <f>IF($A142="","",RANK(AM142,$AM$2:$AM$201))</f>
        <v/>
      </c>
      <c r="AP142">
        <f>IF($A142="","",IF(OR(AND('Ügyfelek'!B142&lt;&gt;"",B142&lt;='Beállítások'!$B$85),AND('Ügyfelek'!C142&lt;&gt;"",C142&lt;='Beállítások'!$B$86)),"Igen","Nem"))</f>
        <v/>
      </c>
      <c r="AQ142" s="24">
        <f>IF($A142="","",IF(AP142="Igen",5,IF(AN142&gt;='Beállítások'!$C$108,1,IF(AN142&gt;='Beállítások'!$C$109,2,IF(AN142&gt;='Beállítások'!$C$110,3,IF(AND(AN142&gt;='Beállítások'!$B$87,AI142&gt;='Beállítások'!$B$88,AL142&gt;='Beállítások'!$B$89),4,5))))))</f>
        <v/>
      </c>
      <c r="AR142">
        <f>IF($A142="","",INDEX('Beállítások'!$B$108:$B$112,AQ142))</f>
        <v/>
      </c>
      <c r="AS142">
        <f>IF($A142="","",IF(AQ142=5,"Elutasítjuk",IF(AND(AQ142=4,COUNTIFS('Eredmény'!$AQ$2:$AQ$201,4,'Eredmény'!$DY$2:$DY$201,"&gt;"&amp;DY142)&gt;='Beállítások'!$B$90),"Várólista (a 4-es hely foglalt)","Elfogadjuk")))</f>
        <v/>
      </c>
      <c r="AT142">
        <f>IF($A142="","",INDEX('Beállítások'!$F$108:$F$112,AQ142))</f>
        <v/>
      </c>
      <c r="AU142">
        <f>IF($A142="","",INDEX('Beállítások'!$B$6:$B$38,MATCH(MAX(BK142:CQ142),BK142:CQ142,0)))</f>
        <v/>
      </c>
      <c r="AV142">
        <f>IF($A142="","",IF(MAX(CR142:DX142)=0,"—",INDEX('Beállítások'!$B$6:$B$38,MATCH(MAX(CR142:DX142),CR142:DX142,0))))</f>
        <v/>
      </c>
      <c r="AW142" s="10">
        <f>IF($A142="","",'Beállítások'!$B$94*(TRIM('Ügyfelek'!AI142)="igen")+'Beállítások'!$B$95*(TRIM('Ügyfelek'!AJ142)="igen")+'Beállítások'!$B$96*N('Ügyfelek'!AK142)+'Beállítások'!$B$93*N('Ügyfelek'!AL142))</f>
        <v/>
      </c>
      <c r="AX142" s="25">
        <f>IF(OR($A142="",AQ142=5),"",INDEX('Beállítások'!$D$108:$D$112,AQ142))</f>
        <v/>
      </c>
      <c r="AY142" s="10">
        <f>IF($A142="","",N('Ügyfelek'!U142)*'Beállítások'!$B$98)</f>
        <v/>
      </c>
      <c r="AZ142" s="10">
        <f>IF(OR($A142="",AQ142=5),"",CEILING(ROUND(MAX('Beállítások'!$B$97,AW142*AX142,AY142),2),'Beállítások'!$B$99))</f>
        <v/>
      </c>
      <c r="BA142">
        <f>IF($A142="","",IF(AQ142=5,"Elutasítva",IF(MAX('Beállítások'!$B$97,AW142*AX142,AY142)=AW142*AX142,"Munkaigény × státuszszorzó",IF(MAX('Beállítások'!$B$97,AW142*AX142,AY142)=AY142,"Hirdetési keret arányában","Minimumdíj"))))</f>
        <v/>
      </c>
      <c r="BB142" s="10">
        <f>IF(OR($A142="",'Ügyfelek'!AM142=""),"",'Ügyfelek'!AM142)</f>
        <v/>
      </c>
      <c r="BC142" s="10">
        <f>IF(OR(BB142="",AZ142=""),"",AZ142-BB142)</f>
        <v/>
      </c>
      <c r="BD142" s="18">
        <f>IF(OR(BB142="",AZ142="",BB142=0),"",BC142/BB142)</f>
        <v/>
      </c>
      <c r="BE142">
        <f>IF(OR($A142="",AQ142=5),"",IF(AND(INDEX('Beállítások'!$E$108:$E$112,AQ142)&gt;0,Y142&gt;='Beállítások'!$B$91),"Igen","Nem"))</f>
        <v/>
      </c>
      <c r="BF142" s="10">
        <f>IF(BE142="Igen",CEILING(ROUND(AZ142*(1-'Beállítások'!$B$92),2),'Beállítások'!$B$99),"")</f>
        <v/>
      </c>
      <c r="BG142" s="20">
        <f>IF(BE142="Igen",INDEX('Beállítások'!$E$108:$E$112,AQ142),"")</f>
        <v/>
      </c>
      <c r="BH142" s="10">
        <f>IF(OR(BE142&lt;&gt;"Igen",'Ügyfelek'!AN142=""),"",'Ügyfelek'!AN142*BG142)</f>
        <v/>
      </c>
      <c r="BI142" s="24">
        <f>IF($A142="","",('Ügyfelek'!B142="")+('Ügyfelek'!C142="")+('Ügyfelek'!D142="")+('Ügyfelek'!E142="")+('Ügyfelek'!F142="")+('Ügyfelek'!G142="")+('Ügyfelek'!H142="")+('Ügyfelek'!I142="")+('Ügyfelek'!J142="")+('Ügyfelek'!K142="")+('Ügyfelek'!L142="")+('Ügyfelek'!M142="")+('Ügyfelek'!N142="")+('Ügyfelek'!O142="")+('Ügyfelek'!P142="")+('Ügyfelek'!Q142="")+('Ügyfelek'!R142="")+('Ügyfelek'!S142="")+('Ügyfelek'!T142="")+('Ügyfelek'!U142="")+('Ügyfelek'!V142="")+('Ügyfelek'!W142="")+('Ügyfelek'!X142="")+('Ügyfelek'!Y142="")+('Ügyfelek'!Z142="")+('Ügyfelek'!AA142="")+('Ügyfelek'!AB142="")+('Ügyfelek'!AC142="")+('Ügyfelek'!AD142="")+('Ügyfelek'!AE142="")+('Ügyfelek'!AF142="")+('Ügyfelek'!AG142="")+('Ügyfelek'!AH142=""))</f>
        <v/>
      </c>
      <c r="BK142">
        <f>IF($A142="","",B142+'Beállítások'!$E$6/1000)</f>
        <v/>
      </c>
      <c r="BL142">
        <f>IF($A142="","",C142+'Beállítások'!$E$7/1000)</f>
        <v/>
      </c>
      <c r="BM142">
        <f>IF($A142="","",D142+'Beállítások'!$E$8/1000)</f>
        <v/>
      </c>
      <c r="BN142">
        <f>IF($A142="","",E142+'Beállítások'!$E$9/1000)</f>
        <v/>
      </c>
      <c r="BO142">
        <f>IF($A142="","",F142+'Beállítások'!$E$10/1000)</f>
        <v/>
      </c>
      <c r="BP142">
        <f>IF($A142="","",G142+'Beállítások'!$E$11/1000)</f>
        <v/>
      </c>
      <c r="BQ142">
        <f>IF($A142="","",H142+'Beállítások'!$E$12/1000)</f>
        <v/>
      </c>
      <c r="BR142">
        <f>IF($A142="","",I142+'Beállítások'!$E$13/1000)</f>
        <v/>
      </c>
      <c r="BS142">
        <f>IF($A142="","",J142+'Beállítások'!$E$14/1000)</f>
        <v/>
      </c>
      <c r="BT142">
        <f>IF($A142="","",K142+'Beállítások'!$E$15/1000)</f>
        <v/>
      </c>
      <c r="BU142">
        <f>IF($A142="","",L142+'Beállítások'!$E$16/1000)</f>
        <v/>
      </c>
      <c r="BV142">
        <f>IF($A142="","",M142+'Beállítások'!$E$17/1000)</f>
        <v/>
      </c>
      <c r="BW142">
        <f>IF($A142="","",N142+'Beállítások'!$E$18/1000)</f>
        <v/>
      </c>
      <c r="BX142">
        <f>IF($A142="","",O142+'Beállítások'!$E$19/1000)</f>
        <v/>
      </c>
      <c r="BY142">
        <f>IF($A142="","",P142+'Beállítások'!$E$20/1000)</f>
        <v/>
      </c>
      <c r="BZ142">
        <f>IF($A142="","",Q142+'Beállítások'!$E$21/1000)</f>
        <v/>
      </c>
      <c r="CA142">
        <f>IF($A142="","",R142+'Beállítások'!$E$22/1000)</f>
        <v/>
      </c>
      <c r="CB142">
        <f>IF($A142="","",S142+'Beállítások'!$E$23/1000)</f>
        <v/>
      </c>
      <c r="CC142">
        <f>IF($A142="","",T142+'Beállítások'!$E$24/1000)</f>
        <v/>
      </c>
      <c r="CD142">
        <f>IF($A142="","",U142+'Beállítások'!$E$25/1000)</f>
        <v/>
      </c>
      <c r="CE142">
        <f>IF($A142="","",V142+'Beállítások'!$E$26/1000)</f>
        <v/>
      </c>
      <c r="CF142">
        <f>IF($A142="","",W142+'Beállítások'!$E$27/1000)</f>
        <v/>
      </c>
      <c r="CG142">
        <f>IF($A142="","",X142+'Beállítások'!$E$28/1000)</f>
        <v/>
      </c>
      <c r="CH142">
        <f>IF($A142="","",Y142+'Beállítások'!$E$29/1000)</f>
        <v/>
      </c>
      <c r="CI142">
        <f>IF($A142="","",Z142+'Beállítások'!$E$30/1000)</f>
        <v/>
      </c>
      <c r="CJ142">
        <f>IF($A142="","",AA142+'Beállítások'!$E$31/1000)</f>
        <v/>
      </c>
      <c r="CK142">
        <f>IF($A142="","",AB142+'Beállítások'!$E$32/1000)</f>
        <v/>
      </c>
      <c r="CL142">
        <f>IF($A142="","",AC142+'Beállítások'!$E$33/1000)</f>
        <v/>
      </c>
      <c r="CM142">
        <f>IF($A142="","",AD142+'Beállítások'!$E$34/1000)</f>
        <v/>
      </c>
      <c r="CN142">
        <f>IF($A142="","",AE142+'Beállítások'!$E$35/1000)</f>
        <v/>
      </c>
      <c r="CO142">
        <f>IF($A142="","",AF142+'Beállítások'!$E$36/1000)</f>
        <v/>
      </c>
      <c r="CP142">
        <f>IF($A142="","",AG142+'Beállítások'!$E$37/1000)</f>
        <v/>
      </c>
      <c r="CQ142">
        <f>IF($A142="","",AH142+'Beállítások'!$E$38/1000)</f>
        <v/>
      </c>
      <c r="CR142">
        <f>IF($A142="","",'Beállítások'!$E$6*(10-B142))</f>
        <v/>
      </c>
      <c r="CS142">
        <f>IF($A142="","",'Beállítások'!$E$7*(10-C142))</f>
        <v/>
      </c>
      <c r="CT142">
        <f>IF($A142="","",'Beállítások'!$E$8*(10-D142))</f>
        <v/>
      </c>
      <c r="CU142">
        <f>IF($A142="","",'Beállítások'!$E$9*(10-E142))</f>
        <v/>
      </c>
      <c r="CV142">
        <f>IF($A142="","",'Beállítások'!$E$10*(10-F142))</f>
        <v/>
      </c>
      <c r="CW142">
        <f>IF($A142="","",'Beállítások'!$E$11*(10-G142))</f>
        <v/>
      </c>
      <c r="CX142">
        <f>IF($A142="","",'Beállítások'!$E$12*(10-H142))</f>
        <v/>
      </c>
      <c r="CY142">
        <f>IF($A142="","",'Beállítások'!$E$13*(10-I142))</f>
        <v/>
      </c>
      <c r="CZ142">
        <f>IF($A142="","",'Beállítások'!$E$14*(10-J142))</f>
        <v/>
      </c>
      <c r="DA142">
        <f>IF($A142="","",'Beállítások'!$E$15*(10-K142))</f>
        <v/>
      </c>
      <c r="DB142">
        <f>IF($A142="","",'Beállítások'!$E$16*(10-L142))</f>
        <v/>
      </c>
      <c r="DC142">
        <f>IF($A142="","",'Beállítások'!$E$17*(10-M142))</f>
        <v/>
      </c>
      <c r="DD142">
        <f>IF($A142="","",'Beállítások'!$E$18*(10-N142))</f>
        <v/>
      </c>
      <c r="DE142">
        <f>IF($A142="","",'Beállítások'!$E$19*(10-O142))</f>
        <v/>
      </c>
      <c r="DF142">
        <f>IF($A142="","",'Beállítások'!$E$20*(10-P142))</f>
        <v/>
      </c>
      <c r="DG142">
        <f>IF($A142="","",'Beállítások'!$E$21*(10-Q142))</f>
        <v/>
      </c>
      <c r="DH142">
        <f>IF($A142="","",'Beállítások'!$E$22*(10-R142))</f>
        <v/>
      </c>
      <c r="DI142">
        <f>IF($A142="","",'Beállítások'!$E$23*(10-S142))</f>
        <v/>
      </c>
      <c r="DJ142">
        <f>IF($A142="","",'Beállítások'!$E$24*(10-T142))</f>
        <v/>
      </c>
      <c r="DK142">
        <f>IF($A142="","",'Beállítások'!$E$25*(10-U142))</f>
        <v/>
      </c>
      <c r="DL142">
        <f>IF($A142="","",'Beállítások'!$E$26*(10-V142))</f>
        <v/>
      </c>
      <c r="DM142">
        <f>IF($A142="","",'Beállítások'!$E$27*(10-W142))</f>
        <v/>
      </c>
      <c r="DN142">
        <f>IF($A142="","",'Beállítások'!$E$28*(10-X142))</f>
        <v/>
      </c>
      <c r="DO142">
        <f>IF($A142="","",'Beállítások'!$E$29*(10-Y142))</f>
        <v/>
      </c>
      <c r="DP142">
        <f>IF($A142="","",'Beállítások'!$E$30*(10-Z142))</f>
        <v/>
      </c>
      <c r="DQ142">
        <f>IF($A142="","",'Beállítások'!$E$31*(10-AA142))</f>
        <v/>
      </c>
      <c r="DR142">
        <f>IF($A142="","",'Beállítások'!$E$32*(10-AB142))</f>
        <v/>
      </c>
      <c r="DS142">
        <f>IF($A142="","",'Beállítások'!$E$33*(10-AC142))</f>
        <v/>
      </c>
      <c r="DT142">
        <f>IF($A142="","",'Beállítások'!$E$34*(10-AD142))</f>
        <v/>
      </c>
      <c r="DU142">
        <f>IF($A142="","",'Beállítások'!$E$35*(10-AE142))</f>
        <v/>
      </c>
      <c r="DV142">
        <f>IF($A142="","",'Beállítások'!$E$36*(10-AF142))</f>
        <v/>
      </c>
      <c r="DW142">
        <f>IF($A142="","",'Beállítások'!$E$37*(10-AG142))</f>
        <v/>
      </c>
      <c r="DX142">
        <f>IF($A142="","",'Beállítások'!$E$38*(10-AH142))</f>
        <v/>
      </c>
      <c r="DY142">
        <f>IF($A142="","",AM142-ROW()/100000)</f>
        <v/>
      </c>
    </row>
    <row r="143">
      <c r="A143">
        <f>IF('Ügyfelek'!A143="","",'Ügyfelek'!A143)</f>
        <v/>
      </c>
      <c r="B143">
        <f>IF($A143="","",IF('Ügyfelek'!B143="",'Beállítások'!$B$84,IFERROR(VLOOKUP(TRIM('Ügyfelek'!B143),'Beállítások'!$A$51:$B$59,2,FALSE),'Beállítások'!$B$84)))</f>
        <v/>
      </c>
      <c r="C143">
        <f>IF($A143="","",IF('Ügyfelek'!C143="",'Beállítások'!$B$84,MIN(10,MAX(1,ROUND('Ügyfelek'!C143,0)))))</f>
        <v/>
      </c>
      <c r="D143">
        <f>IF($A143="","",IF('Ügyfelek'!D143="",'Beállítások'!$B$84,MIN(10,MAX(1,ROUND('Ügyfelek'!D143,0)))))</f>
        <v/>
      </c>
      <c r="E143">
        <f>IF($A143="","",IF('Ügyfelek'!E143="",'Beállítások'!$B$84,MIN(10,MAX(1,ROUND('Ügyfelek'!E143,0)))))</f>
        <v/>
      </c>
      <c r="F143">
        <f>IF($A143="","",IF('Ügyfelek'!F143="",'Beállítások'!$B$84,MIN(10,MAX(1,ROUND('Ügyfelek'!F143,0)))))</f>
        <v/>
      </c>
      <c r="G143">
        <f>IF($A143="","",IF('Ügyfelek'!G143="",'Beállítások'!$B$84,MIN(10,MAX(1,ROUND('Ügyfelek'!G143,0)))))</f>
        <v/>
      </c>
      <c r="H143">
        <f>IF($A143="","",IF('Ügyfelek'!H143="",'Beállítások'!$B$84,MIN(10,MAX(1,ROUND('Ügyfelek'!H143,0)))))</f>
        <v/>
      </c>
      <c r="I143">
        <f>IF($A143="","",IF('Ügyfelek'!I143="",'Beállítások'!$B$84,MIN(10,MAX(1,ROUND('Ügyfelek'!I143,0)))))</f>
        <v/>
      </c>
      <c r="J143">
        <f>IF($A143="","",IF('Ügyfelek'!J143="",'Beállítások'!$B$84,MIN(10,MAX(1,ROUND('Ügyfelek'!J143,0)))))</f>
        <v/>
      </c>
      <c r="K143">
        <f>IF($A143="","",IF('Ügyfelek'!K143="",'Beállítások'!$B$84,MIN(10,MAX(1,ROUND('Ügyfelek'!K143,0)))))</f>
        <v/>
      </c>
      <c r="L143">
        <f>IF($A143="","",IF('Ügyfelek'!L143="",'Beállítások'!$B$84,MIN(10,MAX(1,ROUND('Ügyfelek'!L143,0)))))</f>
        <v/>
      </c>
      <c r="M143">
        <f>IF($A143="","",IF('Ügyfelek'!M143="",'Beállítások'!$B$84,MIN(10,MAX(1,ROUND('Ügyfelek'!M143,0)))))</f>
        <v/>
      </c>
      <c r="N143">
        <f>IF($A143="","",IF('Ügyfelek'!N143="",'Beállítások'!$B$84,MIN(10,MAX(1,ROUND('Ügyfelek'!N143,0)))))</f>
        <v/>
      </c>
      <c r="O143">
        <f>IF($A143="","",IF('Ügyfelek'!O143="",'Beállítások'!$B$84,MIN(10,MAX(1,ROUND('Ügyfelek'!O143,0)))))</f>
        <v/>
      </c>
      <c r="P143">
        <f>IF($A143="","",IF('Ügyfelek'!P143="",'Beállítások'!$B$84,MIN(10,MAX(1,ROUND('Ügyfelek'!P143,0)))))</f>
        <v/>
      </c>
      <c r="Q143">
        <f>IF($A143="","",IF('Ügyfelek'!Q143="",'Beállítások'!$B$84,MIN(10,MAX(1,ROUND('Ügyfelek'!Q143,0)))))</f>
        <v/>
      </c>
      <c r="R143">
        <f>IF($A143="","",IF('Ügyfelek'!R143="",'Beállítások'!$B$84,MIN(10,MAX(1,ROUND('Ügyfelek'!R143,0)))))</f>
        <v/>
      </c>
      <c r="S143">
        <f>IF($A143="","",IF('Ügyfelek'!S143="",'Beállítások'!$B$84,MIN(10,MAX(1,ROUND('Ügyfelek'!S143,0)))))</f>
        <v/>
      </c>
      <c r="T143">
        <f>IF($A143="","",IF('Ügyfelek'!T143="",'Beállítások'!$B$84,VLOOKUP(MAX('Ügyfelek'!T143,'Beállítások'!$H$7),'Beállítások'!$H$7:$I$12,2,TRUE)))</f>
        <v/>
      </c>
      <c r="U143">
        <f>IF($A143="","",IF('Ügyfelek'!U143="",'Beállítások'!$B$84,VLOOKUP(MAX('Ügyfelek'!U143,'Beállítások'!$K$7),'Beállítások'!$K$7:$L$12,2,TRUE)))</f>
        <v/>
      </c>
      <c r="V143">
        <f>IF($A143="","",IF('Ügyfelek'!V143="",'Beállítások'!$B$84,MIN(10,MAX(1,ROUND('Ügyfelek'!V143,0)))))</f>
        <v/>
      </c>
      <c r="W143">
        <f>IF($A143="","",IF('Ügyfelek'!W143="",'Beállítások'!$B$84,VLOOKUP(MAX('Ügyfelek'!W143,'Beállítások'!$N$7),'Beállítások'!$N$7:$O$12,2,TRUE)))</f>
        <v/>
      </c>
      <c r="X143">
        <f>IF($A143="","",IF('Ügyfelek'!X143="",'Beállítások'!$B$84,MIN(10,MAX(1,ROUND('Ügyfelek'!X143,0)))))</f>
        <v/>
      </c>
      <c r="Y143">
        <f>IF($A143="","",IF('Ügyfelek'!Y143="",'Beállítások'!$B$84,IFERROR(VLOOKUP(TRIM('Ügyfelek'!Y143),'Beállítások'!$A$63:$B$69,2,FALSE),'Beállítások'!$B$84)))</f>
        <v/>
      </c>
      <c r="Z143">
        <f>IF($A143="","",IF('Ügyfelek'!Z143="",'Beállítások'!$B$84,VLOOKUP(MAX('Ügyfelek'!Z143,'Beállítások'!$Q$7),'Beállítások'!$Q$7:$R$12,2,TRUE)))</f>
        <v/>
      </c>
      <c r="AA143">
        <f>IF($A143="","",IF('Ügyfelek'!AA143="",'Beállítások'!$B$84,VLOOKUP(MAX('Ügyfelek'!AA143,'Beállítások'!$T$7),'Beállítások'!$T$7:$U$12,2,TRUE)))</f>
        <v/>
      </c>
      <c r="AB143">
        <f>IF($A143="","",IF('Ügyfelek'!AB143="",'Beállítások'!$B$84,MIN(10,MAX(1,ROUND('Ügyfelek'!AB143,0)))))</f>
        <v/>
      </c>
      <c r="AC143">
        <f>IF($A143="","",IF('Ügyfelek'!AC143="",'Beállítások'!$B$84,MIN(10,MAX(1,ROUND('Ügyfelek'!AC143,0)))))</f>
        <v/>
      </c>
      <c r="AD143">
        <f>IF($A143="","",IF('Ügyfelek'!AD143="",'Beállítások'!$B$84,MIN(10,MAX(1,ROUND('Ügyfelek'!AD143,0)))))</f>
        <v/>
      </c>
      <c r="AE143">
        <f>IF($A143="","",IF('Ügyfelek'!AE143="",'Beállítások'!$B$84,MIN(10,MAX(1,ROUND('Ügyfelek'!AE143,0)))))</f>
        <v/>
      </c>
      <c r="AF143">
        <f>IF($A143="","",IF('Ügyfelek'!AF143="",'Beállítások'!$B$84,MIN(10,MAX(1,ROUND('Ügyfelek'!AF143,0)))))</f>
        <v/>
      </c>
      <c r="AG143">
        <f>IF($A143="","",IF('Ügyfelek'!AG143="",'Beállítások'!$B$84,MIN(10,MAX(1,ROUND('Ügyfelek'!AG143,0)))))</f>
        <v/>
      </c>
      <c r="AH143">
        <f>IF($A143="","",IF('Ügyfelek'!AH143="",'Beállítások'!$B$84,IFERROR(VLOOKUP(TRIM('Ügyfelek'!AH143),'Beállítások'!$A$73:$B$79,2,FALSE),'Beállítások'!$B$84)))</f>
        <v/>
      </c>
      <c r="AI143" s="23">
        <f>IF($A143="","",ROUND(100*('Beállítások'!$E$6*(B143-1)+'Beállítások'!$E$7*(C143-1))/(9*'Beállítások'!$B$43),1))</f>
        <v/>
      </c>
      <c r="AJ143" s="23">
        <f>IF($A143="","",ROUND(100*('Beállítások'!$E$8*(D143-1)+'Beállítások'!$E$9*(E143-1)+'Beállítások'!$E$10*(F143-1)+'Beállítások'!$E$11*(G143-1)+'Beállítások'!$E$12*(H143-1)+'Beállítások'!$E$13*(I143-1)+'Beállítások'!$E$14*(J143-1)+'Beállítások'!$E$15*(K143-1)+'Beállítások'!$E$16*(L143-1)+'Beállítások'!$E$17*(M143-1)+'Beállítások'!$E$18*(N143-1)+'Beállítások'!$E$19*(O143-1)+'Beállítások'!$E$20*(P143-1)+'Beállítások'!$E$21*(Q143-1)+'Beállítások'!$E$22*(R143-1))/(9*'Beállítások'!$B$44),1))</f>
        <v/>
      </c>
      <c r="AK143" s="23">
        <f>IF($A143="","",ROUND(100*('Beállítások'!$E$23*(S143-1)+'Beállítások'!$E$24*(T143-1)+'Beállítások'!$E$25*(U143-1)+'Beállítások'!$E$26*(V143-1)+'Beállítások'!$E$27*(W143-1)+'Beállítások'!$E$28*(X143-1)+'Beállítások'!$E$29*(Y143-1))/(9*'Beállítások'!$B$45),1))</f>
        <v/>
      </c>
      <c r="AL143" s="23">
        <f>IF($A143="","",ROUND(100*('Beállítások'!$E$30*(Z143-1)+'Beállítások'!$E$31*(AA143-1)+'Beállítások'!$E$32*(AB143-1)+'Beállítások'!$E$33*(AC143-1)+'Beállítások'!$E$34*(AD143-1)+'Beállítások'!$E$35*(AE143-1)+'Beállítások'!$E$36*(AF143-1)+'Beállítások'!$E$37*(AG143-1)+'Beállítások'!$E$38*(AH143-1))/(9*'Beállítások'!$B$46),1))</f>
        <v/>
      </c>
      <c r="AM143" s="23">
        <f>IF($A143="","",ROUND(100*('Beállítások'!$E$6*(B143-1)+'Beállítások'!$E$7*(C143-1)+'Beállítások'!$E$8*(D143-1)+'Beállítások'!$E$9*(E143-1)+'Beállítások'!$E$10*(F143-1)+'Beállítások'!$E$11*(G143-1)+'Beállítások'!$E$12*(H143-1)+'Beállítások'!$E$13*(I143-1)+'Beállítások'!$E$14*(J143-1)+'Beállítások'!$E$15*(K143-1)+'Beállítások'!$E$16*(L143-1)+'Beállítások'!$E$17*(M143-1)+'Beállítások'!$E$18*(N143-1)+'Beállítások'!$E$19*(O143-1)+'Beállítások'!$E$20*(P143-1)+'Beállítások'!$E$21*(Q143-1)+'Beállítások'!$E$22*(R143-1)+'Beállítások'!$E$23*(S143-1)+'Beállítások'!$E$24*(T143-1)+'Beállítások'!$E$25*(U143-1)+'Beállítások'!$E$26*(V143-1)+'Beállítások'!$E$27*(W143-1)+'Beállítások'!$E$28*(X143-1)+'Beállítások'!$E$29*(Y143-1)+'Beállítások'!$E$30*(Z143-1)+'Beállítások'!$E$31*(AA143-1)+'Beállítások'!$E$32*(AB143-1)+'Beállítások'!$E$33*(AC143-1)+'Beállítások'!$E$34*(AD143-1)+'Beállítások'!$E$35*(AE143-1)+'Beállítások'!$E$36*(AF143-1)+'Beállítások'!$E$37*(AG143-1)+'Beállítások'!$E$38*(AH143-1))/(9*'Beállítások'!$E$39),1))</f>
        <v/>
      </c>
      <c r="AN143" s="23">
        <f>IF($A143="","",ROUND(100*('Beállítások'!$E$8*(D143-1)+'Beállítások'!$E$9*(E143-1)+'Beállítások'!$E$10*(F143-1)+'Beállítások'!$E$11*(G143-1)+'Beállítások'!$E$12*(H143-1)+'Beállítások'!$E$13*(I143-1)+'Beállítások'!$E$14*(J143-1)+'Beállítások'!$E$15*(K143-1)+'Beállítások'!$E$16*(L143-1)+'Beállítások'!$E$17*(M143-1)+'Beállítások'!$E$18*(N143-1)+'Beállítások'!$E$19*(O143-1)+'Beállítások'!$E$20*(P143-1)+'Beállítások'!$E$21*(Q143-1)+'Beállítások'!$E$22*(R143-1)+'Beállítások'!$E$23*(S143-1)+'Beállítások'!$E$24*(T143-1)+'Beállítások'!$E$25*(U143-1)+'Beállítások'!$E$26*(V143-1)+'Beállítások'!$E$27*(W143-1)+'Beállítások'!$E$28*(X143-1)+'Beállítások'!$E$29*(Y143-1))/(9*('Beállítások'!$B$44+'Beállítások'!$B$45)),1))</f>
        <v/>
      </c>
      <c r="AO143" s="24">
        <f>IF($A143="","",RANK(AM143,$AM$2:$AM$201))</f>
        <v/>
      </c>
      <c r="AP143">
        <f>IF($A143="","",IF(OR(AND('Ügyfelek'!B143&lt;&gt;"",B143&lt;='Beállítások'!$B$85),AND('Ügyfelek'!C143&lt;&gt;"",C143&lt;='Beállítások'!$B$86)),"Igen","Nem"))</f>
        <v/>
      </c>
      <c r="AQ143" s="24">
        <f>IF($A143="","",IF(AP143="Igen",5,IF(AN143&gt;='Beállítások'!$C$108,1,IF(AN143&gt;='Beállítások'!$C$109,2,IF(AN143&gt;='Beállítások'!$C$110,3,IF(AND(AN143&gt;='Beállítások'!$B$87,AI143&gt;='Beállítások'!$B$88,AL143&gt;='Beállítások'!$B$89),4,5))))))</f>
        <v/>
      </c>
      <c r="AR143">
        <f>IF($A143="","",INDEX('Beállítások'!$B$108:$B$112,AQ143))</f>
        <v/>
      </c>
      <c r="AS143">
        <f>IF($A143="","",IF(AQ143=5,"Elutasítjuk",IF(AND(AQ143=4,COUNTIFS('Eredmény'!$AQ$2:$AQ$201,4,'Eredmény'!$DY$2:$DY$201,"&gt;"&amp;DY143)&gt;='Beállítások'!$B$90),"Várólista (a 4-es hely foglalt)","Elfogadjuk")))</f>
        <v/>
      </c>
      <c r="AT143">
        <f>IF($A143="","",INDEX('Beállítások'!$F$108:$F$112,AQ143))</f>
        <v/>
      </c>
      <c r="AU143">
        <f>IF($A143="","",INDEX('Beállítások'!$B$6:$B$38,MATCH(MAX(BK143:CQ143),BK143:CQ143,0)))</f>
        <v/>
      </c>
      <c r="AV143">
        <f>IF($A143="","",IF(MAX(CR143:DX143)=0,"—",INDEX('Beállítások'!$B$6:$B$38,MATCH(MAX(CR143:DX143),CR143:DX143,0))))</f>
        <v/>
      </c>
      <c r="AW143" s="10">
        <f>IF($A143="","",'Beállítások'!$B$94*(TRIM('Ügyfelek'!AI143)="igen")+'Beállítások'!$B$95*(TRIM('Ügyfelek'!AJ143)="igen")+'Beállítások'!$B$96*N('Ügyfelek'!AK143)+'Beállítások'!$B$93*N('Ügyfelek'!AL143))</f>
        <v/>
      </c>
      <c r="AX143" s="25">
        <f>IF(OR($A143="",AQ143=5),"",INDEX('Beállítások'!$D$108:$D$112,AQ143))</f>
        <v/>
      </c>
      <c r="AY143" s="10">
        <f>IF($A143="","",N('Ügyfelek'!U143)*'Beállítások'!$B$98)</f>
        <v/>
      </c>
      <c r="AZ143" s="10">
        <f>IF(OR($A143="",AQ143=5),"",CEILING(ROUND(MAX('Beállítások'!$B$97,AW143*AX143,AY143),2),'Beállítások'!$B$99))</f>
        <v/>
      </c>
      <c r="BA143">
        <f>IF($A143="","",IF(AQ143=5,"Elutasítva",IF(MAX('Beállítások'!$B$97,AW143*AX143,AY143)=AW143*AX143,"Munkaigény × státuszszorzó",IF(MAX('Beállítások'!$B$97,AW143*AX143,AY143)=AY143,"Hirdetési keret arányában","Minimumdíj"))))</f>
        <v/>
      </c>
      <c r="BB143" s="10">
        <f>IF(OR($A143="",'Ügyfelek'!AM143=""),"",'Ügyfelek'!AM143)</f>
        <v/>
      </c>
      <c r="BC143" s="10">
        <f>IF(OR(BB143="",AZ143=""),"",AZ143-BB143)</f>
        <v/>
      </c>
      <c r="BD143" s="18">
        <f>IF(OR(BB143="",AZ143="",BB143=0),"",BC143/BB143)</f>
        <v/>
      </c>
      <c r="BE143">
        <f>IF(OR($A143="",AQ143=5),"",IF(AND(INDEX('Beállítások'!$E$108:$E$112,AQ143)&gt;0,Y143&gt;='Beállítások'!$B$91),"Igen","Nem"))</f>
        <v/>
      </c>
      <c r="BF143" s="10">
        <f>IF(BE143="Igen",CEILING(ROUND(AZ143*(1-'Beállítások'!$B$92),2),'Beállítások'!$B$99),"")</f>
        <v/>
      </c>
      <c r="BG143" s="20">
        <f>IF(BE143="Igen",INDEX('Beállítások'!$E$108:$E$112,AQ143),"")</f>
        <v/>
      </c>
      <c r="BH143" s="10">
        <f>IF(OR(BE143&lt;&gt;"Igen",'Ügyfelek'!AN143=""),"",'Ügyfelek'!AN143*BG143)</f>
        <v/>
      </c>
      <c r="BI143" s="24">
        <f>IF($A143="","",('Ügyfelek'!B143="")+('Ügyfelek'!C143="")+('Ügyfelek'!D143="")+('Ügyfelek'!E143="")+('Ügyfelek'!F143="")+('Ügyfelek'!G143="")+('Ügyfelek'!H143="")+('Ügyfelek'!I143="")+('Ügyfelek'!J143="")+('Ügyfelek'!K143="")+('Ügyfelek'!L143="")+('Ügyfelek'!M143="")+('Ügyfelek'!N143="")+('Ügyfelek'!O143="")+('Ügyfelek'!P143="")+('Ügyfelek'!Q143="")+('Ügyfelek'!R143="")+('Ügyfelek'!S143="")+('Ügyfelek'!T143="")+('Ügyfelek'!U143="")+('Ügyfelek'!V143="")+('Ügyfelek'!W143="")+('Ügyfelek'!X143="")+('Ügyfelek'!Y143="")+('Ügyfelek'!Z143="")+('Ügyfelek'!AA143="")+('Ügyfelek'!AB143="")+('Ügyfelek'!AC143="")+('Ügyfelek'!AD143="")+('Ügyfelek'!AE143="")+('Ügyfelek'!AF143="")+('Ügyfelek'!AG143="")+('Ügyfelek'!AH143=""))</f>
        <v/>
      </c>
      <c r="BK143">
        <f>IF($A143="","",B143+'Beállítások'!$E$6/1000)</f>
        <v/>
      </c>
      <c r="BL143">
        <f>IF($A143="","",C143+'Beállítások'!$E$7/1000)</f>
        <v/>
      </c>
      <c r="BM143">
        <f>IF($A143="","",D143+'Beállítások'!$E$8/1000)</f>
        <v/>
      </c>
      <c r="BN143">
        <f>IF($A143="","",E143+'Beállítások'!$E$9/1000)</f>
        <v/>
      </c>
      <c r="BO143">
        <f>IF($A143="","",F143+'Beállítások'!$E$10/1000)</f>
        <v/>
      </c>
      <c r="BP143">
        <f>IF($A143="","",G143+'Beállítások'!$E$11/1000)</f>
        <v/>
      </c>
      <c r="BQ143">
        <f>IF($A143="","",H143+'Beállítások'!$E$12/1000)</f>
        <v/>
      </c>
      <c r="BR143">
        <f>IF($A143="","",I143+'Beállítások'!$E$13/1000)</f>
        <v/>
      </c>
      <c r="BS143">
        <f>IF($A143="","",J143+'Beállítások'!$E$14/1000)</f>
        <v/>
      </c>
      <c r="BT143">
        <f>IF($A143="","",K143+'Beállítások'!$E$15/1000)</f>
        <v/>
      </c>
      <c r="BU143">
        <f>IF($A143="","",L143+'Beállítások'!$E$16/1000)</f>
        <v/>
      </c>
      <c r="BV143">
        <f>IF($A143="","",M143+'Beállítások'!$E$17/1000)</f>
        <v/>
      </c>
      <c r="BW143">
        <f>IF($A143="","",N143+'Beállítások'!$E$18/1000)</f>
        <v/>
      </c>
      <c r="BX143">
        <f>IF($A143="","",O143+'Beállítások'!$E$19/1000)</f>
        <v/>
      </c>
      <c r="BY143">
        <f>IF($A143="","",P143+'Beállítások'!$E$20/1000)</f>
        <v/>
      </c>
      <c r="BZ143">
        <f>IF($A143="","",Q143+'Beállítások'!$E$21/1000)</f>
        <v/>
      </c>
      <c r="CA143">
        <f>IF($A143="","",R143+'Beállítások'!$E$22/1000)</f>
        <v/>
      </c>
      <c r="CB143">
        <f>IF($A143="","",S143+'Beállítások'!$E$23/1000)</f>
        <v/>
      </c>
      <c r="CC143">
        <f>IF($A143="","",T143+'Beállítások'!$E$24/1000)</f>
        <v/>
      </c>
      <c r="CD143">
        <f>IF($A143="","",U143+'Beállítások'!$E$25/1000)</f>
        <v/>
      </c>
      <c r="CE143">
        <f>IF($A143="","",V143+'Beállítások'!$E$26/1000)</f>
        <v/>
      </c>
      <c r="CF143">
        <f>IF($A143="","",W143+'Beállítások'!$E$27/1000)</f>
        <v/>
      </c>
      <c r="CG143">
        <f>IF($A143="","",X143+'Beállítások'!$E$28/1000)</f>
        <v/>
      </c>
      <c r="CH143">
        <f>IF($A143="","",Y143+'Beállítások'!$E$29/1000)</f>
        <v/>
      </c>
      <c r="CI143">
        <f>IF($A143="","",Z143+'Beállítások'!$E$30/1000)</f>
        <v/>
      </c>
      <c r="CJ143">
        <f>IF($A143="","",AA143+'Beállítások'!$E$31/1000)</f>
        <v/>
      </c>
      <c r="CK143">
        <f>IF($A143="","",AB143+'Beállítások'!$E$32/1000)</f>
        <v/>
      </c>
      <c r="CL143">
        <f>IF($A143="","",AC143+'Beállítások'!$E$33/1000)</f>
        <v/>
      </c>
      <c r="CM143">
        <f>IF($A143="","",AD143+'Beállítások'!$E$34/1000)</f>
        <v/>
      </c>
      <c r="CN143">
        <f>IF($A143="","",AE143+'Beállítások'!$E$35/1000)</f>
        <v/>
      </c>
      <c r="CO143">
        <f>IF($A143="","",AF143+'Beállítások'!$E$36/1000)</f>
        <v/>
      </c>
      <c r="CP143">
        <f>IF($A143="","",AG143+'Beállítások'!$E$37/1000)</f>
        <v/>
      </c>
      <c r="CQ143">
        <f>IF($A143="","",AH143+'Beállítások'!$E$38/1000)</f>
        <v/>
      </c>
      <c r="CR143">
        <f>IF($A143="","",'Beállítások'!$E$6*(10-B143))</f>
        <v/>
      </c>
      <c r="CS143">
        <f>IF($A143="","",'Beállítások'!$E$7*(10-C143))</f>
        <v/>
      </c>
      <c r="CT143">
        <f>IF($A143="","",'Beállítások'!$E$8*(10-D143))</f>
        <v/>
      </c>
      <c r="CU143">
        <f>IF($A143="","",'Beállítások'!$E$9*(10-E143))</f>
        <v/>
      </c>
      <c r="CV143">
        <f>IF($A143="","",'Beállítások'!$E$10*(10-F143))</f>
        <v/>
      </c>
      <c r="CW143">
        <f>IF($A143="","",'Beállítások'!$E$11*(10-G143))</f>
        <v/>
      </c>
      <c r="CX143">
        <f>IF($A143="","",'Beállítások'!$E$12*(10-H143))</f>
        <v/>
      </c>
      <c r="CY143">
        <f>IF($A143="","",'Beállítások'!$E$13*(10-I143))</f>
        <v/>
      </c>
      <c r="CZ143">
        <f>IF($A143="","",'Beállítások'!$E$14*(10-J143))</f>
        <v/>
      </c>
      <c r="DA143">
        <f>IF($A143="","",'Beállítások'!$E$15*(10-K143))</f>
        <v/>
      </c>
      <c r="DB143">
        <f>IF($A143="","",'Beállítások'!$E$16*(10-L143))</f>
        <v/>
      </c>
      <c r="DC143">
        <f>IF($A143="","",'Beállítások'!$E$17*(10-M143))</f>
        <v/>
      </c>
      <c r="DD143">
        <f>IF($A143="","",'Beállítások'!$E$18*(10-N143))</f>
        <v/>
      </c>
      <c r="DE143">
        <f>IF($A143="","",'Beállítások'!$E$19*(10-O143))</f>
        <v/>
      </c>
      <c r="DF143">
        <f>IF($A143="","",'Beállítások'!$E$20*(10-P143))</f>
        <v/>
      </c>
      <c r="DG143">
        <f>IF($A143="","",'Beállítások'!$E$21*(10-Q143))</f>
        <v/>
      </c>
      <c r="DH143">
        <f>IF($A143="","",'Beállítások'!$E$22*(10-R143))</f>
        <v/>
      </c>
      <c r="DI143">
        <f>IF($A143="","",'Beállítások'!$E$23*(10-S143))</f>
        <v/>
      </c>
      <c r="DJ143">
        <f>IF($A143="","",'Beállítások'!$E$24*(10-T143))</f>
        <v/>
      </c>
      <c r="DK143">
        <f>IF($A143="","",'Beállítások'!$E$25*(10-U143))</f>
        <v/>
      </c>
      <c r="DL143">
        <f>IF($A143="","",'Beállítások'!$E$26*(10-V143))</f>
        <v/>
      </c>
      <c r="DM143">
        <f>IF($A143="","",'Beállítások'!$E$27*(10-W143))</f>
        <v/>
      </c>
      <c r="DN143">
        <f>IF($A143="","",'Beállítások'!$E$28*(10-X143))</f>
        <v/>
      </c>
      <c r="DO143">
        <f>IF($A143="","",'Beállítások'!$E$29*(10-Y143))</f>
        <v/>
      </c>
      <c r="DP143">
        <f>IF($A143="","",'Beállítások'!$E$30*(10-Z143))</f>
        <v/>
      </c>
      <c r="DQ143">
        <f>IF($A143="","",'Beállítások'!$E$31*(10-AA143))</f>
        <v/>
      </c>
      <c r="DR143">
        <f>IF($A143="","",'Beállítások'!$E$32*(10-AB143))</f>
        <v/>
      </c>
      <c r="DS143">
        <f>IF($A143="","",'Beállítások'!$E$33*(10-AC143))</f>
        <v/>
      </c>
      <c r="DT143">
        <f>IF($A143="","",'Beállítások'!$E$34*(10-AD143))</f>
        <v/>
      </c>
      <c r="DU143">
        <f>IF($A143="","",'Beállítások'!$E$35*(10-AE143))</f>
        <v/>
      </c>
      <c r="DV143">
        <f>IF($A143="","",'Beállítások'!$E$36*(10-AF143))</f>
        <v/>
      </c>
      <c r="DW143">
        <f>IF($A143="","",'Beállítások'!$E$37*(10-AG143))</f>
        <v/>
      </c>
      <c r="DX143">
        <f>IF($A143="","",'Beállítások'!$E$38*(10-AH143))</f>
        <v/>
      </c>
      <c r="DY143">
        <f>IF($A143="","",AM143-ROW()/100000)</f>
        <v/>
      </c>
    </row>
    <row r="144">
      <c r="A144">
        <f>IF('Ügyfelek'!A144="","",'Ügyfelek'!A144)</f>
        <v/>
      </c>
      <c r="B144">
        <f>IF($A144="","",IF('Ügyfelek'!B144="",'Beállítások'!$B$84,IFERROR(VLOOKUP(TRIM('Ügyfelek'!B144),'Beállítások'!$A$51:$B$59,2,FALSE),'Beállítások'!$B$84)))</f>
        <v/>
      </c>
      <c r="C144">
        <f>IF($A144="","",IF('Ügyfelek'!C144="",'Beállítások'!$B$84,MIN(10,MAX(1,ROUND('Ügyfelek'!C144,0)))))</f>
        <v/>
      </c>
      <c r="D144">
        <f>IF($A144="","",IF('Ügyfelek'!D144="",'Beállítások'!$B$84,MIN(10,MAX(1,ROUND('Ügyfelek'!D144,0)))))</f>
        <v/>
      </c>
      <c r="E144">
        <f>IF($A144="","",IF('Ügyfelek'!E144="",'Beállítások'!$B$84,MIN(10,MAX(1,ROUND('Ügyfelek'!E144,0)))))</f>
        <v/>
      </c>
      <c r="F144">
        <f>IF($A144="","",IF('Ügyfelek'!F144="",'Beállítások'!$B$84,MIN(10,MAX(1,ROUND('Ügyfelek'!F144,0)))))</f>
        <v/>
      </c>
      <c r="G144">
        <f>IF($A144="","",IF('Ügyfelek'!G144="",'Beállítások'!$B$84,MIN(10,MAX(1,ROUND('Ügyfelek'!G144,0)))))</f>
        <v/>
      </c>
      <c r="H144">
        <f>IF($A144="","",IF('Ügyfelek'!H144="",'Beállítások'!$B$84,MIN(10,MAX(1,ROUND('Ügyfelek'!H144,0)))))</f>
        <v/>
      </c>
      <c r="I144">
        <f>IF($A144="","",IF('Ügyfelek'!I144="",'Beállítások'!$B$84,MIN(10,MAX(1,ROUND('Ügyfelek'!I144,0)))))</f>
        <v/>
      </c>
      <c r="J144">
        <f>IF($A144="","",IF('Ügyfelek'!J144="",'Beállítások'!$B$84,MIN(10,MAX(1,ROUND('Ügyfelek'!J144,0)))))</f>
        <v/>
      </c>
      <c r="K144">
        <f>IF($A144="","",IF('Ügyfelek'!K144="",'Beállítások'!$B$84,MIN(10,MAX(1,ROUND('Ügyfelek'!K144,0)))))</f>
        <v/>
      </c>
      <c r="L144">
        <f>IF($A144="","",IF('Ügyfelek'!L144="",'Beállítások'!$B$84,MIN(10,MAX(1,ROUND('Ügyfelek'!L144,0)))))</f>
        <v/>
      </c>
      <c r="M144">
        <f>IF($A144="","",IF('Ügyfelek'!M144="",'Beállítások'!$B$84,MIN(10,MAX(1,ROUND('Ügyfelek'!M144,0)))))</f>
        <v/>
      </c>
      <c r="N144">
        <f>IF($A144="","",IF('Ügyfelek'!N144="",'Beállítások'!$B$84,MIN(10,MAX(1,ROUND('Ügyfelek'!N144,0)))))</f>
        <v/>
      </c>
      <c r="O144">
        <f>IF($A144="","",IF('Ügyfelek'!O144="",'Beállítások'!$B$84,MIN(10,MAX(1,ROUND('Ügyfelek'!O144,0)))))</f>
        <v/>
      </c>
      <c r="P144">
        <f>IF($A144="","",IF('Ügyfelek'!P144="",'Beállítások'!$B$84,MIN(10,MAX(1,ROUND('Ügyfelek'!P144,0)))))</f>
        <v/>
      </c>
      <c r="Q144">
        <f>IF($A144="","",IF('Ügyfelek'!Q144="",'Beállítások'!$B$84,MIN(10,MAX(1,ROUND('Ügyfelek'!Q144,0)))))</f>
        <v/>
      </c>
      <c r="R144">
        <f>IF($A144="","",IF('Ügyfelek'!R144="",'Beállítások'!$B$84,MIN(10,MAX(1,ROUND('Ügyfelek'!R144,0)))))</f>
        <v/>
      </c>
      <c r="S144">
        <f>IF($A144="","",IF('Ügyfelek'!S144="",'Beállítások'!$B$84,MIN(10,MAX(1,ROUND('Ügyfelek'!S144,0)))))</f>
        <v/>
      </c>
      <c r="T144">
        <f>IF($A144="","",IF('Ügyfelek'!T144="",'Beállítások'!$B$84,VLOOKUP(MAX('Ügyfelek'!T144,'Beállítások'!$H$7),'Beállítások'!$H$7:$I$12,2,TRUE)))</f>
        <v/>
      </c>
      <c r="U144">
        <f>IF($A144="","",IF('Ügyfelek'!U144="",'Beállítások'!$B$84,VLOOKUP(MAX('Ügyfelek'!U144,'Beállítások'!$K$7),'Beállítások'!$K$7:$L$12,2,TRUE)))</f>
        <v/>
      </c>
      <c r="V144">
        <f>IF($A144="","",IF('Ügyfelek'!V144="",'Beállítások'!$B$84,MIN(10,MAX(1,ROUND('Ügyfelek'!V144,0)))))</f>
        <v/>
      </c>
      <c r="W144">
        <f>IF($A144="","",IF('Ügyfelek'!W144="",'Beállítások'!$B$84,VLOOKUP(MAX('Ügyfelek'!W144,'Beállítások'!$N$7),'Beállítások'!$N$7:$O$12,2,TRUE)))</f>
        <v/>
      </c>
      <c r="X144">
        <f>IF($A144="","",IF('Ügyfelek'!X144="",'Beállítások'!$B$84,MIN(10,MAX(1,ROUND('Ügyfelek'!X144,0)))))</f>
        <v/>
      </c>
      <c r="Y144">
        <f>IF($A144="","",IF('Ügyfelek'!Y144="",'Beállítások'!$B$84,IFERROR(VLOOKUP(TRIM('Ügyfelek'!Y144),'Beállítások'!$A$63:$B$69,2,FALSE),'Beállítások'!$B$84)))</f>
        <v/>
      </c>
      <c r="Z144">
        <f>IF($A144="","",IF('Ügyfelek'!Z144="",'Beállítások'!$B$84,VLOOKUP(MAX('Ügyfelek'!Z144,'Beállítások'!$Q$7),'Beállítások'!$Q$7:$R$12,2,TRUE)))</f>
        <v/>
      </c>
      <c r="AA144">
        <f>IF($A144="","",IF('Ügyfelek'!AA144="",'Beállítások'!$B$84,VLOOKUP(MAX('Ügyfelek'!AA144,'Beállítások'!$T$7),'Beállítások'!$T$7:$U$12,2,TRUE)))</f>
        <v/>
      </c>
      <c r="AB144">
        <f>IF($A144="","",IF('Ügyfelek'!AB144="",'Beállítások'!$B$84,MIN(10,MAX(1,ROUND('Ügyfelek'!AB144,0)))))</f>
        <v/>
      </c>
      <c r="AC144">
        <f>IF($A144="","",IF('Ügyfelek'!AC144="",'Beállítások'!$B$84,MIN(10,MAX(1,ROUND('Ügyfelek'!AC144,0)))))</f>
        <v/>
      </c>
      <c r="AD144">
        <f>IF($A144="","",IF('Ügyfelek'!AD144="",'Beállítások'!$B$84,MIN(10,MAX(1,ROUND('Ügyfelek'!AD144,0)))))</f>
        <v/>
      </c>
      <c r="AE144">
        <f>IF($A144="","",IF('Ügyfelek'!AE144="",'Beállítások'!$B$84,MIN(10,MAX(1,ROUND('Ügyfelek'!AE144,0)))))</f>
        <v/>
      </c>
      <c r="AF144">
        <f>IF($A144="","",IF('Ügyfelek'!AF144="",'Beállítások'!$B$84,MIN(10,MAX(1,ROUND('Ügyfelek'!AF144,0)))))</f>
        <v/>
      </c>
      <c r="AG144">
        <f>IF($A144="","",IF('Ügyfelek'!AG144="",'Beállítások'!$B$84,MIN(10,MAX(1,ROUND('Ügyfelek'!AG144,0)))))</f>
        <v/>
      </c>
      <c r="AH144">
        <f>IF($A144="","",IF('Ügyfelek'!AH144="",'Beállítások'!$B$84,IFERROR(VLOOKUP(TRIM('Ügyfelek'!AH144),'Beállítások'!$A$73:$B$79,2,FALSE),'Beállítások'!$B$84)))</f>
        <v/>
      </c>
      <c r="AI144" s="23">
        <f>IF($A144="","",ROUND(100*('Beállítások'!$E$6*(B144-1)+'Beállítások'!$E$7*(C144-1))/(9*'Beállítások'!$B$43),1))</f>
        <v/>
      </c>
      <c r="AJ144" s="23">
        <f>IF($A144="","",ROUND(100*('Beállítások'!$E$8*(D144-1)+'Beállítások'!$E$9*(E144-1)+'Beállítások'!$E$10*(F144-1)+'Beállítások'!$E$11*(G144-1)+'Beállítások'!$E$12*(H144-1)+'Beállítások'!$E$13*(I144-1)+'Beállítások'!$E$14*(J144-1)+'Beállítások'!$E$15*(K144-1)+'Beállítások'!$E$16*(L144-1)+'Beállítások'!$E$17*(M144-1)+'Beállítások'!$E$18*(N144-1)+'Beállítások'!$E$19*(O144-1)+'Beállítások'!$E$20*(P144-1)+'Beállítások'!$E$21*(Q144-1)+'Beállítások'!$E$22*(R144-1))/(9*'Beállítások'!$B$44),1))</f>
        <v/>
      </c>
      <c r="AK144" s="23">
        <f>IF($A144="","",ROUND(100*('Beállítások'!$E$23*(S144-1)+'Beállítások'!$E$24*(T144-1)+'Beállítások'!$E$25*(U144-1)+'Beállítások'!$E$26*(V144-1)+'Beállítások'!$E$27*(W144-1)+'Beállítások'!$E$28*(X144-1)+'Beállítások'!$E$29*(Y144-1))/(9*'Beállítások'!$B$45),1))</f>
        <v/>
      </c>
      <c r="AL144" s="23">
        <f>IF($A144="","",ROUND(100*('Beállítások'!$E$30*(Z144-1)+'Beállítások'!$E$31*(AA144-1)+'Beállítások'!$E$32*(AB144-1)+'Beállítások'!$E$33*(AC144-1)+'Beállítások'!$E$34*(AD144-1)+'Beállítások'!$E$35*(AE144-1)+'Beállítások'!$E$36*(AF144-1)+'Beállítások'!$E$37*(AG144-1)+'Beállítások'!$E$38*(AH144-1))/(9*'Beállítások'!$B$46),1))</f>
        <v/>
      </c>
      <c r="AM144" s="23">
        <f>IF($A144="","",ROUND(100*('Beállítások'!$E$6*(B144-1)+'Beállítások'!$E$7*(C144-1)+'Beállítások'!$E$8*(D144-1)+'Beállítások'!$E$9*(E144-1)+'Beállítások'!$E$10*(F144-1)+'Beállítások'!$E$11*(G144-1)+'Beállítások'!$E$12*(H144-1)+'Beállítások'!$E$13*(I144-1)+'Beállítások'!$E$14*(J144-1)+'Beállítások'!$E$15*(K144-1)+'Beállítások'!$E$16*(L144-1)+'Beállítások'!$E$17*(M144-1)+'Beállítások'!$E$18*(N144-1)+'Beállítások'!$E$19*(O144-1)+'Beállítások'!$E$20*(P144-1)+'Beállítások'!$E$21*(Q144-1)+'Beállítások'!$E$22*(R144-1)+'Beállítások'!$E$23*(S144-1)+'Beállítások'!$E$24*(T144-1)+'Beállítások'!$E$25*(U144-1)+'Beállítások'!$E$26*(V144-1)+'Beállítások'!$E$27*(W144-1)+'Beállítások'!$E$28*(X144-1)+'Beállítások'!$E$29*(Y144-1)+'Beállítások'!$E$30*(Z144-1)+'Beállítások'!$E$31*(AA144-1)+'Beállítások'!$E$32*(AB144-1)+'Beállítások'!$E$33*(AC144-1)+'Beállítások'!$E$34*(AD144-1)+'Beállítások'!$E$35*(AE144-1)+'Beállítások'!$E$36*(AF144-1)+'Beállítások'!$E$37*(AG144-1)+'Beállítások'!$E$38*(AH144-1))/(9*'Beállítások'!$E$39),1))</f>
        <v/>
      </c>
      <c r="AN144" s="23">
        <f>IF($A144="","",ROUND(100*('Beállítások'!$E$8*(D144-1)+'Beállítások'!$E$9*(E144-1)+'Beállítások'!$E$10*(F144-1)+'Beállítások'!$E$11*(G144-1)+'Beállítások'!$E$12*(H144-1)+'Beállítások'!$E$13*(I144-1)+'Beállítások'!$E$14*(J144-1)+'Beállítások'!$E$15*(K144-1)+'Beállítások'!$E$16*(L144-1)+'Beállítások'!$E$17*(M144-1)+'Beállítások'!$E$18*(N144-1)+'Beállítások'!$E$19*(O144-1)+'Beállítások'!$E$20*(P144-1)+'Beállítások'!$E$21*(Q144-1)+'Beállítások'!$E$22*(R144-1)+'Beállítások'!$E$23*(S144-1)+'Beállítások'!$E$24*(T144-1)+'Beállítások'!$E$25*(U144-1)+'Beállítások'!$E$26*(V144-1)+'Beállítások'!$E$27*(W144-1)+'Beállítások'!$E$28*(X144-1)+'Beállítások'!$E$29*(Y144-1))/(9*('Beállítások'!$B$44+'Beállítások'!$B$45)),1))</f>
        <v/>
      </c>
      <c r="AO144" s="24">
        <f>IF($A144="","",RANK(AM144,$AM$2:$AM$201))</f>
        <v/>
      </c>
      <c r="AP144">
        <f>IF($A144="","",IF(OR(AND('Ügyfelek'!B144&lt;&gt;"",B144&lt;='Beállítások'!$B$85),AND('Ügyfelek'!C144&lt;&gt;"",C144&lt;='Beállítások'!$B$86)),"Igen","Nem"))</f>
        <v/>
      </c>
      <c r="AQ144" s="24">
        <f>IF($A144="","",IF(AP144="Igen",5,IF(AN144&gt;='Beállítások'!$C$108,1,IF(AN144&gt;='Beállítások'!$C$109,2,IF(AN144&gt;='Beállítások'!$C$110,3,IF(AND(AN144&gt;='Beállítások'!$B$87,AI144&gt;='Beállítások'!$B$88,AL144&gt;='Beállítások'!$B$89),4,5))))))</f>
        <v/>
      </c>
      <c r="AR144">
        <f>IF($A144="","",INDEX('Beállítások'!$B$108:$B$112,AQ144))</f>
        <v/>
      </c>
      <c r="AS144">
        <f>IF($A144="","",IF(AQ144=5,"Elutasítjuk",IF(AND(AQ144=4,COUNTIFS('Eredmény'!$AQ$2:$AQ$201,4,'Eredmény'!$DY$2:$DY$201,"&gt;"&amp;DY144)&gt;='Beállítások'!$B$90),"Várólista (a 4-es hely foglalt)","Elfogadjuk")))</f>
        <v/>
      </c>
      <c r="AT144">
        <f>IF($A144="","",INDEX('Beállítások'!$F$108:$F$112,AQ144))</f>
        <v/>
      </c>
      <c r="AU144">
        <f>IF($A144="","",INDEX('Beállítások'!$B$6:$B$38,MATCH(MAX(BK144:CQ144),BK144:CQ144,0)))</f>
        <v/>
      </c>
      <c r="AV144">
        <f>IF($A144="","",IF(MAX(CR144:DX144)=0,"—",INDEX('Beállítások'!$B$6:$B$38,MATCH(MAX(CR144:DX144),CR144:DX144,0))))</f>
        <v/>
      </c>
      <c r="AW144" s="10">
        <f>IF($A144="","",'Beállítások'!$B$94*(TRIM('Ügyfelek'!AI144)="igen")+'Beállítások'!$B$95*(TRIM('Ügyfelek'!AJ144)="igen")+'Beállítások'!$B$96*N('Ügyfelek'!AK144)+'Beállítások'!$B$93*N('Ügyfelek'!AL144))</f>
        <v/>
      </c>
      <c r="AX144" s="25">
        <f>IF(OR($A144="",AQ144=5),"",INDEX('Beállítások'!$D$108:$D$112,AQ144))</f>
        <v/>
      </c>
      <c r="AY144" s="10">
        <f>IF($A144="","",N('Ügyfelek'!U144)*'Beállítások'!$B$98)</f>
        <v/>
      </c>
      <c r="AZ144" s="10">
        <f>IF(OR($A144="",AQ144=5),"",CEILING(ROUND(MAX('Beállítások'!$B$97,AW144*AX144,AY144),2),'Beállítások'!$B$99))</f>
        <v/>
      </c>
      <c r="BA144">
        <f>IF($A144="","",IF(AQ144=5,"Elutasítva",IF(MAX('Beállítások'!$B$97,AW144*AX144,AY144)=AW144*AX144,"Munkaigény × státuszszorzó",IF(MAX('Beállítások'!$B$97,AW144*AX144,AY144)=AY144,"Hirdetési keret arányában","Minimumdíj"))))</f>
        <v/>
      </c>
      <c r="BB144" s="10">
        <f>IF(OR($A144="",'Ügyfelek'!AM144=""),"",'Ügyfelek'!AM144)</f>
        <v/>
      </c>
      <c r="BC144" s="10">
        <f>IF(OR(BB144="",AZ144=""),"",AZ144-BB144)</f>
        <v/>
      </c>
      <c r="BD144" s="18">
        <f>IF(OR(BB144="",AZ144="",BB144=0),"",BC144/BB144)</f>
        <v/>
      </c>
      <c r="BE144">
        <f>IF(OR($A144="",AQ144=5),"",IF(AND(INDEX('Beállítások'!$E$108:$E$112,AQ144)&gt;0,Y144&gt;='Beállítások'!$B$91),"Igen","Nem"))</f>
        <v/>
      </c>
      <c r="BF144" s="10">
        <f>IF(BE144="Igen",CEILING(ROUND(AZ144*(1-'Beállítások'!$B$92),2),'Beállítások'!$B$99),"")</f>
        <v/>
      </c>
      <c r="BG144" s="20">
        <f>IF(BE144="Igen",INDEX('Beállítások'!$E$108:$E$112,AQ144),"")</f>
        <v/>
      </c>
      <c r="BH144" s="10">
        <f>IF(OR(BE144&lt;&gt;"Igen",'Ügyfelek'!AN144=""),"",'Ügyfelek'!AN144*BG144)</f>
        <v/>
      </c>
      <c r="BI144" s="24">
        <f>IF($A144="","",('Ügyfelek'!B144="")+('Ügyfelek'!C144="")+('Ügyfelek'!D144="")+('Ügyfelek'!E144="")+('Ügyfelek'!F144="")+('Ügyfelek'!G144="")+('Ügyfelek'!H144="")+('Ügyfelek'!I144="")+('Ügyfelek'!J144="")+('Ügyfelek'!K144="")+('Ügyfelek'!L144="")+('Ügyfelek'!M144="")+('Ügyfelek'!N144="")+('Ügyfelek'!O144="")+('Ügyfelek'!P144="")+('Ügyfelek'!Q144="")+('Ügyfelek'!R144="")+('Ügyfelek'!S144="")+('Ügyfelek'!T144="")+('Ügyfelek'!U144="")+('Ügyfelek'!V144="")+('Ügyfelek'!W144="")+('Ügyfelek'!X144="")+('Ügyfelek'!Y144="")+('Ügyfelek'!Z144="")+('Ügyfelek'!AA144="")+('Ügyfelek'!AB144="")+('Ügyfelek'!AC144="")+('Ügyfelek'!AD144="")+('Ügyfelek'!AE144="")+('Ügyfelek'!AF144="")+('Ügyfelek'!AG144="")+('Ügyfelek'!AH144=""))</f>
        <v/>
      </c>
      <c r="BK144">
        <f>IF($A144="","",B144+'Beállítások'!$E$6/1000)</f>
        <v/>
      </c>
      <c r="BL144">
        <f>IF($A144="","",C144+'Beállítások'!$E$7/1000)</f>
        <v/>
      </c>
      <c r="BM144">
        <f>IF($A144="","",D144+'Beállítások'!$E$8/1000)</f>
        <v/>
      </c>
      <c r="BN144">
        <f>IF($A144="","",E144+'Beállítások'!$E$9/1000)</f>
        <v/>
      </c>
      <c r="BO144">
        <f>IF($A144="","",F144+'Beállítások'!$E$10/1000)</f>
        <v/>
      </c>
      <c r="BP144">
        <f>IF($A144="","",G144+'Beállítások'!$E$11/1000)</f>
        <v/>
      </c>
      <c r="BQ144">
        <f>IF($A144="","",H144+'Beállítások'!$E$12/1000)</f>
        <v/>
      </c>
      <c r="BR144">
        <f>IF($A144="","",I144+'Beállítások'!$E$13/1000)</f>
        <v/>
      </c>
      <c r="BS144">
        <f>IF($A144="","",J144+'Beállítások'!$E$14/1000)</f>
        <v/>
      </c>
      <c r="BT144">
        <f>IF($A144="","",K144+'Beállítások'!$E$15/1000)</f>
        <v/>
      </c>
      <c r="BU144">
        <f>IF($A144="","",L144+'Beállítások'!$E$16/1000)</f>
        <v/>
      </c>
      <c r="BV144">
        <f>IF($A144="","",M144+'Beállítások'!$E$17/1000)</f>
        <v/>
      </c>
      <c r="BW144">
        <f>IF($A144="","",N144+'Beállítások'!$E$18/1000)</f>
        <v/>
      </c>
      <c r="BX144">
        <f>IF($A144="","",O144+'Beállítások'!$E$19/1000)</f>
        <v/>
      </c>
      <c r="BY144">
        <f>IF($A144="","",P144+'Beállítások'!$E$20/1000)</f>
        <v/>
      </c>
      <c r="BZ144">
        <f>IF($A144="","",Q144+'Beállítások'!$E$21/1000)</f>
        <v/>
      </c>
      <c r="CA144">
        <f>IF($A144="","",R144+'Beállítások'!$E$22/1000)</f>
        <v/>
      </c>
      <c r="CB144">
        <f>IF($A144="","",S144+'Beállítások'!$E$23/1000)</f>
        <v/>
      </c>
      <c r="CC144">
        <f>IF($A144="","",T144+'Beállítások'!$E$24/1000)</f>
        <v/>
      </c>
      <c r="CD144">
        <f>IF($A144="","",U144+'Beállítások'!$E$25/1000)</f>
        <v/>
      </c>
      <c r="CE144">
        <f>IF($A144="","",V144+'Beállítások'!$E$26/1000)</f>
        <v/>
      </c>
      <c r="CF144">
        <f>IF($A144="","",W144+'Beállítások'!$E$27/1000)</f>
        <v/>
      </c>
      <c r="CG144">
        <f>IF($A144="","",X144+'Beállítások'!$E$28/1000)</f>
        <v/>
      </c>
      <c r="CH144">
        <f>IF($A144="","",Y144+'Beállítások'!$E$29/1000)</f>
        <v/>
      </c>
      <c r="CI144">
        <f>IF($A144="","",Z144+'Beállítások'!$E$30/1000)</f>
        <v/>
      </c>
      <c r="CJ144">
        <f>IF($A144="","",AA144+'Beállítások'!$E$31/1000)</f>
        <v/>
      </c>
      <c r="CK144">
        <f>IF($A144="","",AB144+'Beállítások'!$E$32/1000)</f>
        <v/>
      </c>
      <c r="CL144">
        <f>IF($A144="","",AC144+'Beállítások'!$E$33/1000)</f>
        <v/>
      </c>
      <c r="CM144">
        <f>IF($A144="","",AD144+'Beállítások'!$E$34/1000)</f>
        <v/>
      </c>
      <c r="CN144">
        <f>IF($A144="","",AE144+'Beállítások'!$E$35/1000)</f>
        <v/>
      </c>
      <c r="CO144">
        <f>IF($A144="","",AF144+'Beállítások'!$E$36/1000)</f>
        <v/>
      </c>
      <c r="CP144">
        <f>IF($A144="","",AG144+'Beállítások'!$E$37/1000)</f>
        <v/>
      </c>
      <c r="CQ144">
        <f>IF($A144="","",AH144+'Beállítások'!$E$38/1000)</f>
        <v/>
      </c>
      <c r="CR144">
        <f>IF($A144="","",'Beállítások'!$E$6*(10-B144))</f>
        <v/>
      </c>
      <c r="CS144">
        <f>IF($A144="","",'Beállítások'!$E$7*(10-C144))</f>
        <v/>
      </c>
      <c r="CT144">
        <f>IF($A144="","",'Beállítások'!$E$8*(10-D144))</f>
        <v/>
      </c>
      <c r="CU144">
        <f>IF($A144="","",'Beállítások'!$E$9*(10-E144))</f>
        <v/>
      </c>
      <c r="CV144">
        <f>IF($A144="","",'Beállítások'!$E$10*(10-F144))</f>
        <v/>
      </c>
      <c r="CW144">
        <f>IF($A144="","",'Beállítások'!$E$11*(10-G144))</f>
        <v/>
      </c>
      <c r="CX144">
        <f>IF($A144="","",'Beállítások'!$E$12*(10-H144))</f>
        <v/>
      </c>
      <c r="CY144">
        <f>IF($A144="","",'Beállítások'!$E$13*(10-I144))</f>
        <v/>
      </c>
      <c r="CZ144">
        <f>IF($A144="","",'Beállítások'!$E$14*(10-J144))</f>
        <v/>
      </c>
      <c r="DA144">
        <f>IF($A144="","",'Beállítások'!$E$15*(10-K144))</f>
        <v/>
      </c>
      <c r="DB144">
        <f>IF($A144="","",'Beállítások'!$E$16*(10-L144))</f>
        <v/>
      </c>
      <c r="DC144">
        <f>IF($A144="","",'Beállítások'!$E$17*(10-M144))</f>
        <v/>
      </c>
      <c r="DD144">
        <f>IF($A144="","",'Beállítások'!$E$18*(10-N144))</f>
        <v/>
      </c>
      <c r="DE144">
        <f>IF($A144="","",'Beállítások'!$E$19*(10-O144))</f>
        <v/>
      </c>
      <c r="DF144">
        <f>IF($A144="","",'Beállítások'!$E$20*(10-P144))</f>
        <v/>
      </c>
      <c r="DG144">
        <f>IF($A144="","",'Beállítások'!$E$21*(10-Q144))</f>
        <v/>
      </c>
      <c r="DH144">
        <f>IF($A144="","",'Beállítások'!$E$22*(10-R144))</f>
        <v/>
      </c>
      <c r="DI144">
        <f>IF($A144="","",'Beállítások'!$E$23*(10-S144))</f>
        <v/>
      </c>
      <c r="DJ144">
        <f>IF($A144="","",'Beállítások'!$E$24*(10-T144))</f>
        <v/>
      </c>
      <c r="DK144">
        <f>IF($A144="","",'Beállítások'!$E$25*(10-U144))</f>
        <v/>
      </c>
      <c r="DL144">
        <f>IF($A144="","",'Beállítások'!$E$26*(10-V144))</f>
        <v/>
      </c>
      <c r="DM144">
        <f>IF($A144="","",'Beállítások'!$E$27*(10-W144))</f>
        <v/>
      </c>
      <c r="DN144">
        <f>IF($A144="","",'Beállítások'!$E$28*(10-X144))</f>
        <v/>
      </c>
      <c r="DO144">
        <f>IF($A144="","",'Beállítások'!$E$29*(10-Y144))</f>
        <v/>
      </c>
      <c r="DP144">
        <f>IF($A144="","",'Beállítások'!$E$30*(10-Z144))</f>
        <v/>
      </c>
      <c r="DQ144">
        <f>IF($A144="","",'Beállítások'!$E$31*(10-AA144))</f>
        <v/>
      </c>
      <c r="DR144">
        <f>IF($A144="","",'Beállítások'!$E$32*(10-AB144))</f>
        <v/>
      </c>
      <c r="DS144">
        <f>IF($A144="","",'Beállítások'!$E$33*(10-AC144))</f>
        <v/>
      </c>
      <c r="DT144">
        <f>IF($A144="","",'Beállítások'!$E$34*(10-AD144))</f>
        <v/>
      </c>
      <c r="DU144">
        <f>IF($A144="","",'Beállítások'!$E$35*(10-AE144))</f>
        <v/>
      </c>
      <c r="DV144">
        <f>IF($A144="","",'Beállítások'!$E$36*(10-AF144))</f>
        <v/>
      </c>
      <c r="DW144">
        <f>IF($A144="","",'Beállítások'!$E$37*(10-AG144))</f>
        <v/>
      </c>
      <c r="DX144">
        <f>IF($A144="","",'Beállítások'!$E$38*(10-AH144))</f>
        <v/>
      </c>
      <c r="DY144">
        <f>IF($A144="","",AM144-ROW()/100000)</f>
        <v/>
      </c>
    </row>
    <row r="145">
      <c r="A145">
        <f>IF('Ügyfelek'!A145="","",'Ügyfelek'!A145)</f>
        <v/>
      </c>
      <c r="B145">
        <f>IF($A145="","",IF('Ügyfelek'!B145="",'Beállítások'!$B$84,IFERROR(VLOOKUP(TRIM('Ügyfelek'!B145),'Beállítások'!$A$51:$B$59,2,FALSE),'Beállítások'!$B$84)))</f>
        <v/>
      </c>
      <c r="C145">
        <f>IF($A145="","",IF('Ügyfelek'!C145="",'Beállítások'!$B$84,MIN(10,MAX(1,ROUND('Ügyfelek'!C145,0)))))</f>
        <v/>
      </c>
      <c r="D145">
        <f>IF($A145="","",IF('Ügyfelek'!D145="",'Beállítások'!$B$84,MIN(10,MAX(1,ROUND('Ügyfelek'!D145,0)))))</f>
        <v/>
      </c>
      <c r="E145">
        <f>IF($A145="","",IF('Ügyfelek'!E145="",'Beállítások'!$B$84,MIN(10,MAX(1,ROUND('Ügyfelek'!E145,0)))))</f>
        <v/>
      </c>
      <c r="F145">
        <f>IF($A145="","",IF('Ügyfelek'!F145="",'Beállítások'!$B$84,MIN(10,MAX(1,ROUND('Ügyfelek'!F145,0)))))</f>
        <v/>
      </c>
      <c r="G145">
        <f>IF($A145="","",IF('Ügyfelek'!G145="",'Beállítások'!$B$84,MIN(10,MAX(1,ROUND('Ügyfelek'!G145,0)))))</f>
        <v/>
      </c>
      <c r="H145">
        <f>IF($A145="","",IF('Ügyfelek'!H145="",'Beállítások'!$B$84,MIN(10,MAX(1,ROUND('Ügyfelek'!H145,0)))))</f>
        <v/>
      </c>
      <c r="I145">
        <f>IF($A145="","",IF('Ügyfelek'!I145="",'Beállítások'!$B$84,MIN(10,MAX(1,ROUND('Ügyfelek'!I145,0)))))</f>
        <v/>
      </c>
      <c r="J145">
        <f>IF($A145="","",IF('Ügyfelek'!J145="",'Beállítások'!$B$84,MIN(10,MAX(1,ROUND('Ügyfelek'!J145,0)))))</f>
        <v/>
      </c>
      <c r="K145">
        <f>IF($A145="","",IF('Ügyfelek'!K145="",'Beállítások'!$B$84,MIN(10,MAX(1,ROUND('Ügyfelek'!K145,0)))))</f>
        <v/>
      </c>
      <c r="L145">
        <f>IF($A145="","",IF('Ügyfelek'!L145="",'Beállítások'!$B$84,MIN(10,MAX(1,ROUND('Ügyfelek'!L145,0)))))</f>
        <v/>
      </c>
      <c r="M145">
        <f>IF($A145="","",IF('Ügyfelek'!M145="",'Beállítások'!$B$84,MIN(10,MAX(1,ROUND('Ügyfelek'!M145,0)))))</f>
        <v/>
      </c>
      <c r="N145">
        <f>IF($A145="","",IF('Ügyfelek'!N145="",'Beállítások'!$B$84,MIN(10,MAX(1,ROUND('Ügyfelek'!N145,0)))))</f>
        <v/>
      </c>
      <c r="O145">
        <f>IF($A145="","",IF('Ügyfelek'!O145="",'Beállítások'!$B$84,MIN(10,MAX(1,ROUND('Ügyfelek'!O145,0)))))</f>
        <v/>
      </c>
      <c r="P145">
        <f>IF($A145="","",IF('Ügyfelek'!P145="",'Beállítások'!$B$84,MIN(10,MAX(1,ROUND('Ügyfelek'!P145,0)))))</f>
        <v/>
      </c>
      <c r="Q145">
        <f>IF($A145="","",IF('Ügyfelek'!Q145="",'Beállítások'!$B$84,MIN(10,MAX(1,ROUND('Ügyfelek'!Q145,0)))))</f>
        <v/>
      </c>
      <c r="R145">
        <f>IF($A145="","",IF('Ügyfelek'!R145="",'Beállítások'!$B$84,MIN(10,MAX(1,ROUND('Ügyfelek'!R145,0)))))</f>
        <v/>
      </c>
      <c r="S145">
        <f>IF($A145="","",IF('Ügyfelek'!S145="",'Beállítások'!$B$84,MIN(10,MAX(1,ROUND('Ügyfelek'!S145,0)))))</f>
        <v/>
      </c>
      <c r="T145">
        <f>IF($A145="","",IF('Ügyfelek'!T145="",'Beállítások'!$B$84,VLOOKUP(MAX('Ügyfelek'!T145,'Beállítások'!$H$7),'Beállítások'!$H$7:$I$12,2,TRUE)))</f>
        <v/>
      </c>
      <c r="U145">
        <f>IF($A145="","",IF('Ügyfelek'!U145="",'Beállítások'!$B$84,VLOOKUP(MAX('Ügyfelek'!U145,'Beállítások'!$K$7),'Beállítások'!$K$7:$L$12,2,TRUE)))</f>
        <v/>
      </c>
      <c r="V145">
        <f>IF($A145="","",IF('Ügyfelek'!V145="",'Beállítások'!$B$84,MIN(10,MAX(1,ROUND('Ügyfelek'!V145,0)))))</f>
        <v/>
      </c>
      <c r="W145">
        <f>IF($A145="","",IF('Ügyfelek'!W145="",'Beállítások'!$B$84,VLOOKUP(MAX('Ügyfelek'!W145,'Beállítások'!$N$7),'Beállítások'!$N$7:$O$12,2,TRUE)))</f>
        <v/>
      </c>
      <c r="X145">
        <f>IF($A145="","",IF('Ügyfelek'!X145="",'Beállítások'!$B$84,MIN(10,MAX(1,ROUND('Ügyfelek'!X145,0)))))</f>
        <v/>
      </c>
      <c r="Y145">
        <f>IF($A145="","",IF('Ügyfelek'!Y145="",'Beállítások'!$B$84,IFERROR(VLOOKUP(TRIM('Ügyfelek'!Y145),'Beállítások'!$A$63:$B$69,2,FALSE),'Beállítások'!$B$84)))</f>
        <v/>
      </c>
      <c r="Z145">
        <f>IF($A145="","",IF('Ügyfelek'!Z145="",'Beállítások'!$B$84,VLOOKUP(MAX('Ügyfelek'!Z145,'Beállítások'!$Q$7),'Beállítások'!$Q$7:$R$12,2,TRUE)))</f>
        <v/>
      </c>
      <c r="AA145">
        <f>IF($A145="","",IF('Ügyfelek'!AA145="",'Beállítások'!$B$84,VLOOKUP(MAX('Ügyfelek'!AA145,'Beállítások'!$T$7),'Beállítások'!$T$7:$U$12,2,TRUE)))</f>
        <v/>
      </c>
      <c r="AB145">
        <f>IF($A145="","",IF('Ügyfelek'!AB145="",'Beállítások'!$B$84,MIN(10,MAX(1,ROUND('Ügyfelek'!AB145,0)))))</f>
        <v/>
      </c>
      <c r="AC145">
        <f>IF($A145="","",IF('Ügyfelek'!AC145="",'Beállítások'!$B$84,MIN(10,MAX(1,ROUND('Ügyfelek'!AC145,0)))))</f>
        <v/>
      </c>
      <c r="AD145">
        <f>IF($A145="","",IF('Ügyfelek'!AD145="",'Beállítások'!$B$84,MIN(10,MAX(1,ROUND('Ügyfelek'!AD145,0)))))</f>
        <v/>
      </c>
      <c r="AE145">
        <f>IF($A145="","",IF('Ügyfelek'!AE145="",'Beállítások'!$B$84,MIN(10,MAX(1,ROUND('Ügyfelek'!AE145,0)))))</f>
        <v/>
      </c>
      <c r="AF145">
        <f>IF($A145="","",IF('Ügyfelek'!AF145="",'Beállítások'!$B$84,MIN(10,MAX(1,ROUND('Ügyfelek'!AF145,0)))))</f>
        <v/>
      </c>
      <c r="AG145">
        <f>IF($A145="","",IF('Ügyfelek'!AG145="",'Beállítások'!$B$84,MIN(10,MAX(1,ROUND('Ügyfelek'!AG145,0)))))</f>
        <v/>
      </c>
      <c r="AH145">
        <f>IF($A145="","",IF('Ügyfelek'!AH145="",'Beállítások'!$B$84,IFERROR(VLOOKUP(TRIM('Ügyfelek'!AH145),'Beállítások'!$A$73:$B$79,2,FALSE),'Beállítások'!$B$84)))</f>
        <v/>
      </c>
      <c r="AI145" s="23">
        <f>IF($A145="","",ROUND(100*('Beállítások'!$E$6*(B145-1)+'Beállítások'!$E$7*(C145-1))/(9*'Beállítások'!$B$43),1))</f>
        <v/>
      </c>
      <c r="AJ145" s="23">
        <f>IF($A145="","",ROUND(100*('Beállítások'!$E$8*(D145-1)+'Beállítások'!$E$9*(E145-1)+'Beállítások'!$E$10*(F145-1)+'Beállítások'!$E$11*(G145-1)+'Beállítások'!$E$12*(H145-1)+'Beállítások'!$E$13*(I145-1)+'Beállítások'!$E$14*(J145-1)+'Beállítások'!$E$15*(K145-1)+'Beállítások'!$E$16*(L145-1)+'Beállítások'!$E$17*(M145-1)+'Beállítások'!$E$18*(N145-1)+'Beállítások'!$E$19*(O145-1)+'Beállítások'!$E$20*(P145-1)+'Beállítások'!$E$21*(Q145-1)+'Beállítások'!$E$22*(R145-1))/(9*'Beállítások'!$B$44),1))</f>
        <v/>
      </c>
      <c r="AK145" s="23">
        <f>IF($A145="","",ROUND(100*('Beállítások'!$E$23*(S145-1)+'Beállítások'!$E$24*(T145-1)+'Beállítások'!$E$25*(U145-1)+'Beállítások'!$E$26*(V145-1)+'Beállítások'!$E$27*(W145-1)+'Beállítások'!$E$28*(X145-1)+'Beállítások'!$E$29*(Y145-1))/(9*'Beállítások'!$B$45),1))</f>
        <v/>
      </c>
      <c r="AL145" s="23">
        <f>IF($A145="","",ROUND(100*('Beállítások'!$E$30*(Z145-1)+'Beállítások'!$E$31*(AA145-1)+'Beállítások'!$E$32*(AB145-1)+'Beállítások'!$E$33*(AC145-1)+'Beállítások'!$E$34*(AD145-1)+'Beállítások'!$E$35*(AE145-1)+'Beállítások'!$E$36*(AF145-1)+'Beállítások'!$E$37*(AG145-1)+'Beállítások'!$E$38*(AH145-1))/(9*'Beállítások'!$B$46),1))</f>
        <v/>
      </c>
      <c r="AM145" s="23">
        <f>IF($A145="","",ROUND(100*('Beállítások'!$E$6*(B145-1)+'Beállítások'!$E$7*(C145-1)+'Beállítások'!$E$8*(D145-1)+'Beállítások'!$E$9*(E145-1)+'Beállítások'!$E$10*(F145-1)+'Beállítások'!$E$11*(G145-1)+'Beállítások'!$E$12*(H145-1)+'Beállítások'!$E$13*(I145-1)+'Beállítások'!$E$14*(J145-1)+'Beállítások'!$E$15*(K145-1)+'Beállítások'!$E$16*(L145-1)+'Beállítások'!$E$17*(M145-1)+'Beállítások'!$E$18*(N145-1)+'Beállítások'!$E$19*(O145-1)+'Beállítások'!$E$20*(P145-1)+'Beállítások'!$E$21*(Q145-1)+'Beállítások'!$E$22*(R145-1)+'Beállítások'!$E$23*(S145-1)+'Beállítások'!$E$24*(T145-1)+'Beállítások'!$E$25*(U145-1)+'Beállítások'!$E$26*(V145-1)+'Beállítások'!$E$27*(W145-1)+'Beállítások'!$E$28*(X145-1)+'Beállítások'!$E$29*(Y145-1)+'Beállítások'!$E$30*(Z145-1)+'Beállítások'!$E$31*(AA145-1)+'Beállítások'!$E$32*(AB145-1)+'Beállítások'!$E$33*(AC145-1)+'Beállítások'!$E$34*(AD145-1)+'Beállítások'!$E$35*(AE145-1)+'Beállítások'!$E$36*(AF145-1)+'Beállítások'!$E$37*(AG145-1)+'Beállítások'!$E$38*(AH145-1))/(9*'Beállítások'!$E$39),1))</f>
        <v/>
      </c>
      <c r="AN145" s="23">
        <f>IF($A145="","",ROUND(100*('Beállítások'!$E$8*(D145-1)+'Beállítások'!$E$9*(E145-1)+'Beállítások'!$E$10*(F145-1)+'Beállítások'!$E$11*(G145-1)+'Beállítások'!$E$12*(H145-1)+'Beállítások'!$E$13*(I145-1)+'Beállítások'!$E$14*(J145-1)+'Beállítások'!$E$15*(K145-1)+'Beállítások'!$E$16*(L145-1)+'Beállítások'!$E$17*(M145-1)+'Beállítások'!$E$18*(N145-1)+'Beállítások'!$E$19*(O145-1)+'Beállítások'!$E$20*(P145-1)+'Beállítások'!$E$21*(Q145-1)+'Beállítások'!$E$22*(R145-1)+'Beállítások'!$E$23*(S145-1)+'Beállítások'!$E$24*(T145-1)+'Beállítások'!$E$25*(U145-1)+'Beállítások'!$E$26*(V145-1)+'Beállítások'!$E$27*(W145-1)+'Beállítások'!$E$28*(X145-1)+'Beállítások'!$E$29*(Y145-1))/(9*('Beállítások'!$B$44+'Beállítások'!$B$45)),1))</f>
        <v/>
      </c>
      <c r="AO145" s="24">
        <f>IF($A145="","",RANK(AM145,$AM$2:$AM$201))</f>
        <v/>
      </c>
      <c r="AP145">
        <f>IF($A145="","",IF(OR(AND('Ügyfelek'!B145&lt;&gt;"",B145&lt;='Beállítások'!$B$85),AND('Ügyfelek'!C145&lt;&gt;"",C145&lt;='Beállítások'!$B$86)),"Igen","Nem"))</f>
        <v/>
      </c>
      <c r="AQ145" s="24">
        <f>IF($A145="","",IF(AP145="Igen",5,IF(AN145&gt;='Beállítások'!$C$108,1,IF(AN145&gt;='Beállítások'!$C$109,2,IF(AN145&gt;='Beállítások'!$C$110,3,IF(AND(AN145&gt;='Beállítások'!$B$87,AI145&gt;='Beállítások'!$B$88,AL145&gt;='Beállítások'!$B$89),4,5))))))</f>
        <v/>
      </c>
      <c r="AR145">
        <f>IF($A145="","",INDEX('Beállítások'!$B$108:$B$112,AQ145))</f>
        <v/>
      </c>
      <c r="AS145">
        <f>IF($A145="","",IF(AQ145=5,"Elutasítjuk",IF(AND(AQ145=4,COUNTIFS('Eredmény'!$AQ$2:$AQ$201,4,'Eredmény'!$DY$2:$DY$201,"&gt;"&amp;DY145)&gt;='Beállítások'!$B$90),"Várólista (a 4-es hely foglalt)","Elfogadjuk")))</f>
        <v/>
      </c>
      <c r="AT145">
        <f>IF($A145="","",INDEX('Beállítások'!$F$108:$F$112,AQ145))</f>
        <v/>
      </c>
      <c r="AU145">
        <f>IF($A145="","",INDEX('Beállítások'!$B$6:$B$38,MATCH(MAX(BK145:CQ145),BK145:CQ145,0)))</f>
        <v/>
      </c>
      <c r="AV145">
        <f>IF($A145="","",IF(MAX(CR145:DX145)=0,"—",INDEX('Beállítások'!$B$6:$B$38,MATCH(MAX(CR145:DX145),CR145:DX145,0))))</f>
        <v/>
      </c>
      <c r="AW145" s="10">
        <f>IF($A145="","",'Beállítások'!$B$94*(TRIM('Ügyfelek'!AI145)="igen")+'Beállítások'!$B$95*(TRIM('Ügyfelek'!AJ145)="igen")+'Beállítások'!$B$96*N('Ügyfelek'!AK145)+'Beállítások'!$B$93*N('Ügyfelek'!AL145))</f>
        <v/>
      </c>
      <c r="AX145" s="25">
        <f>IF(OR($A145="",AQ145=5),"",INDEX('Beállítások'!$D$108:$D$112,AQ145))</f>
        <v/>
      </c>
      <c r="AY145" s="10">
        <f>IF($A145="","",N('Ügyfelek'!U145)*'Beállítások'!$B$98)</f>
        <v/>
      </c>
      <c r="AZ145" s="10">
        <f>IF(OR($A145="",AQ145=5),"",CEILING(ROUND(MAX('Beállítások'!$B$97,AW145*AX145,AY145),2),'Beállítások'!$B$99))</f>
        <v/>
      </c>
      <c r="BA145">
        <f>IF($A145="","",IF(AQ145=5,"Elutasítva",IF(MAX('Beállítások'!$B$97,AW145*AX145,AY145)=AW145*AX145,"Munkaigény × státuszszorzó",IF(MAX('Beállítások'!$B$97,AW145*AX145,AY145)=AY145,"Hirdetési keret arányában","Minimumdíj"))))</f>
        <v/>
      </c>
      <c r="BB145" s="10">
        <f>IF(OR($A145="",'Ügyfelek'!AM145=""),"",'Ügyfelek'!AM145)</f>
        <v/>
      </c>
      <c r="BC145" s="10">
        <f>IF(OR(BB145="",AZ145=""),"",AZ145-BB145)</f>
        <v/>
      </c>
      <c r="BD145" s="18">
        <f>IF(OR(BB145="",AZ145="",BB145=0),"",BC145/BB145)</f>
        <v/>
      </c>
      <c r="BE145">
        <f>IF(OR($A145="",AQ145=5),"",IF(AND(INDEX('Beállítások'!$E$108:$E$112,AQ145)&gt;0,Y145&gt;='Beállítások'!$B$91),"Igen","Nem"))</f>
        <v/>
      </c>
      <c r="BF145" s="10">
        <f>IF(BE145="Igen",CEILING(ROUND(AZ145*(1-'Beállítások'!$B$92),2),'Beállítások'!$B$99),"")</f>
        <v/>
      </c>
      <c r="BG145" s="20">
        <f>IF(BE145="Igen",INDEX('Beállítások'!$E$108:$E$112,AQ145),"")</f>
        <v/>
      </c>
      <c r="BH145" s="10">
        <f>IF(OR(BE145&lt;&gt;"Igen",'Ügyfelek'!AN145=""),"",'Ügyfelek'!AN145*BG145)</f>
        <v/>
      </c>
      <c r="BI145" s="24">
        <f>IF($A145="","",('Ügyfelek'!B145="")+('Ügyfelek'!C145="")+('Ügyfelek'!D145="")+('Ügyfelek'!E145="")+('Ügyfelek'!F145="")+('Ügyfelek'!G145="")+('Ügyfelek'!H145="")+('Ügyfelek'!I145="")+('Ügyfelek'!J145="")+('Ügyfelek'!K145="")+('Ügyfelek'!L145="")+('Ügyfelek'!M145="")+('Ügyfelek'!N145="")+('Ügyfelek'!O145="")+('Ügyfelek'!P145="")+('Ügyfelek'!Q145="")+('Ügyfelek'!R145="")+('Ügyfelek'!S145="")+('Ügyfelek'!T145="")+('Ügyfelek'!U145="")+('Ügyfelek'!V145="")+('Ügyfelek'!W145="")+('Ügyfelek'!X145="")+('Ügyfelek'!Y145="")+('Ügyfelek'!Z145="")+('Ügyfelek'!AA145="")+('Ügyfelek'!AB145="")+('Ügyfelek'!AC145="")+('Ügyfelek'!AD145="")+('Ügyfelek'!AE145="")+('Ügyfelek'!AF145="")+('Ügyfelek'!AG145="")+('Ügyfelek'!AH145=""))</f>
        <v/>
      </c>
      <c r="BK145">
        <f>IF($A145="","",B145+'Beállítások'!$E$6/1000)</f>
        <v/>
      </c>
      <c r="BL145">
        <f>IF($A145="","",C145+'Beállítások'!$E$7/1000)</f>
        <v/>
      </c>
      <c r="BM145">
        <f>IF($A145="","",D145+'Beállítások'!$E$8/1000)</f>
        <v/>
      </c>
      <c r="BN145">
        <f>IF($A145="","",E145+'Beállítások'!$E$9/1000)</f>
        <v/>
      </c>
      <c r="BO145">
        <f>IF($A145="","",F145+'Beállítások'!$E$10/1000)</f>
        <v/>
      </c>
      <c r="BP145">
        <f>IF($A145="","",G145+'Beállítások'!$E$11/1000)</f>
        <v/>
      </c>
      <c r="BQ145">
        <f>IF($A145="","",H145+'Beállítások'!$E$12/1000)</f>
        <v/>
      </c>
      <c r="BR145">
        <f>IF($A145="","",I145+'Beállítások'!$E$13/1000)</f>
        <v/>
      </c>
      <c r="BS145">
        <f>IF($A145="","",J145+'Beállítások'!$E$14/1000)</f>
        <v/>
      </c>
      <c r="BT145">
        <f>IF($A145="","",K145+'Beállítások'!$E$15/1000)</f>
        <v/>
      </c>
      <c r="BU145">
        <f>IF($A145="","",L145+'Beállítások'!$E$16/1000)</f>
        <v/>
      </c>
      <c r="BV145">
        <f>IF($A145="","",M145+'Beállítások'!$E$17/1000)</f>
        <v/>
      </c>
      <c r="BW145">
        <f>IF($A145="","",N145+'Beállítások'!$E$18/1000)</f>
        <v/>
      </c>
      <c r="BX145">
        <f>IF($A145="","",O145+'Beállítások'!$E$19/1000)</f>
        <v/>
      </c>
      <c r="BY145">
        <f>IF($A145="","",P145+'Beállítások'!$E$20/1000)</f>
        <v/>
      </c>
      <c r="BZ145">
        <f>IF($A145="","",Q145+'Beállítások'!$E$21/1000)</f>
        <v/>
      </c>
      <c r="CA145">
        <f>IF($A145="","",R145+'Beállítások'!$E$22/1000)</f>
        <v/>
      </c>
      <c r="CB145">
        <f>IF($A145="","",S145+'Beállítások'!$E$23/1000)</f>
        <v/>
      </c>
      <c r="CC145">
        <f>IF($A145="","",T145+'Beállítások'!$E$24/1000)</f>
        <v/>
      </c>
      <c r="CD145">
        <f>IF($A145="","",U145+'Beállítások'!$E$25/1000)</f>
        <v/>
      </c>
      <c r="CE145">
        <f>IF($A145="","",V145+'Beállítások'!$E$26/1000)</f>
        <v/>
      </c>
      <c r="CF145">
        <f>IF($A145="","",W145+'Beállítások'!$E$27/1000)</f>
        <v/>
      </c>
      <c r="CG145">
        <f>IF($A145="","",X145+'Beállítások'!$E$28/1000)</f>
        <v/>
      </c>
      <c r="CH145">
        <f>IF($A145="","",Y145+'Beállítások'!$E$29/1000)</f>
        <v/>
      </c>
      <c r="CI145">
        <f>IF($A145="","",Z145+'Beállítások'!$E$30/1000)</f>
        <v/>
      </c>
      <c r="CJ145">
        <f>IF($A145="","",AA145+'Beállítások'!$E$31/1000)</f>
        <v/>
      </c>
      <c r="CK145">
        <f>IF($A145="","",AB145+'Beállítások'!$E$32/1000)</f>
        <v/>
      </c>
      <c r="CL145">
        <f>IF($A145="","",AC145+'Beállítások'!$E$33/1000)</f>
        <v/>
      </c>
      <c r="CM145">
        <f>IF($A145="","",AD145+'Beállítások'!$E$34/1000)</f>
        <v/>
      </c>
      <c r="CN145">
        <f>IF($A145="","",AE145+'Beállítások'!$E$35/1000)</f>
        <v/>
      </c>
      <c r="CO145">
        <f>IF($A145="","",AF145+'Beállítások'!$E$36/1000)</f>
        <v/>
      </c>
      <c r="CP145">
        <f>IF($A145="","",AG145+'Beállítások'!$E$37/1000)</f>
        <v/>
      </c>
      <c r="CQ145">
        <f>IF($A145="","",AH145+'Beállítások'!$E$38/1000)</f>
        <v/>
      </c>
      <c r="CR145">
        <f>IF($A145="","",'Beállítások'!$E$6*(10-B145))</f>
        <v/>
      </c>
      <c r="CS145">
        <f>IF($A145="","",'Beállítások'!$E$7*(10-C145))</f>
        <v/>
      </c>
      <c r="CT145">
        <f>IF($A145="","",'Beállítások'!$E$8*(10-D145))</f>
        <v/>
      </c>
      <c r="CU145">
        <f>IF($A145="","",'Beállítások'!$E$9*(10-E145))</f>
        <v/>
      </c>
      <c r="CV145">
        <f>IF($A145="","",'Beállítások'!$E$10*(10-F145))</f>
        <v/>
      </c>
      <c r="CW145">
        <f>IF($A145="","",'Beállítások'!$E$11*(10-G145))</f>
        <v/>
      </c>
      <c r="CX145">
        <f>IF($A145="","",'Beállítások'!$E$12*(10-H145))</f>
        <v/>
      </c>
      <c r="CY145">
        <f>IF($A145="","",'Beállítások'!$E$13*(10-I145))</f>
        <v/>
      </c>
      <c r="CZ145">
        <f>IF($A145="","",'Beállítások'!$E$14*(10-J145))</f>
        <v/>
      </c>
      <c r="DA145">
        <f>IF($A145="","",'Beállítások'!$E$15*(10-K145))</f>
        <v/>
      </c>
      <c r="DB145">
        <f>IF($A145="","",'Beállítások'!$E$16*(10-L145))</f>
        <v/>
      </c>
      <c r="DC145">
        <f>IF($A145="","",'Beállítások'!$E$17*(10-M145))</f>
        <v/>
      </c>
      <c r="DD145">
        <f>IF($A145="","",'Beállítások'!$E$18*(10-N145))</f>
        <v/>
      </c>
      <c r="DE145">
        <f>IF($A145="","",'Beállítások'!$E$19*(10-O145))</f>
        <v/>
      </c>
      <c r="DF145">
        <f>IF($A145="","",'Beállítások'!$E$20*(10-P145))</f>
        <v/>
      </c>
      <c r="DG145">
        <f>IF($A145="","",'Beállítások'!$E$21*(10-Q145))</f>
        <v/>
      </c>
      <c r="DH145">
        <f>IF($A145="","",'Beállítások'!$E$22*(10-R145))</f>
        <v/>
      </c>
      <c r="DI145">
        <f>IF($A145="","",'Beállítások'!$E$23*(10-S145))</f>
        <v/>
      </c>
      <c r="DJ145">
        <f>IF($A145="","",'Beállítások'!$E$24*(10-T145))</f>
        <v/>
      </c>
      <c r="DK145">
        <f>IF($A145="","",'Beállítások'!$E$25*(10-U145))</f>
        <v/>
      </c>
      <c r="DL145">
        <f>IF($A145="","",'Beállítások'!$E$26*(10-V145))</f>
        <v/>
      </c>
      <c r="DM145">
        <f>IF($A145="","",'Beállítások'!$E$27*(10-W145))</f>
        <v/>
      </c>
      <c r="DN145">
        <f>IF($A145="","",'Beállítások'!$E$28*(10-X145))</f>
        <v/>
      </c>
      <c r="DO145">
        <f>IF($A145="","",'Beállítások'!$E$29*(10-Y145))</f>
        <v/>
      </c>
      <c r="DP145">
        <f>IF($A145="","",'Beállítások'!$E$30*(10-Z145))</f>
        <v/>
      </c>
      <c r="DQ145">
        <f>IF($A145="","",'Beállítások'!$E$31*(10-AA145))</f>
        <v/>
      </c>
      <c r="DR145">
        <f>IF($A145="","",'Beállítások'!$E$32*(10-AB145))</f>
        <v/>
      </c>
      <c r="DS145">
        <f>IF($A145="","",'Beállítások'!$E$33*(10-AC145))</f>
        <v/>
      </c>
      <c r="DT145">
        <f>IF($A145="","",'Beállítások'!$E$34*(10-AD145))</f>
        <v/>
      </c>
      <c r="DU145">
        <f>IF($A145="","",'Beállítások'!$E$35*(10-AE145))</f>
        <v/>
      </c>
      <c r="DV145">
        <f>IF($A145="","",'Beállítások'!$E$36*(10-AF145))</f>
        <v/>
      </c>
      <c r="DW145">
        <f>IF($A145="","",'Beállítások'!$E$37*(10-AG145))</f>
        <v/>
      </c>
      <c r="DX145">
        <f>IF($A145="","",'Beállítások'!$E$38*(10-AH145))</f>
        <v/>
      </c>
      <c r="DY145">
        <f>IF($A145="","",AM145-ROW()/100000)</f>
        <v/>
      </c>
    </row>
    <row r="146">
      <c r="A146">
        <f>IF('Ügyfelek'!A146="","",'Ügyfelek'!A146)</f>
        <v/>
      </c>
      <c r="B146">
        <f>IF($A146="","",IF('Ügyfelek'!B146="",'Beállítások'!$B$84,IFERROR(VLOOKUP(TRIM('Ügyfelek'!B146),'Beállítások'!$A$51:$B$59,2,FALSE),'Beállítások'!$B$84)))</f>
        <v/>
      </c>
      <c r="C146">
        <f>IF($A146="","",IF('Ügyfelek'!C146="",'Beállítások'!$B$84,MIN(10,MAX(1,ROUND('Ügyfelek'!C146,0)))))</f>
        <v/>
      </c>
      <c r="D146">
        <f>IF($A146="","",IF('Ügyfelek'!D146="",'Beállítások'!$B$84,MIN(10,MAX(1,ROUND('Ügyfelek'!D146,0)))))</f>
        <v/>
      </c>
      <c r="E146">
        <f>IF($A146="","",IF('Ügyfelek'!E146="",'Beállítások'!$B$84,MIN(10,MAX(1,ROUND('Ügyfelek'!E146,0)))))</f>
        <v/>
      </c>
      <c r="F146">
        <f>IF($A146="","",IF('Ügyfelek'!F146="",'Beállítások'!$B$84,MIN(10,MAX(1,ROUND('Ügyfelek'!F146,0)))))</f>
        <v/>
      </c>
      <c r="G146">
        <f>IF($A146="","",IF('Ügyfelek'!G146="",'Beállítások'!$B$84,MIN(10,MAX(1,ROUND('Ügyfelek'!G146,0)))))</f>
        <v/>
      </c>
      <c r="H146">
        <f>IF($A146="","",IF('Ügyfelek'!H146="",'Beállítások'!$B$84,MIN(10,MAX(1,ROUND('Ügyfelek'!H146,0)))))</f>
        <v/>
      </c>
      <c r="I146">
        <f>IF($A146="","",IF('Ügyfelek'!I146="",'Beállítások'!$B$84,MIN(10,MAX(1,ROUND('Ügyfelek'!I146,0)))))</f>
        <v/>
      </c>
      <c r="J146">
        <f>IF($A146="","",IF('Ügyfelek'!J146="",'Beállítások'!$B$84,MIN(10,MAX(1,ROUND('Ügyfelek'!J146,0)))))</f>
        <v/>
      </c>
      <c r="K146">
        <f>IF($A146="","",IF('Ügyfelek'!K146="",'Beállítások'!$B$84,MIN(10,MAX(1,ROUND('Ügyfelek'!K146,0)))))</f>
        <v/>
      </c>
      <c r="L146">
        <f>IF($A146="","",IF('Ügyfelek'!L146="",'Beállítások'!$B$84,MIN(10,MAX(1,ROUND('Ügyfelek'!L146,0)))))</f>
        <v/>
      </c>
      <c r="M146">
        <f>IF($A146="","",IF('Ügyfelek'!M146="",'Beállítások'!$B$84,MIN(10,MAX(1,ROUND('Ügyfelek'!M146,0)))))</f>
        <v/>
      </c>
      <c r="N146">
        <f>IF($A146="","",IF('Ügyfelek'!N146="",'Beállítások'!$B$84,MIN(10,MAX(1,ROUND('Ügyfelek'!N146,0)))))</f>
        <v/>
      </c>
      <c r="O146">
        <f>IF($A146="","",IF('Ügyfelek'!O146="",'Beállítások'!$B$84,MIN(10,MAX(1,ROUND('Ügyfelek'!O146,0)))))</f>
        <v/>
      </c>
      <c r="P146">
        <f>IF($A146="","",IF('Ügyfelek'!P146="",'Beállítások'!$B$84,MIN(10,MAX(1,ROUND('Ügyfelek'!P146,0)))))</f>
        <v/>
      </c>
      <c r="Q146">
        <f>IF($A146="","",IF('Ügyfelek'!Q146="",'Beállítások'!$B$84,MIN(10,MAX(1,ROUND('Ügyfelek'!Q146,0)))))</f>
        <v/>
      </c>
      <c r="R146">
        <f>IF($A146="","",IF('Ügyfelek'!R146="",'Beállítások'!$B$84,MIN(10,MAX(1,ROUND('Ügyfelek'!R146,0)))))</f>
        <v/>
      </c>
      <c r="S146">
        <f>IF($A146="","",IF('Ügyfelek'!S146="",'Beállítások'!$B$84,MIN(10,MAX(1,ROUND('Ügyfelek'!S146,0)))))</f>
        <v/>
      </c>
      <c r="T146">
        <f>IF($A146="","",IF('Ügyfelek'!T146="",'Beállítások'!$B$84,VLOOKUP(MAX('Ügyfelek'!T146,'Beállítások'!$H$7),'Beállítások'!$H$7:$I$12,2,TRUE)))</f>
        <v/>
      </c>
      <c r="U146">
        <f>IF($A146="","",IF('Ügyfelek'!U146="",'Beállítások'!$B$84,VLOOKUP(MAX('Ügyfelek'!U146,'Beállítások'!$K$7),'Beállítások'!$K$7:$L$12,2,TRUE)))</f>
        <v/>
      </c>
      <c r="V146">
        <f>IF($A146="","",IF('Ügyfelek'!V146="",'Beállítások'!$B$84,MIN(10,MAX(1,ROUND('Ügyfelek'!V146,0)))))</f>
        <v/>
      </c>
      <c r="W146">
        <f>IF($A146="","",IF('Ügyfelek'!W146="",'Beállítások'!$B$84,VLOOKUP(MAX('Ügyfelek'!W146,'Beállítások'!$N$7),'Beállítások'!$N$7:$O$12,2,TRUE)))</f>
        <v/>
      </c>
      <c r="X146">
        <f>IF($A146="","",IF('Ügyfelek'!X146="",'Beállítások'!$B$84,MIN(10,MAX(1,ROUND('Ügyfelek'!X146,0)))))</f>
        <v/>
      </c>
      <c r="Y146">
        <f>IF($A146="","",IF('Ügyfelek'!Y146="",'Beállítások'!$B$84,IFERROR(VLOOKUP(TRIM('Ügyfelek'!Y146),'Beállítások'!$A$63:$B$69,2,FALSE),'Beállítások'!$B$84)))</f>
        <v/>
      </c>
      <c r="Z146">
        <f>IF($A146="","",IF('Ügyfelek'!Z146="",'Beállítások'!$B$84,VLOOKUP(MAX('Ügyfelek'!Z146,'Beállítások'!$Q$7),'Beállítások'!$Q$7:$R$12,2,TRUE)))</f>
        <v/>
      </c>
      <c r="AA146">
        <f>IF($A146="","",IF('Ügyfelek'!AA146="",'Beállítások'!$B$84,VLOOKUP(MAX('Ügyfelek'!AA146,'Beállítások'!$T$7),'Beállítások'!$T$7:$U$12,2,TRUE)))</f>
        <v/>
      </c>
      <c r="AB146">
        <f>IF($A146="","",IF('Ügyfelek'!AB146="",'Beállítások'!$B$84,MIN(10,MAX(1,ROUND('Ügyfelek'!AB146,0)))))</f>
        <v/>
      </c>
      <c r="AC146">
        <f>IF($A146="","",IF('Ügyfelek'!AC146="",'Beállítások'!$B$84,MIN(10,MAX(1,ROUND('Ügyfelek'!AC146,0)))))</f>
        <v/>
      </c>
      <c r="AD146">
        <f>IF($A146="","",IF('Ügyfelek'!AD146="",'Beállítások'!$B$84,MIN(10,MAX(1,ROUND('Ügyfelek'!AD146,0)))))</f>
        <v/>
      </c>
      <c r="AE146">
        <f>IF($A146="","",IF('Ügyfelek'!AE146="",'Beállítások'!$B$84,MIN(10,MAX(1,ROUND('Ügyfelek'!AE146,0)))))</f>
        <v/>
      </c>
      <c r="AF146">
        <f>IF($A146="","",IF('Ügyfelek'!AF146="",'Beállítások'!$B$84,MIN(10,MAX(1,ROUND('Ügyfelek'!AF146,0)))))</f>
        <v/>
      </c>
      <c r="AG146">
        <f>IF($A146="","",IF('Ügyfelek'!AG146="",'Beállítások'!$B$84,MIN(10,MAX(1,ROUND('Ügyfelek'!AG146,0)))))</f>
        <v/>
      </c>
      <c r="AH146">
        <f>IF($A146="","",IF('Ügyfelek'!AH146="",'Beállítások'!$B$84,IFERROR(VLOOKUP(TRIM('Ügyfelek'!AH146),'Beállítások'!$A$73:$B$79,2,FALSE),'Beállítások'!$B$84)))</f>
        <v/>
      </c>
      <c r="AI146" s="23">
        <f>IF($A146="","",ROUND(100*('Beállítások'!$E$6*(B146-1)+'Beállítások'!$E$7*(C146-1))/(9*'Beállítások'!$B$43),1))</f>
        <v/>
      </c>
      <c r="AJ146" s="23">
        <f>IF($A146="","",ROUND(100*('Beállítások'!$E$8*(D146-1)+'Beállítások'!$E$9*(E146-1)+'Beállítások'!$E$10*(F146-1)+'Beállítások'!$E$11*(G146-1)+'Beállítások'!$E$12*(H146-1)+'Beállítások'!$E$13*(I146-1)+'Beállítások'!$E$14*(J146-1)+'Beállítások'!$E$15*(K146-1)+'Beállítások'!$E$16*(L146-1)+'Beállítások'!$E$17*(M146-1)+'Beállítások'!$E$18*(N146-1)+'Beállítások'!$E$19*(O146-1)+'Beállítások'!$E$20*(P146-1)+'Beállítások'!$E$21*(Q146-1)+'Beállítások'!$E$22*(R146-1))/(9*'Beállítások'!$B$44),1))</f>
        <v/>
      </c>
      <c r="AK146" s="23">
        <f>IF($A146="","",ROUND(100*('Beállítások'!$E$23*(S146-1)+'Beállítások'!$E$24*(T146-1)+'Beállítások'!$E$25*(U146-1)+'Beállítások'!$E$26*(V146-1)+'Beállítások'!$E$27*(W146-1)+'Beállítások'!$E$28*(X146-1)+'Beállítások'!$E$29*(Y146-1))/(9*'Beállítások'!$B$45),1))</f>
        <v/>
      </c>
      <c r="AL146" s="23">
        <f>IF($A146="","",ROUND(100*('Beállítások'!$E$30*(Z146-1)+'Beállítások'!$E$31*(AA146-1)+'Beállítások'!$E$32*(AB146-1)+'Beállítások'!$E$33*(AC146-1)+'Beállítások'!$E$34*(AD146-1)+'Beállítások'!$E$35*(AE146-1)+'Beállítások'!$E$36*(AF146-1)+'Beállítások'!$E$37*(AG146-1)+'Beállítások'!$E$38*(AH146-1))/(9*'Beállítások'!$B$46),1))</f>
        <v/>
      </c>
      <c r="AM146" s="23">
        <f>IF($A146="","",ROUND(100*('Beállítások'!$E$6*(B146-1)+'Beállítások'!$E$7*(C146-1)+'Beállítások'!$E$8*(D146-1)+'Beállítások'!$E$9*(E146-1)+'Beállítások'!$E$10*(F146-1)+'Beállítások'!$E$11*(G146-1)+'Beállítások'!$E$12*(H146-1)+'Beállítások'!$E$13*(I146-1)+'Beállítások'!$E$14*(J146-1)+'Beállítások'!$E$15*(K146-1)+'Beállítások'!$E$16*(L146-1)+'Beállítások'!$E$17*(M146-1)+'Beállítások'!$E$18*(N146-1)+'Beállítások'!$E$19*(O146-1)+'Beállítások'!$E$20*(P146-1)+'Beállítások'!$E$21*(Q146-1)+'Beállítások'!$E$22*(R146-1)+'Beállítások'!$E$23*(S146-1)+'Beállítások'!$E$24*(T146-1)+'Beállítások'!$E$25*(U146-1)+'Beállítások'!$E$26*(V146-1)+'Beállítások'!$E$27*(W146-1)+'Beállítások'!$E$28*(X146-1)+'Beállítások'!$E$29*(Y146-1)+'Beállítások'!$E$30*(Z146-1)+'Beállítások'!$E$31*(AA146-1)+'Beállítások'!$E$32*(AB146-1)+'Beállítások'!$E$33*(AC146-1)+'Beállítások'!$E$34*(AD146-1)+'Beállítások'!$E$35*(AE146-1)+'Beállítások'!$E$36*(AF146-1)+'Beállítások'!$E$37*(AG146-1)+'Beállítások'!$E$38*(AH146-1))/(9*'Beállítások'!$E$39),1))</f>
        <v/>
      </c>
      <c r="AN146" s="23">
        <f>IF($A146="","",ROUND(100*('Beállítások'!$E$8*(D146-1)+'Beállítások'!$E$9*(E146-1)+'Beállítások'!$E$10*(F146-1)+'Beállítások'!$E$11*(G146-1)+'Beállítások'!$E$12*(H146-1)+'Beállítások'!$E$13*(I146-1)+'Beállítások'!$E$14*(J146-1)+'Beállítások'!$E$15*(K146-1)+'Beállítások'!$E$16*(L146-1)+'Beállítások'!$E$17*(M146-1)+'Beállítások'!$E$18*(N146-1)+'Beállítások'!$E$19*(O146-1)+'Beállítások'!$E$20*(P146-1)+'Beállítások'!$E$21*(Q146-1)+'Beállítások'!$E$22*(R146-1)+'Beállítások'!$E$23*(S146-1)+'Beállítások'!$E$24*(T146-1)+'Beállítások'!$E$25*(U146-1)+'Beállítások'!$E$26*(V146-1)+'Beállítások'!$E$27*(W146-1)+'Beállítások'!$E$28*(X146-1)+'Beállítások'!$E$29*(Y146-1))/(9*('Beállítások'!$B$44+'Beállítások'!$B$45)),1))</f>
        <v/>
      </c>
      <c r="AO146" s="24">
        <f>IF($A146="","",RANK(AM146,$AM$2:$AM$201))</f>
        <v/>
      </c>
      <c r="AP146">
        <f>IF($A146="","",IF(OR(AND('Ügyfelek'!B146&lt;&gt;"",B146&lt;='Beállítások'!$B$85),AND('Ügyfelek'!C146&lt;&gt;"",C146&lt;='Beállítások'!$B$86)),"Igen","Nem"))</f>
        <v/>
      </c>
      <c r="AQ146" s="24">
        <f>IF($A146="","",IF(AP146="Igen",5,IF(AN146&gt;='Beállítások'!$C$108,1,IF(AN146&gt;='Beállítások'!$C$109,2,IF(AN146&gt;='Beállítások'!$C$110,3,IF(AND(AN146&gt;='Beállítások'!$B$87,AI146&gt;='Beállítások'!$B$88,AL146&gt;='Beállítások'!$B$89),4,5))))))</f>
        <v/>
      </c>
      <c r="AR146">
        <f>IF($A146="","",INDEX('Beállítások'!$B$108:$B$112,AQ146))</f>
        <v/>
      </c>
      <c r="AS146">
        <f>IF($A146="","",IF(AQ146=5,"Elutasítjuk",IF(AND(AQ146=4,COUNTIFS('Eredmény'!$AQ$2:$AQ$201,4,'Eredmény'!$DY$2:$DY$201,"&gt;"&amp;DY146)&gt;='Beállítások'!$B$90),"Várólista (a 4-es hely foglalt)","Elfogadjuk")))</f>
        <v/>
      </c>
      <c r="AT146">
        <f>IF($A146="","",INDEX('Beállítások'!$F$108:$F$112,AQ146))</f>
        <v/>
      </c>
      <c r="AU146">
        <f>IF($A146="","",INDEX('Beállítások'!$B$6:$B$38,MATCH(MAX(BK146:CQ146),BK146:CQ146,0)))</f>
        <v/>
      </c>
      <c r="AV146">
        <f>IF($A146="","",IF(MAX(CR146:DX146)=0,"—",INDEX('Beállítások'!$B$6:$B$38,MATCH(MAX(CR146:DX146),CR146:DX146,0))))</f>
        <v/>
      </c>
      <c r="AW146" s="10">
        <f>IF($A146="","",'Beállítások'!$B$94*(TRIM('Ügyfelek'!AI146)="igen")+'Beállítások'!$B$95*(TRIM('Ügyfelek'!AJ146)="igen")+'Beállítások'!$B$96*N('Ügyfelek'!AK146)+'Beállítások'!$B$93*N('Ügyfelek'!AL146))</f>
        <v/>
      </c>
      <c r="AX146" s="25">
        <f>IF(OR($A146="",AQ146=5),"",INDEX('Beállítások'!$D$108:$D$112,AQ146))</f>
        <v/>
      </c>
      <c r="AY146" s="10">
        <f>IF($A146="","",N('Ügyfelek'!U146)*'Beállítások'!$B$98)</f>
        <v/>
      </c>
      <c r="AZ146" s="10">
        <f>IF(OR($A146="",AQ146=5),"",CEILING(ROUND(MAX('Beállítások'!$B$97,AW146*AX146,AY146),2),'Beállítások'!$B$99))</f>
        <v/>
      </c>
      <c r="BA146">
        <f>IF($A146="","",IF(AQ146=5,"Elutasítva",IF(MAX('Beállítások'!$B$97,AW146*AX146,AY146)=AW146*AX146,"Munkaigény × státuszszorzó",IF(MAX('Beállítások'!$B$97,AW146*AX146,AY146)=AY146,"Hirdetési keret arányában","Minimumdíj"))))</f>
        <v/>
      </c>
      <c r="BB146" s="10">
        <f>IF(OR($A146="",'Ügyfelek'!AM146=""),"",'Ügyfelek'!AM146)</f>
        <v/>
      </c>
      <c r="BC146" s="10">
        <f>IF(OR(BB146="",AZ146=""),"",AZ146-BB146)</f>
        <v/>
      </c>
      <c r="BD146" s="18">
        <f>IF(OR(BB146="",AZ146="",BB146=0),"",BC146/BB146)</f>
        <v/>
      </c>
      <c r="BE146">
        <f>IF(OR($A146="",AQ146=5),"",IF(AND(INDEX('Beállítások'!$E$108:$E$112,AQ146)&gt;0,Y146&gt;='Beállítások'!$B$91),"Igen","Nem"))</f>
        <v/>
      </c>
      <c r="BF146" s="10">
        <f>IF(BE146="Igen",CEILING(ROUND(AZ146*(1-'Beállítások'!$B$92),2),'Beállítások'!$B$99),"")</f>
        <v/>
      </c>
      <c r="BG146" s="20">
        <f>IF(BE146="Igen",INDEX('Beállítások'!$E$108:$E$112,AQ146),"")</f>
        <v/>
      </c>
      <c r="BH146" s="10">
        <f>IF(OR(BE146&lt;&gt;"Igen",'Ügyfelek'!AN146=""),"",'Ügyfelek'!AN146*BG146)</f>
        <v/>
      </c>
      <c r="BI146" s="24">
        <f>IF($A146="","",('Ügyfelek'!B146="")+('Ügyfelek'!C146="")+('Ügyfelek'!D146="")+('Ügyfelek'!E146="")+('Ügyfelek'!F146="")+('Ügyfelek'!G146="")+('Ügyfelek'!H146="")+('Ügyfelek'!I146="")+('Ügyfelek'!J146="")+('Ügyfelek'!K146="")+('Ügyfelek'!L146="")+('Ügyfelek'!M146="")+('Ügyfelek'!N146="")+('Ügyfelek'!O146="")+('Ügyfelek'!P146="")+('Ügyfelek'!Q146="")+('Ügyfelek'!R146="")+('Ügyfelek'!S146="")+('Ügyfelek'!T146="")+('Ügyfelek'!U146="")+('Ügyfelek'!V146="")+('Ügyfelek'!W146="")+('Ügyfelek'!X146="")+('Ügyfelek'!Y146="")+('Ügyfelek'!Z146="")+('Ügyfelek'!AA146="")+('Ügyfelek'!AB146="")+('Ügyfelek'!AC146="")+('Ügyfelek'!AD146="")+('Ügyfelek'!AE146="")+('Ügyfelek'!AF146="")+('Ügyfelek'!AG146="")+('Ügyfelek'!AH146=""))</f>
        <v/>
      </c>
      <c r="BK146">
        <f>IF($A146="","",B146+'Beállítások'!$E$6/1000)</f>
        <v/>
      </c>
      <c r="BL146">
        <f>IF($A146="","",C146+'Beállítások'!$E$7/1000)</f>
        <v/>
      </c>
      <c r="BM146">
        <f>IF($A146="","",D146+'Beállítások'!$E$8/1000)</f>
        <v/>
      </c>
      <c r="BN146">
        <f>IF($A146="","",E146+'Beállítások'!$E$9/1000)</f>
        <v/>
      </c>
      <c r="BO146">
        <f>IF($A146="","",F146+'Beállítások'!$E$10/1000)</f>
        <v/>
      </c>
      <c r="BP146">
        <f>IF($A146="","",G146+'Beállítások'!$E$11/1000)</f>
        <v/>
      </c>
      <c r="BQ146">
        <f>IF($A146="","",H146+'Beállítások'!$E$12/1000)</f>
        <v/>
      </c>
      <c r="BR146">
        <f>IF($A146="","",I146+'Beállítások'!$E$13/1000)</f>
        <v/>
      </c>
      <c r="BS146">
        <f>IF($A146="","",J146+'Beállítások'!$E$14/1000)</f>
        <v/>
      </c>
      <c r="BT146">
        <f>IF($A146="","",K146+'Beállítások'!$E$15/1000)</f>
        <v/>
      </c>
      <c r="BU146">
        <f>IF($A146="","",L146+'Beállítások'!$E$16/1000)</f>
        <v/>
      </c>
      <c r="BV146">
        <f>IF($A146="","",M146+'Beállítások'!$E$17/1000)</f>
        <v/>
      </c>
      <c r="BW146">
        <f>IF($A146="","",N146+'Beállítások'!$E$18/1000)</f>
        <v/>
      </c>
      <c r="BX146">
        <f>IF($A146="","",O146+'Beállítások'!$E$19/1000)</f>
        <v/>
      </c>
      <c r="BY146">
        <f>IF($A146="","",P146+'Beállítások'!$E$20/1000)</f>
        <v/>
      </c>
      <c r="BZ146">
        <f>IF($A146="","",Q146+'Beállítások'!$E$21/1000)</f>
        <v/>
      </c>
      <c r="CA146">
        <f>IF($A146="","",R146+'Beállítások'!$E$22/1000)</f>
        <v/>
      </c>
      <c r="CB146">
        <f>IF($A146="","",S146+'Beállítások'!$E$23/1000)</f>
        <v/>
      </c>
      <c r="CC146">
        <f>IF($A146="","",T146+'Beállítások'!$E$24/1000)</f>
        <v/>
      </c>
      <c r="CD146">
        <f>IF($A146="","",U146+'Beállítások'!$E$25/1000)</f>
        <v/>
      </c>
      <c r="CE146">
        <f>IF($A146="","",V146+'Beállítások'!$E$26/1000)</f>
        <v/>
      </c>
      <c r="CF146">
        <f>IF($A146="","",W146+'Beállítások'!$E$27/1000)</f>
        <v/>
      </c>
      <c r="CG146">
        <f>IF($A146="","",X146+'Beállítások'!$E$28/1000)</f>
        <v/>
      </c>
      <c r="CH146">
        <f>IF($A146="","",Y146+'Beállítások'!$E$29/1000)</f>
        <v/>
      </c>
      <c r="CI146">
        <f>IF($A146="","",Z146+'Beállítások'!$E$30/1000)</f>
        <v/>
      </c>
      <c r="CJ146">
        <f>IF($A146="","",AA146+'Beállítások'!$E$31/1000)</f>
        <v/>
      </c>
      <c r="CK146">
        <f>IF($A146="","",AB146+'Beállítások'!$E$32/1000)</f>
        <v/>
      </c>
      <c r="CL146">
        <f>IF($A146="","",AC146+'Beállítások'!$E$33/1000)</f>
        <v/>
      </c>
      <c r="CM146">
        <f>IF($A146="","",AD146+'Beállítások'!$E$34/1000)</f>
        <v/>
      </c>
      <c r="CN146">
        <f>IF($A146="","",AE146+'Beállítások'!$E$35/1000)</f>
        <v/>
      </c>
      <c r="CO146">
        <f>IF($A146="","",AF146+'Beállítások'!$E$36/1000)</f>
        <v/>
      </c>
      <c r="CP146">
        <f>IF($A146="","",AG146+'Beállítások'!$E$37/1000)</f>
        <v/>
      </c>
      <c r="CQ146">
        <f>IF($A146="","",AH146+'Beállítások'!$E$38/1000)</f>
        <v/>
      </c>
      <c r="CR146">
        <f>IF($A146="","",'Beállítások'!$E$6*(10-B146))</f>
        <v/>
      </c>
      <c r="CS146">
        <f>IF($A146="","",'Beállítások'!$E$7*(10-C146))</f>
        <v/>
      </c>
      <c r="CT146">
        <f>IF($A146="","",'Beállítások'!$E$8*(10-D146))</f>
        <v/>
      </c>
      <c r="CU146">
        <f>IF($A146="","",'Beállítások'!$E$9*(10-E146))</f>
        <v/>
      </c>
      <c r="CV146">
        <f>IF($A146="","",'Beállítások'!$E$10*(10-F146))</f>
        <v/>
      </c>
      <c r="CW146">
        <f>IF($A146="","",'Beállítások'!$E$11*(10-G146))</f>
        <v/>
      </c>
      <c r="CX146">
        <f>IF($A146="","",'Beállítások'!$E$12*(10-H146))</f>
        <v/>
      </c>
      <c r="CY146">
        <f>IF($A146="","",'Beállítások'!$E$13*(10-I146))</f>
        <v/>
      </c>
      <c r="CZ146">
        <f>IF($A146="","",'Beállítások'!$E$14*(10-J146))</f>
        <v/>
      </c>
      <c r="DA146">
        <f>IF($A146="","",'Beállítások'!$E$15*(10-K146))</f>
        <v/>
      </c>
      <c r="DB146">
        <f>IF($A146="","",'Beállítások'!$E$16*(10-L146))</f>
        <v/>
      </c>
      <c r="DC146">
        <f>IF($A146="","",'Beállítások'!$E$17*(10-M146))</f>
        <v/>
      </c>
      <c r="DD146">
        <f>IF($A146="","",'Beállítások'!$E$18*(10-N146))</f>
        <v/>
      </c>
      <c r="DE146">
        <f>IF($A146="","",'Beállítások'!$E$19*(10-O146))</f>
        <v/>
      </c>
      <c r="DF146">
        <f>IF($A146="","",'Beállítások'!$E$20*(10-P146))</f>
        <v/>
      </c>
      <c r="DG146">
        <f>IF($A146="","",'Beállítások'!$E$21*(10-Q146))</f>
        <v/>
      </c>
      <c r="DH146">
        <f>IF($A146="","",'Beállítások'!$E$22*(10-R146))</f>
        <v/>
      </c>
      <c r="DI146">
        <f>IF($A146="","",'Beállítások'!$E$23*(10-S146))</f>
        <v/>
      </c>
      <c r="DJ146">
        <f>IF($A146="","",'Beállítások'!$E$24*(10-T146))</f>
        <v/>
      </c>
      <c r="DK146">
        <f>IF($A146="","",'Beállítások'!$E$25*(10-U146))</f>
        <v/>
      </c>
      <c r="DL146">
        <f>IF($A146="","",'Beállítások'!$E$26*(10-V146))</f>
        <v/>
      </c>
      <c r="DM146">
        <f>IF($A146="","",'Beállítások'!$E$27*(10-W146))</f>
        <v/>
      </c>
      <c r="DN146">
        <f>IF($A146="","",'Beállítások'!$E$28*(10-X146))</f>
        <v/>
      </c>
      <c r="DO146">
        <f>IF($A146="","",'Beállítások'!$E$29*(10-Y146))</f>
        <v/>
      </c>
      <c r="DP146">
        <f>IF($A146="","",'Beállítások'!$E$30*(10-Z146))</f>
        <v/>
      </c>
      <c r="DQ146">
        <f>IF($A146="","",'Beállítások'!$E$31*(10-AA146))</f>
        <v/>
      </c>
      <c r="DR146">
        <f>IF($A146="","",'Beállítások'!$E$32*(10-AB146))</f>
        <v/>
      </c>
      <c r="DS146">
        <f>IF($A146="","",'Beállítások'!$E$33*(10-AC146))</f>
        <v/>
      </c>
      <c r="DT146">
        <f>IF($A146="","",'Beállítások'!$E$34*(10-AD146))</f>
        <v/>
      </c>
      <c r="DU146">
        <f>IF($A146="","",'Beállítások'!$E$35*(10-AE146))</f>
        <v/>
      </c>
      <c r="DV146">
        <f>IF($A146="","",'Beállítások'!$E$36*(10-AF146))</f>
        <v/>
      </c>
      <c r="DW146">
        <f>IF($A146="","",'Beállítások'!$E$37*(10-AG146))</f>
        <v/>
      </c>
      <c r="DX146">
        <f>IF($A146="","",'Beállítások'!$E$38*(10-AH146))</f>
        <v/>
      </c>
      <c r="DY146">
        <f>IF($A146="","",AM146-ROW()/100000)</f>
        <v/>
      </c>
    </row>
    <row r="147">
      <c r="A147">
        <f>IF('Ügyfelek'!A147="","",'Ügyfelek'!A147)</f>
        <v/>
      </c>
      <c r="B147">
        <f>IF($A147="","",IF('Ügyfelek'!B147="",'Beállítások'!$B$84,IFERROR(VLOOKUP(TRIM('Ügyfelek'!B147),'Beállítások'!$A$51:$B$59,2,FALSE),'Beállítások'!$B$84)))</f>
        <v/>
      </c>
      <c r="C147">
        <f>IF($A147="","",IF('Ügyfelek'!C147="",'Beállítások'!$B$84,MIN(10,MAX(1,ROUND('Ügyfelek'!C147,0)))))</f>
        <v/>
      </c>
      <c r="D147">
        <f>IF($A147="","",IF('Ügyfelek'!D147="",'Beállítások'!$B$84,MIN(10,MAX(1,ROUND('Ügyfelek'!D147,0)))))</f>
        <v/>
      </c>
      <c r="E147">
        <f>IF($A147="","",IF('Ügyfelek'!E147="",'Beállítások'!$B$84,MIN(10,MAX(1,ROUND('Ügyfelek'!E147,0)))))</f>
        <v/>
      </c>
      <c r="F147">
        <f>IF($A147="","",IF('Ügyfelek'!F147="",'Beállítások'!$B$84,MIN(10,MAX(1,ROUND('Ügyfelek'!F147,0)))))</f>
        <v/>
      </c>
      <c r="G147">
        <f>IF($A147="","",IF('Ügyfelek'!G147="",'Beállítások'!$B$84,MIN(10,MAX(1,ROUND('Ügyfelek'!G147,0)))))</f>
        <v/>
      </c>
      <c r="H147">
        <f>IF($A147="","",IF('Ügyfelek'!H147="",'Beállítások'!$B$84,MIN(10,MAX(1,ROUND('Ügyfelek'!H147,0)))))</f>
        <v/>
      </c>
      <c r="I147">
        <f>IF($A147="","",IF('Ügyfelek'!I147="",'Beállítások'!$B$84,MIN(10,MAX(1,ROUND('Ügyfelek'!I147,0)))))</f>
        <v/>
      </c>
      <c r="J147">
        <f>IF($A147="","",IF('Ügyfelek'!J147="",'Beállítások'!$B$84,MIN(10,MAX(1,ROUND('Ügyfelek'!J147,0)))))</f>
        <v/>
      </c>
      <c r="K147">
        <f>IF($A147="","",IF('Ügyfelek'!K147="",'Beállítások'!$B$84,MIN(10,MAX(1,ROUND('Ügyfelek'!K147,0)))))</f>
        <v/>
      </c>
      <c r="L147">
        <f>IF($A147="","",IF('Ügyfelek'!L147="",'Beállítások'!$B$84,MIN(10,MAX(1,ROUND('Ügyfelek'!L147,0)))))</f>
        <v/>
      </c>
      <c r="M147">
        <f>IF($A147="","",IF('Ügyfelek'!M147="",'Beállítások'!$B$84,MIN(10,MAX(1,ROUND('Ügyfelek'!M147,0)))))</f>
        <v/>
      </c>
      <c r="N147">
        <f>IF($A147="","",IF('Ügyfelek'!N147="",'Beállítások'!$B$84,MIN(10,MAX(1,ROUND('Ügyfelek'!N147,0)))))</f>
        <v/>
      </c>
      <c r="O147">
        <f>IF($A147="","",IF('Ügyfelek'!O147="",'Beállítások'!$B$84,MIN(10,MAX(1,ROUND('Ügyfelek'!O147,0)))))</f>
        <v/>
      </c>
      <c r="P147">
        <f>IF($A147="","",IF('Ügyfelek'!P147="",'Beállítások'!$B$84,MIN(10,MAX(1,ROUND('Ügyfelek'!P147,0)))))</f>
        <v/>
      </c>
      <c r="Q147">
        <f>IF($A147="","",IF('Ügyfelek'!Q147="",'Beállítások'!$B$84,MIN(10,MAX(1,ROUND('Ügyfelek'!Q147,0)))))</f>
        <v/>
      </c>
      <c r="R147">
        <f>IF($A147="","",IF('Ügyfelek'!R147="",'Beállítások'!$B$84,MIN(10,MAX(1,ROUND('Ügyfelek'!R147,0)))))</f>
        <v/>
      </c>
      <c r="S147">
        <f>IF($A147="","",IF('Ügyfelek'!S147="",'Beállítások'!$B$84,MIN(10,MAX(1,ROUND('Ügyfelek'!S147,0)))))</f>
        <v/>
      </c>
      <c r="T147">
        <f>IF($A147="","",IF('Ügyfelek'!T147="",'Beállítások'!$B$84,VLOOKUP(MAX('Ügyfelek'!T147,'Beállítások'!$H$7),'Beállítások'!$H$7:$I$12,2,TRUE)))</f>
        <v/>
      </c>
      <c r="U147">
        <f>IF($A147="","",IF('Ügyfelek'!U147="",'Beállítások'!$B$84,VLOOKUP(MAX('Ügyfelek'!U147,'Beállítások'!$K$7),'Beállítások'!$K$7:$L$12,2,TRUE)))</f>
        <v/>
      </c>
      <c r="V147">
        <f>IF($A147="","",IF('Ügyfelek'!V147="",'Beállítások'!$B$84,MIN(10,MAX(1,ROUND('Ügyfelek'!V147,0)))))</f>
        <v/>
      </c>
      <c r="W147">
        <f>IF($A147="","",IF('Ügyfelek'!W147="",'Beállítások'!$B$84,VLOOKUP(MAX('Ügyfelek'!W147,'Beállítások'!$N$7),'Beállítások'!$N$7:$O$12,2,TRUE)))</f>
        <v/>
      </c>
      <c r="X147">
        <f>IF($A147="","",IF('Ügyfelek'!X147="",'Beállítások'!$B$84,MIN(10,MAX(1,ROUND('Ügyfelek'!X147,0)))))</f>
        <v/>
      </c>
      <c r="Y147">
        <f>IF($A147="","",IF('Ügyfelek'!Y147="",'Beállítások'!$B$84,IFERROR(VLOOKUP(TRIM('Ügyfelek'!Y147),'Beállítások'!$A$63:$B$69,2,FALSE),'Beállítások'!$B$84)))</f>
        <v/>
      </c>
      <c r="Z147">
        <f>IF($A147="","",IF('Ügyfelek'!Z147="",'Beállítások'!$B$84,VLOOKUP(MAX('Ügyfelek'!Z147,'Beállítások'!$Q$7),'Beállítások'!$Q$7:$R$12,2,TRUE)))</f>
        <v/>
      </c>
      <c r="AA147">
        <f>IF($A147="","",IF('Ügyfelek'!AA147="",'Beállítások'!$B$84,VLOOKUP(MAX('Ügyfelek'!AA147,'Beállítások'!$T$7),'Beállítások'!$T$7:$U$12,2,TRUE)))</f>
        <v/>
      </c>
      <c r="AB147">
        <f>IF($A147="","",IF('Ügyfelek'!AB147="",'Beállítások'!$B$84,MIN(10,MAX(1,ROUND('Ügyfelek'!AB147,0)))))</f>
        <v/>
      </c>
      <c r="AC147">
        <f>IF($A147="","",IF('Ügyfelek'!AC147="",'Beállítások'!$B$84,MIN(10,MAX(1,ROUND('Ügyfelek'!AC147,0)))))</f>
        <v/>
      </c>
      <c r="AD147">
        <f>IF($A147="","",IF('Ügyfelek'!AD147="",'Beállítások'!$B$84,MIN(10,MAX(1,ROUND('Ügyfelek'!AD147,0)))))</f>
        <v/>
      </c>
      <c r="AE147">
        <f>IF($A147="","",IF('Ügyfelek'!AE147="",'Beállítások'!$B$84,MIN(10,MAX(1,ROUND('Ügyfelek'!AE147,0)))))</f>
        <v/>
      </c>
      <c r="AF147">
        <f>IF($A147="","",IF('Ügyfelek'!AF147="",'Beállítások'!$B$84,MIN(10,MAX(1,ROUND('Ügyfelek'!AF147,0)))))</f>
        <v/>
      </c>
      <c r="AG147">
        <f>IF($A147="","",IF('Ügyfelek'!AG147="",'Beállítások'!$B$84,MIN(10,MAX(1,ROUND('Ügyfelek'!AG147,0)))))</f>
        <v/>
      </c>
      <c r="AH147">
        <f>IF($A147="","",IF('Ügyfelek'!AH147="",'Beállítások'!$B$84,IFERROR(VLOOKUP(TRIM('Ügyfelek'!AH147),'Beállítások'!$A$73:$B$79,2,FALSE),'Beállítások'!$B$84)))</f>
        <v/>
      </c>
      <c r="AI147" s="23">
        <f>IF($A147="","",ROUND(100*('Beállítások'!$E$6*(B147-1)+'Beállítások'!$E$7*(C147-1))/(9*'Beállítások'!$B$43),1))</f>
        <v/>
      </c>
      <c r="AJ147" s="23">
        <f>IF($A147="","",ROUND(100*('Beállítások'!$E$8*(D147-1)+'Beállítások'!$E$9*(E147-1)+'Beállítások'!$E$10*(F147-1)+'Beállítások'!$E$11*(G147-1)+'Beállítások'!$E$12*(H147-1)+'Beállítások'!$E$13*(I147-1)+'Beállítások'!$E$14*(J147-1)+'Beállítások'!$E$15*(K147-1)+'Beállítások'!$E$16*(L147-1)+'Beállítások'!$E$17*(M147-1)+'Beállítások'!$E$18*(N147-1)+'Beállítások'!$E$19*(O147-1)+'Beállítások'!$E$20*(P147-1)+'Beállítások'!$E$21*(Q147-1)+'Beállítások'!$E$22*(R147-1))/(9*'Beállítások'!$B$44),1))</f>
        <v/>
      </c>
      <c r="AK147" s="23">
        <f>IF($A147="","",ROUND(100*('Beállítások'!$E$23*(S147-1)+'Beállítások'!$E$24*(T147-1)+'Beállítások'!$E$25*(U147-1)+'Beállítások'!$E$26*(V147-1)+'Beállítások'!$E$27*(W147-1)+'Beállítások'!$E$28*(X147-1)+'Beállítások'!$E$29*(Y147-1))/(9*'Beállítások'!$B$45),1))</f>
        <v/>
      </c>
      <c r="AL147" s="23">
        <f>IF($A147="","",ROUND(100*('Beállítások'!$E$30*(Z147-1)+'Beállítások'!$E$31*(AA147-1)+'Beállítások'!$E$32*(AB147-1)+'Beállítások'!$E$33*(AC147-1)+'Beállítások'!$E$34*(AD147-1)+'Beállítások'!$E$35*(AE147-1)+'Beállítások'!$E$36*(AF147-1)+'Beállítások'!$E$37*(AG147-1)+'Beállítások'!$E$38*(AH147-1))/(9*'Beállítások'!$B$46),1))</f>
        <v/>
      </c>
      <c r="AM147" s="23">
        <f>IF($A147="","",ROUND(100*('Beállítások'!$E$6*(B147-1)+'Beállítások'!$E$7*(C147-1)+'Beállítások'!$E$8*(D147-1)+'Beállítások'!$E$9*(E147-1)+'Beállítások'!$E$10*(F147-1)+'Beállítások'!$E$11*(G147-1)+'Beállítások'!$E$12*(H147-1)+'Beállítások'!$E$13*(I147-1)+'Beállítások'!$E$14*(J147-1)+'Beállítások'!$E$15*(K147-1)+'Beállítások'!$E$16*(L147-1)+'Beállítások'!$E$17*(M147-1)+'Beállítások'!$E$18*(N147-1)+'Beállítások'!$E$19*(O147-1)+'Beállítások'!$E$20*(P147-1)+'Beállítások'!$E$21*(Q147-1)+'Beállítások'!$E$22*(R147-1)+'Beállítások'!$E$23*(S147-1)+'Beállítások'!$E$24*(T147-1)+'Beállítások'!$E$25*(U147-1)+'Beállítások'!$E$26*(V147-1)+'Beállítások'!$E$27*(W147-1)+'Beállítások'!$E$28*(X147-1)+'Beállítások'!$E$29*(Y147-1)+'Beállítások'!$E$30*(Z147-1)+'Beállítások'!$E$31*(AA147-1)+'Beállítások'!$E$32*(AB147-1)+'Beállítások'!$E$33*(AC147-1)+'Beállítások'!$E$34*(AD147-1)+'Beállítások'!$E$35*(AE147-1)+'Beállítások'!$E$36*(AF147-1)+'Beállítások'!$E$37*(AG147-1)+'Beállítások'!$E$38*(AH147-1))/(9*'Beállítások'!$E$39),1))</f>
        <v/>
      </c>
      <c r="AN147" s="23">
        <f>IF($A147="","",ROUND(100*('Beállítások'!$E$8*(D147-1)+'Beállítások'!$E$9*(E147-1)+'Beállítások'!$E$10*(F147-1)+'Beállítások'!$E$11*(G147-1)+'Beállítások'!$E$12*(H147-1)+'Beállítások'!$E$13*(I147-1)+'Beállítások'!$E$14*(J147-1)+'Beállítások'!$E$15*(K147-1)+'Beállítások'!$E$16*(L147-1)+'Beállítások'!$E$17*(M147-1)+'Beállítások'!$E$18*(N147-1)+'Beállítások'!$E$19*(O147-1)+'Beállítások'!$E$20*(P147-1)+'Beállítások'!$E$21*(Q147-1)+'Beállítások'!$E$22*(R147-1)+'Beállítások'!$E$23*(S147-1)+'Beállítások'!$E$24*(T147-1)+'Beállítások'!$E$25*(U147-1)+'Beállítások'!$E$26*(V147-1)+'Beállítások'!$E$27*(W147-1)+'Beállítások'!$E$28*(X147-1)+'Beállítások'!$E$29*(Y147-1))/(9*('Beállítások'!$B$44+'Beállítások'!$B$45)),1))</f>
        <v/>
      </c>
      <c r="AO147" s="24">
        <f>IF($A147="","",RANK(AM147,$AM$2:$AM$201))</f>
        <v/>
      </c>
      <c r="AP147">
        <f>IF($A147="","",IF(OR(AND('Ügyfelek'!B147&lt;&gt;"",B147&lt;='Beállítások'!$B$85),AND('Ügyfelek'!C147&lt;&gt;"",C147&lt;='Beállítások'!$B$86)),"Igen","Nem"))</f>
        <v/>
      </c>
      <c r="AQ147" s="24">
        <f>IF($A147="","",IF(AP147="Igen",5,IF(AN147&gt;='Beállítások'!$C$108,1,IF(AN147&gt;='Beállítások'!$C$109,2,IF(AN147&gt;='Beállítások'!$C$110,3,IF(AND(AN147&gt;='Beállítások'!$B$87,AI147&gt;='Beállítások'!$B$88,AL147&gt;='Beállítások'!$B$89),4,5))))))</f>
        <v/>
      </c>
      <c r="AR147">
        <f>IF($A147="","",INDEX('Beállítások'!$B$108:$B$112,AQ147))</f>
        <v/>
      </c>
      <c r="AS147">
        <f>IF($A147="","",IF(AQ147=5,"Elutasítjuk",IF(AND(AQ147=4,COUNTIFS('Eredmény'!$AQ$2:$AQ$201,4,'Eredmény'!$DY$2:$DY$201,"&gt;"&amp;DY147)&gt;='Beállítások'!$B$90),"Várólista (a 4-es hely foglalt)","Elfogadjuk")))</f>
        <v/>
      </c>
      <c r="AT147">
        <f>IF($A147="","",INDEX('Beállítások'!$F$108:$F$112,AQ147))</f>
        <v/>
      </c>
      <c r="AU147">
        <f>IF($A147="","",INDEX('Beállítások'!$B$6:$B$38,MATCH(MAX(BK147:CQ147),BK147:CQ147,0)))</f>
        <v/>
      </c>
      <c r="AV147">
        <f>IF($A147="","",IF(MAX(CR147:DX147)=0,"—",INDEX('Beállítások'!$B$6:$B$38,MATCH(MAX(CR147:DX147),CR147:DX147,0))))</f>
        <v/>
      </c>
      <c r="AW147" s="10">
        <f>IF($A147="","",'Beállítások'!$B$94*(TRIM('Ügyfelek'!AI147)="igen")+'Beállítások'!$B$95*(TRIM('Ügyfelek'!AJ147)="igen")+'Beállítások'!$B$96*N('Ügyfelek'!AK147)+'Beállítások'!$B$93*N('Ügyfelek'!AL147))</f>
        <v/>
      </c>
      <c r="AX147" s="25">
        <f>IF(OR($A147="",AQ147=5),"",INDEX('Beállítások'!$D$108:$D$112,AQ147))</f>
        <v/>
      </c>
      <c r="AY147" s="10">
        <f>IF($A147="","",N('Ügyfelek'!U147)*'Beállítások'!$B$98)</f>
        <v/>
      </c>
      <c r="AZ147" s="10">
        <f>IF(OR($A147="",AQ147=5),"",CEILING(ROUND(MAX('Beállítások'!$B$97,AW147*AX147,AY147),2),'Beállítások'!$B$99))</f>
        <v/>
      </c>
      <c r="BA147">
        <f>IF($A147="","",IF(AQ147=5,"Elutasítva",IF(MAX('Beállítások'!$B$97,AW147*AX147,AY147)=AW147*AX147,"Munkaigény × státuszszorzó",IF(MAX('Beállítások'!$B$97,AW147*AX147,AY147)=AY147,"Hirdetési keret arányában","Minimumdíj"))))</f>
        <v/>
      </c>
      <c r="BB147" s="10">
        <f>IF(OR($A147="",'Ügyfelek'!AM147=""),"",'Ügyfelek'!AM147)</f>
        <v/>
      </c>
      <c r="BC147" s="10">
        <f>IF(OR(BB147="",AZ147=""),"",AZ147-BB147)</f>
        <v/>
      </c>
      <c r="BD147" s="18">
        <f>IF(OR(BB147="",AZ147="",BB147=0),"",BC147/BB147)</f>
        <v/>
      </c>
      <c r="BE147">
        <f>IF(OR($A147="",AQ147=5),"",IF(AND(INDEX('Beállítások'!$E$108:$E$112,AQ147)&gt;0,Y147&gt;='Beállítások'!$B$91),"Igen","Nem"))</f>
        <v/>
      </c>
      <c r="BF147" s="10">
        <f>IF(BE147="Igen",CEILING(ROUND(AZ147*(1-'Beállítások'!$B$92),2),'Beállítások'!$B$99),"")</f>
        <v/>
      </c>
      <c r="BG147" s="20">
        <f>IF(BE147="Igen",INDEX('Beállítások'!$E$108:$E$112,AQ147),"")</f>
        <v/>
      </c>
      <c r="BH147" s="10">
        <f>IF(OR(BE147&lt;&gt;"Igen",'Ügyfelek'!AN147=""),"",'Ügyfelek'!AN147*BG147)</f>
        <v/>
      </c>
      <c r="BI147" s="24">
        <f>IF($A147="","",('Ügyfelek'!B147="")+('Ügyfelek'!C147="")+('Ügyfelek'!D147="")+('Ügyfelek'!E147="")+('Ügyfelek'!F147="")+('Ügyfelek'!G147="")+('Ügyfelek'!H147="")+('Ügyfelek'!I147="")+('Ügyfelek'!J147="")+('Ügyfelek'!K147="")+('Ügyfelek'!L147="")+('Ügyfelek'!M147="")+('Ügyfelek'!N147="")+('Ügyfelek'!O147="")+('Ügyfelek'!P147="")+('Ügyfelek'!Q147="")+('Ügyfelek'!R147="")+('Ügyfelek'!S147="")+('Ügyfelek'!T147="")+('Ügyfelek'!U147="")+('Ügyfelek'!V147="")+('Ügyfelek'!W147="")+('Ügyfelek'!X147="")+('Ügyfelek'!Y147="")+('Ügyfelek'!Z147="")+('Ügyfelek'!AA147="")+('Ügyfelek'!AB147="")+('Ügyfelek'!AC147="")+('Ügyfelek'!AD147="")+('Ügyfelek'!AE147="")+('Ügyfelek'!AF147="")+('Ügyfelek'!AG147="")+('Ügyfelek'!AH147=""))</f>
        <v/>
      </c>
      <c r="BK147">
        <f>IF($A147="","",B147+'Beállítások'!$E$6/1000)</f>
        <v/>
      </c>
      <c r="BL147">
        <f>IF($A147="","",C147+'Beállítások'!$E$7/1000)</f>
        <v/>
      </c>
      <c r="BM147">
        <f>IF($A147="","",D147+'Beállítások'!$E$8/1000)</f>
        <v/>
      </c>
      <c r="BN147">
        <f>IF($A147="","",E147+'Beállítások'!$E$9/1000)</f>
        <v/>
      </c>
      <c r="BO147">
        <f>IF($A147="","",F147+'Beállítások'!$E$10/1000)</f>
        <v/>
      </c>
      <c r="BP147">
        <f>IF($A147="","",G147+'Beállítások'!$E$11/1000)</f>
        <v/>
      </c>
      <c r="BQ147">
        <f>IF($A147="","",H147+'Beállítások'!$E$12/1000)</f>
        <v/>
      </c>
      <c r="BR147">
        <f>IF($A147="","",I147+'Beállítások'!$E$13/1000)</f>
        <v/>
      </c>
      <c r="BS147">
        <f>IF($A147="","",J147+'Beállítások'!$E$14/1000)</f>
        <v/>
      </c>
      <c r="BT147">
        <f>IF($A147="","",K147+'Beállítások'!$E$15/1000)</f>
        <v/>
      </c>
      <c r="BU147">
        <f>IF($A147="","",L147+'Beállítások'!$E$16/1000)</f>
        <v/>
      </c>
      <c r="BV147">
        <f>IF($A147="","",M147+'Beállítások'!$E$17/1000)</f>
        <v/>
      </c>
      <c r="BW147">
        <f>IF($A147="","",N147+'Beállítások'!$E$18/1000)</f>
        <v/>
      </c>
      <c r="BX147">
        <f>IF($A147="","",O147+'Beállítások'!$E$19/1000)</f>
        <v/>
      </c>
      <c r="BY147">
        <f>IF($A147="","",P147+'Beállítások'!$E$20/1000)</f>
        <v/>
      </c>
      <c r="BZ147">
        <f>IF($A147="","",Q147+'Beállítások'!$E$21/1000)</f>
        <v/>
      </c>
      <c r="CA147">
        <f>IF($A147="","",R147+'Beállítások'!$E$22/1000)</f>
        <v/>
      </c>
      <c r="CB147">
        <f>IF($A147="","",S147+'Beállítások'!$E$23/1000)</f>
        <v/>
      </c>
      <c r="CC147">
        <f>IF($A147="","",T147+'Beállítások'!$E$24/1000)</f>
        <v/>
      </c>
      <c r="CD147">
        <f>IF($A147="","",U147+'Beállítások'!$E$25/1000)</f>
        <v/>
      </c>
      <c r="CE147">
        <f>IF($A147="","",V147+'Beállítások'!$E$26/1000)</f>
        <v/>
      </c>
      <c r="CF147">
        <f>IF($A147="","",W147+'Beállítások'!$E$27/1000)</f>
        <v/>
      </c>
      <c r="CG147">
        <f>IF($A147="","",X147+'Beállítások'!$E$28/1000)</f>
        <v/>
      </c>
      <c r="CH147">
        <f>IF($A147="","",Y147+'Beállítások'!$E$29/1000)</f>
        <v/>
      </c>
      <c r="CI147">
        <f>IF($A147="","",Z147+'Beállítások'!$E$30/1000)</f>
        <v/>
      </c>
      <c r="CJ147">
        <f>IF($A147="","",AA147+'Beállítások'!$E$31/1000)</f>
        <v/>
      </c>
      <c r="CK147">
        <f>IF($A147="","",AB147+'Beállítások'!$E$32/1000)</f>
        <v/>
      </c>
      <c r="CL147">
        <f>IF($A147="","",AC147+'Beállítások'!$E$33/1000)</f>
        <v/>
      </c>
      <c r="CM147">
        <f>IF($A147="","",AD147+'Beállítások'!$E$34/1000)</f>
        <v/>
      </c>
      <c r="CN147">
        <f>IF($A147="","",AE147+'Beállítások'!$E$35/1000)</f>
        <v/>
      </c>
      <c r="CO147">
        <f>IF($A147="","",AF147+'Beállítások'!$E$36/1000)</f>
        <v/>
      </c>
      <c r="CP147">
        <f>IF($A147="","",AG147+'Beállítások'!$E$37/1000)</f>
        <v/>
      </c>
      <c r="CQ147">
        <f>IF($A147="","",AH147+'Beállítások'!$E$38/1000)</f>
        <v/>
      </c>
      <c r="CR147">
        <f>IF($A147="","",'Beállítások'!$E$6*(10-B147))</f>
        <v/>
      </c>
      <c r="CS147">
        <f>IF($A147="","",'Beállítások'!$E$7*(10-C147))</f>
        <v/>
      </c>
      <c r="CT147">
        <f>IF($A147="","",'Beállítások'!$E$8*(10-D147))</f>
        <v/>
      </c>
      <c r="CU147">
        <f>IF($A147="","",'Beállítások'!$E$9*(10-E147))</f>
        <v/>
      </c>
      <c r="CV147">
        <f>IF($A147="","",'Beállítások'!$E$10*(10-F147))</f>
        <v/>
      </c>
      <c r="CW147">
        <f>IF($A147="","",'Beállítások'!$E$11*(10-G147))</f>
        <v/>
      </c>
      <c r="CX147">
        <f>IF($A147="","",'Beállítások'!$E$12*(10-H147))</f>
        <v/>
      </c>
      <c r="CY147">
        <f>IF($A147="","",'Beállítások'!$E$13*(10-I147))</f>
        <v/>
      </c>
      <c r="CZ147">
        <f>IF($A147="","",'Beállítások'!$E$14*(10-J147))</f>
        <v/>
      </c>
      <c r="DA147">
        <f>IF($A147="","",'Beállítások'!$E$15*(10-K147))</f>
        <v/>
      </c>
      <c r="DB147">
        <f>IF($A147="","",'Beállítások'!$E$16*(10-L147))</f>
        <v/>
      </c>
      <c r="DC147">
        <f>IF($A147="","",'Beállítások'!$E$17*(10-M147))</f>
        <v/>
      </c>
      <c r="DD147">
        <f>IF($A147="","",'Beállítások'!$E$18*(10-N147))</f>
        <v/>
      </c>
      <c r="DE147">
        <f>IF($A147="","",'Beállítások'!$E$19*(10-O147))</f>
        <v/>
      </c>
      <c r="DF147">
        <f>IF($A147="","",'Beállítások'!$E$20*(10-P147))</f>
        <v/>
      </c>
      <c r="DG147">
        <f>IF($A147="","",'Beállítások'!$E$21*(10-Q147))</f>
        <v/>
      </c>
      <c r="DH147">
        <f>IF($A147="","",'Beállítások'!$E$22*(10-R147))</f>
        <v/>
      </c>
      <c r="DI147">
        <f>IF($A147="","",'Beállítások'!$E$23*(10-S147))</f>
        <v/>
      </c>
      <c r="DJ147">
        <f>IF($A147="","",'Beállítások'!$E$24*(10-T147))</f>
        <v/>
      </c>
      <c r="DK147">
        <f>IF($A147="","",'Beállítások'!$E$25*(10-U147))</f>
        <v/>
      </c>
      <c r="DL147">
        <f>IF($A147="","",'Beállítások'!$E$26*(10-V147))</f>
        <v/>
      </c>
      <c r="DM147">
        <f>IF($A147="","",'Beállítások'!$E$27*(10-W147))</f>
        <v/>
      </c>
      <c r="DN147">
        <f>IF($A147="","",'Beállítások'!$E$28*(10-X147))</f>
        <v/>
      </c>
      <c r="DO147">
        <f>IF($A147="","",'Beállítások'!$E$29*(10-Y147))</f>
        <v/>
      </c>
      <c r="DP147">
        <f>IF($A147="","",'Beállítások'!$E$30*(10-Z147))</f>
        <v/>
      </c>
      <c r="DQ147">
        <f>IF($A147="","",'Beállítások'!$E$31*(10-AA147))</f>
        <v/>
      </c>
      <c r="DR147">
        <f>IF($A147="","",'Beállítások'!$E$32*(10-AB147))</f>
        <v/>
      </c>
      <c r="DS147">
        <f>IF($A147="","",'Beállítások'!$E$33*(10-AC147))</f>
        <v/>
      </c>
      <c r="DT147">
        <f>IF($A147="","",'Beállítások'!$E$34*(10-AD147))</f>
        <v/>
      </c>
      <c r="DU147">
        <f>IF($A147="","",'Beállítások'!$E$35*(10-AE147))</f>
        <v/>
      </c>
      <c r="DV147">
        <f>IF($A147="","",'Beállítások'!$E$36*(10-AF147))</f>
        <v/>
      </c>
      <c r="DW147">
        <f>IF($A147="","",'Beállítások'!$E$37*(10-AG147))</f>
        <v/>
      </c>
      <c r="DX147">
        <f>IF($A147="","",'Beállítások'!$E$38*(10-AH147))</f>
        <v/>
      </c>
      <c r="DY147">
        <f>IF($A147="","",AM147-ROW()/100000)</f>
        <v/>
      </c>
    </row>
    <row r="148">
      <c r="A148">
        <f>IF('Ügyfelek'!A148="","",'Ügyfelek'!A148)</f>
        <v/>
      </c>
      <c r="B148">
        <f>IF($A148="","",IF('Ügyfelek'!B148="",'Beállítások'!$B$84,IFERROR(VLOOKUP(TRIM('Ügyfelek'!B148),'Beállítások'!$A$51:$B$59,2,FALSE),'Beállítások'!$B$84)))</f>
        <v/>
      </c>
      <c r="C148">
        <f>IF($A148="","",IF('Ügyfelek'!C148="",'Beállítások'!$B$84,MIN(10,MAX(1,ROUND('Ügyfelek'!C148,0)))))</f>
        <v/>
      </c>
      <c r="D148">
        <f>IF($A148="","",IF('Ügyfelek'!D148="",'Beállítások'!$B$84,MIN(10,MAX(1,ROUND('Ügyfelek'!D148,0)))))</f>
        <v/>
      </c>
      <c r="E148">
        <f>IF($A148="","",IF('Ügyfelek'!E148="",'Beállítások'!$B$84,MIN(10,MAX(1,ROUND('Ügyfelek'!E148,0)))))</f>
        <v/>
      </c>
      <c r="F148">
        <f>IF($A148="","",IF('Ügyfelek'!F148="",'Beállítások'!$B$84,MIN(10,MAX(1,ROUND('Ügyfelek'!F148,0)))))</f>
        <v/>
      </c>
      <c r="G148">
        <f>IF($A148="","",IF('Ügyfelek'!G148="",'Beállítások'!$B$84,MIN(10,MAX(1,ROUND('Ügyfelek'!G148,0)))))</f>
        <v/>
      </c>
      <c r="H148">
        <f>IF($A148="","",IF('Ügyfelek'!H148="",'Beállítások'!$B$84,MIN(10,MAX(1,ROUND('Ügyfelek'!H148,0)))))</f>
        <v/>
      </c>
      <c r="I148">
        <f>IF($A148="","",IF('Ügyfelek'!I148="",'Beállítások'!$B$84,MIN(10,MAX(1,ROUND('Ügyfelek'!I148,0)))))</f>
        <v/>
      </c>
      <c r="J148">
        <f>IF($A148="","",IF('Ügyfelek'!J148="",'Beállítások'!$B$84,MIN(10,MAX(1,ROUND('Ügyfelek'!J148,0)))))</f>
        <v/>
      </c>
      <c r="K148">
        <f>IF($A148="","",IF('Ügyfelek'!K148="",'Beállítások'!$B$84,MIN(10,MAX(1,ROUND('Ügyfelek'!K148,0)))))</f>
        <v/>
      </c>
      <c r="L148">
        <f>IF($A148="","",IF('Ügyfelek'!L148="",'Beállítások'!$B$84,MIN(10,MAX(1,ROUND('Ügyfelek'!L148,0)))))</f>
        <v/>
      </c>
      <c r="M148">
        <f>IF($A148="","",IF('Ügyfelek'!M148="",'Beállítások'!$B$84,MIN(10,MAX(1,ROUND('Ügyfelek'!M148,0)))))</f>
        <v/>
      </c>
      <c r="N148">
        <f>IF($A148="","",IF('Ügyfelek'!N148="",'Beállítások'!$B$84,MIN(10,MAX(1,ROUND('Ügyfelek'!N148,0)))))</f>
        <v/>
      </c>
      <c r="O148">
        <f>IF($A148="","",IF('Ügyfelek'!O148="",'Beállítások'!$B$84,MIN(10,MAX(1,ROUND('Ügyfelek'!O148,0)))))</f>
        <v/>
      </c>
      <c r="P148">
        <f>IF($A148="","",IF('Ügyfelek'!P148="",'Beállítások'!$B$84,MIN(10,MAX(1,ROUND('Ügyfelek'!P148,0)))))</f>
        <v/>
      </c>
      <c r="Q148">
        <f>IF($A148="","",IF('Ügyfelek'!Q148="",'Beállítások'!$B$84,MIN(10,MAX(1,ROUND('Ügyfelek'!Q148,0)))))</f>
        <v/>
      </c>
      <c r="R148">
        <f>IF($A148="","",IF('Ügyfelek'!R148="",'Beállítások'!$B$84,MIN(10,MAX(1,ROUND('Ügyfelek'!R148,0)))))</f>
        <v/>
      </c>
      <c r="S148">
        <f>IF($A148="","",IF('Ügyfelek'!S148="",'Beállítások'!$B$84,MIN(10,MAX(1,ROUND('Ügyfelek'!S148,0)))))</f>
        <v/>
      </c>
      <c r="T148">
        <f>IF($A148="","",IF('Ügyfelek'!T148="",'Beállítások'!$B$84,VLOOKUP(MAX('Ügyfelek'!T148,'Beállítások'!$H$7),'Beállítások'!$H$7:$I$12,2,TRUE)))</f>
        <v/>
      </c>
      <c r="U148">
        <f>IF($A148="","",IF('Ügyfelek'!U148="",'Beállítások'!$B$84,VLOOKUP(MAX('Ügyfelek'!U148,'Beállítások'!$K$7),'Beállítások'!$K$7:$L$12,2,TRUE)))</f>
        <v/>
      </c>
      <c r="V148">
        <f>IF($A148="","",IF('Ügyfelek'!V148="",'Beállítások'!$B$84,MIN(10,MAX(1,ROUND('Ügyfelek'!V148,0)))))</f>
        <v/>
      </c>
      <c r="W148">
        <f>IF($A148="","",IF('Ügyfelek'!W148="",'Beállítások'!$B$84,VLOOKUP(MAX('Ügyfelek'!W148,'Beállítások'!$N$7),'Beállítások'!$N$7:$O$12,2,TRUE)))</f>
        <v/>
      </c>
      <c r="X148">
        <f>IF($A148="","",IF('Ügyfelek'!X148="",'Beállítások'!$B$84,MIN(10,MAX(1,ROUND('Ügyfelek'!X148,0)))))</f>
        <v/>
      </c>
      <c r="Y148">
        <f>IF($A148="","",IF('Ügyfelek'!Y148="",'Beállítások'!$B$84,IFERROR(VLOOKUP(TRIM('Ügyfelek'!Y148),'Beállítások'!$A$63:$B$69,2,FALSE),'Beállítások'!$B$84)))</f>
        <v/>
      </c>
      <c r="Z148">
        <f>IF($A148="","",IF('Ügyfelek'!Z148="",'Beállítások'!$B$84,VLOOKUP(MAX('Ügyfelek'!Z148,'Beállítások'!$Q$7),'Beállítások'!$Q$7:$R$12,2,TRUE)))</f>
        <v/>
      </c>
      <c r="AA148">
        <f>IF($A148="","",IF('Ügyfelek'!AA148="",'Beállítások'!$B$84,VLOOKUP(MAX('Ügyfelek'!AA148,'Beállítások'!$T$7),'Beállítások'!$T$7:$U$12,2,TRUE)))</f>
        <v/>
      </c>
      <c r="AB148">
        <f>IF($A148="","",IF('Ügyfelek'!AB148="",'Beállítások'!$B$84,MIN(10,MAX(1,ROUND('Ügyfelek'!AB148,0)))))</f>
        <v/>
      </c>
      <c r="AC148">
        <f>IF($A148="","",IF('Ügyfelek'!AC148="",'Beállítások'!$B$84,MIN(10,MAX(1,ROUND('Ügyfelek'!AC148,0)))))</f>
        <v/>
      </c>
      <c r="AD148">
        <f>IF($A148="","",IF('Ügyfelek'!AD148="",'Beállítások'!$B$84,MIN(10,MAX(1,ROUND('Ügyfelek'!AD148,0)))))</f>
        <v/>
      </c>
      <c r="AE148">
        <f>IF($A148="","",IF('Ügyfelek'!AE148="",'Beállítások'!$B$84,MIN(10,MAX(1,ROUND('Ügyfelek'!AE148,0)))))</f>
        <v/>
      </c>
      <c r="AF148">
        <f>IF($A148="","",IF('Ügyfelek'!AF148="",'Beállítások'!$B$84,MIN(10,MAX(1,ROUND('Ügyfelek'!AF148,0)))))</f>
        <v/>
      </c>
      <c r="AG148">
        <f>IF($A148="","",IF('Ügyfelek'!AG148="",'Beállítások'!$B$84,MIN(10,MAX(1,ROUND('Ügyfelek'!AG148,0)))))</f>
        <v/>
      </c>
      <c r="AH148">
        <f>IF($A148="","",IF('Ügyfelek'!AH148="",'Beállítások'!$B$84,IFERROR(VLOOKUP(TRIM('Ügyfelek'!AH148),'Beállítások'!$A$73:$B$79,2,FALSE),'Beállítások'!$B$84)))</f>
        <v/>
      </c>
      <c r="AI148" s="23">
        <f>IF($A148="","",ROUND(100*('Beállítások'!$E$6*(B148-1)+'Beállítások'!$E$7*(C148-1))/(9*'Beállítások'!$B$43),1))</f>
        <v/>
      </c>
      <c r="AJ148" s="23">
        <f>IF($A148="","",ROUND(100*('Beállítások'!$E$8*(D148-1)+'Beállítások'!$E$9*(E148-1)+'Beállítások'!$E$10*(F148-1)+'Beállítások'!$E$11*(G148-1)+'Beállítások'!$E$12*(H148-1)+'Beállítások'!$E$13*(I148-1)+'Beállítások'!$E$14*(J148-1)+'Beállítások'!$E$15*(K148-1)+'Beállítások'!$E$16*(L148-1)+'Beállítások'!$E$17*(M148-1)+'Beállítások'!$E$18*(N148-1)+'Beállítások'!$E$19*(O148-1)+'Beállítások'!$E$20*(P148-1)+'Beállítások'!$E$21*(Q148-1)+'Beállítások'!$E$22*(R148-1))/(9*'Beállítások'!$B$44),1))</f>
        <v/>
      </c>
      <c r="AK148" s="23">
        <f>IF($A148="","",ROUND(100*('Beállítások'!$E$23*(S148-1)+'Beállítások'!$E$24*(T148-1)+'Beállítások'!$E$25*(U148-1)+'Beállítások'!$E$26*(V148-1)+'Beállítások'!$E$27*(W148-1)+'Beállítások'!$E$28*(X148-1)+'Beállítások'!$E$29*(Y148-1))/(9*'Beállítások'!$B$45),1))</f>
        <v/>
      </c>
      <c r="AL148" s="23">
        <f>IF($A148="","",ROUND(100*('Beállítások'!$E$30*(Z148-1)+'Beállítások'!$E$31*(AA148-1)+'Beállítások'!$E$32*(AB148-1)+'Beállítások'!$E$33*(AC148-1)+'Beállítások'!$E$34*(AD148-1)+'Beállítások'!$E$35*(AE148-1)+'Beállítások'!$E$36*(AF148-1)+'Beállítások'!$E$37*(AG148-1)+'Beállítások'!$E$38*(AH148-1))/(9*'Beállítások'!$B$46),1))</f>
        <v/>
      </c>
      <c r="AM148" s="23">
        <f>IF($A148="","",ROUND(100*('Beállítások'!$E$6*(B148-1)+'Beállítások'!$E$7*(C148-1)+'Beállítások'!$E$8*(D148-1)+'Beállítások'!$E$9*(E148-1)+'Beállítások'!$E$10*(F148-1)+'Beállítások'!$E$11*(G148-1)+'Beállítások'!$E$12*(H148-1)+'Beállítások'!$E$13*(I148-1)+'Beállítások'!$E$14*(J148-1)+'Beállítások'!$E$15*(K148-1)+'Beállítások'!$E$16*(L148-1)+'Beállítások'!$E$17*(M148-1)+'Beállítások'!$E$18*(N148-1)+'Beállítások'!$E$19*(O148-1)+'Beállítások'!$E$20*(P148-1)+'Beállítások'!$E$21*(Q148-1)+'Beállítások'!$E$22*(R148-1)+'Beállítások'!$E$23*(S148-1)+'Beállítások'!$E$24*(T148-1)+'Beállítások'!$E$25*(U148-1)+'Beállítások'!$E$26*(V148-1)+'Beállítások'!$E$27*(W148-1)+'Beállítások'!$E$28*(X148-1)+'Beállítások'!$E$29*(Y148-1)+'Beállítások'!$E$30*(Z148-1)+'Beállítások'!$E$31*(AA148-1)+'Beállítások'!$E$32*(AB148-1)+'Beállítások'!$E$33*(AC148-1)+'Beállítások'!$E$34*(AD148-1)+'Beállítások'!$E$35*(AE148-1)+'Beállítások'!$E$36*(AF148-1)+'Beállítások'!$E$37*(AG148-1)+'Beállítások'!$E$38*(AH148-1))/(9*'Beállítások'!$E$39),1))</f>
        <v/>
      </c>
      <c r="AN148" s="23">
        <f>IF($A148="","",ROUND(100*('Beállítások'!$E$8*(D148-1)+'Beállítások'!$E$9*(E148-1)+'Beállítások'!$E$10*(F148-1)+'Beállítások'!$E$11*(G148-1)+'Beállítások'!$E$12*(H148-1)+'Beállítások'!$E$13*(I148-1)+'Beállítások'!$E$14*(J148-1)+'Beállítások'!$E$15*(K148-1)+'Beállítások'!$E$16*(L148-1)+'Beállítások'!$E$17*(M148-1)+'Beállítások'!$E$18*(N148-1)+'Beállítások'!$E$19*(O148-1)+'Beállítások'!$E$20*(P148-1)+'Beállítások'!$E$21*(Q148-1)+'Beállítások'!$E$22*(R148-1)+'Beállítások'!$E$23*(S148-1)+'Beállítások'!$E$24*(T148-1)+'Beállítások'!$E$25*(U148-1)+'Beállítások'!$E$26*(V148-1)+'Beállítások'!$E$27*(W148-1)+'Beállítások'!$E$28*(X148-1)+'Beállítások'!$E$29*(Y148-1))/(9*('Beállítások'!$B$44+'Beállítások'!$B$45)),1))</f>
        <v/>
      </c>
      <c r="AO148" s="24">
        <f>IF($A148="","",RANK(AM148,$AM$2:$AM$201))</f>
        <v/>
      </c>
      <c r="AP148">
        <f>IF($A148="","",IF(OR(AND('Ügyfelek'!B148&lt;&gt;"",B148&lt;='Beállítások'!$B$85),AND('Ügyfelek'!C148&lt;&gt;"",C148&lt;='Beállítások'!$B$86)),"Igen","Nem"))</f>
        <v/>
      </c>
      <c r="AQ148" s="24">
        <f>IF($A148="","",IF(AP148="Igen",5,IF(AN148&gt;='Beállítások'!$C$108,1,IF(AN148&gt;='Beállítások'!$C$109,2,IF(AN148&gt;='Beállítások'!$C$110,3,IF(AND(AN148&gt;='Beállítások'!$B$87,AI148&gt;='Beállítások'!$B$88,AL148&gt;='Beállítások'!$B$89),4,5))))))</f>
        <v/>
      </c>
      <c r="AR148">
        <f>IF($A148="","",INDEX('Beállítások'!$B$108:$B$112,AQ148))</f>
        <v/>
      </c>
      <c r="AS148">
        <f>IF($A148="","",IF(AQ148=5,"Elutasítjuk",IF(AND(AQ148=4,COUNTIFS('Eredmény'!$AQ$2:$AQ$201,4,'Eredmény'!$DY$2:$DY$201,"&gt;"&amp;DY148)&gt;='Beállítások'!$B$90),"Várólista (a 4-es hely foglalt)","Elfogadjuk")))</f>
        <v/>
      </c>
      <c r="AT148">
        <f>IF($A148="","",INDEX('Beállítások'!$F$108:$F$112,AQ148))</f>
        <v/>
      </c>
      <c r="AU148">
        <f>IF($A148="","",INDEX('Beállítások'!$B$6:$B$38,MATCH(MAX(BK148:CQ148),BK148:CQ148,0)))</f>
        <v/>
      </c>
      <c r="AV148">
        <f>IF($A148="","",IF(MAX(CR148:DX148)=0,"—",INDEX('Beállítások'!$B$6:$B$38,MATCH(MAX(CR148:DX148),CR148:DX148,0))))</f>
        <v/>
      </c>
      <c r="AW148" s="10">
        <f>IF($A148="","",'Beállítások'!$B$94*(TRIM('Ügyfelek'!AI148)="igen")+'Beállítások'!$B$95*(TRIM('Ügyfelek'!AJ148)="igen")+'Beállítások'!$B$96*N('Ügyfelek'!AK148)+'Beállítások'!$B$93*N('Ügyfelek'!AL148))</f>
        <v/>
      </c>
      <c r="AX148" s="25">
        <f>IF(OR($A148="",AQ148=5),"",INDEX('Beállítások'!$D$108:$D$112,AQ148))</f>
        <v/>
      </c>
      <c r="AY148" s="10">
        <f>IF($A148="","",N('Ügyfelek'!U148)*'Beállítások'!$B$98)</f>
        <v/>
      </c>
      <c r="AZ148" s="10">
        <f>IF(OR($A148="",AQ148=5),"",CEILING(ROUND(MAX('Beállítások'!$B$97,AW148*AX148,AY148),2),'Beállítások'!$B$99))</f>
        <v/>
      </c>
      <c r="BA148">
        <f>IF($A148="","",IF(AQ148=5,"Elutasítva",IF(MAX('Beállítások'!$B$97,AW148*AX148,AY148)=AW148*AX148,"Munkaigény × státuszszorzó",IF(MAX('Beállítások'!$B$97,AW148*AX148,AY148)=AY148,"Hirdetési keret arányában","Minimumdíj"))))</f>
        <v/>
      </c>
      <c r="BB148" s="10">
        <f>IF(OR($A148="",'Ügyfelek'!AM148=""),"",'Ügyfelek'!AM148)</f>
        <v/>
      </c>
      <c r="BC148" s="10">
        <f>IF(OR(BB148="",AZ148=""),"",AZ148-BB148)</f>
        <v/>
      </c>
      <c r="BD148" s="18">
        <f>IF(OR(BB148="",AZ148="",BB148=0),"",BC148/BB148)</f>
        <v/>
      </c>
      <c r="BE148">
        <f>IF(OR($A148="",AQ148=5),"",IF(AND(INDEX('Beállítások'!$E$108:$E$112,AQ148)&gt;0,Y148&gt;='Beállítások'!$B$91),"Igen","Nem"))</f>
        <v/>
      </c>
      <c r="BF148" s="10">
        <f>IF(BE148="Igen",CEILING(ROUND(AZ148*(1-'Beállítások'!$B$92),2),'Beállítások'!$B$99),"")</f>
        <v/>
      </c>
      <c r="BG148" s="20">
        <f>IF(BE148="Igen",INDEX('Beállítások'!$E$108:$E$112,AQ148),"")</f>
        <v/>
      </c>
      <c r="BH148" s="10">
        <f>IF(OR(BE148&lt;&gt;"Igen",'Ügyfelek'!AN148=""),"",'Ügyfelek'!AN148*BG148)</f>
        <v/>
      </c>
      <c r="BI148" s="24">
        <f>IF($A148="","",('Ügyfelek'!B148="")+('Ügyfelek'!C148="")+('Ügyfelek'!D148="")+('Ügyfelek'!E148="")+('Ügyfelek'!F148="")+('Ügyfelek'!G148="")+('Ügyfelek'!H148="")+('Ügyfelek'!I148="")+('Ügyfelek'!J148="")+('Ügyfelek'!K148="")+('Ügyfelek'!L148="")+('Ügyfelek'!M148="")+('Ügyfelek'!N148="")+('Ügyfelek'!O148="")+('Ügyfelek'!P148="")+('Ügyfelek'!Q148="")+('Ügyfelek'!R148="")+('Ügyfelek'!S148="")+('Ügyfelek'!T148="")+('Ügyfelek'!U148="")+('Ügyfelek'!V148="")+('Ügyfelek'!W148="")+('Ügyfelek'!X148="")+('Ügyfelek'!Y148="")+('Ügyfelek'!Z148="")+('Ügyfelek'!AA148="")+('Ügyfelek'!AB148="")+('Ügyfelek'!AC148="")+('Ügyfelek'!AD148="")+('Ügyfelek'!AE148="")+('Ügyfelek'!AF148="")+('Ügyfelek'!AG148="")+('Ügyfelek'!AH148=""))</f>
        <v/>
      </c>
      <c r="BK148">
        <f>IF($A148="","",B148+'Beállítások'!$E$6/1000)</f>
        <v/>
      </c>
      <c r="BL148">
        <f>IF($A148="","",C148+'Beállítások'!$E$7/1000)</f>
        <v/>
      </c>
      <c r="BM148">
        <f>IF($A148="","",D148+'Beállítások'!$E$8/1000)</f>
        <v/>
      </c>
      <c r="BN148">
        <f>IF($A148="","",E148+'Beállítások'!$E$9/1000)</f>
        <v/>
      </c>
      <c r="BO148">
        <f>IF($A148="","",F148+'Beállítások'!$E$10/1000)</f>
        <v/>
      </c>
      <c r="BP148">
        <f>IF($A148="","",G148+'Beállítások'!$E$11/1000)</f>
        <v/>
      </c>
      <c r="BQ148">
        <f>IF($A148="","",H148+'Beállítások'!$E$12/1000)</f>
        <v/>
      </c>
      <c r="BR148">
        <f>IF($A148="","",I148+'Beállítások'!$E$13/1000)</f>
        <v/>
      </c>
      <c r="BS148">
        <f>IF($A148="","",J148+'Beállítások'!$E$14/1000)</f>
        <v/>
      </c>
      <c r="BT148">
        <f>IF($A148="","",K148+'Beállítások'!$E$15/1000)</f>
        <v/>
      </c>
      <c r="BU148">
        <f>IF($A148="","",L148+'Beállítások'!$E$16/1000)</f>
        <v/>
      </c>
      <c r="BV148">
        <f>IF($A148="","",M148+'Beállítások'!$E$17/1000)</f>
        <v/>
      </c>
      <c r="BW148">
        <f>IF($A148="","",N148+'Beállítások'!$E$18/1000)</f>
        <v/>
      </c>
      <c r="BX148">
        <f>IF($A148="","",O148+'Beállítások'!$E$19/1000)</f>
        <v/>
      </c>
      <c r="BY148">
        <f>IF($A148="","",P148+'Beállítások'!$E$20/1000)</f>
        <v/>
      </c>
      <c r="BZ148">
        <f>IF($A148="","",Q148+'Beállítások'!$E$21/1000)</f>
        <v/>
      </c>
      <c r="CA148">
        <f>IF($A148="","",R148+'Beállítások'!$E$22/1000)</f>
        <v/>
      </c>
      <c r="CB148">
        <f>IF($A148="","",S148+'Beállítások'!$E$23/1000)</f>
        <v/>
      </c>
      <c r="CC148">
        <f>IF($A148="","",T148+'Beállítások'!$E$24/1000)</f>
        <v/>
      </c>
      <c r="CD148">
        <f>IF($A148="","",U148+'Beállítások'!$E$25/1000)</f>
        <v/>
      </c>
      <c r="CE148">
        <f>IF($A148="","",V148+'Beállítások'!$E$26/1000)</f>
        <v/>
      </c>
      <c r="CF148">
        <f>IF($A148="","",W148+'Beállítások'!$E$27/1000)</f>
        <v/>
      </c>
      <c r="CG148">
        <f>IF($A148="","",X148+'Beállítások'!$E$28/1000)</f>
        <v/>
      </c>
      <c r="CH148">
        <f>IF($A148="","",Y148+'Beállítások'!$E$29/1000)</f>
        <v/>
      </c>
      <c r="CI148">
        <f>IF($A148="","",Z148+'Beállítások'!$E$30/1000)</f>
        <v/>
      </c>
      <c r="CJ148">
        <f>IF($A148="","",AA148+'Beállítások'!$E$31/1000)</f>
        <v/>
      </c>
      <c r="CK148">
        <f>IF($A148="","",AB148+'Beállítások'!$E$32/1000)</f>
        <v/>
      </c>
      <c r="CL148">
        <f>IF($A148="","",AC148+'Beállítások'!$E$33/1000)</f>
        <v/>
      </c>
      <c r="CM148">
        <f>IF($A148="","",AD148+'Beállítások'!$E$34/1000)</f>
        <v/>
      </c>
      <c r="CN148">
        <f>IF($A148="","",AE148+'Beállítások'!$E$35/1000)</f>
        <v/>
      </c>
      <c r="CO148">
        <f>IF($A148="","",AF148+'Beállítások'!$E$36/1000)</f>
        <v/>
      </c>
      <c r="CP148">
        <f>IF($A148="","",AG148+'Beállítások'!$E$37/1000)</f>
        <v/>
      </c>
      <c r="CQ148">
        <f>IF($A148="","",AH148+'Beállítások'!$E$38/1000)</f>
        <v/>
      </c>
      <c r="CR148">
        <f>IF($A148="","",'Beállítások'!$E$6*(10-B148))</f>
        <v/>
      </c>
      <c r="CS148">
        <f>IF($A148="","",'Beállítások'!$E$7*(10-C148))</f>
        <v/>
      </c>
      <c r="CT148">
        <f>IF($A148="","",'Beállítások'!$E$8*(10-D148))</f>
        <v/>
      </c>
      <c r="CU148">
        <f>IF($A148="","",'Beállítások'!$E$9*(10-E148))</f>
        <v/>
      </c>
      <c r="CV148">
        <f>IF($A148="","",'Beállítások'!$E$10*(10-F148))</f>
        <v/>
      </c>
      <c r="CW148">
        <f>IF($A148="","",'Beállítások'!$E$11*(10-G148))</f>
        <v/>
      </c>
      <c r="CX148">
        <f>IF($A148="","",'Beállítások'!$E$12*(10-H148))</f>
        <v/>
      </c>
      <c r="CY148">
        <f>IF($A148="","",'Beállítások'!$E$13*(10-I148))</f>
        <v/>
      </c>
      <c r="CZ148">
        <f>IF($A148="","",'Beállítások'!$E$14*(10-J148))</f>
        <v/>
      </c>
      <c r="DA148">
        <f>IF($A148="","",'Beállítások'!$E$15*(10-K148))</f>
        <v/>
      </c>
      <c r="DB148">
        <f>IF($A148="","",'Beállítások'!$E$16*(10-L148))</f>
        <v/>
      </c>
      <c r="DC148">
        <f>IF($A148="","",'Beállítások'!$E$17*(10-M148))</f>
        <v/>
      </c>
      <c r="DD148">
        <f>IF($A148="","",'Beállítások'!$E$18*(10-N148))</f>
        <v/>
      </c>
      <c r="DE148">
        <f>IF($A148="","",'Beállítások'!$E$19*(10-O148))</f>
        <v/>
      </c>
      <c r="DF148">
        <f>IF($A148="","",'Beállítások'!$E$20*(10-P148))</f>
        <v/>
      </c>
      <c r="DG148">
        <f>IF($A148="","",'Beállítások'!$E$21*(10-Q148))</f>
        <v/>
      </c>
      <c r="DH148">
        <f>IF($A148="","",'Beállítások'!$E$22*(10-R148))</f>
        <v/>
      </c>
      <c r="DI148">
        <f>IF($A148="","",'Beállítások'!$E$23*(10-S148))</f>
        <v/>
      </c>
      <c r="DJ148">
        <f>IF($A148="","",'Beállítások'!$E$24*(10-T148))</f>
        <v/>
      </c>
      <c r="DK148">
        <f>IF($A148="","",'Beállítások'!$E$25*(10-U148))</f>
        <v/>
      </c>
      <c r="DL148">
        <f>IF($A148="","",'Beállítások'!$E$26*(10-V148))</f>
        <v/>
      </c>
      <c r="DM148">
        <f>IF($A148="","",'Beállítások'!$E$27*(10-W148))</f>
        <v/>
      </c>
      <c r="DN148">
        <f>IF($A148="","",'Beállítások'!$E$28*(10-X148))</f>
        <v/>
      </c>
      <c r="DO148">
        <f>IF($A148="","",'Beállítások'!$E$29*(10-Y148))</f>
        <v/>
      </c>
      <c r="DP148">
        <f>IF($A148="","",'Beállítások'!$E$30*(10-Z148))</f>
        <v/>
      </c>
      <c r="DQ148">
        <f>IF($A148="","",'Beállítások'!$E$31*(10-AA148))</f>
        <v/>
      </c>
      <c r="DR148">
        <f>IF($A148="","",'Beállítások'!$E$32*(10-AB148))</f>
        <v/>
      </c>
      <c r="DS148">
        <f>IF($A148="","",'Beállítások'!$E$33*(10-AC148))</f>
        <v/>
      </c>
      <c r="DT148">
        <f>IF($A148="","",'Beállítások'!$E$34*(10-AD148))</f>
        <v/>
      </c>
      <c r="DU148">
        <f>IF($A148="","",'Beállítások'!$E$35*(10-AE148))</f>
        <v/>
      </c>
      <c r="DV148">
        <f>IF($A148="","",'Beállítások'!$E$36*(10-AF148))</f>
        <v/>
      </c>
      <c r="DW148">
        <f>IF($A148="","",'Beállítások'!$E$37*(10-AG148))</f>
        <v/>
      </c>
      <c r="DX148">
        <f>IF($A148="","",'Beállítások'!$E$38*(10-AH148))</f>
        <v/>
      </c>
      <c r="DY148">
        <f>IF($A148="","",AM148-ROW()/100000)</f>
        <v/>
      </c>
    </row>
    <row r="149">
      <c r="A149">
        <f>IF('Ügyfelek'!A149="","",'Ügyfelek'!A149)</f>
        <v/>
      </c>
      <c r="B149">
        <f>IF($A149="","",IF('Ügyfelek'!B149="",'Beállítások'!$B$84,IFERROR(VLOOKUP(TRIM('Ügyfelek'!B149),'Beállítások'!$A$51:$B$59,2,FALSE),'Beállítások'!$B$84)))</f>
        <v/>
      </c>
      <c r="C149">
        <f>IF($A149="","",IF('Ügyfelek'!C149="",'Beállítások'!$B$84,MIN(10,MAX(1,ROUND('Ügyfelek'!C149,0)))))</f>
        <v/>
      </c>
      <c r="D149">
        <f>IF($A149="","",IF('Ügyfelek'!D149="",'Beállítások'!$B$84,MIN(10,MAX(1,ROUND('Ügyfelek'!D149,0)))))</f>
        <v/>
      </c>
      <c r="E149">
        <f>IF($A149="","",IF('Ügyfelek'!E149="",'Beállítások'!$B$84,MIN(10,MAX(1,ROUND('Ügyfelek'!E149,0)))))</f>
        <v/>
      </c>
      <c r="F149">
        <f>IF($A149="","",IF('Ügyfelek'!F149="",'Beállítások'!$B$84,MIN(10,MAX(1,ROUND('Ügyfelek'!F149,0)))))</f>
        <v/>
      </c>
      <c r="G149">
        <f>IF($A149="","",IF('Ügyfelek'!G149="",'Beállítások'!$B$84,MIN(10,MAX(1,ROUND('Ügyfelek'!G149,0)))))</f>
        <v/>
      </c>
      <c r="H149">
        <f>IF($A149="","",IF('Ügyfelek'!H149="",'Beállítások'!$B$84,MIN(10,MAX(1,ROUND('Ügyfelek'!H149,0)))))</f>
        <v/>
      </c>
      <c r="I149">
        <f>IF($A149="","",IF('Ügyfelek'!I149="",'Beállítások'!$B$84,MIN(10,MAX(1,ROUND('Ügyfelek'!I149,0)))))</f>
        <v/>
      </c>
      <c r="J149">
        <f>IF($A149="","",IF('Ügyfelek'!J149="",'Beállítások'!$B$84,MIN(10,MAX(1,ROUND('Ügyfelek'!J149,0)))))</f>
        <v/>
      </c>
      <c r="K149">
        <f>IF($A149="","",IF('Ügyfelek'!K149="",'Beállítások'!$B$84,MIN(10,MAX(1,ROUND('Ügyfelek'!K149,0)))))</f>
        <v/>
      </c>
      <c r="L149">
        <f>IF($A149="","",IF('Ügyfelek'!L149="",'Beállítások'!$B$84,MIN(10,MAX(1,ROUND('Ügyfelek'!L149,0)))))</f>
        <v/>
      </c>
      <c r="M149">
        <f>IF($A149="","",IF('Ügyfelek'!M149="",'Beállítások'!$B$84,MIN(10,MAX(1,ROUND('Ügyfelek'!M149,0)))))</f>
        <v/>
      </c>
      <c r="N149">
        <f>IF($A149="","",IF('Ügyfelek'!N149="",'Beállítások'!$B$84,MIN(10,MAX(1,ROUND('Ügyfelek'!N149,0)))))</f>
        <v/>
      </c>
      <c r="O149">
        <f>IF($A149="","",IF('Ügyfelek'!O149="",'Beállítások'!$B$84,MIN(10,MAX(1,ROUND('Ügyfelek'!O149,0)))))</f>
        <v/>
      </c>
      <c r="P149">
        <f>IF($A149="","",IF('Ügyfelek'!P149="",'Beállítások'!$B$84,MIN(10,MAX(1,ROUND('Ügyfelek'!P149,0)))))</f>
        <v/>
      </c>
      <c r="Q149">
        <f>IF($A149="","",IF('Ügyfelek'!Q149="",'Beállítások'!$B$84,MIN(10,MAX(1,ROUND('Ügyfelek'!Q149,0)))))</f>
        <v/>
      </c>
      <c r="R149">
        <f>IF($A149="","",IF('Ügyfelek'!R149="",'Beállítások'!$B$84,MIN(10,MAX(1,ROUND('Ügyfelek'!R149,0)))))</f>
        <v/>
      </c>
      <c r="S149">
        <f>IF($A149="","",IF('Ügyfelek'!S149="",'Beállítások'!$B$84,MIN(10,MAX(1,ROUND('Ügyfelek'!S149,0)))))</f>
        <v/>
      </c>
      <c r="T149">
        <f>IF($A149="","",IF('Ügyfelek'!T149="",'Beállítások'!$B$84,VLOOKUP(MAX('Ügyfelek'!T149,'Beállítások'!$H$7),'Beállítások'!$H$7:$I$12,2,TRUE)))</f>
        <v/>
      </c>
      <c r="U149">
        <f>IF($A149="","",IF('Ügyfelek'!U149="",'Beállítások'!$B$84,VLOOKUP(MAX('Ügyfelek'!U149,'Beállítások'!$K$7),'Beállítások'!$K$7:$L$12,2,TRUE)))</f>
        <v/>
      </c>
      <c r="V149">
        <f>IF($A149="","",IF('Ügyfelek'!V149="",'Beállítások'!$B$84,MIN(10,MAX(1,ROUND('Ügyfelek'!V149,0)))))</f>
        <v/>
      </c>
      <c r="W149">
        <f>IF($A149="","",IF('Ügyfelek'!W149="",'Beállítások'!$B$84,VLOOKUP(MAX('Ügyfelek'!W149,'Beállítások'!$N$7),'Beállítások'!$N$7:$O$12,2,TRUE)))</f>
        <v/>
      </c>
      <c r="X149">
        <f>IF($A149="","",IF('Ügyfelek'!X149="",'Beállítások'!$B$84,MIN(10,MAX(1,ROUND('Ügyfelek'!X149,0)))))</f>
        <v/>
      </c>
      <c r="Y149">
        <f>IF($A149="","",IF('Ügyfelek'!Y149="",'Beállítások'!$B$84,IFERROR(VLOOKUP(TRIM('Ügyfelek'!Y149),'Beállítások'!$A$63:$B$69,2,FALSE),'Beállítások'!$B$84)))</f>
        <v/>
      </c>
      <c r="Z149">
        <f>IF($A149="","",IF('Ügyfelek'!Z149="",'Beállítások'!$B$84,VLOOKUP(MAX('Ügyfelek'!Z149,'Beállítások'!$Q$7),'Beállítások'!$Q$7:$R$12,2,TRUE)))</f>
        <v/>
      </c>
      <c r="AA149">
        <f>IF($A149="","",IF('Ügyfelek'!AA149="",'Beállítások'!$B$84,VLOOKUP(MAX('Ügyfelek'!AA149,'Beállítások'!$T$7),'Beállítások'!$T$7:$U$12,2,TRUE)))</f>
        <v/>
      </c>
      <c r="AB149">
        <f>IF($A149="","",IF('Ügyfelek'!AB149="",'Beállítások'!$B$84,MIN(10,MAX(1,ROUND('Ügyfelek'!AB149,0)))))</f>
        <v/>
      </c>
      <c r="AC149">
        <f>IF($A149="","",IF('Ügyfelek'!AC149="",'Beállítások'!$B$84,MIN(10,MAX(1,ROUND('Ügyfelek'!AC149,0)))))</f>
        <v/>
      </c>
      <c r="AD149">
        <f>IF($A149="","",IF('Ügyfelek'!AD149="",'Beállítások'!$B$84,MIN(10,MAX(1,ROUND('Ügyfelek'!AD149,0)))))</f>
        <v/>
      </c>
      <c r="AE149">
        <f>IF($A149="","",IF('Ügyfelek'!AE149="",'Beállítások'!$B$84,MIN(10,MAX(1,ROUND('Ügyfelek'!AE149,0)))))</f>
        <v/>
      </c>
      <c r="AF149">
        <f>IF($A149="","",IF('Ügyfelek'!AF149="",'Beállítások'!$B$84,MIN(10,MAX(1,ROUND('Ügyfelek'!AF149,0)))))</f>
        <v/>
      </c>
      <c r="AG149">
        <f>IF($A149="","",IF('Ügyfelek'!AG149="",'Beállítások'!$B$84,MIN(10,MAX(1,ROUND('Ügyfelek'!AG149,0)))))</f>
        <v/>
      </c>
      <c r="AH149">
        <f>IF($A149="","",IF('Ügyfelek'!AH149="",'Beállítások'!$B$84,IFERROR(VLOOKUP(TRIM('Ügyfelek'!AH149),'Beállítások'!$A$73:$B$79,2,FALSE),'Beállítások'!$B$84)))</f>
        <v/>
      </c>
      <c r="AI149" s="23">
        <f>IF($A149="","",ROUND(100*('Beállítások'!$E$6*(B149-1)+'Beállítások'!$E$7*(C149-1))/(9*'Beállítások'!$B$43),1))</f>
        <v/>
      </c>
      <c r="AJ149" s="23">
        <f>IF($A149="","",ROUND(100*('Beállítások'!$E$8*(D149-1)+'Beállítások'!$E$9*(E149-1)+'Beállítások'!$E$10*(F149-1)+'Beállítások'!$E$11*(G149-1)+'Beállítások'!$E$12*(H149-1)+'Beállítások'!$E$13*(I149-1)+'Beállítások'!$E$14*(J149-1)+'Beállítások'!$E$15*(K149-1)+'Beállítások'!$E$16*(L149-1)+'Beállítások'!$E$17*(M149-1)+'Beállítások'!$E$18*(N149-1)+'Beállítások'!$E$19*(O149-1)+'Beállítások'!$E$20*(P149-1)+'Beállítások'!$E$21*(Q149-1)+'Beállítások'!$E$22*(R149-1))/(9*'Beállítások'!$B$44),1))</f>
        <v/>
      </c>
      <c r="AK149" s="23">
        <f>IF($A149="","",ROUND(100*('Beállítások'!$E$23*(S149-1)+'Beállítások'!$E$24*(T149-1)+'Beállítások'!$E$25*(U149-1)+'Beállítások'!$E$26*(V149-1)+'Beállítások'!$E$27*(W149-1)+'Beállítások'!$E$28*(X149-1)+'Beállítások'!$E$29*(Y149-1))/(9*'Beállítások'!$B$45),1))</f>
        <v/>
      </c>
      <c r="AL149" s="23">
        <f>IF($A149="","",ROUND(100*('Beállítások'!$E$30*(Z149-1)+'Beállítások'!$E$31*(AA149-1)+'Beállítások'!$E$32*(AB149-1)+'Beállítások'!$E$33*(AC149-1)+'Beállítások'!$E$34*(AD149-1)+'Beállítások'!$E$35*(AE149-1)+'Beállítások'!$E$36*(AF149-1)+'Beállítások'!$E$37*(AG149-1)+'Beállítások'!$E$38*(AH149-1))/(9*'Beállítások'!$B$46),1))</f>
        <v/>
      </c>
      <c r="AM149" s="23">
        <f>IF($A149="","",ROUND(100*('Beállítások'!$E$6*(B149-1)+'Beállítások'!$E$7*(C149-1)+'Beállítások'!$E$8*(D149-1)+'Beállítások'!$E$9*(E149-1)+'Beállítások'!$E$10*(F149-1)+'Beállítások'!$E$11*(G149-1)+'Beállítások'!$E$12*(H149-1)+'Beállítások'!$E$13*(I149-1)+'Beállítások'!$E$14*(J149-1)+'Beállítások'!$E$15*(K149-1)+'Beállítások'!$E$16*(L149-1)+'Beállítások'!$E$17*(M149-1)+'Beállítások'!$E$18*(N149-1)+'Beállítások'!$E$19*(O149-1)+'Beállítások'!$E$20*(P149-1)+'Beállítások'!$E$21*(Q149-1)+'Beállítások'!$E$22*(R149-1)+'Beállítások'!$E$23*(S149-1)+'Beállítások'!$E$24*(T149-1)+'Beállítások'!$E$25*(U149-1)+'Beállítások'!$E$26*(V149-1)+'Beállítások'!$E$27*(W149-1)+'Beállítások'!$E$28*(X149-1)+'Beállítások'!$E$29*(Y149-1)+'Beállítások'!$E$30*(Z149-1)+'Beállítások'!$E$31*(AA149-1)+'Beállítások'!$E$32*(AB149-1)+'Beállítások'!$E$33*(AC149-1)+'Beállítások'!$E$34*(AD149-1)+'Beállítások'!$E$35*(AE149-1)+'Beállítások'!$E$36*(AF149-1)+'Beállítások'!$E$37*(AG149-1)+'Beállítások'!$E$38*(AH149-1))/(9*'Beállítások'!$E$39),1))</f>
        <v/>
      </c>
      <c r="AN149" s="23">
        <f>IF($A149="","",ROUND(100*('Beállítások'!$E$8*(D149-1)+'Beállítások'!$E$9*(E149-1)+'Beállítások'!$E$10*(F149-1)+'Beállítások'!$E$11*(G149-1)+'Beállítások'!$E$12*(H149-1)+'Beállítások'!$E$13*(I149-1)+'Beállítások'!$E$14*(J149-1)+'Beállítások'!$E$15*(K149-1)+'Beállítások'!$E$16*(L149-1)+'Beállítások'!$E$17*(M149-1)+'Beállítások'!$E$18*(N149-1)+'Beállítások'!$E$19*(O149-1)+'Beállítások'!$E$20*(P149-1)+'Beállítások'!$E$21*(Q149-1)+'Beállítások'!$E$22*(R149-1)+'Beállítások'!$E$23*(S149-1)+'Beállítások'!$E$24*(T149-1)+'Beállítások'!$E$25*(U149-1)+'Beállítások'!$E$26*(V149-1)+'Beállítások'!$E$27*(W149-1)+'Beállítások'!$E$28*(X149-1)+'Beállítások'!$E$29*(Y149-1))/(9*('Beállítások'!$B$44+'Beállítások'!$B$45)),1))</f>
        <v/>
      </c>
      <c r="AO149" s="24">
        <f>IF($A149="","",RANK(AM149,$AM$2:$AM$201))</f>
        <v/>
      </c>
      <c r="AP149">
        <f>IF($A149="","",IF(OR(AND('Ügyfelek'!B149&lt;&gt;"",B149&lt;='Beállítások'!$B$85),AND('Ügyfelek'!C149&lt;&gt;"",C149&lt;='Beállítások'!$B$86)),"Igen","Nem"))</f>
        <v/>
      </c>
      <c r="AQ149" s="24">
        <f>IF($A149="","",IF(AP149="Igen",5,IF(AN149&gt;='Beállítások'!$C$108,1,IF(AN149&gt;='Beállítások'!$C$109,2,IF(AN149&gt;='Beállítások'!$C$110,3,IF(AND(AN149&gt;='Beállítások'!$B$87,AI149&gt;='Beállítások'!$B$88,AL149&gt;='Beállítások'!$B$89),4,5))))))</f>
        <v/>
      </c>
      <c r="AR149">
        <f>IF($A149="","",INDEX('Beállítások'!$B$108:$B$112,AQ149))</f>
        <v/>
      </c>
      <c r="AS149">
        <f>IF($A149="","",IF(AQ149=5,"Elutasítjuk",IF(AND(AQ149=4,COUNTIFS('Eredmény'!$AQ$2:$AQ$201,4,'Eredmény'!$DY$2:$DY$201,"&gt;"&amp;DY149)&gt;='Beállítások'!$B$90),"Várólista (a 4-es hely foglalt)","Elfogadjuk")))</f>
        <v/>
      </c>
      <c r="AT149">
        <f>IF($A149="","",INDEX('Beállítások'!$F$108:$F$112,AQ149))</f>
        <v/>
      </c>
      <c r="AU149">
        <f>IF($A149="","",INDEX('Beállítások'!$B$6:$B$38,MATCH(MAX(BK149:CQ149),BK149:CQ149,0)))</f>
        <v/>
      </c>
      <c r="AV149">
        <f>IF($A149="","",IF(MAX(CR149:DX149)=0,"—",INDEX('Beállítások'!$B$6:$B$38,MATCH(MAX(CR149:DX149),CR149:DX149,0))))</f>
        <v/>
      </c>
      <c r="AW149" s="10">
        <f>IF($A149="","",'Beállítások'!$B$94*(TRIM('Ügyfelek'!AI149)="igen")+'Beállítások'!$B$95*(TRIM('Ügyfelek'!AJ149)="igen")+'Beállítások'!$B$96*N('Ügyfelek'!AK149)+'Beállítások'!$B$93*N('Ügyfelek'!AL149))</f>
        <v/>
      </c>
      <c r="AX149" s="25">
        <f>IF(OR($A149="",AQ149=5),"",INDEX('Beállítások'!$D$108:$D$112,AQ149))</f>
        <v/>
      </c>
      <c r="AY149" s="10">
        <f>IF($A149="","",N('Ügyfelek'!U149)*'Beállítások'!$B$98)</f>
        <v/>
      </c>
      <c r="AZ149" s="10">
        <f>IF(OR($A149="",AQ149=5),"",CEILING(ROUND(MAX('Beállítások'!$B$97,AW149*AX149,AY149),2),'Beállítások'!$B$99))</f>
        <v/>
      </c>
      <c r="BA149">
        <f>IF($A149="","",IF(AQ149=5,"Elutasítva",IF(MAX('Beállítások'!$B$97,AW149*AX149,AY149)=AW149*AX149,"Munkaigény × státuszszorzó",IF(MAX('Beállítások'!$B$97,AW149*AX149,AY149)=AY149,"Hirdetési keret arányában","Minimumdíj"))))</f>
        <v/>
      </c>
      <c r="BB149" s="10">
        <f>IF(OR($A149="",'Ügyfelek'!AM149=""),"",'Ügyfelek'!AM149)</f>
        <v/>
      </c>
      <c r="BC149" s="10">
        <f>IF(OR(BB149="",AZ149=""),"",AZ149-BB149)</f>
        <v/>
      </c>
      <c r="BD149" s="18">
        <f>IF(OR(BB149="",AZ149="",BB149=0),"",BC149/BB149)</f>
        <v/>
      </c>
      <c r="BE149">
        <f>IF(OR($A149="",AQ149=5),"",IF(AND(INDEX('Beállítások'!$E$108:$E$112,AQ149)&gt;0,Y149&gt;='Beállítások'!$B$91),"Igen","Nem"))</f>
        <v/>
      </c>
      <c r="BF149" s="10">
        <f>IF(BE149="Igen",CEILING(ROUND(AZ149*(1-'Beállítások'!$B$92),2),'Beállítások'!$B$99),"")</f>
        <v/>
      </c>
      <c r="BG149" s="20">
        <f>IF(BE149="Igen",INDEX('Beállítások'!$E$108:$E$112,AQ149),"")</f>
        <v/>
      </c>
      <c r="BH149" s="10">
        <f>IF(OR(BE149&lt;&gt;"Igen",'Ügyfelek'!AN149=""),"",'Ügyfelek'!AN149*BG149)</f>
        <v/>
      </c>
      <c r="BI149" s="24">
        <f>IF($A149="","",('Ügyfelek'!B149="")+('Ügyfelek'!C149="")+('Ügyfelek'!D149="")+('Ügyfelek'!E149="")+('Ügyfelek'!F149="")+('Ügyfelek'!G149="")+('Ügyfelek'!H149="")+('Ügyfelek'!I149="")+('Ügyfelek'!J149="")+('Ügyfelek'!K149="")+('Ügyfelek'!L149="")+('Ügyfelek'!M149="")+('Ügyfelek'!N149="")+('Ügyfelek'!O149="")+('Ügyfelek'!P149="")+('Ügyfelek'!Q149="")+('Ügyfelek'!R149="")+('Ügyfelek'!S149="")+('Ügyfelek'!T149="")+('Ügyfelek'!U149="")+('Ügyfelek'!V149="")+('Ügyfelek'!W149="")+('Ügyfelek'!X149="")+('Ügyfelek'!Y149="")+('Ügyfelek'!Z149="")+('Ügyfelek'!AA149="")+('Ügyfelek'!AB149="")+('Ügyfelek'!AC149="")+('Ügyfelek'!AD149="")+('Ügyfelek'!AE149="")+('Ügyfelek'!AF149="")+('Ügyfelek'!AG149="")+('Ügyfelek'!AH149=""))</f>
        <v/>
      </c>
      <c r="BK149">
        <f>IF($A149="","",B149+'Beállítások'!$E$6/1000)</f>
        <v/>
      </c>
      <c r="BL149">
        <f>IF($A149="","",C149+'Beállítások'!$E$7/1000)</f>
        <v/>
      </c>
      <c r="BM149">
        <f>IF($A149="","",D149+'Beállítások'!$E$8/1000)</f>
        <v/>
      </c>
      <c r="BN149">
        <f>IF($A149="","",E149+'Beállítások'!$E$9/1000)</f>
        <v/>
      </c>
      <c r="BO149">
        <f>IF($A149="","",F149+'Beállítások'!$E$10/1000)</f>
        <v/>
      </c>
      <c r="BP149">
        <f>IF($A149="","",G149+'Beállítások'!$E$11/1000)</f>
        <v/>
      </c>
      <c r="BQ149">
        <f>IF($A149="","",H149+'Beállítások'!$E$12/1000)</f>
        <v/>
      </c>
      <c r="BR149">
        <f>IF($A149="","",I149+'Beállítások'!$E$13/1000)</f>
        <v/>
      </c>
      <c r="BS149">
        <f>IF($A149="","",J149+'Beállítások'!$E$14/1000)</f>
        <v/>
      </c>
      <c r="BT149">
        <f>IF($A149="","",K149+'Beállítások'!$E$15/1000)</f>
        <v/>
      </c>
      <c r="BU149">
        <f>IF($A149="","",L149+'Beállítások'!$E$16/1000)</f>
        <v/>
      </c>
      <c r="BV149">
        <f>IF($A149="","",M149+'Beállítások'!$E$17/1000)</f>
        <v/>
      </c>
      <c r="BW149">
        <f>IF($A149="","",N149+'Beállítások'!$E$18/1000)</f>
        <v/>
      </c>
      <c r="BX149">
        <f>IF($A149="","",O149+'Beállítások'!$E$19/1000)</f>
        <v/>
      </c>
      <c r="BY149">
        <f>IF($A149="","",P149+'Beállítások'!$E$20/1000)</f>
        <v/>
      </c>
      <c r="BZ149">
        <f>IF($A149="","",Q149+'Beállítások'!$E$21/1000)</f>
        <v/>
      </c>
      <c r="CA149">
        <f>IF($A149="","",R149+'Beállítások'!$E$22/1000)</f>
        <v/>
      </c>
      <c r="CB149">
        <f>IF($A149="","",S149+'Beállítások'!$E$23/1000)</f>
        <v/>
      </c>
      <c r="CC149">
        <f>IF($A149="","",T149+'Beállítások'!$E$24/1000)</f>
        <v/>
      </c>
      <c r="CD149">
        <f>IF($A149="","",U149+'Beállítások'!$E$25/1000)</f>
        <v/>
      </c>
      <c r="CE149">
        <f>IF($A149="","",V149+'Beállítások'!$E$26/1000)</f>
        <v/>
      </c>
      <c r="CF149">
        <f>IF($A149="","",W149+'Beállítások'!$E$27/1000)</f>
        <v/>
      </c>
      <c r="CG149">
        <f>IF($A149="","",X149+'Beállítások'!$E$28/1000)</f>
        <v/>
      </c>
      <c r="CH149">
        <f>IF($A149="","",Y149+'Beállítások'!$E$29/1000)</f>
        <v/>
      </c>
      <c r="CI149">
        <f>IF($A149="","",Z149+'Beállítások'!$E$30/1000)</f>
        <v/>
      </c>
      <c r="CJ149">
        <f>IF($A149="","",AA149+'Beállítások'!$E$31/1000)</f>
        <v/>
      </c>
      <c r="CK149">
        <f>IF($A149="","",AB149+'Beállítások'!$E$32/1000)</f>
        <v/>
      </c>
      <c r="CL149">
        <f>IF($A149="","",AC149+'Beállítások'!$E$33/1000)</f>
        <v/>
      </c>
      <c r="CM149">
        <f>IF($A149="","",AD149+'Beállítások'!$E$34/1000)</f>
        <v/>
      </c>
      <c r="CN149">
        <f>IF($A149="","",AE149+'Beállítások'!$E$35/1000)</f>
        <v/>
      </c>
      <c r="CO149">
        <f>IF($A149="","",AF149+'Beállítások'!$E$36/1000)</f>
        <v/>
      </c>
      <c r="CP149">
        <f>IF($A149="","",AG149+'Beállítások'!$E$37/1000)</f>
        <v/>
      </c>
      <c r="CQ149">
        <f>IF($A149="","",AH149+'Beállítások'!$E$38/1000)</f>
        <v/>
      </c>
      <c r="CR149">
        <f>IF($A149="","",'Beállítások'!$E$6*(10-B149))</f>
        <v/>
      </c>
      <c r="CS149">
        <f>IF($A149="","",'Beállítások'!$E$7*(10-C149))</f>
        <v/>
      </c>
      <c r="CT149">
        <f>IF($A149="","",'Beállítások'!$E$8*(10-D149))</f>
        <v/>
      </c>
      <c r="CU149">
        <f>IF($A149="","",'Beállítások'!$E$9*(10-E149))</f>
        <v/>
      </c>
      <c r="CV149">
        <f>IF($A149="","",'Beállítások'!$E$10*(10-F149))</f>
        <v/>
      </c>
      <c r="CW149">
        <f>IF($A149="","",'Beállítások'!$E$11*(10-G149))</f>
        <v/>
      </c>
      <c r="CX149">
        <f>IF($A149="","",'Beállítások'!$E$12*(10-H149))</f>
        <v/>
      </c>
      <c r="CY149">
        <f>IF($A149="","",'Beállítások'!$E$13*(10-I149))</f>
        <v/>
      </c>
      <c r="CZ149">
        <f>IF($A149="","",'Beállítások'!$E$14*(10-J149))</f>
        <v/>
      </c>
      <c r="DA149">
        <f>IF($A149="","",'Beállítások'!$E$15*(10-K149))</f>
        <v/>
      </c>
      <c r="DB149">
        <f>IF($A149="","",'Beállítások'!$E$16*(10-L149))</f>
        <v/>
      </c>
      <c r="DC149">
        <f>IF($A149="","",'Beállítások'!$E$17*(10-M149))</f>
        <v/>
      </c>
      <c r="DD149">
        <f>IF($A149="","",'Beállítások'!$E$18*(10-N149))</f>
        <v/>
      </c>
      <c r="DE149">
        <f>IF($A149="","",'Beállítások'!$E$19*(10-O149))</f>
        <v/>
      </c>
      <c r="DF149">
        <f>IF($A149="","",'Beállítások'!$E$20*(10-P149))</f>
        <v/>
      </c>
      <c r="DG149">
        <f>IF($A149="","",'Beállítások'!$E$21*(10-Q149))</f>
        <v/>
      </c>
      <c r="DH149">
        <f>IF($A149="","",'Beállítások'!$E$22*(10-R149))</f>
        <v/>
      </c>
      <c r="DI149">
        <f>IF($A149="","",'Beállítások'!$E$23*(10-S149))</f>
        <v/>
      </c>
      <c r="DJ149">
        <f>IF($A149="","",'Beállítások'!$E$24*(10-T149))</f>
        <v/>
      </c>
      <c r="DK149">
        <f>IF($A149="","",'Beállítások'!$E$25*(10-U149))</f>
        <v/>
      </c>
      <c r="DL149">
        <f>IF($A149="","",'Beállítások'!$E$26*(10-V149))</f>
        <v/>
      </c>
      <c r="DM149">
        <f>IF($A149="","",'Beállítások'!$E$27*(10-W149))</f>
        <v/>
      </c>
      <c r="DN149">
        <f>IF($A149="","",'Beállítások'!$E$28*(10-X149))</f>
        <v/>
      </c>
      <c r="DO149">
        <f>IF($A149="","",'Beállítások'!$E$29*(10-Y149))</f>
        <v/>
      </c>
      <c r="DP149">
        <f>IF($A149="","",'Beállítások'!$E$30*(10-Z149))</f>
        <v/>
      </c>
      <c r="DQ149">
        <f>IF($A149="","",'Beállítások'!$E$31*(10-AA149))</f>
        <v/>
      </c>
      <c r="DR149">
        <f>IF($A149="","",'Beállítások'!$E$32*(10-AB149))</f>
        <v/>
      </c>
      <c r="DS149">
        <f>IF($A149="","",'Beállítások'!$E$33*(10-AC149))</f>
        <v/>
      </c>
      <c r="DT149">
        <f>IF($A149="","",'Beállítások'!$E$34*(10-AD149))</f>
        <v/>
      </c>
      <c r="DU149">
        <f>IF($A149="","",'Beállítások'!$E$35*(10-AE149))</f>
        <v/>
      </c>
      <c r="DV149">
        <f>IF($A149="","",'Beállítások'!$E$36*(10-AF149))</f>
        <v/>
      </c>
      <c r="DW149">
        <f>IF($A149="","",'Beállítások'!$E$37*(10-AG149))</f>
        <v/>
      </c>
      <c r="DX149">
        <f>IF($A149="","",'Beállítások'!$E$38*(10-AH149))</f>
        <v/>
      </c>
      <c r="DY149">
        <f>IF($A149="","",AM149-ROW()/100000)</f>
        <v/>
      </c>
    </row>
    <row r="150">
      <c r="A150">
        <f>IF('Ügyfelek'!A150="","",'Ügyfelek'!A150)</f>
        <v/>
      </c>
      <c r="B150">
        <f>IF($A150="","",IF('Ügyfelek'!B150="",'Beállítások'!$B$84,IFERROR(VLOOKUP(TRIM('Ügyfelek'!B150),'Beállítások'!$A$51:$B$59,2,FALSE),'Beállítások'!$B$84)))</f>
        <v/>
      </c>
      <c r="C150">
        <f>IF($A150="","",IF('Ügyfelek'!C150="",'Beállítások'!$B$84,MIN(10,MAX(1,ROUND('Ügyfelek'!C150,0)))))</f>
        <v/>
      </c>
      <c r="D150">
        <f>IF($A150="","",IF('Ügyfelek'!D150="",'Beállítások'!$B$84,MIN(10,MAX(1,ROUND('Ügyfelek'!D150,0)))))</f>
        <v/>
      </c>
      <c r="E150">
        <f>IF($A150="","",IF('Ügyfelek'!E150="",'Beállítások'!$B$84,MIN(10,MAX(1,ROUND('Ügyfelek'!E150,0)))))</f>
        <v/>
      </c>
      <c r="F150">
        <f>IF($A150="","",IF('Ügyfelek'!F150="",'Beállítások'!$B$84,MIN(10,MAX(1,ROUND('Ügyfelek'!F150,0)))))</f>
        <v/>
      </c>
      <c r="G150">
        <f>IF($A150="","",IF('Ügyfelek'!G150="",'Beállítások'!$B$84,MIN(10,MAX(1,ROUND('Ügyfelek'!G150,0)))))</f>
        <v/>
      </c>
      <c r="H150">
        <f>IF($A150="","",IF('Ügyfelek'!H150="",'Beállítások'!$B$84,MIN(10,MAX(1,ROUND('Ügyfelek'!H150,0)))))</f>
        <v/>
      </c>
      <c r="I150">
        <f>IF($A150="","",IF('Ügyfelek'!I150="",'Beállítások'!$B$84,MIN(10,MAX(1,ROUND('Ügyfelek'!I150,0)))))</f>
        <v/>
      </c>
      <c r="J150">
        <f>IF($A150="","",IF('Ügyfelek'!J150="",'Beállítások'!$B$84,MIN(10,MAX(1,ROUND('Ügyfelek'!J150,0)))))</f>
        <v/>
      </c>
      <c r="K150">
        <f>IF($A150="","",IF('Ügyfelek'!K150="",'Beállítások'!$B$84,MIN(10,MAX(1,ROUND('Ügyfelek'!K150,0)))))</f>
        <v/>
      </c>
      <c r="L150">
        <f>IF($A150="","",IF('Ügyfelek'!L150="",'Beállítások'!$B$84,MIN(10,MAX(1,ROUND('Ügyfelek'!L150,0)))))</f>
        <v/>
      </c>
      <c r="M150">
        <f>IF($A150="","",IF('Ügyfelek'!M150="",'Beállítások'!$B$84,MIN(10,MAX(1,ROUND('Ügyfelek'!M150,0)))))</f>
        <v/>
      </c>
      <c r="N150">
        <f>IF($A150="","",IF('Ügyfelek'!N150="",'Beállítások'!$B$84,MIN(10,MAX(1,ROUND('Ügyfelek'!N150,0)))))</f>
        <v/>
      </c>
      <c r="O150">
        <f>IF($A150="","",IF('Ügyfelek'!O150="",'Beállítások'!$B$84,MIN(10,MAX(1,ROUND('Ügyfelek'!O150,0)))))</f>
        <v/>
      </c>
      <c r="P150">
        <f>IF($A150="","",IF('Ügyfelek'!P150="",'Beállítások'!$B$84,MIN(10,MAX(1,ROUND('Ügyfelek'!P150,0)))))</f>
        <v/>
      </c>
      <c r="Q150">
        <f>IF($A150="","",IF('Ügyfelek'!Q150="",'Beállítások'!$B$84,MIN(10,MAX(1,ROUND('Ügyfelek'!Q150,0)))))</f>
        <v/>
      </c>
      <c r="R150">
        <f>IF($A150="","",IF('Ügyfelek'!R150="",'Beállítások'!$B$84,MIN(10,MAX(1,ROUND('Ügyfelek'!R150,0)))))</f>
        <v/>
      </c>
      <c r="S150">
        <f>IF($A150="","",IF('Ügyfelek'!S150="",'Beállítások'!$B$84,MIN(10,MAX(1,ROUND('Ügyfelek'!S150,0)))))</f>
        <v/>
      </c>
      <c r="T150">
        <f>IF($A150="","",IF('Ügyfelek'!T150="",'Beállítások'!$B$84,VLOOKUP(MAX('Ügyfelek'!T150,'Beállítások'!$H$7),'Beállítások'!$H$7:$I$12,2,TRUE)))</f>
        <v/>
      </c>
      <c r="U150">
        <f>IF($A150="","",IF('Ügyfelek'!U150="",'Beállítások'!$B$84,VLOOKUP(MAX('Ügyfelek'!U150,'Beállítások'!$K$7),'Beállítások'!$K$7:$L$12,2,TRUE)))</f>
        <v/>
      </c>
      <c r="V150">
        <f>IF($A150="","",IF('Ügyfelek'!V150="",'Beállítások'!$B$84,MIN(10,MAX(1,ROUND('Ügyfelek'!V150,0)))))</f>
        <v/>
      </c>
      <c r="W150">
        <f>IF($A150="","",IF('Ügyfelek'!W150="",'Beállítások'!$B$84,VLOOKUP(MAX('Ügyfelek'!W150,'Beállítások'!$N$7),'Beállítások'!$N$7:$O$12,2,TRUE)))</f>
        <v/>
      </c>
      <c r="X150">
        <f>IF($A150="","",IF('Ügyfelek'!X150="",'Beállítások'!$B$84,MIN(10,MAX(1,ROUND('Ügyfelek'!X150,0)))))</f>
        <v/>
      </c>
      <c r="Y150">
        <f>IF($A150="","",IF('Ügyfelek'!Y150="",'Beállítások'!$B$84,IFERROR(VLOOKUP(TRIM('Ügyfelek'!Y150),'Beállítások'!$A$63:$B$69,2,FALSE),'Beállítások'!$B$84)))</f>
        <v/>
      </c>
      <c r="Z150">
        <f>IF($A150="","",IF('Ügyfelek'!Z150="",'Beállítások'!$B$84,VLOOKUP(MAX('Ügyfelek'!Z150,'Beállítások'!$Q$7),'Beállítások'!$Q$7:$R$12,2,TRUE)))</f>
        <v/>
      </c>
      <c r="AA150">
        <f>IF($A150="","",IF('Ügyfelek'!AA150="",'Beállítások'!$B$84,VLOOKUP(MAX('Ügyfelek'!AA150,'Beállítások'!$T$7),'Beállítások'!$T$7:$U$12,2,TRUE)))</f>
        <v/>
      </c>
      <c r="AB150">
        <f>IF($A150="","",IF('Ügyfelek'!AB150="",'Beállítások'!$B$84,MIN(10,MAX(1,ROUND('Ügyfelek'!AB150,0)))))</f>
        <v/>
      </c>
      <c r="AC150">
        <f>IF($A150="","",IF('Ügyfelek'!AC150="",'Beállítások'!$B$84,MIN(10,MAX(1,ROUND('Ügyfelek'!AC150,0)))))</f>
        <v/>
      </c>
      <c r="AD150">
        <f>IF($A150="","",IF('Ügyfelek'!AD150="",'Beállítások'!$B$84,MIN(10,MAX(1,ROUND('Ügyfelek'!AD150,0)))))</f>
        <v/>
      </c>
      <c r="AE150">
        <f>IF($A150="","",IF('Ügyfelek'!AE150="",'Beállítások'!$B$84,MIN(10,MAX(1,ROUND('Ügyfelek'!AE150,0)))))</f>
        <v/>
      </c>
      <c r="AF150">
        <f>IF($A150="","",IF('Ügyfelek'!AF150="",'Beállítások'!$B$84,MIN(10,MAX(1,ROUND('Ügyfelek'!AF150,0)))))</f>
        <v/>
      </c>
      <c r="AG150">
        <f>IF($A150="","",IF('Ügyfelek'!AG150="",'Beállítások'!$B$84,MIN(10,MAX(1,ROUND('Ügyfelek'!AG150,0)))))</f>
        <v/>
      </c>
      <c r="AH150">
        <f>IF($A150="","",IF('Ügyfelek'!AH150="",'Beállítások'!$B$84,IFERROR(VLOOKUP(TRIM('Ügyfelek'!AH150),'Beállítások'!$A$73:$B$79,2,FALSE),'Beállítások'!$B$84)))</f>
        <v/>
      </c>
      <c r="AI150" s="23">
        <f>IF($A150="","",ROUND(100*('Beállítások'!$E$6*(B150-1)+'Beállítások'!$E$7*(C150-1))/(9*'Beállítások'!$B$43),1))</f>
        <v/>
      </c>
      <c r="AJ150" s="23">
        <f>IF($A150="","",ROUND(100*('Beállítások'!$E$8*(D150-1)+'Beállítások'!$E$9*(E150-1)+'Beállítások'!$E$10*(F150-1)+'Beállítások'!$E$11*(G150-1)+'Beállítások'!$E$12*(H150-1)+'Beállítások'!$E$13*(I150-1)+'Beállítások'!$E$14*(J150-1)+'Beállítások'!$E$15*(K150-1)+'Beállítások'!$E$16*(L150-1)+'Beállítások'!$E$17*(M150-1)+'Beállítások'!$E$18*(N150-1)+'Beállítások'!$E$19*(O150-1)+'Beállítások'!$E$20*(P150-1)+'Beállítások'!$E$21*(Q150-1)+'Beállítások'!$E$22*(R150-1))/(9*'Beállítások'!$B$44),1))</f>
        <v/>
      </c>
      <c r="AK150" s="23">
        <f>IF($A150="","",ROUND(100*('Beállítások'!$E$23*(S150-1)+'Beállítások'!$E$24*(T150-1)+'Beállítások'!$E$25*(U150-1)+'Beállítások'!$E$26*(V150-1)+'Beállítások'!$E$27*(W150-1)+'Beállítások'!$E$28*(X150-1)+'Beállítások'!$E$29*(Y150-1))/(9*'Beállítások'!$B$45),1))</f>
        <v/>
      </c>
      <c r="AL150" s="23">
        <f>IF($A150="","",ROUND(100*('Beállítások'!$E$30*(Z150-1)+'Beállítások'!$E$31*(AA150-1)+'Beállítások'!$E$32*(AB150-1)+'Beállítások'!$E$33*(AC150-1)+'Beállítások'!$E$34*(AD150-1)+'Beállítások'!$E$35*(AE150-1)+'Beállítások'!$E$36*(AF150-1)+'Beállítások'!$E$37*(AG150-1)+'Beállítások'!$E$38*(AH150-1))/(9*'Beállítások'!$B$46),1))</f>
        <v/>
      </c>
      <c r="AM150" s="23">
        <f>IF($A150="","",ROUND(100*('Beállítások'!$E$6*(B150-1)+'Beállítások'!$E$7*(C150-1)+'Beállítások'!$E$8*(D150-1)+'Beállítások'!$E$9*(E150-1)+'Beállítások'!$E$10*(F150-1)+'Beállítások'!$E$11*(G150-1)+'Beállítások'!$E$12*(H150-1)+'Beállítások'!$E$13*(I150-1)+'Beállítások'!$E$14*(J150-1)+'Beállítások'!$E$15*(K150-1)+'Beállítások'!$E$16*(L150-1)+'Beállítások'!$E$17*(M150-1)+'Beállítások'!$E$18*(N150-1)+'Beállítások'!$E$19*(O150-1)+'Beállítások'!$E$20*(P150-1)+'Beállítások'!$E$21*(Q150-1)+'Beállítások'!$E$22*(R150-1)+'Beállítások'!$E$23*(S150-1)+'Beállítások'!$E$24*(T150-1)+'Beállítások'!$E$25*(U150-1)+'Beállítások'!$E$26*(V150-1)+'Beállítások'!$E$27*(W150-1)+'Beállítások'!$E$28*(X150-1)+'Beállítások'!$E$29*(Y150-1)+'Beállítások'!$E$30*(Z150-1)+'Beállítások'!$E$31*(AA150-1)+'Beállítások'!$E$32*(AB150-1)+'Beállítások'!$E$33*(AC150-1)+'Beállítások'!$E$34*(AD150-1)+'Beállítások'!$E$35*(AE150-1)+'Beállítások'!$E$36*(AF150-1)+'Beállítások'!$E$37*(AG150-1)+'Beállítások'!$E$38*(AH150-1))/(9*'Beállítások'!$E$39),1))</f>
        <v/>
      </c>
      <c r="AN150" s="23">
        <f>IF($A150="","",ROUND(100*('Beállítások'!$E$8*(D150-1)+'Beállítások'!$E$9*(E150-1)+'Beállítások'!$E$10*(F150-1)+'Beállítások'!$E$11*(G150-1)+'Beállítások'!$E$12*(H150-1)+'Beállítások'!$E$13*(I150-1)+'Beállítások'!$E$14*(J150-1)+'Beállítások'!$E$15*(K150-1)+'Beállítások'!$E$16*(L150-1)+'Beállítások'!$E$17*(M150-1)+'Beállítások'!$E$18*(N150-1)+'Beállítások'!$E$19*(O150-1)+'Beállítások'!$E$20*(P150-1)+'Beállítások'!$E$21*(Q150-1)+'Beállítások'!$E$22*(R150-1)+'Beállítások'!$E$23*(S150-1)+'Beállítások'!$E$24*(T150-1)+'Beállítások'!$E$25*(U150-1)+'Beállítások'!$E$26*(V150-1)+'Beállítások'!$E$27*(W150-1)+'Beállítások'!$E$28*(X150-1)+'Beállítások'!$E$29*(Y150-1))/(9*('Beállítások'!$B$44+'Beállítások'!$B$45)),1))</f>
        <v/>
      </c>
      <c r="AO150" s="24">
        <f>IF($A150="","",RANK(AM150,$AM$2:$AM$201))</f>
        <v/>
      </c>
      <c r="AP150">
        <f>IF($A150="","",IF(OR(AND('Ügyfelek'!B150&lt;&gt;"",B150&lt;='Beállítások'!$B$85),AND('Ügyfelek'!C150&lt;&gt;"",C150&lt;='Beállítások'!$B$86)),"Igen","Nem"))</f>
        <v/>
      </c>
      <c r="AQ150" s="24">
        <f>IF($A150="","",IF(AP150="Igen",5,IF(AN150&gt;='Beállítások'!$C$108,1,IF(AN150&gt;='Beállítások'!$C$109,2,IF(AN150&gt;='Beállítások'!$C$110,3,IF(AND(AN150&gt;='Beállítások'!$B$87,AI150&gt;='Beállítások'!$B$88,AL150&gt;='Beállítások'!$B$89),4,5))))))</f>
        <v/>
      </c>
      <c r="AR150">
        <f>IF($A150="","",INDEX('Beállítások'!$B$108:$B$112,AQ150))</f>
        <v/>
      </c>
      <c r="AS150">
        <f>IF($A150="","",IF(AQ150=5,"Elutasítjuk",IF(AND(AQ150=4,COUNTIFS('Eredmény'!$AQ$2:$AQ$201,4,'Eredmény'!$DY$2:$DY$201,"&gt;"&amp;DY150)&gt;='Beállítások'!$B$90),"Várólista (a 4-es hely foglalt)","Elfogadjuk")))</f>
        <v/>
      </c>
      <c r="AT150">
        <f>IF($A150="","",INDEX('Beállítások'!$F$108:$F$112,AQ150))</f>
        <v/>
      </c>
      <c r="AU150">
        <f>IF($A150="","",INDEX('Beállítások'!$B$6:$B$38,MATCH(MAX(BK150:CQ150),BK150:CQ150,0)))</f>
        <v/>
      </c>
      <c r="AV150">
        <f>IF($A150="","",IF(MAX(CR150:DX150)=0,"—",INDEX('Beállítások'!$B$6:$B$38,MATCH(MAX(CR150:DX150),CR150:DX150,0))))</f>
        <v/>
      </c>
      <c r="AW150" s="10">
        <f>IF($A150="","",'Beállítások'!$B$94*(TRIM('Ügyfelek'!AI150)="igen")+'Beállítások'!$B$95*(TRIM('Ügyfelek'!AJ150)="igen")+'Beállítások'!$B$96*N('Ügyfelek'!AK150)+'Beállítások'!$B$93*N('Ügyfelek'!AL150))</f>
        <v/>
      </c>
      <c r="AX150" s="25">
        <f>IF(OR($A150="",AQ150=5),"",INDEX('Beállítások'!$D$108:$D$112,AQ150))</f>
        <v/>
      </c>
      <c r="AY150" s="10">
        <f>IF($A150="","",N('Ügyfelek'!U150)*'Beállítások'!$B$98)</f>
        <v/>
      </c>
      <c r="AZ150" s="10">
        <f>IF(OR($A150="",AQ150=5),"",CEILING(ROUND(MAX('Beállítások'!$B$97,AW150*AX150,AY150),2),'Beállítások'!$B$99))</f>
        <v/>
      </c>
      <c r="BA150">
        <f>IF($A150="","",IF(AQ150=5,"Elutasítva",IF(MAX('Beállítások'!$B$97,AW150*AX150,AY150)=AW150*AX150,"Munkaigény × státuszszorzó",IF(MAX('Beállítások'!$B$97,AW150*AX150,AY150)=AY150,"Hirdetési keret arányában","Minimumdíj"))))</f>
        <v/>
      </c>
      <c r="BB150" s="10">
        <f>IF(OR($A150="",'Ügyfelek'!AM150=""),"",'Ügyfelek'!AM150)</f>
        <v/>
      </c>
      <c r="BC150" s="10">
        <f>IF(OR(BB150="",AZ150=""),"",AZ150-BB150)</f>
        <v/>
      </c>
      <c r="BD150" s="18">
        <f>IF(OR(BB150="",AZ150="",BB150=0),"",BC150/BB150)</f>
        <v/>
      </c>
      <c r="BE150">
        <f>IF(OR($A150="",AQ150=5),"",IF(AND(INDEX('Beállítások'!$E$108:$E$112,AQ150)&gt;0,Y150&gt;='Beállítások'!$B$91),"Igen","Nem"))</f>
        <v/>
      </c>
      <c r="BF150" s="10">
        <f>IF(BE150="Igen",CEILING(ROUND(AZ150*(1-'Beállítások'!$B$92),2),'Beállítások'!$B$99),"")</f>
        <v/>
      </c>
      <c r="BG150" s="20">
        <f>IF(BE150="Igen",INDEX('Beállítások'!$E$108:$E$112,AQ150),"")</f>
        <v/>
      </c>
      <c r="BH150" s="10">
        <f>IF(OR(BE150&lt;&gt;"Igen",'Ügyfelek'!AN150=""),"",'Ügyfelek'!AN150*BG150)</f>
        <v/>
      </c>
      <c r="BI150" s="24">
        <f>IF($A150="","",('Ügyfelek'!B150="")+('Ügyfelek'!C150="")+('Ügyfelek'!D150="")+('Ügyfelek'!E150="")+('Ügyfelek'!F150="")+('Ügyfelek'!G150="")+('Ügyfelek'!H150="")+('Ügyfelek'!I150="")+('Ügyfelek'!J150="")+('Ügyfelek'!K150="")+('Ügyfelek'!L150="")+('Ügyfelek'!M150="")+('Ügyfelek'!N150="")+('Ügyfelek'!O150="")+('Ügyfelek'!P150="")+('Ügyfelek'!Q150="")+('Ügyfelek'!R150="")+('Ügyfelek'!S150="")+('Ügyfelek'!T150="")+('Ügyfelek'!U150="")+('Ügyfelek'!V150="")+('Ügyfelek'!W150="")+('Ügyfelek'!X150="")+('Ügyfelek'!Y150="")+('Ügyfelek'!Z150="")+('Ügyfelek'!AA150="")+('Ügyfelek'!AB150="")+('Ügyfelek'!AC150="")+('Ügyfelek'!AD150="")+('Ügyfelek'!AE150="")+('Ügyfelek'!AF150="")+('Ügyfelek'!AG150="")+('Ügyfelek'!AH150=""))</f>
        <v/>
      </c>
      <c r="BK150">
        <f>IF($A150="","",B150+'Beállítások'!$E$6/1000)</f>
        <v/>
      </c>
      <c r="BL150">
        <f>IF($A150="","",C150+'Beállítások'!$E$7/1000)</f>
        <v/>
      </c>
      <c r="BM150">
        <f>IF($A150="","",D150+'Beállítások'!$E$8/1000)</f>
        <v/>
      </c>
      <c r="BN150">
        <f>IF($A150="","",E150+'Beállítások'!$E$9/1000)</f>
        <v/>
      </c>
      <c r="BO150">
        <f>IF($A150="","",F150+'Beállítások'!$E$10/1000)</f>
        <v/>
      </c>
      <c r="BP150">
        <f>IF($A150="","",G150+'Beállítások'!$E$11/1000)</f>
        <v/>
      </c>
      <c r="BQ150">
        <f>IF($A150="","",H150+'Beállítások'!$E$12/1000)</f>
        <v/>
      </c>
      <c r="BR150">
        <f>IF($A150="","",I150+'Beállítások'!$E$13/1000)</f>
        <v/>
      </c>
      <c r="BS150">
        <f>IF($A150="","",J150+'Beállítások'!$E$14/1000)</f>
        <v/>
      </c>
      <c r="BT150">
        <f>IF($A150="","",K150+'Beállítások'!$E$15/1000)</f>
        <v/>
      </c>
      <c r="BU150">
        <f>IF($A150="","",L150+'Beállítások'!$E$16/1000)</f>
        <v/>
      </c>
      <c r="BV150">
        <f>IF($A150="","",M150+'Beállítások'!$E$17/1000)</f>
        <v/>
      </c>
      <c r="BW150">
        <f>IF($A150="","",N150+'Beállítások'!$E$18/1000)</f>
        <v/>
      </c>
      <c r="BX150">
        <f>IF($A150="","",O150+'Beállítások'!$E$19/1000)</f>
        <v/>
      </c>
      <c r="BY150">
        <f>IF($A150="","",P150+'Beállítások'!$E$20/1000)</f>
        <v/>
      </c>
      <c r="BZ150">
        <f>IF($A150="","",Q150+'Beállítások'!$E$21/1000)</f>
        <v/>
      </c>
      <c r="CA150">
        <f>IF($A150="","",R150+'Beállítások'!$E$22/1000)</f>
        <v/>
      </c>
      <c r="CB150">
        <f>IF($A150="","",S150+'Beállítások'!$E$23/1000)</f>
        <v/>
      </c>
      <c r="CC150">
        <f>IF($A150="","",T150+'Beállítások'!$E$24/1000)</f>
        <v/>
      </c>
      <c r="CD150">
        <f>IF($A150="","",U150+'Beállítások'!$E$25/1000)</f>
        <v/>
      </c>
      <c r="CE150">
        <f>IF($A150="","",V150+'Beállítások'!$E$26/1000)</f>
        <v/>
      </c>
      <c r="CF150">
        <f>IF($A150="","",W150+'Beállítások'!$E$27/1000)</f>
        <v/>
      </c>
      <c r="CG150">
        <f>IF($A150="","",X150+'Beállítások'!$E$28/1000)</f>
        <v/>
      </c>
      <c r="CH150">
        <f>IF($A150="","",Y150+'Beállítások'!$E$29/1000)</f>
        <v/>
      </c>
      <c r="CI150">
        <f>IF($A150="","",Z150+'Beállítások'!$E$30/1000)</f>
        <v/>
      </c>
      <c r="CJ150">
        <f>IF($A150="","",AA150+'Beállítások'!$E$31/1000)</f>
        <v/>
      </c>
      <c r="CK150">
        <f>IF($A150="","",AB150+'Beállítások'!$E$32/1000)</f>
        <v/>
      </c>
      <c r="CL150">
        <f>IF($A150="","",AC150+'Beállítások'!$E$33/1000)</f>
        <v/>
      </c>
      <c r="CM150">
        <f>IF($A150="","",AD150+'Beállítások'!$E$34/1000)</f>
        <v/>
      </c>
      <c r="CN150">
        <f>IF($A150="","",AE150+'Beállítások'!$E$35/1000)</f>
        <v/>
      </c>
      <c r="CO150">
        <f>IF($A150="","",AF150+'Beállítások'!$E$36/1000)</f>
        <v/>
      </c>
      <c r="CP150">
        <f>IF($A150="","",AG150+'Beállítások'!$E$37/1000)</f>
        <v/>
      </c>
      <c r="CQ150">
        <f>IF($A150="","",AH150+'Beállítások'!$E$38/1000)</f>
        <v/>
      </c>
      <c r="CR150">
        <f>IF($A150="","",'Beállítások'!$E$6*(10-B150))</f>
        <v/>
      </c>
      <c r="CS150">
        <f>IF($A150="","",'Beállítások'!$E$7*(10-C150))</f>
        <v/>
      </c>
      <c r="CT150">
        <f>IF($A150="","",'Beállítások'!$E$8*(10-D150))</f>
        <v/>
      </c>
      <c r="CU150">
        <f>IF($A150="","",'Beállítások'!$E$9*(10-E150))</f>
        <v/>
      </c>
      <c r="CV150">
        <f>IF($A150="","",'Beállítások'!$E$10*(10-F150))</f>
        <v/>
      </c>
      <c r="CW150">
        <f>IF($A150="","",'Beállítások'!$E$11*(10-G150))</f>
        <v/>
      </c>
      <c r="CX150">
        <f>IF($A150="","",'Beállítások'!$E$12*(10-H150))</f>
        <v/>
      </c>
      <c r="CY150">
        <f>IF($A150="","",'Beállítások'!$E$13*(10-I150))</f>
        <v/>
      </c>
      <c r="CZ150">
        <f>IF($A150="","",'Beállítások'!$E$14*(10-J150))</f>
        <v/>
      </c>
      <c r="DA150">
        <f>IF($A150="","",'Beállítások'!$E$15*(10-K150))</f>
        <v/>
      </c>
      <c r="DB150">
        <f>IF($A150="","",'Beállítások'!$E$16*(10-L150))</f>
        <v/>
      </c>
      <c r="DC150">
        <f>IF($A150="","",'Beállítások'!$E$17*(10-M150))</f>
        <v/>
      </c>
      <c r="DD150">
        <f>IF($A150="","",'Beállítások'!$E$18*(10-N150))</f>
        <v/>
      </c>
      <c r="DE150">
        <f>IF($A150="","",'Beállítások'!$E$19*(10-O150))</f>
        <v/>
      </c>
      <c r="DF150">
        <f>IF($A150="","",'Beállítások'!$E$20*(10-P150))</f>
        <v/>
      </c>
      <c r="DG150">
        <f>IF($A150="","",'Beállítások'!$E$21*(10-Q150))</f>
        <v/>
      </c>
      <c r="DH150">
        <f>IF($A150="","",'Beállítások'!$E$22*(10-R150))</f>
        <v/>
      </c>
      <c r="DI150">
        <f>IF($A150="","",'Beállítások'!$E$23*(10-S150))</f>
        <v/>
      </c>
      <c r="DJ150">
        <f>IF($A150="","",'Beállítások'!$E$24*(10-T150))</f>
        <v/>
      </c>
      <c r="DK150">
        <f>IF($A150="","",'Beállítások'!$E$25*(10-U150))</f>
        <v/>
      </c>
      <c r="DL150">
        <f>IF($A150="","",'Beállítások'!$E$26*(10-V150))</f>
        <v/>
      </c>
      <c r="DM150">
        <f>IF($A150="","",'Beállítások'!$E$27*(10-W150))</f>
        <v/>
      </c>
      <c r="DN150">
        <f>IF($A150="","",'Beállítások'!$E$28*(10-X150))</f>
        <v/>
      </c>
      <c r="DO150">
        <f>IF($A150="","",'Beállítások'!$E$29*(10-Y150))</f>
        <v/>
      </c>
      <c r="DP150">
        <f>IF($A150="","",'Beállítások'!$E$30*(10-Z150))</f>
        <v/>
      </c>
      <c r="DQ150">
        <f>IF($A150="","",'Beállítások'!$E$31*(10-AA150))</f>
        <v/>
      </c>
      <c r="DR150">
        <f>IF($A150="","",'Beállítások'!$E$32*(10-AB150))</f>
        <v/>
      </c>
      <c r="DS150">
        <f>IF($A150="","",'Beállítások'!$E$33*(10-AC150))</f>
        <v/>
      </c>
      <c r="DT150">
        <f>IF($A150="","",'Beállítások'!$E$34*(10-AD150))</f>
        <v/>
      </c>
      <c r="DU150">
        <f>IF($A150="","",'Beállítások'!$E$35*(10-AE150))</f>
        <v/>
      </c>
      <c r="DV150">
        <f>IF($A150="","",'Beállítások'!$E$36*(10-AF150))</f>
        <v/>
      </c>
      <c r="DW150">
        <f>IF($A150="","",'Beállítások'!$E$37*(10-AG150))</f>
        <v/>
      </c>
      <c r="DX150">
        <f>IF($A150="","",'Beállítások'!$E$38*(10-AH150))</f>
        <v/>
      </c>
      <c r="DY150">
        <f>IF($A150="","",AM150-ROW()/100000)</f>
        <v/>
      </c>
    </row>
    <row r="151">
      <c r="A151">
        <f>IF('Ügyfelek'!A151="","",'Ügyfelek'!A151)</f>
        <v/>
      </c>
      <c r="B151">
        <f>IF($A151="","",IF('Ügyfelek'!B151="",'Beállítások'!$B$84,IFERROR(VLOOKUP(TRIM('Ügyfelek'!B151),'Beállítások'!$A$51:$B$59,2,FALSE),'Beállítások'!$B$84)))</f>
        <v/>
      </c>
      <c r="C151">
        <f>IF($A151="","",IF('Ügyfelek'!C151="",'Beállítások'!$B$84,MIN(10,MAX(1,ROUND('Ügyfelek'!C151,0)))))</f>
        <v/>
      </c>
      <c r="D151">
        <f>IF($A151="","",IF('Ügyfelek'!D151="",'Beállítások'!$B$84,MIN(10,MAX(1,ROUND('Ügyfelek'!D151,0)))))</f>
        <v/>
      </c>
      <c r="E151">
        <f>IF($A151="","",IF('Ügyfelek'!E151="",'Beállítások'!$B$84,MIN(10,MAX(1,ROUND('Ügyfelek'!E151,0)))))</f>
        <v/>
      </c>
      <c r="F151">
        <f>IF($A151="","",IF('Ügyfelek'!F151="",'Beállítások'!$B$84,MIN(10,MAX(1,ROUND('Ügyfelek'!F151,0)))))</f>
        <v/>
      </c>
      <c r="G151">
        <f>IF($A151="","",IF('Ügyfelek'!G151="",'Beállítások'!$B$84,MIN(10,MAX(1,ROUND('Ügyfelek'!G151,0)))))</f>
        <v/>
      </c>
      <c r="H151">
        <f>IF($A151="","",IF('Ügyfelek'!H151="",'Beállítások'!$B$84,MIN(10,MAX(1,ROUND('Ügyfelek'!H151,0)))))</f>
        <v/>
      </c>
      <c r="I151">
        <f>IF($A151="","",IF('Ügyfelek'!I151="",'Beállítások'!$B$84,MIN(10,MAX(1,ROUND('Ügyfelek'!I151,0)))))</f>
        <v/>
      </c>
      <c r="J151">
        <f>IF($A151="","",IF('Ügyfelek'!J151="",'Beállítások'!$B$84,MIN(10,MAX(1,ROUND('Ügyfelek'!J151,0)))))</f>
        <v/>
      </c>
      <c r="K151">
        <f>IF($A151="","",IF('Ügyfelek'!K151="",'Beállítások'!$B$84,MIN(10,MAX(1,ROUND('Ügyfelek'!K151,0)))))</f>
        <v/>
      </c>
      <c r="L151">
        <f>IF($A151="","",IF('Ügyfelek'!L151="",'Beállítások'!$B$84,MIN(10,MAX(1,ROUND('Ügyfelek'!L151,0)))))</f>
        <v/>
      </c>
      <c r="M151">
        <f>IF($A151="","",IF('Ügyfelek'!M151="",'Beállítások'!$B$84,MIN(10,MAX(1,ROUND('Ügyfelek'!M151,0)))))</f>
        <v/>
      </c>
      <c r="N151">
        <f>IF($A151="","",IF('Ügyfelek'!N151="",'Beállítások'!$B$84,MIN(10,MAX(1,ROUND('Ügyfelek'!N151,0)))))</f>
        <v/>
      </c>
      <c r="O151">
        <f>IF($A151="","",IF('Ügyfelek'!O151="",'Beállítások'!$B$84,MIN(10,MAX(1,ROUND('Ügyfelek'!O151,0)))))</f>
        <v/>
      </c>
      <c r="P151">
        <f>IF($A151="","",IF('Ügyfelek'!P151="",'Beállítások'!$B$84,MIN(10,MAX(1,ROUND('Ügyfelek'!P151,0)))))</f>
        <v/>
      </c>
      <c r="Q151">
        <f>IF($A151="","",IF('Ügyfelek'!Q151="",'Beállítások'!$B$84,MIN(10,MAX(1,ROUND('Ügyfelek'!Q151,0)))))</f>
        <v/>
      </c>
      <c r="R151">
        <f>IF($A151="","",IF('Ügyfelek'!R151="",'Beállítások'!$B$84,MIN(10,MAX(1,ROUND('Ügyfelek'!R151,0)))))</f>
        <v/>
      </c>
      <c r="S151">
        <f>IF($A151="","",IF('Ügyfelek'!S151="",'Beállítások'!$B$84,MIN(10,MAX(1,ROUND('Ügyfelek'!S151,0)))))</f>
        <v/>
      </c>
      <c r="T151">
        <f>IF($A151="","",IF('Ügyfelek'!T151="",'Beállítások'!$B$84,VLOOKUP(MAX('Ügyfelek'!T151,'Beállítások'!$H$7),'Beállítások'!$H$7:$I$12,2,TRUE)))</f>
        <v/>
      </c>
      <c r="U151">
        <f>IF($A151="","",IF('Ügyfelek'!U151="",'Beállítások'!$B$84,VLOOKUP(MAX('Ügyfelek'!U151,'Beállítások'!$K$7),'Beállítások'!$K$7:$L$12,2,TRUE)))</f>
        <v/>
      </c>
      <c r="V151">
        <f>IF($A151="","",IF('Ügyfelek'!V151="",'Beállítások'!$B$84,MIN(10,MAX(1,ROUND('Ügyfelek'!V151,0)))))</f>
        <v/>
      </c>
      <c r="W151">
        <f>IF($A151="","",IF('Ügyfelek'!W151="",'Beállítások'!$B$84,VLOOKUP(MAX('Ügyfelek'!W151,'Beállítások'!$N$7),'Beállítások'!$N$7:$O$12,2,TRUE)))</f>
        <v/>
      </c>
      <c r="X151">
        <f>IF($A151="","",IF('Ügyfelek'!X151="",'Beállítások'!$B$84,MIN(10,MAX(1,ROUND('Ügyfelek'!X151,0)))))</f>
        <v/>
      </c>
      <c r="Y151">
        <f>IF($A151="","",IF('Ügyfelek'!Y151="",'Beállítások'!$B$84,IFERROR(VLOOKUP(TRIM('Ügyfelek'!Y151),'Beállítások'!$A$63:$B$69,2,FALSE),'Beállítások'!$B$84)))</f>
        <v/>
      </c>
      <c r="Z151">
        <f>IF($A151="","",IF('Ügyfelek'!Z151="",'Beállítások'!$B$84,VLOOKUP(MAX('Ügyfelek'!Z151,'Beállítások'!$Q$7),'Beállítások'!$Q$7:$R$12,2,TRUE)))</f>
        <v/>
      </c>
      <c r="AA151">
        <f>IF($A151="","",IF('Ügyfelek'!AA151="",'Beállítások'!$B$84,VLOOKUP(MAX('Ügyfelek'!AA151,'Beállítások'!$T$7),'Beállítások'!$T$7:$U$12,2,TRUE)))</f>
        <v/>
      </c>
      <c r="AB151">
        <f>IF($A151="","",IF('Ügyfelek'!AB151="",'Beállítások'!$B$84,MIN(10,MAX(1,ROUND('Ügyfelek'!AB151,0)))))</f>
        <v/>
      </c>
      <c r="AC151">
        <f>IF($A151="","",IF('Ügyfelek'!AC151="",'Beállítások'!$B$84,MIN(10,MAX(1,ROUND('Ügyfelek'!AC151,0)))))</f>
        <v/>
      </c>
      <c r="AD151">
        <f>IF($A151="","",IF('Ügyfelek'!AD151="",'Beállítások'!$B$84,MIN(10,MAX(1,ROUND('Ügyfelek'!AD151,0)))))</f>
        <v/>
      </c>
      <c r="AE151">
        <f>IF($A151="","",IF('Ügyfelek'!AE151="",'Beállítások'!$B$84,MIN(10,MAX(1,ROUND('Ügyfelek'!AE151,0)))))</f>
        <v/>
      </c>
      <c r="AF151">
        <f>IF($A151="","",IF('Ügyfelek'!AF151="",'Beállítások'!$B$84,MIN(10,MAX(1,ROUND('Ügyfelek'!AF151,0)))))</f>
        <v/>
      </c>
      <c r="AG151">
        <f>IF($A151="","",IF('Ügyfelek'!AG151="",'Beállítások'!$B$84,MIN(10,MAX(1,ROUND('Ügyfelek'!AG151,0)))))</f>
        <v/>
      </c>
      <c r="AH151">
        <f>IF($A151="","",IF('Ügyfelek'!AH151="",'Beállítások'!$B$84,IFERROR(VLOOKUP(TRIM('Ügyfelek'!AH151),'Beállítások'!$A$73:$B$79,2,FALSE),'Beállítások'!$B$84)))</f>
        <v/>
      </c>
      <c r="AI151" s="23">
        <f>IF($A151="","",ROUND(100*('Beállítások'!$E$6*(B151-1)+'Beállítások'!$E$7*(C151-1))/(9*'Beállítások'!$B$43),1))</f>
        <v/>
      </c>
      <c r="AJ151" s="23">
        <f>IF($A151="","",ROUND(100*('Beállítások'!$E$8*(D151-1)+'Beállítások'!$E$9*(E151-1)+'Beállítások'!$E$10*(F151-1)+'Beállítások'!$E$11*(G151-1)+'Beállítások'!$E$12*(H151-1)+'Beállítások'!$E$13*(I151-1)+'Beállítások'!$E$14*(J151-1)+'Beállítások'!$E$15*(K151-1)+'Beállítások'!$E$16*(L151-1)+'Beállítások'!$E$17*(M151-1)+'Beállítások'!$E$18*(N151-1)+'Beállítások'!$E$19*(O151-1)+'Beállítások'!$E$20*(P151-1)+'Beállítások'!$E$21*(Q151-1)+'Beállítások'!$E$22*(R151-1))/(9*'Beállítások'!$B$44),1))</f>
        <v/>
      </c>
      <c r="AK151" s="23">
        <f>IF($A151="","",ROUND(100*('Beállítások'!$E$23*(S151-1)+'Beállítások'!$E$24*(T151-1)+'Beállítások'!$E$25*(U151-1)+'Beállítások'!$E$26*(V151-1)+'Beállítások'!$E$27*(W151-1)+'Beállítások'!$E$28*(X151-1)+'Beállítások'!$E$29*(Y151-1))/(9*'Beállítások'!$B$45),1))</f>
        <v/>
      </c>
      <c r="AL151" s="23">
        <f>IF($A151="","",ROUND(100*('Beállítások'!$E$30*(Z151-1)+'Beállítások'!$E$31*(AA151-1)+'Beállítások'!$E$32*(AB151-1)+'Beállítások'!$E$33*(AC151-1)+'Beállítások'!$E$34*(AD151-1)+'Beállítások'!$E$35*(AE151-1)+'Beállítások'!$E$36*(AF151-1)+'Beállítások'!$E$37*(AG151-1)+'Beállítások'!$E$38*(AH151-1))/(9*'Beállítások'!$B$46),1))</f>
        <v/>
      </c>
      <c r="AM151" s="23">
        <f>IF($A151="","",ROUND(100*('Beállítások'!$E$6*(B151-1)+'Beállítások'!$E$7*(C151-1)+'Beállítások'!$E$8*(D151-1)+'Beállítások'!$E$9*(E151-1)+'Beállítások'!$E$10*(F151-1)+'Beállítások'!$E$11*(G151-1)+'Beállítások'!$E$12*(H151-1)+'Beállítások'!$E$13*(I151-1)+'Beállítások'!$E$14*(J151-1)+'Beállítások'!$E$15*(K151-1)+'Beállítások'!$E$16*(L151-1)+'Beállítások'!$E$17*(M151-1)+'Beállítások'!$E$18*(N151-1)+'Beállítások'!$E$19*(O151-1)+'Beállítások'!$E$20*(P151-1)+'Beállítások'!$E$21*(Q151-1)+'Beállítások'!$E$22*(R151-1)+'Beállítások'!$E$23*(S151-1)+'Beállítások'!$E$24*(T151-1)+'Beállítások'!$E$25*(U151-1)+'Beállítások'!$E$26*(V151-1)+'Beállítások'!$E$27*(W151-1)+'Beállítások'!$E$28*(X151-1)+'Beállítások'!$E$29*(Y151-1)+'Beállítások'!$E$30*(Z151-1)+'Beállítások'!$E$31*(AA151-1)+'Beállítások'!$E$32*(AB151-1)+'Beállítások'!$E$33*(AC151-1)+'Beállítások'!$E$34*(AD151-1)+'Beállítások'!$E$35*(AE151-1)+'Beállítások'!$E$36*(AF151-1)+'Beállítások'!$E$37*(AG151-1)+'Beállítások'!$E$38*(AH151-1))/(9*'Beállítások'!$E$39),1))</f>
        <v/>
      </c>
      <c r="AN151" s="23">
        <f>IF($A151="","",ROUND(100*('Beállítások'!$E$8*(D151-1)+'Beállítások'!$E$9*(E151-1)+'Beállítások'!$E$10*(F151-1)+'Beállítások'!$E$11*(G151-1)+'Beállítások'!$E$12*(H151-1)+'Beállítások'!$E$13*(I151-1)+'Beállítások'!$E$14*(J151-1)+'Beállítások'!$E$15*(K151-1)+'Beállítások'!$E$16*(L151-1)+'Beállítások'!$E$17*(M151-1)+'Beállítások'!$E$18*(N151-1)+'Beállítások'!$E$19*(O151-1)+'Beállítások'!$E$20*(P151-1)+'Beállítások'!$E$21*(Q151-1)+'Beállítások'!$E$22*(R151-1)+'Beállítások'!$E$23*(S151-1)+'Beállítások'!$E$24*(T151-1)+'Beállítások'!$E$25*(U151-1)+'Beállítások'!$E$26*(V151-1)+'Beállítások'!$E$27*(W151-1)+'Beállítások'!$E$28*(X151-1)+'Beállítások'!$E$29*(Y151-1))/(9*('Beállítások'!$B$44+'Beállítások'!$B$45)),1))</f>
        <v/>
      </c>
      <c r="AO151" s="24">
        <f>IF($A151="","",RANK(AM151,$AM$2:$AM$201))</f>
        <v/>
      </c>
      <c r="AP151">
        <f>IF($A151="","",IF(OR(AND('Ügyfelek'!B151&lt;&gt;"",B151&lt;='Beállítások'!$B$85),AND('Ügyfelek'!C151&lt;&gt;"",C151&lt;='Beállítások'!$B$86)),"Igen","Nem"))</f>
        <v/>
      </c>
      <c r="AQ151" s="24">
        <f>IF($A151="","",IF(AP151="Igen",5,IF(AN151&gt;='Beállítások'!$C$108,1,IF(AN151&gt;='Beállítások'!$C$109,2,IF(AN151&gt;='Beállítások'!$C$110,3,IF(AND(AN151&gt;='Beállítások'!$B$87,AI151&gt;='Beállítások'!$B$88,AL151&gt;='Beállítások'!$B$89),4,5))))))</f>
        <v/>
      </c>
      <c r="AR151">
        <f>IF($A151="","",INDEX('Beállítások'!$B$108:$B$112,AQ151))</f>
        <v/>
      </c>
      <c r="AS151">
        <f>IF($A151="","",IF(AQ151=5,"Elutasítjuk",IF(AND(AQ151=4,COUNTIFS('Eredmény'!$AQ$2:$AQ$201,4,'Eredmény'!$DY$2:$DY$201,"&gt;"&amp;DY151)&gt;='Beállítások'!$B$90),"Várólista (a 4-es hely foglalt)","Elfogadjuk")))</f>
        <v/>
      </c>
      <c r="AT151">
        <f>IF($A151="","",INDEX('Beállítások'!$F$108:$F$112,AQ151))</f>
        <v/>
      </c>
      <c r="AU151">
        <f>IF($A151="","",INDEX('Beállítások'!$B$6:$B$38,MATCH(MAX(BK151:CQ151),BK151:CQ151,0)))</f>
        <v/>
      </c>
      <c r="AV151">
        <f>IF($A151="","",IF(MAX(CR151:DX151)=0,"—",INDEX('Beállítások'!$B$6:$B$38,MATCH(MAX(CR151:DX151),CR151:DX151,0))))</f>
        <v/>
      </c>
      <c r="AW151" s="10">
        <f>IF($A151="","",'Beállítások'!$B$94*(TRIM('Ügyfelek'!AI151)="igen")+'Beállítások'!$B$95*(TRIM('Ügyfelek'!AJ151)="igen")+'Beállítások'!$B$96*N('Ügyfelek'!AK151)+'Beállítások'!$B$93*N('Ügyfelek'!AL151))</f>
        <v/>
      </c>
      <c r="AX151" s="25">
        <f>IF(OR($A151="",AQ151=5),"",INDEX('Beállítások'!$D$108:$D$112,AQ151))</f>
        <v/>
      </c>
      <c r="AY151" s="10">
        <f>IF($A151="","",N('Ügyfelek'!U151)*'Beállítások'!$B$98)</f>
        <v/>
      </c>
      <c r="AZ151" s="10">
        <f>IF(OR($A151="",AQ151=5),"",CEILING(ROUND(MAX('Beállítások'!$B$97,AW151*AX151,AY151),2),'Beállítások'!$B$99))</f>
        <v/>
      </c>
      <c r="BA151">
        <f>IF($A151="","",IF(AQ151=5,"Elutasítva",IF(MAX('Beállítások'!$B$97,AW151*AX151,AY151)=AW151*AX151,"Munkaigény × státuszszorzó",IF(MAX('Beállítások'!$B$97,AW151*AX151,AY151)=AY151,"Hirdetési keret arányában","Minimumdíj"))))</f>
        <v/>
      </c>
      <c r="BB151" s="10">
        <f>IF(OR($A151="",'Ügyfelek'!AM151=""),"",'Ügyfelek'!AM151)</f>
        <v/>
      </c>
      <c r="BC151" s="10">
        <f>IF(OR(BB151="",AZ151=""),"",AZ151-BB151)</f>
        <v/>
      </c>
      <c r="BD151" s="18">
        <f>IF(OR(BB151="",AZ151="",BB151=0),"",BC151/BB151)</f>
        <v/>
      </c>
      <c r="BE151">
        <f>IF(OR($A151="",AQ151=5),"",IF(AND(INDEX('Beállítások'!$E$108:$E$112,AQ151)&gt;0,Y151&gt;='Beállítások'!$B$91),"Igen","Nem"))</f>
        <v/>
      </c>
      <c r="BF151" s="10">
        <f>IF(BE151="Igen",CEILING(ROUND(AZ151*(1-'Beállítások'!$B$92),2),'Beállítások'!$B$99),"")</f>
        <v/>
      </c>
      <c r="BG151" s="20">
        <f>IF(BE151="Igen",INDEX('Beállítások'!$E$108:$E$112,AQ151),"")</f>
        <v/>
      </c>
      <c r="BH151" s="10">
        <f>IF(OR(BE151&lt;&gt;"Igen",'Ügyfelek'!AN151=""),"",'Ügyfelek'!AN151*BG151)</f>
        <v/>
      </c>
      <c r="BI151" s="24">
        <f>IF($A151="","",('Ügyfelek'!B151="")+('Ügyfelek'!C151="")+('Ügyfelek'!D151="")+('Ügyfelek'!E151="")+('Ügyfelek'!F151="")+('Ügyfelek'!G151="")+('Ügyfelek'!H151="")+('Ügyfelek'!I151="")+('Ügyfelek'!J151="")+('Ügyfelek'!K151="")+('Ügyfelek'!L151="")+('Ügyfelek'!M151="")+('Ügyfelek'!N151="")+('Ügyfelek'!O151="")+('Ügyfelek'!P151="")+('Ügyfelek'!Q151="")+('Ügyfelek'!R151="")+('Ügyfelek'!S151="")+('Ügyfelek'!T151="")+('Ügyfelek'!U151="")+('Ügyfelek'!V151="")+('Ügyfelek'!W151="")+('Ügyfelek'!X151="")+('Ügyfelek'!Y151="")+('Ügyfelek'!Z151="")+('Ügyfelek'!AA151="")+('Ügyfelek'!AB151="")+('Ügyfelek'!AC151="")+('Ügyfelek'!AD151="")+('Ügyfelek'!AE151="")+('Ügyfelek'!AF151="")+('Ügyfelek'!AG151="")+('Ügyfelek'!AH151=""))</f>
        <v/>
      </c>
      <c r="BK151">
        <f>IF($A151="","",B151+'Beállítások'!$E$6/1000)</f>
        <v/>
      </c>
      <c r="BL151">
        <f>IF($A151="","",C151+'Beállítások'!$E$7/1000)</f>
        <v/>
      </c>
      <c r="BM151">
        <f>IF($A151="","",D151+'Beállítások'!$E$8/1000)</f>
        <v/>
      </c>
      <c r="BN151">
        <f>IF($A151="","",E151+'Beállítások'!$E$9/1000)</f>
        <v/>
      </c>
      <c r="BO151">
        <f>IF($A151="","",F151+'Beállítások'!$E$10/1000)</f>
        <v/>
      </c>
      <c r="BP151">
        <f>IF($A151="","",G151+'Beállítások'!$E$11/1000)</f>
        <v/>
      </c>
      <c r="BQ151">
        <f>IF($A151="","",H151+'Beállítások'!$E$12/1000)</f>
        <v/>
      </c>
      <c r="BR151">
        <f>IF($A151="","",I151+'Beállítások'!$E$13/1000)</f>
        <v/>
      </c>
      <c r="BS151">
        <f>IF($A151="","",J151+'Beállítások'!$E$14/1000)</f>
        <v/>
      </c>
      <c r="BT151">
        <f>IF($A151="","",K151+'Beállítások'!$E$15/1000)</f>
        <v/>
      </c>
      <c r="BU151">
        <f>IF($A151="","",L151+'Beállítások'!$E$16/1000)</f>
        <v/>
      </c>
      <c r="BV151">
        <f>IF($A151="","",M151+'Beállítások'!$E$17/1000)</f>
        <v/>
      </c>
      <c r="BW151">
        <f>IF($A151="","",N151+'Beállítások'!$E$18/1000)</f>
        <v/>
      </c>
      <c r="BX151">
        <f>IF($A151="","",O151+'Beállítások'!$E$19/1000)</f>
        <v/>
      </c>
      <c r="BY151">
        <f>IF($A151="","",P151+'Beállítások'!$E$20/1000)</f>
        <v/>
      </c>
      <c r="BZ151">
        <f>IF($A151="","",Q151+'Beállítások'!$E$21/1000)</f>
        <v/>
      </c>
      <c r="CA151">
        <f>IF($A151="","",R151+'Beállítások'!$E$22/1000)</f>
        <v/>
      </c>
      <c r="CB151">
        <f>IF($A151="","",S151+'Beállítások'!$E$23/1000)</f>
        <v/>
      </c>
      <c r="CC151">
        <f>IF($A151="","",T151+'Beállítások'!$E$24/1000)</f>
        <v/>
      </c>
      <c r="CD151">
        <f>IF($A151="","",U151+'Beállítások'!$E$25/1000)</f>
        <v/>
      </c>
      <c r="CE151">
        <f>IF($A151="","",V151+'Beállítások'!$E$26/1000)</f>
        <v/>
      </c>
      <c r="CF151">
        <f>IF($A151="","",W151+'Beállítások'!$E$27/1000)</f>
        <v/>
      </c>
      <c r="CG151">
        <f>IF($A151="","",X151+'Beállítások'!$E$28/1000)</f>
        <v/>
      </c>
      <c r="CH151">
        <f>IF($A151="","",Y151+'Beállítások'!$E$29/1000)</f>
        <v/>
      </c>
      <c r="CI151">
        <f>IF($A151="","",Z151+'Beállítások'!$E$30/1000)</f>
        <v/>
      </c>
      <c r="CJ151">
        <f>IF($A151="","",AA151+'Beállítások'!$E$31/1000)</f>
        <v/>
      </c>
      <c r="CK151">
        <f>IF($A151="","",AB151+'Beállítások'!$E$32/1000)</f>
        <v/>
      </c>
      <c r="CL151">
        <f>IF($A151="","",AC151+'Beállítások'!$E$33/1000)</f>
        <v/>
      </c>
      <c r="CM151">
        <f>IF($A151="","",AD151+'Beállítások'!$E$34/1000)</f>
        <v/>
      </c>
      <c r="CN151">
        <f>IF($A151="","",AE151+'Beállítások'!$E$35/1000)</f>
        <v/>
      </c>
      <c r="CO151">
        <f>IF($A151="","",AF151+'Beállítások'!$E$36/1000)</f>
        <v/>
      </c>
      <c r="CP151">
        <f>IF($A151="","",AG151+'Beállítások'!$E$37/1000)</f>
        <v/>
      </c>
      <c r="CQ151">
        <f>IF($A151="","",AH151+'Beállítások'!$E$38/1000)</f>
        <v/>
      </c>
      <c r="CR151">
        <f>IF($A151="","",'Beállítások'!$E$6*(10-B151))</f>
        <v/>
      </c>
      <c r="CS151">
        <f>IF($A151="","",'Beállítások'!$E$7*(10-C151))</f>
        <v/>
      </c>
      <c r="CT151">
        <f>IF($A151="","",'Beállítások'!$E$8*(10-D151))</f>
        <v/>
      </c>
      <c r="CU151">
        <f>IF($A151="","",'Beállítások'!$E$9*(10-E151))</f>
        <v/>
      </c>
      <c r="CV151">
        <f>IF($A151="","",'Beállítások'!$E$10*(10-F151))</f>
        <v/>
      </c>
      <c r="CW151">
        <f>IF($A151="","",'Beállítások'!$E$11*(10-G151))</f>
        <v/>
      </c>
      <c r="CX151">
        <f>IF($A151="","",'Beállítások'!$E$12*(10-H151))</f>
        <v/>
      </c>
      <c r="CY151">
        <f>IF($A151="","",'Beállítások'!$E$13*(10-I151))</f>
        <v/>
      </c>
      <c r="CZ151">
        <f>IF($A151="","",'Beállítások'!$E$14*(10-J151))</f>
        <v/>
      </c>
      <c r="DA151">
        <f>IF($A151="","",'Beállítások'!$E$15*(10-K151))</f>
        <v/>
      </c>
      <c r="DB151">
        <f>IF($A151="","",'Beállítások'!$E$16*(10-L151))</f>
        <v/>
      </c>
      <c r="DC151">
        <f>IF($A151="","",'Beállítások'!$E$17*(10-M151))</f>
        <v/>
      </c>
      <c r="DD151">
        <f>IF($A151="","",'Beállítások'!$E$18*(10-N151))</f>
        <v/>
      </c>
      <c r="DE151">
        <f>IF($A151="","",'Beállítások'!$E$19*(10-O151))</f>
        <v/>
      </c>
      <c r="DF151">
        <f>IF($A151="","",'Beállítások'!$E$20*(10-P151))</f>
        <v/>
      </c>
      <c r="DG151">
        <f>IF($A151="","",'Beállítások'!$E$21*(10-Q151))</f>
        <v/>
      </c>
      <c r="DH151">
        <f>IF($A151="","",'Beállítások'!$E$22*(10-R151))</f>
        <v/>
      </c>
      <c r="DI151">
        <f>IF($A151="","",'Beállítások'!$E$23*(10-S151))</f>
        <v/>
      </c>
      <c r="DJ151">
        <f>IF($A151="","",'Beállítások'!$E$24*(10-T151))</f>
        <v/>
      </c>
      <c r="DK151">
        <f>IF($A151="","",'Beállítások'!$E$25*(10-U151))</f>
        <v/>
      </c>
      <c r="DL151">
        <f>IF($A151="","",'Beállítások'!$E$26*(10-V151))</f>
        <v/>
      </c>
      <c r="DM151">
        <f>IF($A151="","",'Beállítások'!$E$27*(10-W151))</f>
        <v/>
      </c>
      <c r="DN151">
        <f>IF($A151="","",'Beállítások'!$E$28*(10-X151))</f>
        <v/>
      </c>
      <c r="DO151">
        <f>IF($A151="","",'Beállítások'!$E$29*(10-Y151))</f>
        <v/>
      </c>
      <c r="DP151">
        <f>IF($A151="","",'Beállítások'!$E$30*(10-Z151))</f>
        <v/>
      </c>
      <c r="DQ151">
        <f>IF($A151="","",'Beállítások'!$E$31*(10-AA151))</f>
        <v/>
      </c>
      <c r="DR151">
        <f>IF($A151="","",'Beállítások'!$E$32*(10-AB151))</f>
        <v/>
      </c>
      <c r="DS151">
        <f>IF($A151="","",'Beállítások'!$E$33*(10-AC151))</f>
        <v/>
      </c>
      <c r="DT151">
        <f>IF($A151="","",'Beállítások'!$E$34*(10-AD151))</f>
        <v/>
      </c>
      <c r="DU151">
        <f>IF($A151="","",'Beállítások'!$E$35*(10-AE151))</f>
        <v/>
      </c>
      <c r="DV151">
        <f>IF($A151="","",'Beállítások'!$E$36*(10-AF151))</f>
        <v/>
      </c>
      <c r="DW151">
        <f>IF($A151="","",'Beállítások'!$E$37*(10-AG151))</f>
        <v/>
      </c>
      <c r="DX151">
        <f>IF($A151="","",'Beállítások'!$E$38*(10-AH151))</f>
        <v/>
      </c>
      <c r="DY151">
        <f>IF($A151="","",AM151-ROW()/100000)</f>
        <v/>
      </c>
    </row>
    <row r="152">
      <c r="A152">
        <f>IF('Ügyfelek'!A152="","",'Ügyfelek'!A152)</f>
        <v/>
      </c>
      <c r="B152">
        <f>IF($A152="","",IF('Ügyfelek'!B152="",'Beállítások'!$B$84,IFERROR(VLOOKUP(TRIM('Ügyfelek'!B152),'Beállítások'!$A$51:$B$59,2,FALSE),'Beállítások'!$B$84)))</f>
        <v/>
      </c>
      <c r="C152">
        <f>IF($A152="","",IF('Ügyfelek'!C152="",'Beállítások'!$B$84,MIN(10,MAX(1,ROUND('Ügyfelek'!C152,0)))))</f>
        <v/>
      </c>
      <c r="D152">
        <f>IF($A152="","",IF('Ügyfelek'!D152="",'Beállítások'!$B$84,MIN(10,MAX(1,ROUND('Ügyfelek'!D152,0)))))</f>
        <v/>
      </c>
      <c r="E152">
        <f>IF($A152="","",IF('Ügyfelek'!E152="",'Beállítások'!$B$84,MIN(10,MAX(1,ROUND('Ügyfelek'!E152,0)))))</f>
        <v/>
      </c>
      <c r="F152">
        <f>IF($A152="","",IF('Ügyfelek'!F152="",'Beállítások'!$B$84,MIN(10,MAX(1,ROUND('Ügyfelek'!F152,0)))))</f>
        <v/>
      </c>
      <c r="G152">
        <f>IF($A152="","",IF('Ügyfelek'!G152="",'Beállítások'!$B$84,MIN(10,MAX(1,ROUND('Ügyfelek'!G152,0)))))</f>
        <v/>
      </c>
      <c r="H152">
        <f>IF($A152="","",IF('Ügyfelek'!H152="",'Beállítások'!$B$84,MIN(10,MAX(1,ROUND('Ügyfelek'!H152,0)))))</f>
        <v/>
      </c>
      <c r="I152">
        <f>IF($A152="","",IF('Ügyfelek'!I152="",'Beállítások'!$B$84,MIN(10,MAX(1,ROUND('Ügyfelek'!I152,0)))))</f>
        <v/>
      </c>
      <c r="J152">
        <f>IF($A152="","",IF('Ügyfelek'!J152="",'Beállítások'!$B$84,MIN(10,MAX(1,ROUND('Ügyfelek'!J152,0)))))</f>
        <v/>
      </c>
      <c r="K152">
        <f>IF($A152="","",IF('Ügyfelek'!K152="",'Beállítások'!$B$84,MIN(10,MAX(1,ROUND('Ügyfelek'!K152,0)))))</f>
        <v/>
      </c>
      <c r="L152">
        <f>IF($A152="","",IF('Ügyfelek'!L152="",'Beállítások'!$B$84,MIN(10,MAX(1,ROUND('Ügyfelek'!L152,0)))))</f>
        <v/>
      </c>
      <c r="M152">
        <f>IF($A152="","",IF('Ügyfelek'!M152="",'Beállítások'!$B$84,MIN(10,MAX(1,ROUND('Ügyfelek'!M152,0)))))</f>
        <v/>
      </c>
      <c r="N152">
        <f>IF($A152="","",IF('Ügyfelek'!N152="",'Beállítások'!$B$84,MIN(10,MAX(1,ROUND('Ügyfelek'!N152,0)))))</f>
        <v/>
      </c>
      <c r="O152">
        <f>IF($A152="","",IF('Ügyfelek'!O152="",'Beállítások'!$B$84,MIN(10,MAX(1,ROUND('Ügyfelek'!O152,0)))))</f>
        <v/>
      </c>
      <c r="P152">
        <f>IF($A152="","",IF('Ügyfelek'!P152="",'Beállítások'!$B$84,MIN(10,MAX(1,ROUND('Ügyfelek'!P152,0)))))</f>
        <v/>
      </c>
      <c r="Q152">
        <f>IF($A152="","",IF('Ügyfelek'!Q152="",'Beállítások'!$B$84,MIN(10,MAX(1,ROUND('Ügyfelek'!Q152,0)))))</f>
        <v/>
      </c>
      <c r="R152">
        <f>IF($A152="","",IF('Ügyfelek'!R152="",'Beállítások'!$B$84,MIN(10,MAX(1,ROUND('Ügyfelek'!R152,0)))))</f>
        <v/>
      </c>
      <c r="S152">
        <f>IF($A152="","",IF('Ügyfelek'!S152="",'Beállítások'!$B$84,MIN(10,MAX(1,ROUND('Ügyfelek'!S152,0)))))</f>
        <v/>
      </c>
      <c r="T152">
        <f>IF($A152="","",IF('Ügyfelek'!T152="",'Beállítások'!$B$84,VLOOKUP(MAX('Ügyfelek'!T152,'Beállítások'!$H$7),'Beállítások'!$H$7:$I$12,2,TRUE)))</f>
        <v/>
      </c>
      <c r="U152">
        <f>IF($A152="","",IF('Ügyfelek'!U152="",'Beállítások'!$B$84,VLOOKUP(MAX('Ügyfelek'!U152,'Beállítások'!$K$7),'Beállítások'!$K$7:$L$12,2,TRUE)))</f>
        <v/>
      </c>
      <c r="V152">
        <f>IF($A152="","",IF('Ügyfelek'!V152="",'Beállítások'!$B$84,MIN(10,MAX(1,ROUND('Ügyfelek'!V152,0)))))</f>
        <v/>
      </c>
      <c r="W152">
        <f>IF($A152="","",IF('Ügyfelek'!W152="",'Beállítások'!$B$84,VLOOKUP(MAX('Ügyfelek'!W152,'Beállítások'!$N$7),'Beállítások'!$N$7:$O$12,2,TRUE)))</f>
        <v/>
      </c>
      <c r="X152">
        <f>IF($A152="","",IF('Ügyfelek'!X152="",'Beállítások'!$B$84,MIN(10,MAX(1,ROUND('Ügyfelek'!X152,0)))))</f>
        <v/>
      </c>
      <c r="Y152">
        <f>IF($A152="","",IF('Ügyfelek'!Y152="",'Beállítások'!$B$84,IFERROR(VLOOKUP(TRIM('Ügyfelek'!Y152),'Beállítások'!$A$63:$B$69,2,FALSE),'Beállítások'!$B$84)))</f>
        <v/>
      </c>
      <c r="Z152">
        <f>IF($A152="","",IF('Ügyfelek'!Z152="",'Beállítások'!$B$84,VLOOKUP(MAX('Ügyfelek'!Z152,'Beállítások'!$Q$7),'Beállítások'!$Q$7:$R$12,2,TRUE)))</f>
        <v/>
      </c>
      <c r="AA152">
        <f>IF($A152="","",IF('Ügyfelek'!AA152="",'Beállítások'!$B$84,VLOOKUP(MAX('Ügyfelek'!AA152,'Beállítások'!$T$7),'Beállítások'!$T$7:$U$12,2,TRUE)))</f>
        <v/>
      </c>
      <c r="AB152">
        <f>IF($A152="","",IF('Ügyfelek'!AB152="",'Beállítások'!$B$84,MIN(10,MAX(1,ROUND('Ügyfelek'!AB152,0)))))</f>
        <v/>
      </c>
      <c r="AC152">
        <f>IF($A152="","",IF('Ügyfelek'!AC152="",'Beállítások'!$B$84,MIN(10,MAX(1,ROUND('Ügyfelek'!AC152,0)))))</f>
        <v/>
      </c>
      <c r="AD152">
        <f>IF($A152="","",IF('Ügyfelek'!AD152="",'Beállítások'!$B$84,MIN(10,MAX(1,ROUND('Ügyfelek'!AD152,0)))))</f>
        <v/>
      </c>
      <c r="AE152">
        <f>IF($A152="","",IF('Ügyfelek'!AE152="",'Beállítások'!$B$84,MIN(10,MAX(1,ROUND('Ügyfelek'!AE152,0)))))</f>
        <v/>
      </c>
      <c r="AF152">
        <f>IF($A152="","",IF('Ügyfelek'!AF152="",'Beállítások'!$B$84,MIN(10,MAX(1,ROUND('Ügyfelek'!AF152,0)))))</f>
        <v/>
      </c>
      <c r="AG152">
        <f>IF($A152="","",IF('Ügyfelek'!AG152="",'Beállítások'!$B$84,MIN(10,MAX(1,ROUND('Ügyfelek'!AG152,0)))))</f>
        <v/>
      </c>
      <c r="AH152">
        <f>IF($A152="","",IF('Ügyfelek'!AH152="",'Beállítások'!$B$84,IFERROR(VLOOKUP(TRIM('Ügyfelek'!AH152),'Beállítások'!$A$73:$B$79,2,FALSE),'Beállítások'!$B$84)))</f>
        <v/>
      </c>
      <c r="AI152" s="23">
        <f>IF($A152="","",ROUND(100*('Beállítások'!$E$6*(B152-1)+'Beállítások'!$E$7*(C152-1))/(9*'Beállítások'!$B$43),1))</f>
        <v/>
      </c>
      <c r="AJ152" s="23">
        <f>IF($A152="","",ROUND(100*('Beállítások'!$E$8*(D152-1)+'Beállítások'!$E$9*(E152-1)+'Beállítások'!$E$10*(F152-1)+'Beállítások'!$E$11*(G152-1)+'Beállítások'!$E$12*(H152-1)+'Beállítások'!$E$13*(I152-1)+'Beállítások'!$E$14*(J152-1)+'Beállítások'!$E$15*(K152-1)+'Beállítások'!$E$16*(L152-1)+'Beállítások'!$E$17*(M152-1)+'Beállítások'!$E$18*(N152-1)+'Beállítások'!$E$19*(O152-1)+'Beállítások'!$E$20*(P152-1)+'Beállítások'!$E$21*(Q152-1)+'Beállítások'!$E$22*(R152-1))/(9*'Beállítások'!$B$44),1))</f>
        <v/>
      </c>
      <c r="AK152" s="23">
        <f>IF($A152="","",ROUND(100*('Beállítások'!$E$23*(S152-1)+'Beállítások'!$E$24*(T152-1)+'Beállítások'!$E$25*(U152-1)+'Beállítások'!$E$26*(V152-1)+'Beállítások'!$E$27*(W152-1)+'Beállítások'!$E$28*(X152-1)+'Beállítások'!$E$29*(Y152-1))/(9*'Beállítások'!$B$45),1))</f>
        <v/>
      </c>
      <c r="AL152" s="23">
        <f>IF($A152="","",ROUND(100*('Beállítások'!$E$30*(Z152-1)+'Beállítások'!$E$31*(AA152-1)+'Beállítások'!$E$32*(AB152-1)+'Beállítások'!$E$33*(AC152-1)+'Beállítások'!$E$34*(AD152-1)+'Beállítások'!$E$35*(AE152-1)+'Beállítások'!$E$36*(AF152-1)+'Beállítások'!$E$37*(AG152-1)+'Beállítások'!$E$38*(AH152-1))/(9*'Beállítások'!$B$46),1))</f>
        <v/>
      </c>
      <c r="AM152" s="23">
        <f>IF($A152="","",ROUND(100*('Beállítások'!$E$6*(B152-1)+'Beállítások'!$E$7*(C152-1)+'Beállítások'!$E$8*(D152-1)+'Beállítások'!$E$9*(E152-1)+'Beállítások'!$E$10*(F152-1)+'Beállítások'!$E$11*(G152-1)+'Beállítások'!$E$12*(H152-1)+'Beállítások'!$E$13*(I152-1)+'Beállítások'!$E$14*(J152-1)+'Beállítások'!$E$15*(K152-1)+'Beállítások'!$E$16*(L152-1)+'Beállítások'!$E$17*(M152-1)+'Beállítások'!$E$18*(N152-1)+'Beállítások'!$E$19*(O152-1)+'Beállítások'!$E$20*(P152-1)+'Beállítások'!$E$21*(Q152-1)+'Beállítások'!$E$22*(R152-1)+'Beállítások'!$E$23*(S152-1)+'Beállítások'!$E$24*(T152-1)+'Beállítások'!$E$25*(U152-1)+'Beállítások'!$E$26*(V152-1)+'Beállítások'!$E$27*(W152-1)+'Beállítások'!$E$28*(X152-1)+'Beállítások'!$E$29*(Y152-1)+'Beállítások'!$E$30*(Z152-1)+'Beállítások'!$E$31*(AA152-1)+'Beállítások'!$E$32*(AB152-1)+'Beállítások'!$E$33*(AC152-1)+'Beállítások'!$E$34*(AD152-1)+'Beállítások'!$E$35*(AE152-1)+'Beállítások'!$E$36*(AF152-1)+'Beállítások'!$E$37*(AG152-1)+'Beállítások'!$E$38*(AH152-1))/(9*'Beállítások'!$E$39),1))</f>
        <v/>
      </c>
      <c r="AN152" s="23">
        <f>IF($A152="","",ROUND(100*('Beállítások'!$E$8*(D152-1)+'Beállítások'!$E$9*(E152-1)+'Beállítások'!$E$10*(F152-1)+'Beállítások'!$E$11*(G152-1)+'Beállítások'!$E$12*(H152-1)+'Beállítások'!$E$13*(I152-1)+'Beállítások'!$E$14*(J152-1)+'Beállítások'!$E$15*(K152-1)+'Beállítások'!$E$16*(L152-1)+'Beállítások'!$E$17*(M152-1)+'Beállítások'!$E$18*(N152-1)+'Beállítások'!$E$19*(O152-1)+'Beállítások'!$E$20*(P152-1)+'Beállítások'!$E$21*(Q152-1)+'Beállítások'!$E$22*(R152-1)+'Beállítások'!$E$23*(S152-1)+'Beállítások'!$E$24*(T152-1)+'Beállítások'!$E$25*(U152-1)+'Beállítások'!$E$26*(V152-1)+'Beállítások'!$E$27*(W152-1)+'Beállítások'!$E$28*(X152-1)+'Beállítások'!$E$29*(Y152-1))/(9*('Beállítások'!$B$44+'Beállítások'!$B$45)),1))</f>
        <v/>
      </c>
      <c r="AO152" s="24">
        <f>IF($A152="","",RANK(AM152,$AM$2:$AM$201))</f>
        <v/>
      </c>
      <c r="AP152">
        <f>IF($A152="","",IF(OR(AND('Ügyfelek'!B152&lt;&gt;"",B152&lt;='Beállítások'!$B$85),AND('Ügyfelek'!C152&lt;&gt;"",C152&lt;='Beállítások'!$B$86)),"Igen","Nem"))</f>
        <v/>
      </c>
      <c r="AQ152" s="24">
        <f>IF($A152="","",IF(AP152="Igen",5,IF(AN152&gt;='Beállítások'!$C$108,1,IF(AN152&gt;='Beállítások'!$C$109,2,IF(AN152&gt;='Beállítások'!$C$110,3,IF(AND(AN152&gt;='Beállítások'!$B$87,AI152&gt;='Beállítások'!$B$88,AL152&gt;='Beállítások'!$B$89),4,5))))))</f>
        <v/>
      </c>
      <c r="AR152">
        <f>IF($A152="","",INDEX('Beállítások'!$B$108:$B$112,AQ152))</f>
        <v/>
      </c>
      <c r="AS152">
        <f>IF($A152="","",IF(AQ152=5,"Elutasítjuk",IF(AND(AQ152=4,COUNTIFS('Eredmény'!$AQ$2:$AQ$201,4,'Eredmény'!$DY$2:$DY$201,"&gt;"&amp;DY152)&gt;='Beállítások'!$B$90),"Várólista (a 4-es hely foglalt)","Elfogadjuk")))</f>
        <v/>
      </c>
      <c r="AT152">
        <f>IF($A152="","",INDEX('Beállítások'!$F$108:$F$112,AQ152))</f>
        <v/>
      </c>
      <c r="AU152">
        <f>IF($A152="","",INDEX('Beállítások'!$B$6:$B$38,MATCH(MAX(BK152:CQ152),BK152:CQ152,0)))</f>
        <v/>
      </c>
      <c r="AV152">
        <f>IF($A152="","",IF(MAX(CR152:DX152)=0,"—",INDEX('Beállítások'!$B$6:$B$38,MATCH(MAX(CR152:DX152),CR152:DX152,0))))</f>
        <v/>
      </c>
      <c r="AW152" s="10">
        <f>IF($A152="","",'Beállítások'!$B$94*(TRIM('Ügyfelek'!AI152)="igen")+'Beállítások'!$B$95*(TRIM('Ügyfelek'!AJ152)="igen")+'Beállítások'!$B$96*N('Ügyfelek'!AK152)+'Beállítások'!$B$93*N('Ügyfelek'!AL152))</f>
        <v/>
      </c>
      <c r="AX152" s="25">
        <f>IF(OR($A152="",AQ152=5),"",INDEX('Beállítások'!$D$108:$D$112,AQ152))</f>
        <v/>
      </c>
      <c r="AY152" s="10">
        <f>IF($A152="","",N('Ügyfelek'!U152)*'Beállítások'!$B$98)</f>
        <v/>
      </c>
      <c r="AZ152" s="10">
        <f>IF(OR($A152="",AQ152=5),"",CEILING(ROUND(MAX('Beállítások'!$B$97,AW152*AX152,AY152),2),'Beállítások'!$B$99))</f>
        <v/>
      </c>
      <c r="BA152">
        <f>IF($A152="","",IF(AQ152=5,"Elutasítva",IF(MAX('Beállítások'!$B$97,AW152*AX152,AY152)=AW152*AX152,"Munkaigény × státuszszorzó",IF(MAX('Beállítások'!$B$97,AW152*AX152,AY152)=AY152,"Hirdetési keret arányában","Minimumdíj"))))</f>
        <v/>
      </c>
      <c r="BB152" s="10">
        <f>IF(OR($A152="",'Ügyfelek'!AM152=""),"",'Ügyfelek'!AM152)</f>
        <v/>
      </c>
      <c r="BC152" s="10">
        <f>IF(OR(BB152="",AZ152=""),"",AZ152-BB152)</f>
        <v/>
      </c>
      <c r="BD152" s="18">
        <f>IF(OR(BB152="",AZ152="",BB152=0),"",BC152/BB152)</f>
        <v/>
      </c>
      <c r="BE152">
        <f>IF(OR($A152="",AQ152=5),"",IF(AND(INDEX('Beállítások'!$E$108:$E$112,AQ152)&gt;0,Y152&gt;='Beállítások'!$B$91),"Igen","Nem"))</f>
        <v/>
      </c>
      <c r="BF152" s="10">
        <f>IF(BE152="Igen",CEILING(ROUND(AZ152*(1-'Beállítások'!$B$92),2),'Beállítások'!$B$99),"")</f>
        <v/>
      </c>
      <c r="BG152" s="20">
        <f>IF(BE152="Igen",INDEX('Beállítások'!$E$108:$E$112,AQ152),"")</f>
        <v/>
      </c>
      <c r="BH152" s="10">
        <f>IF(OR(BE152&lt;&gt;"Igen",'Ügyfelek'!AN152=""),"",'Ügyfelek'!AN152*BG152)</f>
        <v/>
      </c>
      <c r="BI152" s="24">
        <f>IF($A152="","",('Ügyfelek'!B152="")+('Ügyfelek'!C152="")+('Ügyfelek'!D152="")+('Ügyfelek'!E152="")+('Ügyfelek'!F152="")+('Ügyfelek'!G152="")+('Ügyfelek'!H152="")+('Ügyfelek'!I152="")+('Ügyfelek'!J152="")+('Ügyfelek'!K152="")+('Ügyfelek'!L152="")+('Ügyfelek'!M152="")+('Ügyfelek'!N152="")+('Ügyfelek'!O152="")+('Ügyfelek'!P152="")+('Ügyfelek'!Q152="")+('Ügyfelek'!R152="")+('Ügyfelek'!S152="")+('Ügyfelek'!T152="")+('Ügyfelek'!U152="")+('Ügyfelek'!V152="")+('Ügyfelek'!W152="")+('Ügyfelek'!X152="")+('Ügyfelek'!Y152="")+('Ügyfelek'!Z152="")+('Ügyfelek'!AA152="")+('Ügyfelek'!AB152="")+('Ügyfelek'!AC152="")+('Ügyfelek'!AD152="")+('Ügyfelek'!AE152="")+('Ügyfelek'!AF152="")+('Ügyfelek'!AG152="")+('Ügyfelek'!AH152=""))</f>
        <v/>
      </c>
      <c r="BK152">
        <f>IF($A152="","",B152+'Beállítások'!$E$6/1000)</f>
        <v/>
      </c>
      <c r="BL152">
        <f>IF($A152="","",C152+'Beállítások'!$E$7/1000)</f>
        <v/>
      </c>
      <c r="BM152">
        <f>IF($A152="","",D152+'Beállítások'!$E$8/1000)</f>
        <v/>
      </c>
      <c r="BN152">
        <f>IF($A152="","",E152+'Beállítások'!$E$9/1000)</f>
        <v/>
      </c>
      <c r="BO152">
        <f>IF($A152="","",F152+'Beállítások'!$E$10/1000)</f>
        <v/>
      </c>
      <c r="BP152">
        <f>IF($A152="","",G152+'Beállítások'!$E$11/1000)</f>
        <v/>
      </c>
      <c r="BQ152">
        <f>IF($A152="","",H152+'Beállítások'!$E$12/1000)</f>
        <v/>
      </c>
      <c r="BR152">
        <f>IF($A152="","",I152+'Beállítások'!$E$13/1000)</f>
        <v/>
      </c>
      <c r="BS152">
        <f>IF($A152="","",J152+'Beállítások'!$E$14/1000)</f>
        <v/>
      </c>
      <c r="BT152">
        <f>IF($A152="","",K152+'Beállítások'!$E$15/1000)</f>
        <v/>
      </c>
      <c r="BU152">
        <f>IF($A152="","",L152+'Beállítások'!$E$16/1000)</f>
        <v/>
      </c>
      <c r="BV152">
        <f>IF($A152="","",M152+'Beállítások'!$E$17/1000)</f>
        <v/>
      </c>
      <c r="BW152">
        <f>IF($A152="","",N152+'Beállítások'!$E$18/1000)</f>
        <v/>
      </c>
      <c r="BX152">
        <f>IF($A152="","",O152+'Beállítások'!$E$19/1000)</f>
        <v/>
      </c>
      <c r="BY152">
        <f>IF($A152="","",P152+'Beállítások'!$E$20/1000)</f>
        <v/>
      </c>
      <c r="BZ152">
        <f>IF($A152="","",Q152+'Beállítások'!$E$21/1000)</f>
        <v/>
      </c>
      <c r="CA152">
        <f>IF($A152="","",R152+'Beállítások'!$E$22/1000)</f>
        <v/>
      </c>
      <c r="CB152">
        <f>IF($A152="","",S152+'Beállítások'!$E$23/1000)</f>
        <v/>
      </c>
      <c r="CC152">
        <f>IF($A152="","",T152+'Beállítások'!$E$24/1000)</f>
        <v/>
      </c>
      <c r="CD152">
        <f>IF($A152="","",U152+'Beállítások'!$E$25/1000)</f>
        <v/>
      </c>
      <c r="CE152">
        <f>IF($A152="","",V152+'Beállítások'!$E$26/1000)</f>
        <v/>
      </c>
      <c r="CF152">
        <f>IF($A152="","",W152+'Beállítások'!$E$27/1000)</f>
        <v/>
      </c>
      <c r="CG152">
        <f>IF($A152="","",X152+'Beállítások'!$E$28/1000)</f>
        <v/>
      </c>
      <c r="CH152">
        <f>IF($A152="","",Y152+'Beállítások'!$E$29/1000)</f>
        <v/>
      </c>
      <c r="CI152">
        <f>IF($A152="","",Z152+'Beállítások'!$E$30/1000)</f>
        <v/>
      </c>
      <c r="CJ152">
        <f>IF($A152="","",AA152+'Beállítások'!$E$31/1000)</f>
        <v/>
      </c>
      <c r="CK152">
        <f>IF($A152="","",AB152+'Beállítások'!$E$32/1000)</f>
        <v/>
      </c>
      <c r="CL152">
        <f>IF($A152="","",AC152+'Beállítások'!$E$33/1000)</f>
        <v/>
      </c>
      <c r="CM152">
        <f>IF($A152="","",AD152+'Beállítások'!$E$34/1000)</f>
        <v/>
      </c>
      <c r="CN152">
        <f>IF($A152="","",AE152+'Beállítások'!$E$35/1000)</f>
        <v/>
      </c>
      <c r="CO152">
        <f>IF($A152="","",AF152+'Beállítások'!$E$36/1000)</f>
        <v/>
      </c>
      <c r="CP152">
        <f>IF($A152="","",AG152+'Beállítások'!$E$37/1000)</f>
        <v/>
      </c>
      <c r="CQ152">
        <f>IF($A152="","",AH152+'Beállítások'!$E$38/1000)</f>
        <v/>
      </c>
      <c r="CR152">
        <f>IF($A152="","",'Beállítások'!$E$6*(10-B152))</f>
        <v/>
      </c>
      <c r="CS152">
        <f>IF($A152="","",'Beállítások'!$E$7*(10-C152))</f>
        <v/>
      </c>
      <c r="CT152">
        <f>IF($A152="","",'Beállítások'!$E$8*(10-D152))</f>
        <v/>
      </c>
      <c r="CU152">
        <f>IF($A152="","",'Beállítások'!$E$9*(10-E152))</f>
        <v/>
      </c>
      <c r="CV152">
        <f>IF($A152="","",'Beállítások'!$E$10*(10-F152))</f>
        <v/>
      </c>
      <c r="CW152">
        <f>IF($A152="","",'Beállítások'!$E$11*(10-G152))</f>
        <v/>
      </c>
      <c r="CX152">
        <f>IF($A152="","",'Beállítások'!$E$12*(10-H152))</f>
        <v/>
      </c>
      <c r="CY152">
        <f>IF($A152="","",'Beállítások'!$E$13*(10-I152))</f>
        <v/>
      </c>
      <c r="CZ152">
        <f>IF($A152="","",'Beállítások'!$E$14*(10-J152))</f>
        <v/>
      </c>
      <c r="DA152">
        <f>IF($A152="","",'Beállítások'!$E$15*(10-K152))</f>
        <v/>
      </c>
      <c r="DB152">
        <f>IF($A152="","",'Beállítások'!$E$16*(10-L152))</f>
        <v/>
      </c>
      <c r="DC152">
        <f>IF($A152="","",'Beállítások'!$E$17*(10-M152))</f>
        <v/>
      </c>
      <c r="DD152">
        <f>IF($A152="","",'Beállítások'!$E$18*(10-N152))</f>
        <v/>
      </c>
      <c r="DE152">
        <f>IF($A152="","",'Beállítások'!$E$19*(10-O152))</f>
        <v/>
      </c>
      <c r="DF152">
        <f>IF($A152="","",'Beállítások'!$E$20*(10-P152))</f>
        <v/>
      </c>
      <c r="DG152">
        <f>IF($A152="","",'Beállítások'!$E$21*(10-Q152))</f>
        <v/>
      </c>
      <c r="DH152">
        <f>IF($A152="","",'Beállítások'!$E$22*(10-R152))</f>
        <v/>
      </c>
      <c r="DI152">
        <f>IF($A152="","",'Beállítások'!$E$23*(10-S152))</f>
        <v/>
      </c>
      <c r="DJ152">
        <f>IF($A152="","",'Beállítások'!$E$24*(10-T152))</f>
        <v/>
      </c>
      <c r="DK152">
        <f>IF($A152="","",'Beállítások'!$E$25*(10-U152))</f>
        <v/>
      </c>
      <c r="DL152">
        <f>IF($A152="","",'Beállítások'!$E$26*(10-V152))</f>
        <v/>
      </c>
      <c r="DM152">
        <f>IF($A152="","",'Beállítások'!$E$27*(10-W152))</f>
        <v/>
      </c>
      <c r="DN152">
        <f>IF($A152="","",'Beállítások'!$E$28*(10-X152))</f>
        <v/>
      </c>
      <c r="DO152">
        <f>IF($A152="","",'Beállítások'!$E$29*(10-Y152))</f>
        <v/>
      </c>
      <c r="DP152">
        <f>IF($A152="","",'Beállítások'!$E$30*(10-Z152))</f>
        <v/>
      </c>
      <c r="DQ152">
        <f>IF($A152="","",'Beállítások'!$E$31*(10-AA152))</f>
        <v/>
      </c>
      <c r="DR152">
        <f>IF($A152="","",'Beállítások'!$E$32*(10-AB152))</f>
        <v/>
      </c>
      <c r="DS152">
        <f>IF($A152="","",'Beállítások'!$E$33*(10-AC152))</f>
        <v/>
      </c>
      <c r="DT152">
        <f>IF($A152="","",'Beállítások'!$E$34*(10-AD152))</f>
        <v/>
      </c>
      <c r="DU152">
        <f>IF($A152="","",'Beállítások'!$E$35*(10-AE152))</f>
        <v/>
      </c>
      <c r="DV152">
        <f>IF($A152="","",'Beállítások'!$E$36*(10-AF152))</f>
        <v/>
      </c>
      <c r="DW152">
        <f>IF($A152="","",'Beállítások'!$E$37*(10-AG152))</f>
        <v/>
      </c>
      <c r="DX152">
        <f>IF($A152="","",'Beállítások'!$E$38*(10-AH152))</f>
        <v/>
      </c>
      <c r="DY152">
        <f>IF($A152="","",AM152-ROW()/100000)</f>
        <v/>
      </c>
    </row>
    <row r="153">
      <c r="A153">
        <f>IF('Ügyfelek'!A153="","",'Ügyfelek'!A153)</f>
        <v/>
      </c>
      <c r="B153">
        <f>IF($A153="","",IF('Ügyfelek'!B153="",'Beállítások'!$B$84,IFERROR(VLOOKUP(TRIM('Ügyfelek'!B153),'Beállítások'!$A$51:$B$59,2,FALSE),'Beállítások'!$B$84)))</f>
        <v/>
      </c>
      <c r="C153">
        <f>IF($A153="","",IF('Ügyfelek'!C153="",'Beállítások'!$B$84,MIN(10,MAX(1,ROUND('Ügyfelek'!C153,0)))))</f>
        <v/>
      </c>
      <c r="D153">
        <f>IF($A153="","",IF('Ügyfelek'!D153="",'Beállítások'!$B$84,MIN(10,MAX(1,ROUND('Ügyfelek'!D153,0)))))</f>
        <v/>
      </c>
      <c r="E153">
        <f>IF($A153="","",IF('Ügyfelek'!E153="",'Beállítások'!$B$84,MIN(10,MAX(1,ROUND('Ügyfelek'!E153,0)))))</f>
        <v/>
      </c>
      <c r="F153">
        <f>IF($A153="","",IF('Ügyfelek'!F153="",'Beállítások'!$B$84,MIN(10,MAX(1,ROUND('Ügyfelek'!F153,0)))))</f>
        <v/>
      </c>
      <c r="G153">
        <f>IF($A153="","",IF('Ügyfelek'!G153="",'Beállítások'!$B$84,MIN(10,MAX(1,ROUND('Ügyfelek'!G153,0)))))</f>
        <v/>
      </c>
      <c r="H153">
        <f>IF($A153="","",IF('Ügyfelek'!H153="",'Beállítások'!$B$84,MIN(10,MAX(1,ROUND('Ügyfelek'!H153,0)))))</f>
        <v/>
      </c>
      <c r="I153">
        <f>IF($A153="","",IF('Ügyfelek'!I153="",'Beállítások'!$B$84,MIN(10,MAX(1,ROUND('Ügyfelek'!I153,0)))))</f>
        <v/>
      </c>
      <c r="J153">
        <f>IF($A153="","",IF('Ügyfelek'!J153="",'Beállítások'!$B$84,MIN(10,MAX(1,ROUND('Ügyfelek'!J153,0)))))</f>
        <v/>
      </c>
      <c r="K153">
        <f>IF($A153="","",IF('Ügyfelek'!K153="",'Beállítások'!$B$84,MIN(10,MAX(1,ROUND('Ügyfelek'!K153,0)))))</f>
        <v/>
      </c>
      <c r="L153">
        <f>IF($A153="","",IF('Ügyfelek'!L153="",'Beállítások'!$B$84,MIN(10,MAX(1,ROUND('Ügyfelek'!L153,0)))))</f>
        <v/>
      </c>
      <c r="M153">
        <f>IF($A153="","",IF('Ügyfelek'!M153="",'Beállítások'!$B$84,MIN(10,MAX(1,ROUND('Ügyfelek'!M153,0)))))</f>
        <v/>
      </c>
      <c r="N153">
        <f>IF($A153="","",IF('Ügyfelek'!N153="",'Beállítások'!$B$84,MIN(10,MAX(1,ROUND('Ügyfelek'!N153,0)))))</f>
        <v/>
      </c>
      <c r="O153">
        <f>IF($A153="","",IF('Ügyfelek'!O153="",'Beállítások'!$B$84,MIN(10,MAX(1,ROUND('Ügyfelek'!O153,0)))))</f>
        <v/>
      </c>
      <c r="P153">
        <f>IF($A153="","",IF('Ügyfelek'!P153="",'Beállítások'!$B$84,MIN(10,MAX(1,ROUND('Ügyfelek'!P153,0)))))</f>
        <v/>
      </c>
      <c r="Q153">
        <f>IF($A153="","",IF('Ügyfelek'!Q153="",'Beállítások'!$B$84,MIN(10,MAX(1,ROUND('Ügyfelek'!Q153,0)))))</f>
        <v/>
      </c>
      <c r="R153">
        <f>IF($A153="","",IF('Ügyfelek'!R153="",'Beállítások'!$B$84,MIN(10,MAX(1,ROUND('Ügyfelek'!R153,0)))))</f>
        <v/>
      </c>
      <c r="S153">
        <f>IF($A153="","",IF('Ügyfelek'!S153="",'Beállítások'!$B$84,MIN(10,MAX(1,ROUND('Ügyfelek'!S153,0)))))</f>
        <v/>
      </c>
      <c r="T153">
        <f>IF($A153="","",IF('Ügyfelek'!T153="",'Beállítások'!$B$84,VLOOKUP(MAX('Ügyfelek'!T153,'Beállítások'!$H$7),'Beállítások'!$H$7:$I$12,2,TRUE)))</f>
        <v/>
      </c>
      <c r="U153">
        <f>IF($A153="","",IF('Ügyfelek'!U153="",'Beállítások'!$B$84,VLOOKUP(MAX('Ügyfelek'!U153,'Beállítások'!$K$7),'Beállítások'!$K$7:$L$12,2,TRUE)))</f>
        <v/>
      </c>
      <c r="V153">
        <f>IF($A153="","",IF('Ügyfelek'!V153="",'Beállítások'!$B$84,MIN(10,MAX(1,ROUND('Ügyfelek'!V153,0)))))</f>
        <v/>
      </c>
      <c r="W153">
        <f>IF($A153="","",IF('Ügyfelek'!W153="",'Beállítások'!$B$84,VLOOKUP(MAX('Ügyfelek'!W153,'Beállítások'!$N$7),'Beállítások'!$N$7:$O$12,2,TRUE)))</f>
        <v/>
      </c>
      <c r="X153">
        <f>IF($A153="","",IF('Ügyfelek'!X153="",'Beállítások'!$B$84,MIN(10,MAX(1,ROUND('Ügyfelek'!X153,0)))))</f>
        <v/>
      </c>
      <c r="Y153">
        <f>IF($A153="","",IF('Ügyfelek'!Y153="",'Beállítások'!$B$84,IFERROR(VLOOKUP(TRIM('Ügyfelek'!Y153),'Beállítások'!$A$63:$B$69,2,FALSE),'Beállítások'!$B$84)))</f>
        <v/>
      </c>
      <c r="Z153">
        <f>IF($A153="","",IF('Ügyfelek'!Z153="",'Beállítások'!$B$84,VLOOKUP(MAX('Ügyfelek'!Z153,'Beállítások'!$Q$7),'Beállítások'!$Q$7:$R$12,2,TRUE)))</f>
        <v/>
      </c>
      <c r="AA153">
        <f>IF($A153="","",IF('Ügyfelek'!AA153="",'Beállítások'!$B$84,VLOOKUP(MAX('Ügyfelek'!AA153,'Beállítások'!$T$7),'Beállítások'!$T$7:$U$12,2,TRUE)))</f>
        <v/>
      </c>
      <c r="AB153">
        <f>IF($A153="","",IF('Ügyfelek'!AB153="",'Beállítások'!$B$84,MIN(10,MAX(1,ROUND('Ügyfelek'!AB153,0)))))</f>
        <v/>
      </c>
      <c r="AC153">
        <f>IF($A153="","",IF('Ügyfelek'!AC153="",'Beállítások'!$B$84,MIN(10,MAX(1,ROUND('Ügyfelek'!AC153,0)))))</f>
        <v/>
      </c>
      <c r="AD153">
        <f>IF($A153="","",IF('Ügyfelek'!AD153="",'Beállítások'!$B$84,MIN(10,MAX(1,ROUND('Ügyfelek'!AD153,0)))))</f>
        <v/>
      </c>
      <c r="AE153">
        <f>IF($A153="","",IF('Ügyfelek'!AE153="",'Beállítások'!$B$84,MIN(10,MAX(1,ROUND('Ügyfelek'!AE153,0)))))</f>
        <v/>
      </c>
      <c r="AF153">
        <f>IF($A153="","",IF('Ügyfelek'!AF153="",'Beállítások'!$B$84,MIN(10,MAX(1,ROUND('Ügyfelek'!AF153,0)))))</f>
        <v/>
      </c>
      <c r="AG153">
        <f>IF($A153="","",IF('Ügyfelek'!AG153="",'Beállítások'!$B$84,MIN(10,MAX(1,ROUND('Ügyfelek'!AG153,0)))))</f>
        <v/>
      </c>
      <c r="AH153">
        <f>IF($A153="","",IF('Ügyfelek'!AH153="",'Beállítások'!$B$84,IFERROR(VLOOKUP(TRIM('Ügyfelek'!AH153),'Beállítások'!$A$73:$B$79,2,FALSE),'Beállítások'!$B$84)))</f>
        <v/>
      </c>
      <c r="AI153" s="23">
        <f>IF($A153="","",ROUND(100*('Beállítások'!$E$6*(B153-1)+'Beállítások'!$E$7*(C153-1))/(9*'Beállítások'!$B$43),1))</f>
        <v/>
      </c>
      <c r="AJ153" s="23">
        <f>IF($A153="","",ROUND(100*('Beállítások'!$E$8*(D153-1)+'Beállítások'!$E$9*(E153-1)+'Beállítások'!$E$10*(F153-1)+'Beállítások'!$E$11*(G153-1)+'Beállítások'!$E$12*(H153-1)+'Beállítások'!$E$13*(I153-1)+'Beállítások'!$E$14*(J153-1)+'Beállítások'!$E$15*(K153-1)+'Beállítások'!$E$16*(L153-1)+'Beállítások'!$E$17*(M153-1)+'Beállítások'!$E$18*(N153-1)+'Beállítások'!$E$19*(O153-1)+'Beállítások'!$E$20*(P153-1)+'Beállítások'!$E$21*(Q153-1)+'Beállítások'!$E$22*(R153-1))/(9*'Beállítások'!$B$44),1))</f>
        <v/>
      </c>
      <c r="AK153" s="23">
        <f>IF($A153="","",ROUND(100*('Beállítások'!$E$23*(S153-1)+'Beállítások'!$E$24*(T153-1)+'Beállítások'!$E$25*(U153-1)+'Beállítások'!$E$26*(V153-1)+'Beállítások'!$E$27*(W153-1)+'Beállítások'!$E$28*(X153-1)+'Beállítások'!$E$29*(Y153-1))/(9*'Beállítások'!$B$45),1))</f>
        <v/>
      </c>
      <c r="AL153" s="23">
        <f>IF($A153="","",ROUND(100*('Beállítások'!$E$30*(Z153-1)+'Beállítások'!$E$31*(AA153-1)+'Beállítások'!$E$32*(AB153-1)+'Beállítások'!$E$33*(AC153-1)+'Beállítások'!$E$34*(AD153-1)+'Beállítások'!$E$35*(AE153-1)+'Beállítások'!$E$36*(AF153-1)+'Beállítások'!$E$37*(AG153-1)+'Beállítások'!$E$38*(AH153-1))/(9*'Beállítások'!$B$46),1))</f>
        <v/>
      </c>
      <c r="AM153" s="23">
        <f>IF($A153="","",ROUND(100*('Beállítások'!$E$6*(B153-1)+'Beállítások'!$E$7*(C153-1)+'Beállítások'!$E$8*(D153-1)+'Beállítások'!$E$9*(E153-1)+'Beállítások'!$E$10*(F153-1)+'Beállítások'!$E$11*(G153-1)+'Beállítások'!$E$12*(H153-1)+'Beállítások'!$E$13*(I153-1)+'Beállítások'!$E$14*(J153-1)+'Beállítások'!$E$15*(K153-1)+'Beállítások'!$E$16*(L153-1)+'Beállítások'!$E$17*(M153-1)+'Beállítások'!$E$18*(N153-1)+'Beállítások'!$E$19*(O153-1)+'Beállítások'!$E$20*(P153-1)+'Beállítások'!$E$21*(Q153-1)+'Beállítások'!$E$22*(R153-1)+'Beállítások'!$E$23*(S153-1)+'Beállítások'!$E$24*(T153-1)+'Beállítások'!$E$25*(U153-1)+'Beállítások'!$E$26*(V153-1)+'Beállítások'!$E$27*(W153-1)+'Beállítások'!$E$28*(X153-1)+'Beállítások'!$E$29*(Y153-1)+'Beállítások'!$E$30*(Z153-1)+'Beállítások'!$E$31*(AA153-1)+'Beállítások'!$E$32*(AB153-1)+'Beállítások'!$E$33*(AC153-1)+'Beállítások'!$E$34*(AD153-1)+'Beállítások'!$E$35*(AE153-1)+'Beállítások'!$E$36*(AF153-1)+'Beállítások'!$E$37*(AG153-1)+'Beállítások'!$E$38*(AH153-1))/(9*'Beállítások'!$E$39),1))</f>
        <v/>
      </c>
      <c r="AN153" s="23">
        <f>IF($A153="","",ROUND(100*('Beállítások'!$E$8*(D153-1)+'Beállítások'!$E$9*(E153-1)+'Beállítások'!$E$10*(F153-1)+'Beállítások'!$E$11*(G153-1)+'Beállítások'!$E$12*(H153-1)+'Beállítások'!$E$13*(I153-1)+'Beállítások'!$E$14*(J153-1)+'Beállítások'!$E$15*(K153-1)+'Beállítások'!$E$16*(L153-1)+'Beállítások'!$E$17*(M153-1)+'Beállítások'!$E$18*(N153-1)+'Beállítások'!$E$19*(O153-1)+'Beállítások'!$E$20*(P153-1)+'Beállítások'!$E$21*(Q153-1)+'Beállítások'!$E$22*(R153-1)+'Beállítások'!$E$23*(S153-1)+'Beállítások'!$E$24*(T153-1)+'Beállítások'!$E$25*(U153-1)+'Beállítások'!$E$26*(V153-1)+'Beállítások'!$E$27*(W153-1)+'Beállítások'!$E$28*(X153-1)+'Beállítások'!$E$29*(Y153-1))/(9*('Beállítások'!$B$44+'Beállítások'!$B$45)),1))</f>
        <v/>
      </c>
      <c r="AO153" s="24">
        <f>IF($A153="","",RANK(AM153,$AM$2:$AM$201))</f>
        <v/>
      </c>
      <c r="AP153">
        <f>IF($A153="","",IF(OR(AND('Ügyfelek'!B153&lt;&gt;"",B153&lt;='Beállítások'!$B$85),AND('Ügyfelek'!C153&lt;&gt;"",C153&lt;='Beállítások'!$B$86)),"Igen","Nem"))</f>
        <v/>
      </c>
      <c r="AQ153" s="24">
        <f>IF($A153="","",IF(AP153="Igen",5,IF(AN153&gt;='Beállítások'!$C$108,1,IF(AN153&gt;='Beállítások'!$C$109,2,IF(AN153&gt;='Beállítások'!$C$110,3,IF(AND(AN153&gt;='Beállítások'!$B$87,AI153&gt;='Beállítások'!$B$88,AL153&gt;='Beállítások'!$B$89),4,5))))))</f>
        <v/>
      </c>
      <c r="AR153">
        <f>IF($A153="","",INDEX('Beállítások'!$B$108:$B$112,AQ153))</f>
        <v/>
      </c>
      <c r="AS153">
        <f>IF($A153="","",IF(AQ153=5,"Elutasítjuk",IF(AND(AQ153=4,COUNTIFS('Eredmény'!$AQ$2:$AQ$201,4,'Eredmény'!$DY$2:$DY$201,"&gt;"&amp;DY153)&gt;='Beállítások'!$B$90),"Várólista (a 4-es hely foglalt)","Elfogadjuk")))</f>
        <v/>
      </c>
      <c r="AT153">
        <f>IF($A153="","",INDEX('Beállítások'!$F$108:$F$112,AQ153))</f>
        <v/>
      </c>
      <c r="AU153">
        <f>IF($A153="","",INDEX('Beállítások'!$B$6:$B$38,MATCH(MAX(BK153:CQ153),BK153:CQ153,0)))</f>
        <v/>
      </c>
      <c r="AV153">
        <f>IF($A153="","",IF(MAX(CR153:DX153)=0,"—",INDEX('Beállítások'!$B$6:$B$38,MATCH(MAX(CR153:DX153),CR153:DX153,0))))</f>
        <v/>
      </c>
      <c r="AW153" s="10">
        <f>IF($A153="","",'Beállítások'!$B$94*(TRIM('Ügyfelek'!AI153)="igen")+'Beállítások'!$B$95*(TRIM('Ügyfelek'!AJ153)="igen")+'Beállítások'!$B$96*N('Ügyfelek'!AK153)+'Beállítások'!$B$93*N('Ügyfelek'!AL153))</f>
        <v/>
      </c>
      <c r="AX153" s="25">
        <f>IF(OR($A153="",AQ153=5),"",INDEX('Beállítások'!$D$108:$D$112,AQ153))</f>
        <v/>
      </c>
      <c r="AY153" s="10">
        <f>IF($A153="","",N('Ügyfelek'!U153)*'Beállítások'!$B$98)</f>
        <v/>
      </c>
      <c r="AZ153" s="10">
        <f>IF(OR($A153="",AQ153=5),"",CEILING(ROUND(MAX('Beállítások'!$B$97,AW153*AX153,AY153),2),'Beállítások'!$B$99))</f>
        <v/>
      </c>
      <c r="BA153">
        <f>IF($A153="","",IF(AQ153=5,"Elutasítva",IF(MAX('Beállítások'!$B$97,AW153*AX153,AY153)=AW153*AX153,"Munkaigény × státuszszorzó",IF(MAX('Beállítások'!$B$97,AW153*AX153,AY153)=AY153,"Hirdetési keret arányában","Minimumdíj"))))</f>
        <v/>
      </c>
      <c r="BB153" s="10">
        <f>IF(OR($A153="",'Ügyfelek'!AM153=""),"",'Ügyfelek'!AM153)</f>
        <v/>
      </c>
      <c r="BC153" s="10">
        <f>IF(OR(BB153="",AZ153=""),"",AZ153-BB153)</f>
        <v/>
      </c>
      <c r="BD153" s="18">
        <f>IF(OR(BB153="",AZ153="",BB153=0),"",BC153/BB153)</f>
        <v/>
      </c>
      <c r="BE153">
        <f>IF(OR($A153="",AQ153=5),"",IF(AND(INDEX('Beállítások'!$E$108:$E$112,AQ153)&gt;0,Y153&gt;='Beállítások'!$B$91),"Igen","Nem"))</f>
        <v/>
      </c>
      <c r="BF153" s="10">
        <f>IF(BE153="Igen",CEILING(ROUND(AZ153*(1-'Beállítások'!$B$92),2),'Beállítások'!$B$99),"")</f>
        <v/>
      </c>
      <c r="BG153" s="20">
        <f>IF(BE153="Igen",INDEX('Beállítások'!$E$108:$E$112,AQ153),"")</f>
        <v/>
      </c>
      <c r="BH153" s="10">
        <f>IF(OR(BE153&lt;&gt;"Igen",'Ügyfelek'!AN153=""),"",'Ügyfelek'!AN153*BG153)</f>
        <v/>
      </c>
      <c r="BI153" s="24">
        <f>IF($A153="","",('Ügyfelek'!B153="")+('Ügyfelek'!C153="")+('Ügyfelek'!D153="")+('Ügyfelek'!E153="")+('Ügyfelek'!F153="")+('Ügyfelek'!G153="")+('Ügyfelek'!H153="")+('Ügyfelek'!I153="")+('Ügyfelek'!J153="")+('Ügyfelek'!K153="")+('Ügyfelek'!L153="")+('Ügyfelek'!M153="")+('Ügyfelek'!N153="")+('Ügyfelek'!O153="")+('Ügyfelek'!P153="")+('Ügyfelek'!Q153="")+('Ügyfelek'!R153="")+('Ügyfelek'!S153="")+('Ügyfelek'!T153="")+('Ügyfelek'!U153="")+('Ügyfelek'!V153="")+('Ügyfelek'!W153="")+('Ügyfelek'!X153="")+('Ügyfelek'!Y153="")+('Ügyfelek'!Z153="")+('Ügyfelek'!AA153="")+('Ügyfelek'!AB153="")+('Ügyfelek'!AC153="")+('Ügyfelek'!AD153="")+('Ügyfelek'!AE153="")+('Ügyfelek'!AF153="")+('Ügyfelek'!AG153="")+('Ügyfelek'!AH153=""))</f>
        <v/>
      </c>
      <c r="BK153">
        <f>IF($A153="","",B153+'Beállítások'!$E$6/1000)</f>
        <v/>
      </c>
      <c r="BL153">
        <f>IF($A153="","",C153+'Beállítások'!$E$7/1000)</f>
        <v/>
      </c>
      <c r="BM153">
        <f>IF($A153="","",D153+'Beállítások'!$E$8/1000)</f>
        <v/>
      </c>
      <c r="BN153">
        <f>IF($A153="","",E153+'Beállítások'!$E$9/1000)</f>
        <v/>
      </c>
      <c r="BO153">
        <f>IF($A153="","",F153+'Beállítások'!$E$10/1000)</f>
        <v/>
      </c>
      <c r="BP153">
        <f>IF($A153="","",G153+'Beállítások'!$E$11/1000)</f>
        <v/>
      </c>
      <c r="BQ153">
        <f>IF($A153="","",H153+'Beállítások'!$E$12/1000)</f>
        <v/>
      </c>
      <c r="BR153">
        <f>IF($A153="","",I153+'Beállítások'!$E$13/1000)</f>
        <v/>
      </c>
      <c r="BS153">
        <f>IF($A153="","",J153+'Beállítások'!$E$14/1000)</f>
        <v/>
      </c>
      <c r="BT153">
        <f>IF($A153="","",K153+'Beállítások'!$E$15/1000)</f>
        <v/>
      </c>
      <c r="BU153">
        <f>IF($A153="","",L153+'Beállítások'!$E$16/1000)</f>
        <v/>
      </c>
      <c r="BV153">
        <f>IF($A153="","",M153+'Beállítások'!$E$17/1000)</f>
        <v/>
      </c>
      <c r="BW153">
        <f>IF($A153="","",N153+'Beállítások'!$E$18/1000)</f>
        <v/>
      </c>
      <c r="BX153">
        <f>IF($A153="","",O153+'Beállítások'!$E$19/1000)</f>
        <v/>
      </c>
      <c r="BY153">
        <f>IF($A153="","",P153+'Beállítások'!$E$20/1000)</f>
        <v/>
      </c>
      <c r="BZ153">
        <f>IF($A153="","",Q153+'Beállítások'!$E$21/1000)</f>
        <v/>
      </c>
      <c r="CA153">
        <f>IF($A153="","",R153+'Beállítások'!$E$22/1000)</f>
        <v/>
      </c>
      <c r="CB153">
        <f>IF($A153="","",S153+'Beállítások'!$E$23/1000)</f>
        <v/>
      </c>
      <c r="CC153">
        <f>IF($A153="","",T153+'Beállítások'!$E$24/1000)</f>
        <v/>
      </c>
      <c r="CD153">
        <f>IF($A153="","",U153+'Beállítások'!$E$25/1000)</f>
        <v/>
      </c>
      <c r="CE153">
        <f>IF($A153="","",V153+'Beállítások'!$E$26/1000)</f>
        <v/>
      </c>
      <c r="CF153">
        <f>IF($A153="","",W153+'Beállítások'!$E$27/1000)</f>
        <v/>
      </c>
      <c r="CG153">
        <f>IF($A153="","",X153+'Beállítások'!$E$28/1000)</f>
        <v/>
      </c>
      <c r="CH153">
        <f>IF($A153="","",Y153+'Beállítások'!$E$29/1000)</f>
        <v/>
      </c>
      <c r="CI153">
        <f>IF($A153="","",Z153+'Beállítások'!$E$30/1000)</f>
        <v/>
      </c>
      <c r="CJ153">
        <f>IF($A153="","",AA153+'Beállítások'!$E$31/1000)</f>
        <v/>
      </c>
      <c r="CK153">
        <f>IF($A153="","",AB153+'Beállítások'!$E$32/1000)</f>
        <v/>
      </c>
      <c r="CL153">
        <f>IF($A153="","",AC153+'Beállítások'!$E$33/1000)</f>
        <v/>
      </c>
      <c r="CM153">
        <f>IF($A153="","",AD153+'Beállítások'!$E$34/1000)</f>
        <v/>
      </c>
      <c r="CN153">
        <f>IF($A153="","",AE153+'Beállítások'!$E$35/1000)</f>
        <v/>
      </c>
      <c r="CO153">
        <f>IF($A153="","",AF153+'Beállítások'!$E$36/1000)</f>
        <v/>
      </c>
      <c r="CP153">
        <f>IF($A153="","",AG153+'Beállítások'!$E$37/1000)</f>
        <v/>
      </c>
      <c r="CQ153">
        <f>IF($A153="","",AH153+'Beállítások'!$E$38/1000)</f>
        <v/>
      </c>
      <c r="CR153">
        <f>IF($A153="","",'Beállítások'!$E$6*(10-B153))</f>
        <v/>
      </c>
      <c r="CS153">
        <f>IF($A153="","",'Beállítások'!$E$7*(10-C153))</f>
        <v/>
      </c>
      <c r="CT153">
        <f>IF($A153="","",'Beállítások'!$E$8*(10-D153))</f>
        <v/>
      </c>
      <c r="CU153">
        <f>IF($A153="","",'Beállítások'!$E$9*(10-E153))</f>
        <v/>
      </c>
      <c r="CV153">
        <f>IF($A153="","",'Beállítások'!$E$10*(10-F153))</f>
        <v/>
      </c>
      <c r="CW153">
        <f>IF($A153="","",'Beállítások'!$E$11*(10-G153))</f>
        <v/>
      </c>
      <c r="CX153">
        <f>IF($A153="","",'Beállítások'!$E$12*(10-H153))</f>
        <v/>
      </c>
      <c r="CY153">
        <f>IF($A153="","",'Beállítások'!$E$13*(10-I153))</f>
        <v/>
      </c>
      <c r="CZ153">
        <f>IF($A153="","",'Beállítások'!$E$14*(10-J153))</f>
        <v/>
      </c>
      <c r="DA153">
        <f>IF($A153="","",'Beállítások'!$E$15*(10-K153))</f>
        <v/>
      </c>
      <c r="DB153">
        <f>IF($A153="","",'Beállítások'!$E$16*(10-L153))</f>
        <v/>
      </c>
      <c r="DC153">
        <f>IF($A153="","",'Beállítások'!$E$17*(10-M153))</f>
        <v/>
      </c>
      <c r="DD153">
        <f>IF($A153="","",'Beállítások'!$E$18*(10-N153))</f>
        <v/>
      </c>
      <c r="DE153">
        <f>IF($A153="","",'Beállítások'!$E$19*(10-O153))</f>
        <v/>
      </c>
      <c r="DF153">
        <f>IF($A153="","",'Beállítások'!$E$20*(10-P153))</f>
        <v/>
      </c>
      <c r="DG153">
        <f>IF($A153="","",'Beállítások'!$E$21*(10-Q153))</f>
        <v/>
      </c>
      <c r="DH153">
        <f>IF($A153="","",'Beállítások'!$E$22*(10-R153))</f>
        <v/>
      </c>
      <c r="DI153">
        <f>IF($A153="","",'Beállítások'!$E$23*(10-S153))</f>
        <v/>
      </c>
      <c r="DJ153">
        <f>IF($A153="","",'Beállítások'!$E$24*(10-T153))</f>
        <v/>
      </c>
      <c r="DK153">
        <f>IF($A153="","",'Beállítások'!$E$25*(10-U153))</f>
        <v/>
      </c>
      <c r="DL153">
        <f>IF($A153="","",'Beállítások'!$E$26*(10-V153))</f>
        <v/>
      </c>
      <c r="DM153">
        <f>IF($A153="","",'Beállítások'!$E$27*(10-W153))</f>
        <v/>
      </c>
      <c r="DN153">
        <f>IF($A153="","",'Beállítások'!$E$28*(10-X153))</f>
        <v/>
      </c>
      <c r="DO153">
        <f>IF($A153="","",'Beállítások'!$E$29*(10-Y153))</f>
        <v/>
      </c>
      <c r="DP153">
        <f>IF($A153="","",'Beállítások'!$E$30*(10-Z153))</f>
        <v/>
      </c>
      <c r="DQ153">
        <f>IF($A153="","",'Beállítások'!$E$31*(10-AA153))</f>
        <v/>
      </c>
      <c r="DR153">
        <f>IF($A153="","",'Beállítások'!$E$32*(10-AB153))</f>
        <v/>
      </c>
      <c r="DS153">
        <f>IF($A153="","",'Beállítások'!$E$33*(10-AC153))</f>
        <v/>
      </c>
      <c r="DT153">
        <f>IF($A153="","",'Beállítások'!$E$34*(10-AD153))</f>
        <v/>
      </c>
      <c r="DU153">
        <f>IF($A153="","",'Beállítások'!$E$35*(10-AE153))</f>
        <v/>
      </c>
      <c r="DV153">
        <f>IF($A153="","",'Beállítások'!$E$36*(10-AF153))</f>
        <v/>
      </c>
      <c r="DW153">
        <f>IF($A153="","",'Beállítások'!$E$37*(10-AG153))</f>
        <v/>
      </c>
      <c r="DX153">
        <f>IF($A153="","",'Beállítások'!$E$38*(10-AH153))</f>
        <v/>
      </c>
      <c r="DY153">
        <f>IF($A153="","",AM153-ROW()/100000)</f>
        <v/>
      </c>
    </row>
    <row r="154">
      <c r="A154">
        <f>IF('Ügyfelek'!A154="","",'Ügyfelek'!A154)</f>
        <v/>
      </c>
      <c r="B154">
        <f>IF($A154="","",IF('Ügyfelek'!B154="",'Beállítások'!$B$84,IFERROR(VLOOKUP(TRIM('Ügyfelek'!B154),'Beállítások'!$A$51:$B$59,2,FALSE),'Beállítások'!$B$84)))</f>
        <v/>
      </c>
      <c r="C154">
        <f>IF($A154="","",IF('Ügyfelek'!C154="",'Beállítások'!$B$84,MIN(10,MAX(1,ROUND('Ügyfelek'!C154,0)))))</f>
        <v/>
      </c>
      <c r="D154">
        <f>IF($A154="","",IF('Ügyfelek'!D154="",'Beállítások'!$B$84,MIN(10,MAX(1,ROUND('Ügyfelek'!D154,0)))))</f>
        <v/>
      </c>
      <c r="E154">
        <f>IF($A154="","",IF('Ügyfelek'!E154="",'Beállítások'!$B$84,MIN(10,MAX(1,ROUND('Ügyfelek'!E154,0)))))</f>
        <v/>
      </c>
      <c r="F154">
        <f>IF($A154="","",IF('Ügyfelek'!F154="",'Beállítások'!$B$84,MIN(10,MAX(1,ROUND('Ügyfelek'!F154,0)))))</f>
        <v/>
      </c>
      <c r="G154">
        <f>IF($A154="","",IF('Ügyfelek'!G154="",'Beállítások'!$B$84,MIN(10,MAX(1,ROUND('Ügyfelek'!G154,0)))))</f>
        <v/>
      </c>
      <c r="H154">
        <f>IF($A154="","",IF('Ügyfelek'!H154="",'Beállítások'!$B$84,MIN(10,MAX(1,ROUND('Ügyfelek'!H154,0)))))</f>
        <v/>
      </c>
      <c r="I154">
        <f>IF($A154="","",IF('Ügyfelek'!I154="",'Beállítások'!$B$84,MIN(10,MAX(1,ROUND('Ügyfelek'!I154,0)))))</f>
        <v/>
      </c>
      <c r="J154">
        <f>IF($A154="","",IF('Ügyfelek'!J154="",'Beállítások'!$B$84,MIN(10,MAX(1,ROUND('Ügyfelek'!J154,0)))))</f>
        <v/>
      </c>
      <c r="K154">
        <f>IF($A154="","",IF('Ügyfelek'!K154="",'Beállítások'!$B$84,MIN(10,MAX(1,ROUND('Ügyfelek'!K154,0)))))</f>
        <v/>
      </c>
      <c r="L154">
        <f>IF($A154="","",IF('Ügyfelek'!L154="",'Beállítások'!$B$84,MIN(10,MAX(1,ROUND('Ügyfelek'!L154,0)))))</f>
        <v/>
      </c>
      <c r="M154">
        <f>IF($A154="","",IF('Ügyfelek'!M154="",'Beállítások'!$B$84,MIN(10,MAX(1,ROUND('Ügyfelek'!M154,0)))))</f>
        <v/>
      </c>
      <c r="N154">
        <f>IF($A154="","",IF('Ügyfelek'!N154="",'Beállítások'!$B$84,MIN(10,MAX(1,ROUND('Ügyfelek'!N154,0)))))</f>
        <v/>
      </c>
      <c r="O154">
        <f>IF($A154="","",IF('Ügyfelek'!O154="",'Beállítások'!$B$84,MIN(10,MAX(1,ROUND('Ügyfelek'!O154,0)))))</f>
        <v/>
      </c>
      <c r="P154">
        <f>IF($A154="","",IF('Ügyfelek'!P154="",'Beállítások'!$B$84,MIN(10,MAX(1,ROUND('Ügyfelek'!P154,0)))))</f>
        <v/>
      </c>
      <c r="Q154">
        <f>IF($A154="","",IF('Ügyfelek'!Q154="",'Beállítások'!$B$84,MIN(10,MAX(1,ROUND('Ügyfelek'!Q154,0)))))</f>
        <v/>
      </c>
      <c r="R154">
        <f>IF($A154="","",IF('Ügyfelek'!R154="",'Beállítások'!$B$84,MIN(10,MAX(1,ROUND('Ügyfelek'!R154,0)))))</f>
        <v/>
      </c>
      <c r="S154">
        <f>IF($A154="","",IF('Ügyfelek'!S154="",'Beállítások'!$B$84,MIN(10,MAX(1,ROUND('Ügyfelek'!S154,0)))))</f>
        <v/>
      </c>
      <c r="T154">
        <f>IF($A154="","",IF('Ügyfelek'!T154="",'Beállítások'!$B$84,VLOOKUP(MAX('Ügyfelek'!T154,'Beállítások'!$H$7),'Beállítások'!$H$7:$I$12,2,TRUE)))</f>
        <v/>
      </c>
      <c r="U154">
        <f>IF($A154="","",IF('Ügyfelek'!U154="",'Beállítások'!$B$84,VLOOKUP(MAX('Ügyfelek'!U154,'Beállítások'!$K$7),'Beállítások'!$K$7:$L$12,2,TRUE)))</f>
        <v/>
      </c>
      <c r="V154">
        <f>IF($A154="","",IF('Ügyfelek'!V154="",'Beállítások'!$B$84,MIN(10,MAX(1,ROUND('Ügyfelek'!V154,0)))))</f>
        <v/>
      </c>
      <c r="W154">
        <f>IF($A154="","",IF('Ügyfelek'!W154="",'Beállítások'!$B$84,VLOOKUP(MAX('Ügyfelek'!W154,'Beállítások'!$N$7),'Beállítások'!$N$7:$O$12,2,TRUE)))</f>
        <v/>
      </c>
      <c r="X154">
        <f>IF($A154="","",IF('Ügyfelek'!X154="",'Beállítások'!$B$84,MIN(10,MAX(1,ROUND('Ügyfelek'!X154,0)))))</f>
        <v/>
      </c>
      <c r="Y154">
        <f>IF($A154="","",IF('Ügyfelek'!Y154="",'Beállítások'!$B$84,IFERROR(VLOOKUP(TRIM('Ügyfelek'!Y154),'Beállítások'!$A$63:$B$69,2,FALSE),'Beállítások'!$B$84)))</f>
        <v/>
      </c>
      <c r="Z154">
        <f>IF($A154="","",IF('Ügyfelek'!Z154="",'Beállítások'!$B$84,VLOOKUP(MAX('Ügyfelek'!Z154,'Beállítások'!$Q$7),'Beállítások'!$Q$7:$R$12,2,TRUE)))</f>
        <v/>
      </c>
      <c r="AA154">
        <f>IF($A154="","",IF('Ügyfelek'!AA154="",'Beállítások'!$B$84,VLOOKUP(MAX('Ügyfelek'!AA154,'Beállítások'!$T$7),'Beállítások'!$T$7:$U$12,2,TRUE)))</f>
        <v/>
      </c>
      <c r="AB154">
        <f>IF($A154="","",IF('Ügyfelek'!AB154="",'Beállítások'!$B$84,MIN(10,MAX(1,ROUND('Ügyfelek'!AB154,0)))))</f>
        <v/>
      </c>
      <c r="AC154">
        <f>IF($A154="","",IF('Ügyfelek'!AC154="",'Beállítások'!$B$84,MIN(10,MAX(1,ROUND('Ügyfelek'!AC154,0)))))</f>
        <v/>
      </c>
      <c r="AD154">
        <f>IF($A154="","",IF('Ügyfelek'!AD154="",'Beállítások'!$B$84,MIN(10,MAX(1,ROUND('Ügyfelek'!AD154,0)))))</f>
        <v/>
      </c>
      <c r="AE154">
        <f>IF($A154="","",IF('Ügyfelek'!AE154="",'Beállítások'!$B$84,MIN(10,MAX(1,ROUND('Ügyfelek'!AE154,0)))))</f>
        <v/>
      </c>
      <c r="AF154">
        <f>IF($A154="","",IF('Ügyfelek'!AF154="",'Beállítások'!$B$84,MIN(10,MAX(1,ROUND('Ügyfelek'!AF154,0)))))</f>
        <v/>
      </c>
      <c r="AG154">
        <f>IF($A154="","",IF('Ügyfelek'!AG154="",'Beállítások'!$B$84,MIN(10,MAX(1,ROUND('Ügyfelek'!AG154,0)))))</f>
        <v/>
      </c>
      <c r="AH154">
        <f>IF($A154="","",IF('Ügyfelek'!AH154="",'Beállítások'!$B$84,IFERROR(VLOOKUP(TRIM('Ügyfelek'!AH154),'Beállítások'!$A$73:$B$79,2,FALSE),'Beállítások'!$B$84)))</f>
        <v/>
      </c>
      <c r="AI154" s="23">
        <f>IF($A154="","",ROUND(100*('Beállítások'!$E$6*(B154-1)+'Beállítások'!$E$7*(C154-1))/(9*'Beállítások'!$B$43),1))</f>
        <v/>
      </c>
      <c r="AJ154" s="23">
        <f>IF($A154="","",ROUND(100*('Beállítások'!$E$8*(D154-1)+'Beállítások'!$E$9*(E154-1)+'Beállítások'!$E$10*(F154-1)+'Beállítások'!$E$11*(G154-1)+'Beállítások'!$E$12*(H154-1)+'Beállítások'!$E$13*(I154-1)+'Beállítások'!$E$14*(J154-1)+'Beállítások'!$E$15*(K154-1)+'Beállítások'!$E$16*(L154-1)+'Beállítások'!$E$17*(M154-1)+'Beállítások'!$E$18*(N154-1)+'Beállítások'!$E$19*(O154-1)+'Beállítások'!$E$20*(P154-1)+'Beállítások'!$E$21*(Q154-1)+'Beállítások'!$E$22*(R154-1))/(9*'Beállítások'!$B$44),1))</f>
        <v/>
      </c>
      <c r="AK154" s="23">
        <f>IF($A154="","",ROUND(100*('Beállítások'!$E$23*(S154-1)+'Beállítások'!$E$24*(T154-1)+'Beállítások'!$E$25*(U154-1)+'Beállítások'!$E$26*(V154-1)+'Beállítások'!$E$27*(W154-1)+'Beállítások'!$E$28*(X154-1)+'Beállítások'!$E$29*(Y154-1))/(9*'Beállítások'!$B$45),1))</f>
        <v/>
      </c>
      <c r="AL154" s="23">
        <f>IF($A154="","",ROUND(100*('Beállítások'!$E$30*(Z154-1)+'Beállítások'!$E$31*(AA154-1)+'Beállítások'!$E$32*(AB154-1)+'Beállítások'!$E$33*(AC154-1)+'Beállítások'!$E$34*(AD154-1)+'Beállítások'!$E$35*(AE154-1)+'Beállítások'!$E$36*(AF154-1)+'Beállítások'!$E$37*(AG154-1)+'Beállítások'!$E$38*(AH154-1))/(9*'Beállítások'!$B$46),1))</f>
        <v/>
      </c>
      <c r="AM154" s="23">
        <f>IF($A154="","",ROUND(100*('Beállítások'!$E$6*(B154-1)+'Beállítások'!$E$7*(C154-1)+'Beállítások'!$E$8*(D154-1)+'Beállítások'!$E$9*(E154-1)+'Beállítások'!$E$10*(F154-1)+'Beállítások'!$E$11*(G154-1)+'Beállítások'!$E$12*(H154-1)+'Beállítások'!$E$13*(I154-1)+'Beállítások'!$E$14*(J154-1)+'Beállítások'!$E$15*(K154-1)+'Beállítások'!$E$16*(L154-1)+'Beállítások'!$E$17*(M154-1)+'Beállítások'!$E$18*(N154-1)+'Beállítások'!$E$19*(O154-1)+'Beállítások'!$E$20*(P154-1)+'Beállítások'!$E$21*(Q154-1)+'Beállítások'!$E$22*(R154-1)+'Beállítások'!$E$23*(S154-1)+'Beállítások'!$E$24*(T154-1)+'Beállítások'!$E$25*(U154-1)+'Beállítások'!$E$26*(V154-1)+'Beállítások'!$E$27*(W154-1)+'Beállítások'!$E$28*(X154-1)+'Beállítások'!$E$29*(Y154-1)+'Beállítások'!$E$30*(Z154-1)+'Beállítások'!$E$31*(AA154-1)+'Beállítások'!$E$32*(AB154-1)+'Beállítások'!$E$33*(AC154-1)+'Beállítások'!$E$34*(AD154-1)+'Beállítások'!$E$35*(AE154-1)+'Beállítások'!$E$36*(AF154-1)+'Beállítások'!$E$37*(AG154-1)+'Beállítások'!$E$38*(AH154-1))/(9*'Beállítások'!$E$39),1))</f>
        <v/>
      </c>
      <c r="AN154" s="23">
        <f>IF($A154="","",ROUND(100*('Beállítások'!$E$8*(D154-1)+'Beállítások'!$E$9*(E154-1)+'Beállítások'!$E$10*(F154-1)+'Beállítások'!$E$11*(G154-1)+'Beállítások'!$E$12*(H154-1)+'Beállítások'!$E$13*(I154-1)+'Beállítások'!$E$14*(J154-1)+'Beállítások'!$E$15*(K154-1)+'Beállítások'!$E$16*(L154-1)+'Beállítások'!$E$17*(M154-1)+'Beállítások'!$E$18*(N154-1)+'Beállítások'!$E$19*(O154-1)+'Beállítások'!$E$20*(P154-1)+'Beállítások'!$E$21*(Q154-1)+'Beállítások'!$E$22*(R154-1)+'Beállítások'!$E$23*(S154-1)+'Beállítások'!$E$24*(T154-1)+'Beállítások'!$E$25*(U154-1)+'Beállítások'!$E$26*(V154-1)+'Beállítások'!$E$27*(W154-1)+'Beállítások'!$E$28*(X154-1)+'Beállítások'!$E$29*(Y154-1))/(9*('Beállítások'!$B$44+'Beállítások'!$B$45)),1))</f>
        <v/>
      </c>
      <c r="AO154" s="24">
        <f>IF($A154="","",RANK(AM154,$AM$2:$AM$201))</f>
        <v/>
      </c>
      <c r="AP154">
        <f>IF($A154="","",IF(OR(AND('Ügyfelek'!B154&lt;&gt;"",B154&lt;='Beállítások'!$B$85),AND('Ügyfelek'!C154&lt;&gt;"",C154&lt;='Beállítások'!$B$86)),"Igen","Nem"))</f>
        <v/>
      </c>
      <c r="AQ154" s="24">
        <f>IF($A154="","",IF(AP154="Igen",5,IF(AN154&gt;='Beállítások'!$C$108,1,IF(AN154&gt;='Beállítások'!$C$109,2,IF(AN154&gt;='Beállítások'!$C$110,3,IF(AND(AN154&gt;='Beállítások'!$B$87,AI154&gt;='Beállítások'!$B$88,AL154&gt;='Beállítások'!$B$89),4,5))))))</f>
        <v/>
      </c>
      <c r="AR154">
        <f>IF($A154="","",INDEX('Beállítások'!$B$108:$B$112,AQ154))</f>
        <v/>
      </c>
      <c r="AS154">
        <f>IF($A154="","",IF(AQ154=5,"Elutasítjuk",IF(AND(AQ154=4,COUNTIFS('Eredmény'!$AQ$2:$AQ$201,4,'Eredmény'!$DY$2:$DY$201,"&gt;"&amp;DY154)&gt;='Beállítások'!$B$90),"Várólista (a 4-es hely foglalt)","Elfogadjuk")))</f>
        <v/>
      </c>
      <c r="AT154">
        <f>IF($A154="","",INDEX('Beállítások'!$F$108:$F$112,AQ154))</f>
        <v/>
      </c>
      <c r="AU154">
        <f>IF($A154="","",INDEX('Beállítások'!$B$6:$B$38,MATCH(MAX(BK154:CQ154),BK154:CQ154,0)))</f>
        <v/>
      </c>
      <c r="AV154">
        <f>IF($A154="","",IF(MAX(CR154:DX154)=0,"—",INDEX('Beállítások'!$B$6:$B$38,MATCH(MAX(CR154:DX154),CR154:DX154,0))))</f>
        <v/>
      </c>
      <c r="AW154" s="10">
        <f>IF($A154="","",'Beállítások'!$B$94*(TRIM('Ügyfelek'!AI154)="igen")+'Beállítások'!$B$95*(TRIM('Ügyfelek'!AJ154)="igen")+'Beállítások'!$B$96*N('Ügyfelek'!AK154)+'Beállítások'!$B$93*N('Ügyfelek'!AL154))</f>
        <v/>
      </c>
      <c r="AX154" s="25">
        <f>IF(OR($A154="",AQ154=5),"",INDEX('Beállítások'!$D$108:$D$112,AQ154))</f>
        <v/>
      </c>
      <c r="AY154" s="10">
        <f>IF($A154="","",N('Ügyfelek'!U154)*'Beállítások'!$B$98)</f>
        <v/>
      </c>
      <c r="AZ154" s="10">
        <f>IF(OR($A154="",AQ154=5),"",CEILING(ROUND(MAX('Beállítások'!$B$97,AW154*AX154,AY154),2),'Beállítások'!$B$99))</f>
        <v/>
      </c>
      <c r="BA154">
        <f>IF($A154="","",IF(AQ154=5,"Elutasítva",IF(MAX('Beállítások'!$B$97,AW154*AX154,AY154)=AW154*AX154,"Munkaigény × státuszszorzó",IF(MAX('Beállítások'!$B$97,AW154*AX154,AY154)=AY154,"Hirdetési keret arányában","Minimumdíj"))))</f>
        <v/>
      </c>
      <c r="BB154" s="10">
        <f>IF(OR($A154="",'Ügyfelek'!AM154=""),"",'Ügyfelek'!AM154)</f>
        <v/>
      </c>
      <c r="BC154" s="10">
        <f>IF(OR(BB154="",AZ154=""),"",AZ154-BB154)</f>
        <v/>
      </c>
      <c r="BD154" s="18">
        <f>IF(OR(BB154="",AZ154="",BB154=0),"",BC154/BB154)</f>
        <v/>
      </c>
      <c r="BE154">
        <f>IF(OR($A154="",AQ154=5),"",IF(AND(INDEX('Beállítások'!$E$108:$E$112,AQ154)&gt;0,Y154&gt;='Beállítások'!$B$91),"Igen","Nem"))</f>
        <v/>
      </c>
      <c r="BF154" s="10">
        <f>IF(BE154="Igen",CEILING(ROUND(AZ154*(1-'Beállítások'!$B$92),2),'Beállítások'!$B$99),"")</f>
        <v/>
      </c>
      <c r="BG154" s="20">
        <f>IF(BE154="Igen",INDEX('Beállítások'!$E$108:$E$112,AQ154),"")</f>
        <v/>
      </c>
      <c r="BH154" s="10">
        <f>IF(OR(BE154&lt;&gt;"Igen",'Ügyfelek'!AN154=""),"",'Ügyfelek'!AN154*BG154)</f>
        <v/>
      </c>
      <c r="BI154" s="24">
        <f>IF($A154="","",('Ügyfelek'!B154="")+('Ügyfelek'!C154="")+('Ügyfelek'!D154="")+('Ügyfelek'!E154="")+('Ügyfelek'!F154="")+('Ügyfelek'!G154="")+('Ügyfelek'!H154="")+('Ügyfelek'!I154="")+('Ügyfelek'!J154="")+('Ügyfelek'!K154="")+('Ügyfelek'!L154="")+('Ügyfelek'!M154="")+('Ügyfelek'!N154="")+('Ügyfelek'!O154="")+('Ügyfelek'!P154="")+('Ügyfelek'!Q154="")+('Ügyfelek'!R154="")+('Ügyfelek'!S154="")+('Ügyfelek'!T154="")+('Ügyfelek'!U154="")+('Ügyfelek'!V154="")+('Ügyfelek'!W154="")+('Ügyfelek'!X154="")+('Ügyfelek'!Y154="")+('Ügyfelek'!Z154="")+('Ügyfelek'!AA154="")+('Ügyfelek'!AB154="")+('Ügyfelek'!AC154="")+('Ügyfelek'!AD154="")+('Ügyfelek'!AE154="")+('Ügyfelek'!AF154="")+('Ügyfelek'!AG154="")+('Ügyfelek'!AH154=""))</f>
        <v/>
      </c>
      <c r="BK154">
        <f>IF($A154="","",B154+'Beállítások'!$E$6/1000)</f>
        <v/>
      </c>
      <c r="BL154">
        <f>IF($A154="","",C154+'Beállítások'!$E$7/1000)</f>
        <v/>
      </c>
      <c r="BM154">
        <f>IF($A154="","",D154+'Beállítások'!$E$8/1000)</f>
        <v/>
      </c>
      <c r="BN154">
        <f>IF($A154="","",E154+'Beállítások'!$E$9/1000)</f>
        <v/>
      </c>
      <c r="BO154">
        <f>IF($A154="","",F154+'Beállítások'!$E$10/1000)</f>
        <v/>
      </c>
      <c r="BP154">
        <f>IF($A154="","",G154+'Beállítások'!$E$11/1000)</f>
        <v/>
      </c>
      <c r="BQ154">
        <f>IF($A154="","",H154+'Beállítások'!$E$12/1000)</f>
        <v/>
      </c>
      <c r="BR154">
        <f>IF($A154="","",I154+'Beállítások'!$E$13/1000)</f>
        <v/>
      </c>
      <c r="BS154">
        <f>IF($A154="","",J154+'Beállítások'!$E$14/1000)</f>
        <v/>
      </c>
      <c r="BT154">
        <f>IF($A154="","",K154+'Beállítások'!$E$15/1000)</f>
        <v/>
      </c>
      <c r="BU154">
        <f>IF($A154="","",L154+'Beállítások'!$E$16/1000)</f>
        <v/>
      </c>
      <c r="BV154">
        <f>IF($A154="","",M154+'Beállítások'!$E$17/1000)</f>
        <v/>
      </c>
      <c r="BW154">
        <f>IF($A154="","",N154+'Beállítások'!$E$18/1000)</f>
        <v/>
      </c>
      <c r="BX154">
        <f>IF($A154="","",O154+'Beállítások'!$E$19/1000)</f>
        <v/>
      </c>
      <c r="BY154">
        <f>IF($A154="","",P154+'Beállítások'!$E$20/1000)</f>
        <v/>
      </c>
      <c r="BZ154">
        <f>IF($A154="","",Q154+'Beállítások'!$E$21/1000)</f>
        <v/>
      </c>
      <c r="CA154">
        <f>IF($A154="","",R154+'Beállítások'!$E$22/1000)</f>
        <v/>
      </c>
      <c r="CB154">
        <f>IF($A154="","",S154+'Beállítások'!$E$23/1000)</f>
        <v/>
      </c>
      <c r="CC154">
        <f>IF($A154="","",T154+'Beállítások'!$E$24/1000)</f>
        <v/>
      </c>
      <c r="CD154">
        <f>IF($A154="","",U154+'Beállítások'!$E$25/1000)</f>
        <v/>
      </c>
      <c r="CE154">
        <f>IF($A154="","",V154+'Beállítások'!$E$26/1000)</f>
        <v/>
      </c>
      <c r="CF154">
        <f>IF($A154="","",W154+'Beállítások'!$E$27/1000)</f>
        <v/>
      </c>
      <c r="CG154">
        <f>IF($A154="","",X154+'Beállítások'!$E$28/1000)</f>
        <v/>
      </c>
      <c r="CH154">
        <f>IF($A154="","",Y154+'Beállítások'!$E$29/1000)</f>
        <v/>
      </c>
      <c r="CI154">
        <f>IF($A154="","",Z154+'Beállítások'!$E$30/1000)</f>
        <v/>
      </c>
      <c r="CJ154">
        <f>IF($A154="","",AA154+'Beállítások'!$E$31/1000)</f>
        <v/>
      </c>
      <c r="CK154">
        <f>IF($A154="","",AB154+'Beállítások'!$E$32/1000)</f>
        <v/>
      </c>
      <c r="CL154">
        <f>IF($A154="","",AC154+'Beállítások'!$E$33/1000)</f>
        <v/>
      </c>
      <c r="CM154">
        <f>IF($A154="","",AD154+'Beállítások'!$E$34/1000)</f>
        <v/>
      </c>
      <c r="CN154">
        <f>IF($A154="","",AE154+'Beállítások'!$E$35/1000)</f>
        <v/>
      </c>
      <c r="CO154">
        <f>IF($A154="","",AF154+'Beállítások'!$E$36/1000)</f>
        <v/>
      </c>
      <c r="CP154">
        <f>IF($A154="","",AG154+'Beállítások'!$E$37/1000)</f>
        <v/>
      </c>
      <c r="CQ154">
        <f>IF($A154="","",AH154+'Beállítások'!$E$38/1000)</f>
        <v/>
      </c>
      <c r="CR154">
        <f>IF($A154="","",'Beállítások'!$E$6*(10-B154))</f>
        <v/>
      </c>
      <c r="CS154">
        <f>IF($A154="","",'Beállítások'!$E$7*(10-C154))</f>
        <v/>
      </c>
      <c r="CT154">
        <f>IF($A154="","",'Beállítások'!$E$8*(10-D154))</f>
        <v/>
      </c>
      <c r="CU154">
        <f>IF($A154="","",'Beállítások'!$E$9*(10-E154))</f>
        <v/>
      </c>
      <c r="CV154">
        <f>IF($A154="","",'Beállítások'!$E$10*(10-F154))</f>
        <v/>
      </c>
      <c r="CW154">
        <f>IF($A154="","",'Beállítások'!$E$11*(10-G154))</f>
        <v/>
      </c>
      <c r="CX154">
        <f>IF($A154="","",'Beállítások'!$E$12*(10-H154))</f>
        <v/>
      </c>
      <c r="CY154">
        <f>IF($A154="","",'Beállítások'!$E$13*(10-I154))</f>
        <v/>
      </c>
      <c r="CZ154">
        <f>IF($A154="","",'Beállítások'!$E$14*(10-J154))</f>
        <v/>
      </c>
      <c r="DA154">
        <f>IF($A154="","",'Beállítások'!$E$15*(10-K154))</f>
        <v/>
      </c>
      <c r="DB154">
        <f>IF($A154="","",'Beállítások'!$E$16*(10-L154))</f>
        <v/>
      </c>
      <c r="DC154">
        <f>IF($A154="","",'Beállítások'!$E$17*(10-M154))</f>
        <v/>
      </c>
      <c r="DD154">
        <f>IF($A154="","",'Beállítások'!$E$18*(10-N154))</f>
        <v/>
      </c>
      <c r="DE154">
        <f>IF($A154="","",'Beállítások'!$E$19*(10-O154))</f>
        <v/>
      </c>
      <c r="DF154">
        <f>IF($A154="","",'Beállítások'!$E$20*(10-P154))</f>
        <v/>
      </c>
      <c r="DG154">
        <f>IF($A154="","",'Beállítások'!$E$21*(10-Q154))</f>
        <v/>
      </c>
      <c r="DH154">
        <f>IF($A154="","",'Beállítások'!$E$22*(10-R154))</f>
        <v/>
      </c>
      <c r="DI154">
        <f>IF($A154="","",'Beállítások'!$E$23*(10-S154))</f>
        <v/>
      </c>
      <c r="DJ154">
        <f>IF($A154="","",'Beállítások'!$E$24*(10-T154))</f>
        <v/>
      </c>
      <c r="DK154">
        <f>IF($A154="","",'Beállítások'!$E$25*(10-U154))</f>
        <v/>
      </c>
      <c r="DL154">
        <f>IF($A154="","",'Beállítások'!$E$26*(10-V154))</f>
        <v/>
      </c>
      <c r="DM154">
        <f>IF($A154="","",'Beállítások'!$E$27*(10-W154))</f>
        <v/>
      </c>
      <c r="DN154">
        <f>IF($A154="","",'Beállítások'!$E$28*(10-X154))</f>
        <v/>
      </c>
      <c r="DO154">
        <f>IF($A154="","",'Beállítások'!$E$29*(10-Y154))</f>
        <v/>
      </c>
      <c r="DP154">
        <f>IF($A154="","",'Beállítások'!$E$30*(10-Z154))</f>
        <v/>
      </c>
      <c r="DQ154">
        <f>IF($A154="","",'Beállítások'!$E$31*(10-AA154))</f>
        <v/>
      </c>
      <c r="DR154">
        <f>IF($A154="","",'Beállítások'!$E$32*(10-AB154))</f>
        <v/>
      </c>
      <c r="DS154">
        <f>IF($A154="","",'Beállítások'!$E$33*(10-AC154))</f>
        <v/>
      </c>
      <c r="DT154">
        <f>IF($A154="","",'Beállítások'!$E$34*(10-AD154))</f>
        <v/>
      </c>
      <c r="DU154">
        <f>IF($A154="","",'Beállítások'!$E$35*(10-AE154))</f>
        <v/>
      </c>
      <c r="DV154">
        <f>IF($A154="","",'Beállítások'!$E$36*(10-AF154))</f>
        <v/>
      </c>
      <c r="DW154">
        <f>IF($A154="","",'Beállítások'!$E$37*(10-AG154))</f>
        <v/>
      </c>
      <c r="DX154">
        <f>IF($A154="","",'Beállítások'!$E$38*(10-AH154))</f>
        <v/>
      </c>
      <c r="DY154">
        <f>IF($A154="","",AM154-ROW()/100000)</f>
        <v/>
      </c>
    </row>
    <row r="155">
      <c r="A155">
        <f>IF('Ügyfelek'!A155="","",'Ügyfelek'!A155)</f>
        <v/>
      </c>
      <c r="B155">
        <f>IF($A155="","",IF('Ügyfelek'!B155="",'Beállítások'!$B$84,IFERROR(VLOOKUP(TRIM('Ügyfelek'!B155),'Beállítások'!$A$51:$B$59,2,FALSE),'Beállítások'!$B$84)))</f>
        <v/>
      </c>
      <c r="C155">
        <f>IF($A155="","",IF('Ügyfelek'!C155="",'Beállítások'!$B$84,MIN(10,MAX(1,ROUND('Ügyfelek'!C155,0)))))</f>
        <v/>
      </c>
      <c r="D155">
        <f>IF($A155="","",IF('Ügyfelek'!D155="",'Beállítások'!$B$84,MIN(10,MAX(1,ROUND('Ügyfelek'!D155,0)))))</f>
        <v/>
      </c>
      <c r="E155">
        <f>IF($A155="","",IF('Ügyfelek'!E155="",'Beállítások'!$B$84,MIN(10,MAX(1,ROUND('Ügyfelek'!E155,0)))))</f>
        <v/>
      </c>
      <c r="F155">
        <f>IF($A155="","",IF('Ügyfelek'!F155="",'Beállítások'!$B$84,MIN(10,MAX(1,ROUND('Ügyfelek'!F155,0)))))</f>
        <v/>
      </c>
      <c r="G155">
        <f>IF($A155="","",IF('Ügyfelek'!G155="",'Beállítások'!$B$84,MIN(10,MAX(1,ROUND('Ügyfelek'!G155,0)))))</f>
        <v/>
      </c>
      <c r="H155">
        <f>IF($A155="","",IF('Ügyfelek'!H155="",'Beállítások'!$B$84,MIN(10,MAX(1,ROUND('Ügyfelek'!H155,0)))))</f>
        <v/>
      </c>
      <c r="I155">
        <f>IF($A155="","",IF('Ügyfelek'!I155="",'Beállítások'!$B$84,MIN(10,MAX(1,ROUND('Ügyfelek'!I155,0)))))</f>
        <v/>
      </c>
      <c r="J155">
        <f>IF($A155="","",IF('Ügyfelek'!J155="",'Beállítások'!$B$84,MIN(10,MAX(1,ROUND('Ügyfelek'!J155,0)))))</f>
        <v/>
      </c>
      <c r="K155">
        <f>IF($A155="","",IF('Ügyfelek'!K155="",'Beállítások'!$B$84,MIN(10,MAX(1,ROUND('Ügyfelek'!K155,0)))))</f>
        <v/>
      </c>
      <c r="L155">
        <f>IF($A155="","",IF('Ügyfelek'!L155="",'Beállítások'!$B$84,MIN(10,MAX(1,ROUND('Ügyfelek'!L155,0)))))</f>
        <v/>
      </c>
      <c r="M155">
        <f>IF($A155="","",IF('Ügyfelek'!M155="",'Beállítások'!$B$84,MIN(10,MAX(1,ROUND('Ügyfelek'!M155,0)))))</f>
        <v/>
      </c>
      <c r="N155">
        <f>IF($A155="","",IF('Ügyfelek'!N155="",'Beállítások'!$B$84,MIN(10,MAX(1,ROUND('Ügyfelek'!N155,0)))))</f>
        <v/>
      </c>
      <c r="O155">
        <f>IF($A155="","",IF('Ügyfelek'!O155="",'Beállítások'!$B$84,MIN(10,MAX(1,ROUND('Ügyfelek'!O155,0)))))</f>
        <v/>
      </c>
      <c r="P155">
        <f>IF($A155="","",IF('Ügyfelek'!P155="",'Beállítások'!$B$84,MIN(10,MAX(1,ROUND('Ügyfelek'!P155,0)))))</f>
        <v/>
      </c>
      <c r="Q155">
        <f>IF($A155="","",IF('Ügyfelek'!Q155="",'Beállítások'!$B$84,MIN(10,MAX(1,ROUND('Ügyfelek'!Q155,0)))))</f>
        <v/>
      </c>
      <c r="R155">
        <f>IF($A155="","",IF('Ügyfelek'!R155="",'Beállítások'!$B$84,MIN(10,MAX(1,ROUND('Ügyfelek'!R155,0)))))</f>
        <v/>
      </c>
      <c r="S155">
        <f>IF($A155="","",IF('Ügyfelek'!S155="",'Beállítások'!$B$84,MIN(10,MAX(1,ROUND('Ügyfelek'!S155,0)))))</f>
        <v/>
      </c>
      <c r="T155">
        <f>IF($A155="","",IF('Ügyfelek'!T155="",'Beállítások'!$B$84,VLOOKUP(MAX('Ügyfelek'!T155,'Beállítások'!$H$7),'Beállítások'!$H$7:$I$12,2,TRUE)))</f>
        <v/>
      </c>
      <c r="U155">
        <f>IF($A155="","",IF('Ügyfelek'!U155="",'Beállítások'!$B$84,VLOOKUP(MAX('Ügyfelek'!U155,'Beállítások'!$K$7),'Beállítások'!$K$7:$L$12,2,TRUE)))</f>
        <v/>
      </c>
      <c r="V155">
        <f>IF($A155="","",IF('Ügyfelek'!V155="",'Beállítások'!$B$84,MIN(10,MAX(1,ROUND('Ügyfelek'!V155,0)))))</f>
        <v/>
      </c>
      <c r="W155">
        <f>IF($A155="","",IF('Ügyfelek'!W155="",'Beállítások'!$B$84,VLOOKUP(MAX('Ügyfelek'!W155,'Beállítások'!$N$7),'Beállítások'!$N$7:$O$12,2,TRUE)))</f>
        <v/>
      </c>
      <c r="X155">
        <f>IF($A155="","",IF('Ügyfelek'!X155="",'Beállítások'!$B$84,MIN(10,MAX(1,ROUND('Ügyfelek'!X155,0)))))</f>
        <v/>
      </c>
      <c r="Y155">
        <f>IF($A155="","",IF('Ügyfelek'!Y155="",'Beállítások'!$B$84,IFERROR(VLOOKUP(TRIM('Ügyfelek'!Y155),'Beállítások'!$A$63:$B$69,2,FALSE),'Beállítások'!$B$84)))</f>
        <v/>
      </c>
      <c r="Z155">
        <f>IF($A155="","",IF('Ügyfelek'!Z155="",'Beállítások'!$B$84,VLOOKUP(MAX('Ügyfelek'!Z155,'Beállítások'!$Q$7),'Beállítások'!$Q$7:$R$12,2,TRUE)))</f>
        <v/>
      </c>
      <c r="AA155">
        <f>IF($A155="","",IF('Ügyfelek'!AA155="",'Beállítások'!$B$84,VLOOKUP(MAX('Ügyfelek'!AA155,'Beállítások'!$T$7),'Beállítások'!$T$7:$U$12,2,TRUE)))</f>
        <v/>
      </c>
      <c r="AB155">
        <f>IF($A155="","",IF('Ügyfelek'!AB155="",'Beállítások'!$B$84,MIN(10,MAX(1,ROUND('Ügyfelek'!AB155,0)))))</f>
        <v/>
      </c>
      <c r="AC155">
        <f>IF($A155="","",IF('Ügyfelek'!AC155="",'Beállítások'!$B$84,MIN(10,MAX(1,ROUND('Ügyfelek'!AC155,0)))))</f>
        <v/>
      </c>
      <c r="AD155">
        <f>IF($A155="","",IF('Ügyfelek'!AD155="",'Beállítások'!$B$84,MIN(10,MAX(1,ROUND('Ügyfelek'!AD155,0)))))</f>
        <v/>
      </c>
      <c r="AE155">
        <f>IF($A155="","",IF('Ügyfelek'!AE155="",'Beállítások'!$B$84,MIN(10,MAX(1,ROUND('Ügyfelek'!AE155,0)))))</f>
        <v/>
      </c>
      <c r="AF155">
        <f>IF($A155="","",IF('Ügyfelek'!AF155="",'Beállítások'!$B$84,MIN(10,MAX(1,ROUND('Ügyfelek'!AF155,0)))))</f>
        <v/>
      </c>
      <c r="AG155">
        <f>IF($A155="","",IF('Ügyfelek'!AG155="",'Beállítások'!$B$84,MIN(10,MAX(1,ROUND('Ügyfelek'!AG155,0)))))</f>
        <v/>
      </c>
      <c r="AH155">
        <f>IF($A155="","",IF('Ügyfelek'!AH155="",'Beállítások'!$B$84,IFERROR(VLOOKUP(TRIM('Ügyfelek'!AH155),'Beállítások'!$A$73:$B$79,2,FALSE),'Beállítások'!$B$84)))</f>
        <v/>
      </c>
      <c r="AI155" s="23">
        <f>IF($A155="","",ROUND(100*('Beállítások'!$E$6*(B155-1)+'Beállítások'!$E$7*(C155-1))/(9*'Beállítások'!$B$43),1))</f>
        <v/>
      </c>
      <c r="AJ155" s="23">
        <f>IF($A155="","",ROUND(100*('Beállítások'!$E$8*(D155-1)+'Beállítások'!$E$9*(E155-1)+'Beállítások'!$E$10*(F155-1)+'Beállítások'!$E$11*(G155-1)+'Beállítások'!$E$12*(H155-1)+'Beállítások'!$E$13*(I155-1)+'Beállítások'!$E$14*(J155-1)+'Beállítások'!$E$15*(K155-1)+'Beállítások'!$E$16*(L155-1)+'Beállítások'!$E$17*(M155-1)+'Beállítások'!$E$18*(N155-1)+'Beállítások'!$E$19*(O155-1)+'Beállítások'!$E$20*(P155-1)+'Beállítások'!$E$21*(Q155-1)+'Beállítások'!$E$22*(R155-1))/(9*'Beállítások'!$B$44),1))</f>
        <v/>
      </c>
      <c r="AK155" s="23">
        <f>IF($A155="","",ROUND(100*('Beállítások'!$E$23*(S155-1)+'Beállítások'!$E$24*(T155-1)+'Beállítások'!$E$25*(U155-1)+'Beállítások'!$E$26*(V155-1)+'Beállítások'!$E$27*(W155-1)+'Beállítások'!$E$28*(X155-1)+'Beállítások'!$E$29*(Y155-1))/(9*'Beállítások'!$B$45),1))</f>
        <v/>
      </c>
      <c r="AL155" s="23">
        <f>IF($A155="","",ROUND(100*('Beállítások'!$E$30*(Z155-1)+'Beállítások'!$E$31*(AA155-1)+'Beállítások'!$E$32*(AB155-1)+'Beállítások'!$E$33*(AC155-1)+'Beállítások'!$E$34*(AD155-1)+'Beállítások'!$E$35*(AE155-1)+'Beállítások'!$E$36*(AF155-1)+'Beállítások'!$E$37*(AG155-1)+'Beállítások'!$E$38*(AH155-1))/(9*'Beállítások'!$B$46),1))</f>
        <v/>
      </c>
      <c r="AM155" s="23">
        <f>IF($A155="","",ROUND(100*('Beállítások'!$E$6*(B155-1)+'Beállítások'!$E$7*(C155-1)+'Beállítások'!$E$8*(D155-1)+'Beállítások'!$E$9*(E155-1)+'Beállítások'!$E$10*(F155-1)+'Beállítások'!$E$11*(G155-1)+'Beállítások'!$E$12*(H155-1)+'Beállítások'!$E$13*(I155-1)+'Beállítások'!$E$14*(J155-1)+'Beállítások'!$E$15*(K155-1)+'Beállítások'!$E$16*(L155-1)+'Beállítások'!$E$17*(M155-1)+'Beállítások'!$E$18*(N155-1)+'Beállítások'!$E$19*(O155-1)+'Beállítások'!$E$20*(P155-1)+'Beállítások'!$E$21*(Q155-1)+'Beállítások'!$E$22*(R155-1)+'Beállítások'!$E$23*(S155-1)+'Beállítások'!$E$24*(T155-1)+'Beállítások'!$E$25*(U155-1)+'Beállítások'!$E$26*(V155-1)+'Beállítások'!$E$27*(W155-1)+'Beállítások'!$E$28*(X155-1)+'Beállítások'!$E$29*(Y155-1)+'Beállítások'!$E$30*(Z155-1)+'Beállítások'!$E$31*(AA155-1)+'Beállítások'!$E$32*(AB155-1)+'Beállítások'!$E$33*(AC155-1)+'Beállítások'!$E$34*(AD155-1)+'Beállítások'!$E$35*(AE155-1)+'Beállítások'!$E$36*(AF155-1)+'Beállítások'!$E$37*(AG155-1)+'Beállítások'!$E$38*(AH155-1))/(9*'Beállítások'!$E$39),1))</f>
        <v/>
      </c>
      <c r="AN155" s="23">
        <f>IF($A155="","",ROUND(100*('Beállítások'!$E$8*(D155-1)+'Beállítások'!$E$9*(E155-1)+'Beállítások'!$E$10*(F155-1)+'Beállítások'!$E$11*(G155-1)+'Beállítások'!$E$12*(H155-1)+'Beállítások'!$E$13*(I155-1)+'Beállítások'!$E$14*(J155-1)+'Beállítások'!$E$15*(K155-1)+'Beállítások'!$E$16*(L155-1)+'Beállítások'!$E$17*(M155-1)+'Beállítások'!$E$18*(N155-1)+'Beállítások'!$E$19*(O155-1)+'Beállítások'!$E$20*(P155-1)+'Beállítások'!$E$21*(Q155-1)+'Beállítások'!$E$22*(R155-1)+'Beállítások'!$E$23*(S155-1)+'Beállítások'!$E$24*(T155-1)+'Beállítások'!$E$25*(U155-1)+'Beállítások'!$E$26*(V155-1)+'Beállítások'!$E$27*(W155-1)+'Beállítások'!$E$28*(X155-1)+'Beállítások'!$E$29*(Y155-1))/(9*('Beállítások'!$B$44+'Beállítások'!$B$45)),1))</f>
        <v/>
      </c>
      <c r="AO155" s="24">
        <f>IF($A155="","",RANK(AM155,$AM$2:$AM$201))</f>
        <v/>
      </c>
      <c r="AP155">
        <f>IF($A155="","",IF(OR(AND('Ügyfelek'!B155&lt;&gt;"",B155&lt;='Beállítások'!$B$85),AND('Ügyfelek'!C155&lt;&gt;"",C155&lt;='Beállítások'!$B$86)),"Igen","Nem"))</f>
        <v/>
      </c>
      <c r="AQ155" s="24">
        <f>IF($A155="","",IF(AP155="Igen",5,IF(AN155&gt;='Beállítások'!$C$108,1,IF(AN155&gt;='Beállítások'!$C$109,2,IF(AN155&gt;='Beállítások'!$C$110,3,IF(AND(AN155&gt;='Beállítások'!$B$87,AI155&gt;='Beállítások'!$B$88,AL155&gt;='Beállítások'!$B$89),4,5))))))</f>
        <v/>
      </c>
      <c r="AR155">
        <f>IF($A155="","",INDEX('Beállítások'!$B$108:$B$112,AQ155))</f>
        <v/>
      </c>
      <c r="AS155">
        <f>IF($A155="","",IF(AQ155=5,"Elutasítjuk",IF(AND(AQ155=4,COUNTIFS('Eredmény'!$AQ$2:$AQ$201,4,'Eredmény'!$DY$2:$DY$201,"&gt;"&amp;DY155)&gt;='Beállítások'!$B$90),"Várólista (a 4-es hely foglalt)","Elfogadjuk")))</f>
        <v/>
      </c>
      <c r="AT155">
        <f>IF($A155="","",INDEX('Beállítások'!$F$108:$F$112,AQ155))</f>
        <v/>
      </c>
      <c r="AU155">
        <f>IF($A155="","",INDEX('Beállítások'!$B$6:$B$38,MATCH(MAX(BK155:CQ155),BK155:CQ155,0)))</f>
        <v/>
      </c>
      <c r="AV155">
        <f>IF($A155="","",IF(MAX(CR155:DX155)=0,"—",INDEX('Beállítások'!$B$6:$B$38,MATCH(MAX(CR155:DX155),CR155:DX155,0))))</f>
        <v/>
      </c>
      <c r="AW155" s="10">
        <f>IF($A155="","",'Beállítások'!$B$94*(TRIM('Ügyfelek'!AI155)="igen")+'Beállítások'!$B$95*(TRIM('Ügyfelek'!AJ155)="igen")+'Beállítások'!$B$96*N('Ügyfelek'!AK155)+'Beállítások'!$B$93*N('Ügyfelek'!AL155))</f>
        <v/>
      </c>
      <c r="AX155" s="25">
        <f>IF(OR($A155="",AQ155=5),"",INDEX('Beállítások'!$D$108:$D$112,AQ155))</f>
        <v/>
      </c>
      <c r="AY155" s="10">
        <f>IF($A155="","",N('Ügyfelek'!U155)*'Beállítások'!$B$98)</f>
        <v/>
      </c>
      <c r="AZ155" s="10">
        <f>IF(OR($A155="",AQ155=5),"",CEILING(ROUND(MAX('Beállítások'!$B$97,AW155*AX155,AY155),2),'Beállítások'!$B$99))</f>
        <v/>
      </c>
      <c r="BA155">
        <f>IF($A155="","",IF(AQ155=5,"Elutasítva",IF(MAX('Beállítások'!$B$97,AW155*AX155,AY155)=AW155*AX155,"Munkaigény × státuszszorzó",IF(MAX('Beállítások'!$B$97,AW155*AX155,AY155)=AY155,"Hirdetési keret arányában","Minimumdíj"))))</f>
        <v/>
      </c>
      <c r="BB155" s="10">
        <f>IF(OR($A155="",'Ügyfelek'!AM155=""),"",'Ügyfelek'!AM155)</f>
        <v/>
      </c>
      <c r="BC155" s="10">
        <f>IF(OR(BB155="",AZ155=""),"",AZ155-BB155)</f>
        <v/>
      </c>
      <c r="BD155" s="18">
        <f>IF(OR(BB155="",AZ155="",BB155=0),"",BC155/BB155)</f>
        <v/>
      </c>
      <c r="BE155">
        <f>IF(OR($A155="",AQ155=5),"",IF(AND(INDEX('Beállítások'!$E$108:$E$112,AQ155)&gt;0,Y155&gt;='Beállítások'!$B$91),"Igen","Nem"))</f>
        <v/>
      </c>
      <c r="BF155" s="10">
        <f>IF(BE155="Igen",CEILING(ROUND(AZ155*(1-'Beállítások'!$B$92),2),'Beállítások'!$B$99),"")</f>
        <v/>
      </c>
      <c r="BG155" s="20">
        <f>IF(BE155="Igen",INDEX('Beállítások'!$E$108:$E$112,AQ155),"")</f>
        <v/>
      </c>
      <c r="BH155" s="10">
        <f>IF(OR(BE155&lt;&gt;"Igen",'Ügyfelek'!AN155=""),"",'Ügyfelek'!AN155*BG155)</f>
        <v/>
      </c>
      <c r="BI155" s="24">
        <f>IF($A155="","",('Ügyfelek'!B155="")+('Ügyfelek'!C155="")+('Ügyfelek'!D155="")+('Ügyfelek'!E155="")+('Ügyfelek'!F155="")+('Ügyfelek'!G155="")+('Ügyfelek'!H155="")+('Ügyfelek'!I155="")+('Ügyfelek'!J155="")+('Ügyfelek'!K155="")+('Ügyfelek'!L155="")+('Ügyfelek'!M155="")+('Ügyfelek'!N155="")+('Ügyfelek'!O155="")+('Ügyfelek'!P155="")+('Ügyfelek'!Q155="")+('Ügyfelek'!R155="")+('Ügyfelek'!S155="")+('Ügyfelek'!T155="")+('Ügyfelek'!U155="")+('Ügyfelek'!V155="")+('Ügyfelek'!W155="")+('Ügyfelek'!X155="")+('Ügyfelek'!Y155="")+('Ügyfelek'!Z155="")+('Ügyfelek'!AA155="")+('Ügyfelek'!AB155="")+('Ügyfelek'!AC155="")+('Ügyfelek'!AD155="")+('Ügyfelek'!AE155="")+('Ügyfelek'!AF155="")+('Ügyfelek'!AG155="")+('Ügyfelek'!AH155=""))</f>
        <v/>
      </c>
      <c r="BK155">
        <f>IF($A155="","",B155+'Beállítások'!$E$6/1000)</f>
        <v/>
      </c>
      <c r="BL155">
        <f>IF($A155="","",C155+'Beállítások'!$E$7/1000)</f>
        <v/>
      </c>
      <c r="BM155">
        <f>IF($A155="","",D155+'Beállítások'!$E$8/1000)</f>
        <v/>
      </c>
      <c r="BN155">
        <f>IF($A155="","",E155+'Beállítások'!$E$9/1000)</f>
        <v/>
      </c>
      <c r="BO155">
        <f>IF($A155="","",F155+'Beállítások'!$E$10/1000)</f>
        <v/>
      </c>
      <c r="BP155">
        <f>IF($A155="","",G155+'Beállítások'!$E$11/1000)</f>
        <v/>
      </c>
      <c r="BQ155">
        <f>IF($A155="","",H155+'Beállítások'!$E$12/1000)</f>
        <v/>
      </c>
      <c r="BR155">
        <f>IF($A155="","",I155+'Beállítások'!$E$13/1000)</f>
        <v/>
      </c>
      <c r="BS155">
        <f>IF($A155="","",J155+'Beállítások'!$E$14/1000)</f>
        <v/>
      </c>
      <c r="BT155">
        <f>IF($A155="","",K155+'Beállítások'!$E$15/1000)</f>
        <v/>
      </c>
      <c r="BU155">
        <f>IF($A155="","",L155+'Beállítások'!$E$16/1000)</f>
        <v/>
      </c>
      <c r="BV155">
        <f>IF($A155="","",M155+'Beállítások'!$E$17/1000)</f>
        <v/>
      </c>
      <c r="BW155">
        <f>IF($A155="","",N155+'Beállítások'!$E$18/1000)</f>
        <v/>
      </c>
      <c r="BX155">
        <f>IF($A155="","",O155+'Beállítások'!$E$19/1000)</f>
        <v/>
      </c>
      <c r="BY155">
        <f>IF($A155="","",P155+'Beállítások'!$E$20/1000)</f>
        <v/>
      </c>
      <c r="BZ155">
        <f>IF($A155="","",Q155+'Beállítások'!$E$21/1000)</f>
        <v/>
      </c>
      <c r="CA155">
        <f>IF($A155="","",R155+'Beállítások'!$E$22/1000)</f>
        <v/>
      </c>
      <c r="CB155">
        <f>IF($A155="","",S155+'Beállítások'!$E$23/1000)</f>
        <v/>
      </c>
      <c r="CC155">
        <f>IF($A155="","",T155+'Beállítások'!$E$24/1000)</f>
        <v/>
      </c>
      <c r="CD155">
        <f>IF($A155="","",U155+'Beállítások'!$E$25/1000)</f>
        <v/>
      </c>
      <c r="CE155">
        <f>IF($A155="","",V155+'Beállítások'!$E$26/1000)</f>
        <v/>
      </c>
      <c r="CF155">
        <f>IF($A155="","",W155+'Beállítások'!$E$27/1000)</f>
        <v/>
      </c>
      <c r="CG155">
        <f>IF($A155="","",X155+'Beállítások'!$E$28/1000)</f>
        <v/>
      </c>
      <c r="CH155">
        <f>IF($A155="","",Y155+'Beállítások'!$E$29/1000)</f>
        <v/>
      </c>
      <c r="CI155">
        <f>IF($A155="","",Z155+'Beállítások'!$E$30/1000)</f>
        <v/>
      </c>
      <c r="CJ155">
        <f>IF($A155="","",AA155+'Beállítások'!$E$31/1000)</f>
        <v/>
      </c>
      <c r="CK155">
        <f>IF($A155="","",AB155+'Beállítások'!$E$32/1000)</f>
        <v/>
      </c>
      <c r="CL155">
        <f>IF($A155="","",AC155+'Beállítások'!$E$33/1000)</f>
        <v/>
      </c>
      <c r="CM155">
        <f>IF($A155="","",AD155+'Beállítások'!$E$34/1000)</f>
        <v/>
      </c>
      <c r="CN155">
        <f>IF($A155="","",AE155+'Beállítások'!$E$35/1000)</f>
        <v/>
      </c>
      <c r="CO155">
        <f>IF($A155="","",AF155+'Beállítások'!$E$36/1000)</f>
        <v/>
      </c>
      <c r="CP155">
        <f>IF($A155="","",AG155+'Beállítások'!$E$37/1000)</f>
        <v/>
      </c>
      <c r="CQ155">
        <f>IF($A155="","",AH155+'Beállítások'!$E$38/1000)</f>
        <v/>
      </c>
      <c r="CR155">
        <f>IF($A155="","",'Beállítások'!$E$6*(10-B155))</f>
        <v/>
      </c>
      <c r="CS155">
        <f>IF($A155="","",'Beállítások'!$E$7*(10-C155))</f>
        <v/>
      </c>
      <c r="CT155">
        <f>IF($A155="","",'Beállítások'!$E$8*(10-D155))</f>
        <v/>
      </c>
      <c r="CU155">
        <f>IF($A155="","",'Beállítások'!$E$9*(10-E155))</f>
        <v/>
      </c>
      <c r="CV155">
        <f>IF($A155="","",'Beállítások'!$E$10*(10-F155))</f>
        <v/>
      </c>
      <c r="CW155">
        <f>IF($A155="","",'Beállítások'!$E$11*(10-G155))</f>
        <v/>
      </c>
      <c r="CX155">
        <f>IF($A155="","",'Beállítások'!$E$12*(10-H155))</f>
        <v/>
      </c>
      <c r="CY155">
        <f>IF($A155="","",'Beállítások'!$E$13*(10-I155))</f>
        <v/>
      </c>
      <c r="CZ155">
        <f>IF($A155="","",'Beállítások'!$E$14*(10-J155))</f>
        <v/>
      </c>
      <c r="DA155">
        <f>IF($A155="","",'Beállítások'!$E$15*(10-K155))</f>
        <v/>
      </c>
      <c r="DB155">
        <f>IF($A155="","",'Beállítások'!$E$16*(10-L155))</f>
        <v/>
      </c>
      <c r="DC155">
        <f>IF($A155="","",'Beállítások'!$E$17*(10-M155))</f>
        <v/>
      </c>
      <c r="DD155">
        <f>IF($A155="","",'Beállítások'!$E$18*(10-N155))</f>
        <v/>
      </c>
      <c r="DE155">
        <f>IF($A155="","",'Beállítások'!$E$19*(10-O155))</f>
        <v/>
      </c>
      <c r="DF155">
        <f>IF($A155="","",'Beállítások'!$E$20*(10-P155))</f>
        <v/>
      </c>
      <c r="DG155">
        <f>IF($A155="","",'Beállítások'!$E$21*(10-Q155))</f>
        <v/>
      </c>
      <c r="DH155">
        <f>IF($A155="","",'Beállítások'!$E$22*(10-R155))</f>
        <v/>
      </c>
      <c r="DI155">
        <f>IF($A155="","",'Beállítások'!$E$23*(10-S155))</f>
        <v/>
      </c>
      <c r="DJ155">
        <f>IF($A155="","",'Beállítások'!$E$24*(10-T155))</f>
        <v/>
      </c>
      <c r="DK155">
        <f>IF($A155="","",'Beállítások'!$E$25*(10-U155))</f>
        <v/>
      </c>
      <c r="DL155">
        <f>IF($A155="","",'Beállítások'!$E$26*(10-V155))</f>
        <v/>
      </c>
      <c r="DM155">
        <f>IF($A155="","",'Beállítások'!$E$27*(10-W155))</f>
        <v/>
      </c>
      <c r="DN155">
        <f>IF($A155="","",'Beállítások'!$E$28*(10-X155))</f>
        <v/>
      </c>
      <c r="DO155">
        <f>IF($A155="","",'Beállítások'!$E$29*(10-Y155))</f>
        <v/>
      </c>
      <c r="DP155">
        <f>IF($A155="","",'Beállítások'!$E$30*(10-Z155))</f>
        <v/>
      </c>
      <c r="DQ155">
        <f>IF($A155="","",'Beállítások'!$E$31*(10-AA155))</f>
        <v/>
      </c>
      <c r="DR155">
        <f>IF($A155="","",'Beállítások'!$E$32*(10-AB155))</f>
        <v/>
      </c>
      <c r="DS155">
        <f>IF($A155="","",'Beállítások'!$E$33*(10-AC155))</f>
        <v/>
      </c>
      <c r="DT155">
        <f>IF($A155="","",'Beállítások'!$E$34*(10-AD155))</f>
        <v/>
      </c>
      <c r="DU155">
        <f>IF($A155="","",'Beállítások'!$E$35*(10-AE155))</f>
        <v/>
      </c>
      <c r="DV155">
        <f>IF($A155="","",'Beállítások'!$E$36*(10-AF155))</f>
        <v/>
      </c>
      <c r="DW155">
        <f>IF($A155="","",'Beállítások'!$E$37*(10-AG155))</f>
        <v/>
      </c>
      <c r="DX155">
        <f>IF($A155="","",'Beállítások'!$E$38*(10-AH155))</f>
        <v/>
      </c>
      <c r="DY155">
        <f>IF($A155="","",AM155-ROW()/100000)</f>
        <v/>
      </c>
    </row>
    <row r="156">
      <c r="A156">
        <f>IF('Ügyfelek'!A156="","",'Ügyfelek'!A156)</f>
        <v/>
      </c>
      <c r="B156">
        <f>IF($A156="","",IF('Ügyfelek'!B156="",'Beállítások'!$B$84,IFERROR(VLOOKUP(TRIM('Ügyfelek'!B156),'Beállítások'!$A$51:$B$59,2,FALSE),'Beállítások'!$B$84)))</f>
        <v/>
      </c>
      <c r="C156">
        <f>IF($A156="","",IF('Ügyfelek'!C156="",'Beállítások'!$B$84,MIN(10,MAX(1,ROUND('Ügyfelek'!C156,0)))))</f>
        <v/>
      </c>
      <c r="D156">
        <f>IF($A156="","",IF('Ügyfelek'!D156="",'Beállítások'!$B$84,MIN(10,MAX(1,ROUND('Ügyfelek'!D156,0)))))</f>
        <v/>
      </c>
      <c r="E156">
        <f>IF($A156="","",IF('Ügyfelek'!E156="",'Beállítások'!$B$84,MIN(10,MAX(1,ROUND('Ügyfelek'!E156,0)))))</f>
        <v/>
      </c>
      <c r="F156">
        <f>IF($A156="","",IF('Ügyfelek'!F156="",'Beállítások'!$B$84,MIN(10,MAX(1,ROUND('Ügyfelek'!F156,0)))))</f>
        <v/>
      </c>
      <c r="G156">
        <f>IF($A156="","",IF('Ügyfelek'!G156="",'Beállítások'!$B$84,MIN(10,MAX(1,ROUND('Ügyfelek'!G156,0)))))</f>
        <v/>
      </c>
      <c r="H156">
        <f>IF($A156="","",IF('Ügyfelek'!H156="",'Beállítások'!$B$84,MIN(10,MAX(1,ROUND('Ügyfelek'!H156,0)))))</f>
        <v/>
      </c>
      <c r="I156">
        <f>IF($A156="","",IF('Ügyfelek'!I156="",'Beállítások'!$B$84,MIN(10,MAX(1,ROUND('Ügyfelek'!I156,0)))))</f>
        <v/>
      </c>
      <c r="J156">
        <f>IF($A156="","",IF('Ügyfelek'!J156="",'Beállítások'!$B$84,MIN(10,MAX(1,ROUND('Ügyfelek'!J156,0)))))</f>
        <v/>
      </c>
      <c r="K156">
        <f>IF($A156="","",IF('Ügyfelek'!K156="",'Beállítások'!$B$84,MIN(10,MAX(1,ROUND('Ügyfelek'!K156,0)))))</f>
        <v/>
      </c>
      <c r="L156">
        <f>IF($A156="","",IF('Ügyfelek'!L156="",'Beállítások'!$B$84,MIN(10,MAX(1,ROUND('Ügyfelek'!L156,0)))))</f>
        <v/>
      </c>
      <c r="M156">
        <f>IF($A156="","",IF('Ügyfelek'!M156="",'Beállítások'!$B$84,MIN(10,MAX(1,ROUND('Ügyfelek'!M156,0)))))</f>
        <v/>
      </c>
      <c r="N156">
        <f>IF($A156="","",IF('Ügyfelek'!N156="",'Beállítások'!$B$84,MIN(10,MAX(1,ROUND('Ügyfelek'!N156,0)))))</f>
        <v/>
      </c>
      <c r="O156">
        <f>IF($A156="","",IF('Ügyfelek'!O156="",'Beállítások'!$B$84,MIN(10,MAX(1,ROUND('Ügyfelek'!O156,0)))))</f>
        <v/>
      </c>
      <c r="P156">
        <f>IF($A156="","",IF('Ügyfelek'!P156="",'Beállítások'!$B$84,MIN(10,MAX(1,ROUND('Ügyfelek'!P156,0)))))</f>
        <v/>
      </c>
      <c r="Q156">
        <f>IF($A156="","",IF('Ügyfelek'!Q156="",'Beállítások'!$B$84,MIN(10,MAX(1,ROUND('Ügyfelek'!Q156,0)))))</f>
        <v/>
      </c>
      <c r="R156">
        <f>IF($A156="","",IF('Ügyfelek'!R156="",'Beállítások'!$B$84,MIN(10,MAX(1,ROUND('Ügyfelek'!R156,0)))))</f>
        <v/>
      </c>
      <c r="S156">
        <f>IF($A156="","",IF('Ügyfelek'!S156="",'Beállítások'!$B$84,MIN(10,MAX(1,ROUND('Ügyfelek'!S156,0)))))</f>
        <v/>
      </c>
      <c r="T156">
        <f>IF($A156="","",IF('Ügyfelek'!T156="",'Beállítások'!$B$84,VLOOKUP(MAX('Ügyfelek'!T156,'Beállítások'!$H$7),'Beállítások'!$H$7:$I$12,2,TRUE)))</f>
        <v/>
      </c>
      <c r="U156">
        <f>IF($A156="","",IF('Ügyfelek'!U156="",'Beállítások'!$B$84,VLOOKUP(MAX('Ügyfelek'!U156,'Beállítások'!$K$7),'Beállítások'!$K$7:$L$12,2,TRUE)))</f>
        <v/>
      </c>
      <c r="V156">
        <f>IF($A156="","",IF('Ügyfelek'!V156="",'Beállítások'!$B$84,MIN(10,MAX(1,ROUND('Ügyfelek'!V156,0)))))</f>
        <v/>
      </c>
      <c r="W156">
        <f>IF($A156="","",IF('Ügyfelek'!W156="",'Beállítások'!$B$84,VLOOKUP(MAX('Ügyfelek'!W156,'Beállítások'!$N$7),'Beállítások'!$N$7:$O$12,2,TRUE)))</f>
        <v/>
      </c>
      <c r="X156">
        <f>IF($A156="","",IF('Ügyfelek'!X156="",'Beállítások'!$B$84,MIN(10,MAX(1,ROUND('Ügyfelek'!X156,0)))))</f>
        <v/>
      </c>
      <c r="Y156">
        <f>IF($A156="","",IF('Ügyfelek'!Y156="",'Beállítások'!$B$84,IFERROR(VLOOKUP(TRIM('Ügyfelek'!Y156),'Beállítások'!$A$63:$B$69,2,FALSE),'Beállítások'!$B$84)))</f>
        <v/>
      </c>
      <c r="Z156">
        <f>IF($A156="","",IF('Ügyfelek'!Z156="",'Beállítások'!$B$84,VLOOKUP(MAX('Ügyfelek'!Z156,'Beállítások'!$Q$7),'Beállítások'!$Q$7:$R$12,2,TRUE)))</f>
        <v/>
      </c>
      <c r="AA156">
        <f>IF($A156="","",IF('Ügyfelek'!AA156="",'Beállítások'!$B$84,VLOOKUP(MAX('Ügyfelek'!AA156,'Beállítások'!$T$7),'Beállítások'!$T$7:$U$12,2,TRUE)))</f>
        <v/>
      </c>
      <c r="AB156">
        <f>IF($A156="","",IF('Ügyfelek'!AB156="",'Beállítások'!$B$84,MIN(10,MAX(1,ROUND('Ügyfelek'!AB156,0)))))</f>
        <v/>
      </c>
      <c r="AC156">
        <f>IF($A156="","",IF('Ügyfelek'!AC156="",'Beállítások'!$B$84,MIN(10,MAX(1,ROUND('Ügyfelek'!AC156,0)))))</f>
        <v/>
      </c>
      <c r="AD156">
        <f>IF($A156="","",IF('Ügyfelek'!AD156="",'Beállítások'!$B$84,MIN(10,MAX(1,ROUND('Ügyfelek'!AD156,0)))))</f>
        <v/>
      </c>
      <c r="AE156">
        <f>IF($A156="","",IF('Ügyfelek'!AE156="",'Beállítások'!$B$84,MIN(10,MAX(1,ROUND('Ügyfelek'!AE156,0)))))</f>
        <v/>
      </c>
      <c r="AF156">
        <f>IF($A156="","",IF('Ügyfelek'!AF156="",'Beállítások'!$B$84,MIN(10,MAX(1,ROUND('Ügyfelek'!AF156,0)))))</f>
        <v/>
      </c>
      <c r="AG156">
        <f>IF($A156="","",IF('Ügyfelek'!AG156="",'Beállítások'!$B$84,MIN(10,MAX(1,ROUND('Ügyfelek'!AG156,0)))))</f>
        <v/>
      </c>
      <c r="AH156">
        <f>IF($A156="","",IF('Ügyfelek'!AH156="",'Beállítások'!$B$84,IFERROR(VLOOKUP(TRIM('Ügyfelek'!AH156),'Beállítások'!$A$73:$B$79,2,FALSE),'Beállítások'!$B$84)))</f>
        <v/>
      </c>
      <c r="AI156" s="23">
        <f>IF($A156="","",ROUND(100*('Beállítások'!$E$6*(B156-1)+'Beállítások'!$E$7*(C156-1))/(9*'Beállítások'!$B$43),1))</f>
        <v/>
      </c>
      <c r="AJ156" s="23">
        <f>IF($A156="","",ROUND(100*('Beállítások'!$E$8*(D156-1)+'Beállítások'!$E$9*(E156-1)+'Beállítások'!$E$10*(F156-1)+'Beállítások'!$E$11*(G156-1)+'Beállítások'!$E$12*(H156-1)+'Beállítások'!$E$13*(I156-1)+'Beállítások'!$E$14*(J156-1)+'Beállítások'!$E$15*(K156-1)+'Beállítások'!$E$16*(L156-1)+'Beállítások'!$E$17*(M156-1)+'Beállítások'!$E$18*(N156-1)+'Beállítások'!$E$19*(O156-1)+'Beállítások'!$E$20*(P156-1)+'Beállítások'!$E$21*(Q156-1)+'Beállítások'!$E$22*(R156-1))/(9*'Beállítások'!$B$44),1))</f>
        <v/>
      </c>
      <c r="AK156" s="23">
        <f>IF($A156="","",ROUND(100*('Beállítások'!$E$23*(S156-1)+'Beállítások'!$E$24*(T156-1)+'Beállítások'!$E$25*(U156-1)+'Beállítások'!$E$26*(V156-1)+'Beállítások'!$E$27*(W156-1)+'Beállítások'!$E$28*(X156-1)+'Beállítások'!$E$29*(Y156-1))/(9*'Beállítások'!$B$45),1))</f>
        <v/>
      </c>
      <c r="AL156" s="23">
        <f>IF($A156="","",ROUND(100*('Beállítások'!$E$30*(Z156-1)+'Beállítások'!$E$31*(AA156-1)+'Beállítások'!$E$32*(AB156-1)+'Beállítások'!$E$33*(AC156-1)+'Beállítások'!$E$34*(AD156-1)+'Beállítások'!$E$35*(AE156-1)+'Beállítások'!$E$36*(AF156-1)+'Beállítások'!$E$37*(AG156-1)+'Beállítások'!$E$38*(AH156-1))/(9*'Beállítások'!$B$46),1))</f>
        <v/>
      </c>
      <c r="AM156" s="23">
        <f>IF($A156="","",ROUND(100*('Beállítások'!$E$6*(B156-1)+'Beállítások'!$E$7*(C156-1)+'Beállítások'!$E$8*(D156-1)+'Beállítások'!$E$9*(E156-1)+'Beállítások'!$E$10*(F156-1)+'Beállítások'!$E$11*(G156-1)+'Beállítások'!$E$12*(H156-1)+'Beállítások'!$E$13*(I156-1)+'Beállítások'!$E$14*(J156-1)+'Beállítások'!$E$15*(K156-1)+'Beállítások'!$E$16*(L156-1)+'Beállítások'!$E$17*(M156-1)+'Beállítások'!$E$18*(N156-1)+'Beállítások'!$E$19*(O156-1)+'Beállítások'!$E$20*(P156-1)+'Beállítások'!$E$21*(Q156-1)+'Beállítások'!$E$22*(R156-1)+'Beállítások'!$E$23*(S156-1)+'Beállítások'!$E$24*(T156-1)+'Beállítások'!$E$25*(U156-1)+'Beállítások'!$E$26*(V156-1)+'Beállítások'!$E$27*(W156-1)+'Beállítások'!$E$28*(X156-1)+'Beállítások'!$E$29*(Y156-1)+'Beállítások'!$E$30*(Z156-1)+'Beállítások'!$E$31*(AA156-1)+'Beállítások'!$E$32*(AB156-1)+'Beállítások'!$E$33*(AC156-1)+'Beállítások'!$E$34*(AD156-1)+'Beállítások'!$E$35*(AE156-1)+'Beállítások'!$E$36*(AF156-1)+'Beállítások'!$E$37*(AG156-1)+'Beállítások'!$E$38*(AH156-1))/(9*'Beállítások'!$E$39),1))</f>
        <v/>
      </c>
      <c r="AN156" s="23">
        <f>IF($A156="","",ROUND(100*('Beállítások'!$E$8*(D156-1)+'Beállítások'!$E$9*(E156-1)+'Beállítások'!$E$10*(F156-1)+'Beállítások'!$E$11*(G156-1)+'Beállítások'!$E$12*(H156-1)+'Beállítások'!$E$13*(I156-1)+'Beállítások'!$E$14*(J156-1)+'Beállítások'!$E$15*(K156-1)+'Beállítások'!$E$16*(L156-1)+'Beállítások'!$E$17*(M156-1)+'Beállítások'!$E$18*(N156-1)+'Beállítások'!$E$19*(O156-1)+'Beállítások'!$E$20*(P156-1)+'Beállítások'!$E$21*(Q156-1)+'Beállítások'!$E$22*(R156-1)+'Beállítások'!$E$23*(S156-1)+'Beállítások'!$E$24*(T156-1)+'Beállítások'!$E$25*(U156-1)+'Beállítások'!$E$26*(V156-1)+'Beállítások'!$E$27*(W156-1)+'Beállítások'!$E$28*(X156-1)+'Beállítások'!$E$29*(Y156-1))/(9*('Beállítások'!$B$44+'Beállítások'!$B$45)),1))</f>
        <v/>
      </c>
      <c r="AO156" s="24">
        <f>IF($A156="","",RANK(AM156,$AM$2:$AM$201))</f>
        <v/>
      </c>
      <c r="AP156">
        <f>IF($A156="","",IF(OR(AND('Ügyfelek'!B156&lt;&gt;"",B156&lt;='Beállítások'!$B$85),AND('Ügyfelek'!C156&lt;&gt;"",C156&lt;='Beállítások'!$B$86)),"Igen","Nem"))</f>
        <v/>
      </c>
      <c r="AQ156" s="24">
        <f>IF($A156="","",IF(AP156="Igen",5,IF(AN156&gt;='Beállítások'!$C$108,1,IF(AN156&gt;='Beállítások'!$C$109,2,IF(AN156&gt;='Beállítások'!$C$110,3,IF(AND(AN156&gt;='Beállítások'!$B$87,AI156&gt;='Beállítások'!$B$88,AL156&gt;='Beállítások'!$B$89),4,5))))))</f>
        <v/>
      </c>
      <c r="AR156">
        <f>IF($A156="","",INDEX('Beállítások'!$B$108:$B$112,AQ156))</f>
        <v/>
      </c>
      <c r="AS156">
        <f>IF($A156="","",IF(AQ156=5,"Elutasítjuk",IF(AND(AQ156=4,COUNTIFS('Eredmény'!$AQ$2:$AQ$201,4,'Eredmény'!$DY$2:$DY$201,"&gt;"&amp;DY156)&gt;='Beállítások'!$B$90),"Várólista (a 4-es hely foglalt)","Elfogadjuk")))</f>
        <v/>
      </c>
      <c r="AT156">
        <f>IF($A156="","",INDEX('Beállítások'!$F$108:$F$112,AQ156))</f>
        <v/>
      </c>
      <c r="AU156">
        <f>IF($A156="","",INDEX('Beállítások'!$B$6:$B$38,MATCH(MAX(BK156:CQ156),BK156:CQ156,0)))</f>
        <v/>
      </c>
      <c r="AV156">
        <f>IF($A156="","",IF(MAX(CR156:DX156)=0,"—",INDEX('Beállítások'!$B$6:$B$38,MATCH(MAX(CR156:DX156),CR156:DX156,0))))</f>
        <v/>
      </c>
      <c r="AW156" s="10">
        <f>IF($A156="","",'Beállítások'!$B$94*(TRIM('Ügyfelek'!AI156)="igen")+'Beállítások'!$B$95*(TRIM('Ügyfelek'!AJ156)="igen")+'Beállítások'!$B$96*N('Ügyfelek'!AK156)+'Beállítások'!$B$93*N('Ügyfelek'!AL156))</f>
        <v/>
      </c>
      <c r="AX156" s="25">
        <f>IF(OR($A156="",AQ156=5),"",INDEX('Beállítások'!$D$108:$D$112,AQ156))</f>
        <v/>
      </c>
      <c r="AY156" s="10">
        <f>IF($A156="","",N('Ügyfelek'!U156)*'Beállítások'!$B$98)</f>
        <v/>
      </c>
      <c r="AZ156" s="10">
        <f>IF(OR($A156="",AQ156=5),"",CEILING(ROUND(MAX('Beállítások'!$B$97,AW156*AX156,AY156),2),'Beállítások'!$B$99))</f>
        <v/>
      </c>
      <c r="BA156">
        <f>IF($A156="","",IF(AQ156=5,"Elutasítva",IF(MAX('Beállítások'!$B$97,AW156*AX156,AY156)=AW156*AX156,"Munkaigény × státuszszorzó",IF(MAX('Beállítások'!$B$97,AW156*AX156,AY156)=AY156,"Hirdetési keret arányában","Minimumdíj"))))</f>
        <v/>
      </c>
      <c r="BB156" s="10">
        <f>IF(OR($A156="",'Ügyfelek'!AM156=""),"",'Ügyfelek'!AM156)</f>
        <v/>
      </c>
      <c r="BC156" s="10">
        <f>IF(OR(BB156="",AZ156=""),"",AZ156-BB156)</f>
        <v/>
      </c>
      <c r="BD156" s="18">
        <f>IF(OR(BB156="",AZ156="",BB156=0),"",BC156/BB156)</f>
        <v/>
      </c>
      <c r="BE156">
        <f>IF(OR($A156="",AQ156=5),"",IF(AND(INDEX('Beállítások'!$E$108:$E$112,AQ156)&gt;0,Y156&gt;='Beállítások'!$B$91),"Igen","Nem"))</f>
        <v/>
      </c>
      <c r="BF156" s="10">
        <f>IF(BE156="Igen",CEILING(ROUND(AZ156*(1-'Beállítások'!$B$92),2),'Beállítások'!$B$99),"")</f>
        <v/>
      </c>
      <c r="BG156" s="20">
        <f>IF(BE156="Igen",INDEX('Beállítások'!$E$108:$E$112,AQ156),"")</f>
        <v/>
      </c>
      <c r="BH156" s="10">
        <f>IF(OR(BE156&lt;&gt;"Igen",'Ügyfelek'!AN156=""),"",'Ügyfelek'!AN156*BG156)</f>
        <v/>
      </c>
      <c r="BI156" s="24">
        <f>IF($A156="","",('Ügyfelek'!B156="")+('Ügyfelek'!C156="")+('Ügyfelek'!D156="")+('Ügyfelek'!E156="")+('Ügyfelek'!F156="")+('Ügyfelek'!G156="")+('Ügyfelek'!H156="")+('Ügyfelek'!I156="")+('Ügyfelek'!J156="")+('Ügyfelek'!K156="")+('Ügyfelek'!L156="")+('Ügyfelek'!M156="")+('Ügyfelek'!N156="")+('Ügyfelek'!O156="")+('Ügyfelek'!P156="")+('Ügyfelek'!Q156="")+('Ügyfelek'!R156="")+('Ügyfelek'!S156="")+('Ügyfelek'!T156="")+('Ügyfelek'!U156="")+('Ügyfelek'!V156="")+('Ügyfelek'!W156="")+('Ügyfelek'!X156="")+('Ügyfelek'!Y156="")+('Ügyfelek'!Z156="")+('Ügyfelek'!AA156="")+('Ügyfelek'!AB156="")+('Ügyfelek'!AC156="")+('Ügyfelek'!AD156="")+('Ügyfelek'!AE156="")+('Ügyfelek'!AF156="")+('Ügyfelek'!AG156="")+('Ügyfelek'!AH156=""))</f>
        <v/>
      </c>
      <c r="BK156">
        <f>IF($A156="","",B156+'Beállítások'!$E$6/1000)</f>
        <v/>
      </c>
      <c r="BL156">
        <f>IF($A156="","",C156+'Beállítások'!$E$7/1000)</f>
        <v/>
      </c>
      <c r="BM156">
        <f>IF($A156="","",D156+'Beállítások'!$E$8/1000)</f>
        <v/>
      </c>
      <c r="BN156">
        <f>IF($A156="","",E156+'Beállítások'!$E$9/1000)</f>
        <v/>
      </c>
      <c r="BO156">
        <f>IF($A156="","",F156+'Beállítások'!$E$10/1000)</f>
        <v/>
      </c>
      <c r="BP156">
        <f>IF($A156="","",G156+'Beállítások'!$E$11/1000)</f>
        <v/>
      </c>
      <c r="BQ156">
        <f>IF($A156="","",H156+'Beállítások'!$E$12/1000)</f>
        <v/>
      </c>
      <c r="BR156">
        <f>IF($A156="","",I156+'Beállítások'!$E$13/1000)</f>
        <v/>
      </c>
      <c r="BS156">
        <f>IF($A156="","",J156+'Beállítások'!$E$14/1000)</f>
        <v/>
      </c>
      <c r="BT156">
        <f>IF($A156="","",K156+'Beállítások'!$E$15/1000)</f>
        <v/>
      </c>
      <c r="BU156">
        <f>IF($A156="","",L156+'Beállítások'!$E$16/1000)</f>
        <v/>
      </c>
      <c r="BV156">
        <f>IF($A156="","",M156+'Beállítások'!$E$17/1000)</f>
        <v/>
      </c>
      <c r="BW156">
        <f>IF($A156="","",N156+'Beállítások'!$E$18/1000)</f>
        <v/>
      </c>
      <c r="BX156">
        <f>IF($A156="","",O156+'Beállítások'!$E$19/1000)</f>
        <v/>
      </c>
      <c r="BY156">
        <f>IF($A156="","",P156+'Beállítások'!$E$20/1000)</f>
        <v/>
      </c>
      <c r="BZ156">
        <f>IF($A156="","",Q156+'Beállítások'!$E$21/1000)</f>
        <v/>
      </c>
      <c r="CA156">
        <f>IF($A156="","",R156+'Beállítások'!$E$22/1000)</f>
        <v/>
      </c>
      <c r="CB156">
        <f>IF($A156="","",S156+'Beállítások'!$E$23/1000)</f>
        <v/>
      </c>
      <c r="CC156">
        <f>IF($A156="","",T156+'Beállítások'!$E$24/1000)</f>
        <v/>
      </c>
      <c r="CD156">
        <f>IF($A156="","",U156+'Beállítások'!$E$25/1000)</f>
        <v/>
      </c>
      <c r="CE156">
        <f>IF($A156="","",V156+'Beállítások'!$E$26/1000)</f>
        <v/>
      </c>
      <c r="CF156">
        <f>IF($A156="","",W156+'Beállítások'!$E$27/1000)</f>
        <v/>
      </c>
      <c r="CG156">
        <f>IF($A156="","",X156+'Beállítások'!$E$28/1000)</f>
        <v/>
      </c>
      <c r="CH156">
        <f>IF($A156="","",Y156+'Beállítások'!$E$29/1000)</f>
        <v/>
      </c>
      <c r="CI156">
        <f>IF($A156="","",Z156+'Beállítások'!$E$30/1000)</f>
        <v/>
      </c>
      <c r="CJ156">
        <f>IF($A156="","",AA156+'Beállítások'!$E$31/1000)</f>
        <v/>
      </c>
      <c r="CK156">
        <f>IF($A156="","",AB156+'Beállítások'!$E$32/1000)</f>
        <v/>
      </c>
      <c r="CL156">
        <f>IF($A156="","",AC156+'Beállítások'!$E$33/1000)</f>
        <v/>
      </c>
      <c r="CM156">
        <f>IF($A156="","",AD156+'Beállítások'!$E$34/1000)</f>
        <v/>
      </c>
      <c r="CN156">
        <f>IF($A156="","",AE156+'Beállítások'!$E$35/1000)</f>
        <v/>
      </c>
      <c r="CO156">
        <f>IF($A156="","",AF156+'Beállítások'!$E$36/1000)</f>
        <v/>
      </c>
      <c r="CP156">
        <f>IF($A156="","",AG156+'Beállítások'!$E$37/1000)</f>
        <v/>
      </c>
      <c r="CQ156">
        <f>IF($A156="","",AH156+'Beállítások'!$E$38/1000)</f>
        <v/>
      </c>
      <c r="CR156">
        <f>IF($A156="","",'Beállítások'!$E$6*(10-B156))</f>
        <v/>
      </c>
      <c r="CS156">
        <f>IF($A156="","",'Beállítások'!$E$7*(10-C156))</f>
        <v/>
      </c>
      <c r="CT156">
        <f>IF($A156="","",'Beállítások'!$E$8*(10-D156))</f>
        <v/>
      </c>
      <c r="CU156">
        <f>IF($A156="","",'Beállítások'!$E$9*(10-E156))</f>
        <v/>
      </c>
      <c r="CV156">
        <f>IF($A156="","",'Beállítások'!$E$10*(10-F156))</f>
        <v/>
      </c>
      <c r="CW156">
        <f>IF($A156="","",'Beállítások'!$E$11*(10-G156))</f>
        <v/>
      </c>
      <c r="CX156">
        <f>IF($A156="","",'Beállítások'!$E$12*(10-H156))</f>
        <v/>
      </c>
      <c r="CY156">
        <f>IF($A156="","",'Beállítások'!$E$13*(10-I156))</f>
        <v/>
      </c>
      <c r="CZ156">
        <f>IF($A156="","",'Beállítások'!$E$14*(10-J156))</f>
        <v/>
      </c>
      <c r="DA156">
        <f>IF($A156="","",'Beállítások'!$E$15*(10-K156))</f>
        <v/>
      </c>
      <c r="DB156">
        <f>IF($A156="","",'Beállítások'!$E$16*(10-L156))</f>
        <v/>
      </c>
      <c r="DC156">
        <f>IF($A156="","",'Beállítások'!$E$17*(10-M156))</f>
        <v/>
      </c>
      <c r="DD156">
        <f>IF($A156="","",'Beállítások'!$E$18*(10-N156))</f>
        <v/>
      </c>
      <c r="DE156">
        <f>IF($A156="","",'Beállítások'!$E$19*(10-O156))</f>
        <v/>
      </c>
      <c r="DF156">
        <f>IF($A156="","",'Beállítások'!$E$20*(10-P156))</f>
        <v/>
      </c>
      <c r="DG156">
        <f>IF($A156="","",'Beállítások'!$E$21*(10-Q156))</f>
        <v/>
      </c>
      <c r="DH156">
        <f>IF($A156="","",'Beállítások'!$E$22*(10-R156))</f>
        <v/>
      </c>
      <c r="DI156">
        <f>IF($A156="","",'Beállítások'!$E$23*(10-S156))</f>
        <v/>
      </c>
      <c r="DJ156">
        <f>IF($A156="","",'Beállítások'!$E$24*(10-T156))</f>
        <v/>
      </c>
      <c r="DK156">
        <f>IF($A156="","",'Beállítások'!$E$25*(10-U156))</f>
        <v/>
      </c>
      <c r="DL156">
        <f>IF($A156="","",'Beállítások'!$E$26*(10-V156))</f>
        <v/>
      </c>
      <c r="DM156">
        <f>IF($A156="","",'Beállítások'!$E$27*(10-W156))</f>
        <v/>
      </c>
      <c r="DN156">
        <f>IF($A156="","",'Beállítások'!$E$28*(10-X156))</f>
        <v/>
      </c>
      <c r="DO156">
        <f>IF($A156="","",'Beállítások'!$E$29*(10-Y156))</f>
        <v/>
      </c>
      <c r="DP156">
        <f>IF($A156="","",'Beállítások'!$E$30*(10-Z156))</f>
        <v/>
      </c>
      <c r="DQ156">
        <f>IF($A156="","",'Beállítások'!$E$31*(10-AA156))</f>
        <v/>
      </c>
      <c r="DR156">
        <f>IF($A156="","",'Beállítások'!$E$32*(10-AB156))</f>
        <v/>
      </c>
      <c r="DS156">
        <f>IF($A156="","",'Beállítások'!$E$33*(10-AC156))</f>
        <v/>
      </c>
      <c r="DT156">
        <f>IF($A156="","",'Beállítások'!$E$34*(10-AD156))</f>
        <v/>
      </c>
      <c r="DU156">
        <f>IF($A156="","",'Beállítások'!$E$35*(10-AE156))</f>
        <v/>
      </c>
      <c r="DV156">
        <f>IF($A156="","",'Beállítások'!$E$36*(10-AF156))</f>
        <v/>
      </c>
      <c r="DW156">
        <f>IF($A156="","",'Beállítások'!$E$37*(10-AG156))</f>
        <v/>
      </c>
      <c r="DX156">
        <f>IF($A156="","",'Beállítások'!$E$38*(10-AH156))</f>
        <v/>
      </c>
      <c r="DY156">
        <f>IF($A156="","",AM156-ROW()/100000)</f>
        <v/>
      </c>
    </row>
    <row r="157">
      <c r="A157">
        <f>IF('Ügyfelek'!A157="","",'Ügyfelek'!A157)</f>
        <v/>
      </c>
      <c r="B157">
        <f>IF($A157="","",IF('Ügyfelek'!B157="",'Beállítások'!$B$84,IFERROR(VLOOKUP(TRIM('Ügyfelek'!B157),'Beállítások'!$A$51:$B$59,2,FALSE),'Beállítások'!$B$84)))</f>
        <v/>
      </c>
      <c r="C157">
        <f>IF($A157="","",IF('Ügyfelek'!C157="",'Beállítások'!$B$84,MIN(10,MAX(1,ROUND('Ügyfelek'!C157,0)))))</f>
        <v/>
      </c>
      <c r="D157">
        <f>IF($A157="","",IF('Ügyfelek'!D157="",'Beállítások'!$B$84,MIN(10,MAX(1,ROUND('Ügyfelek'!D157,0)))))</f>
        <v/>
      </c>
      <c r="E157">
        <f>IF($A157="","",IF('Ügyfelek'!E157="",'Beállítások'!$B$84,MIN(10,MAX(1,ROUND('Ügyfelek'!E157,0)))))</f>
        <v/>
      </c>
      <c r="F157">
        <f>IF($A157="","",IF('Ügyfelek'!F157="",'Beállítások'!$B$84,MIN(10,MAX(1,ROUND('Ügyfelek'!F157,0)))))</f>
        <v/>
      </c>
      <c r="G157">
        <f>IF($A157="","",IF('Ügyfelek'!G157="",'Beállítások'!$B$84,MIN(10,MAX(1,ROUND('Ügyfelek'!G157,0)))))</f>
        <v/>
      </c>
      <c r="H157">
        <f>IF($A157="","",IF('Ügyfelek'!H157="",'Beállítások'!$B$84,MIN(10,MAX(1,ROUND('Ügyfelek'!H157,0)))))</f>
        <v/>
      </c>
      <c r="I157">
        <f>IF($A157="","",IF('Ügyfelek'!I157="",'Beállítások'!$B$84,MIN(10,MAX(1,ROUND('Ügyfelek'!I157,0)))))</f>
        <v/>
      </c>
      <c r="J157">
        <f>IF($A157="","",IF('Ügyfelek'!J157="",'Beállítások'!$B$84,MIN(10,MAX(1,ROUND('Ügyfelek'!J157,0)))))</f>
        <v/>
      </c>
      <c r="K157">
        <f>IF($A157="","",IF('Ügyfelek'!K157="",'Beállítások'!$B$84,MIN(10,MAX(1,ROUND('Ügyfelek'!K157,0)))))</f>
        <v/>
      </c>
      <c r="L157">
        <f>IF($A157="","",IF('Ügyfelek'!L157="",'Beállítások'!$B$84,MIN(10,MAX(1,ROUND('Ügyfelek'!L157,0)))))</f>
        <v/>
      </c>
      <c r="M157">
        <f>IF($A157="","",IF('Ügyfelek'!M157="",'Beállítások'!$B$84,MIN(10,MAX(1,ROUND('Ügyfelek'!M157,0)))))</f>
        <v/>
      </c>
      <c r="N157">
        <f>IF($A157="","",IF('Ügyfelek'!N157="",'Beállítások'!$B$84,MIN(10,MAX(1,ROUND('Ügyfelek'!N157,0)))))</f>
        <v/>
      </c>
      <c r="O157">
        <f>IF($A157="","",IF('Ügyfelek'!O157="",'Beállítások'!$B$84,MIN(10,MAX(1,ROUND('Ügyfelek'!O157,0)))))</f>
        <v/>
      </c>
      <c r="P157">
        <f>IF($A157="","",IF('Ügyfelek'!P157="",'Beállítások'!$B$84,MIN(10,MAX(1,ROUND('Ügyfelek'!P157,0)))))</f>
        <v/>
      </c>
      <c r="Q157">
        <f>IF($A157="","",IF('Ügyfelek'!Q157="",'Beállítások'!$B$84,MIN(10,MAX(1,ROUND('Ügyfelek'!Q157,0)))))</f>
        <v/>
      </c>
      <c r="R157">
        <f>IF($A157="","",IF('Ügyfelek'!R157="",'Beállítások'!$B$84,MIN(10,MAX(1,ROUND('Ügyfelek'!R157,0)))))</f>
        <v/>
      </c>
      <c r="S157">
        <f>IF($A157="","",IF('Ügyfelek'!S157="",'Beállítások'!$B$84,MIN(10,MAX(1,ROUND('Ügyfelek'!S157,0)))))</f>
        <v/>
      </c>
      <c r="T157">
        <f>IF($A157="","",IF('Ügyfelek'!T157="",'Beállítások'!$B$84,VLOOKUP(MAX('Ügyfelek'!T157,'Beállítások'!$H$7),'Beállítások'!$H$7:$I$12,2,TRUE)))</f>
        <v/>
      </c>
      <c r="U157">
        <f>IF($A157="","",IF('Ügyfelek'!U157="",'Beállítások'!$B$84,VLOOKUP(MAX('Ügyfelek'!U157,'Beállítások'!$K$7),'Beállítások'!$K$7:$L$12,2,TRUE)))</f>
        <v/>
      </c>
      <c r="V157">
        <f>IF($A157="","",IF('Ügyfelek'!V157="",'Beállítások'!$B$84,MIN(10,MAX(1,ROUND('Ügyfelek'!V157,0)))))</f>
        <v/>
      </c>
      <c r="W157">
        <f>IF($A157="","",IF('Ügyfelek'!W157="",'Beállítások'!$B$84,VLOOKUP(MAX('Ügyfelek'!W157,'Beállítások'!$N$7),'Beállítások'!$N$7:$O$12,2,TRUE)))</f>
        <v/>
      </c>
      <c r="X157">
        <f>IF($A157="","",IF('Ügyfelek'!X157="",'Beállítások'!$B$84,MIN(10,MAX(1,ROUND('Ügyfelek'!X157,0)))))</f>
        <v/>
      </c>
      <c r="Y157">
        <f>IF($A157="","",IF('Ügyfelek'!Y157="",'Beállítások'!$B$84,IFERROR(VLOOKUP(TRIM('Ügyfelek'!Y157),'Beállítások'!$A$63:$B$69,2,FALSE),'Beállítások'!$B$84)))</f>
        <v/>
      </c>
      <c r="Z157">
        <f>IF($A157="","",IF('Ügyfelek'!Z157="",'Beállítások'!$B$84,VLOOKUP(MAX('Ügyfelek'!Z157,'Beállítások'!$Q$7),'Beállítások'!$Q$7:$R$12,2,TRUE)))</f>
        <v/>
      </c>
      <c r="AA157">
        <f>IF($A157="","",IF('Ügyfelek'!AA157="",'Beállítások'!$B$84,VLOOKUP(MAX('Ügyfelek'!AA157,'Beállítások'!$T$7),'Beállítások'!$T$7:$U$12,2,TRUE)))</f>
        <v/>
      </c>
      <c r="AB157">
        <f>IF($A157="","",IF('Ügyfelek'!AB157="",'Beállítások'!$B$84,MIN(10,MAX(1,ROUND('Ügyfelek'!AB157,0)))))</f>
        <v/>
      </c>
      <c r="AC157">
        <f>IF($A157="","",IF('Ügyfelek'!AC157="",'Beállítások'!$B$84,MIN(10,MAX(1,ROUND('Ügyfelek'!AC157,0)))))</f>
        <v/>
      </c>
      <c r="AD157">
        <f>IF($A157="","",IF('Ügyfelek'!AD157="",'Beállítások'!$B$84,MIN(10,MAX(1,ROUND('Ügyfelek'!AD157,0)))))</f>
        <v/>
      </c>
      <c r="AE157">
        <f>IF($A157="","",IF('Ügyfelek'!AE157="",'Beállítások'!$B$84,MIN(10,MAX(1,ROUND('Ügyfelek'!AE157,0)))))</f>
        <v/>
      </c>
      <c r="AF157">
        <f>IF($A157="","",IF('Ügyfelek'!AF157="",'Beállítások'!$B$84,MIN(10,MAX(1,ROUND('Ügyfelek'!AF157,0)))))</f>
        <v/>
      </c>
      <c r="AG157">
        <f>IF($A157="","",IF('Ügyfelek'!AG157="",'Beállítások'!$B$84,MIN(10,MAX(1,ROUND('Ügyfelek'!AG157,0)))))</f>
        <v/>
      </c>
      <c r="AH157">
        <f>IF($A157="","",IF('Ügyfelek'!AH157="",'Beállítások'!$B$84,IFERROR(VLOOKUP(TRIM('Ügyfelek'!AH157),'Beállítások'!$A$73:$B$79,2,FALSE),'Beállítások'!$B$84)))</f>
        <v/>
      </c>
      <c r="AI157" s="23">
        <f>IF($A157="","",ROUND(100*('Beállítások'!$E$6*(B157-1)+'Beállítások'!$E$7*(C157-1))/(9*'Beállítások'!$B$43),1))</f>
        <v/>
      </c>
      <c r="AJ157" s="23">
        <f>IF($A157="","",ROUND(100*('Beállítások'!$E$8*(D157-1)+'Beállítások'!$E$9*(E157-1)+'Beállítások'!$E$10*(F157-1)+'Beállítások'!$E$11*(G157-1)+'Beállítások'!$E$12*(H157-1)+'Beállítások'!$E$13*(I157-1)+'Beállítások'!$E$14*(J157-1)+'Beállítások'!$E$15*(K157-1)+'Beállítások'!$E$16*(L157-1)+'Beállítások'!$E$17*(M157-1)+'Beállítások'!$E$18*(N157-1)+'Beállítások'!$E$19*(O157-1)+'Beállítások'!$E$20*(P157-1)+'Beállítások'!$E$21*(Q157-1)+'Beállítások'!$E$22*(R157-1))/(9*'Beállítások'!$B$44),1))</f>
        <v/>
      </c>
      <c r="AK157" s="23">
        <f>IF($A157="","",ROUND(100*('Beállítások'!$E$23*(S157-1)+'Beállítások'!$E$24*(T157-1)+'Beállítások'!$E$25*(U157-1)+'Beállítások'!$E$26*(V157-1)+'Beállítások'!$E$27*(W157-1)+'Beállítások'!$E$28*(X157-1)+'Beállítások'!$E$29*(Y157-1))/(9*'Beállítások'!$B$45),1))</f>
        <v/>
      </c>
      <c r="AL157" s="23">
        <f>IF($A157="","",ROUND(100*('Beállítások'!$E$30*(Z157-1)+'Beállítások'!$E$31*(AA157-1)+'Beállítások'!$E$32*(AB157-1)+'Beállítások'!$E$33*(AC157-1)+'Beállítások'!$E$34*(AD157-1)+'Beállítások'!$E$35*(AE157-1)+'Beállítások'!$E$36*(AF157-1)+'Beállítások'!$E$37*(AG157-1)+'Beállítások'!$E$38*(AH157-1))/(9*'Beállítások'!$B$46),1))</f>
        <v/>
      </c>
      <c r="AM157" s="23">
        <f>IF($A157="","",ROUND(100*('Beállítások'!$E$6*(B157-1)+'Beállítások'!$E$7*(C157-1)+'Beállítások'!$E$8*(D157-1)+'Beállítások'!$E$9*(E157-1)+'Beállítások'!$E$10*(F157-1)+'Beállítások'!$E$11*(G157-1)+'Beállítások'!$E$12*(H157-1)+'Beállítások'!$E$13*(I157-1)+'Beállítások'!$E$14*(J157-1)+'Beállítások'!$E$15*(K157-1)+'Beállítások'!$E$16*(L157-1)+'Beállítások'!$E$17*(M157-1)+'Beállítások'!$E$18*(N157-1)+'Beállítások'!$E$19*(O157-1)+'Beállítások'!$E$20*(P157-1)+'Beállítások'!$E$21*(Q157-1)+'Beállítások'!$E$22*(R157-1)+'Beállítások'!$E$23*(S157-1)+'Beállítások'!$E$24*(T157-1)+'Beállítások'!$E$25*(U157-1)+'Beállítások'!$E$26*(V157-1)+'Beállítások'!$E$27*(W157-1)+'Beállítások'!$E$28*(X157-1)+'Beállítások'!$E$29*(Y157-1)+'Beállítások'!$E$30*(Z157-1)+'Beállítások'!$E$31*(AA157-1)+'Beállítások'!$E$32*(AB157-1)+'Beállítások'!$E$33*(AC157-1)+'Beállítások'!$E$34*(AD157-1)+'Beállítások'!$E$35*(AE157-1)+'Beállítások'!$E$36*(AF157-1)+'Beállítások'!$E$37*(AG157-1)+'Beállítások'!$E$38*(AH157-1))/(9*'Beállítások'!$E$39),1))</f>
        <v/>
      </c>
      <c r="AN157" s="23">
        <f>IF($A157="","",ROUND(100*('Beállítások'!$E$8*(D157-1)+'Beállítások'!$E$9*(E157-1)+'Beállítások'!$E$10*(F157-1)+'Beállítások'!$E$11*(G157-1)+'Beállítások'!$E$12*(H157-1)+'Beállítások'!$E$13*(I157-1)+'Beállítások'!$E$14*(J157-1)+'Beállítások'!$E$15*(K157-1)+'Beállítások'!$E$16*(L157-1)+'Beállítások'!$E$17*(M157-1)+'Beállítások'!$E$18*(N157-1)+'Beállítások'!$E$19*(O157-1)+'Beállítások'!$E$20*(P157-1)+'Beállítások'!$E$21*(Q157-1)+'Beállítások'!$E$22*(R157-1)+'Beállítások'!$E$23*(S157-1)+'Beállítások'!$E$24*(T157-1)+'Beállítások'!$E$25*(U157-1)+'Beállítások'!$E$26*(V157-1)+'Beállítások'!$E$27*(W157-1)+'Beállítások'!$E$28*(X157-1)+'Beállítások'!$E$29*(Y157-1))/(9*('Beállítások'!$B$44+'Beállítások'!$B$45)),1))</f>
        <v/>
      </c>
      <c r="AO157" s="24">
        <f>IF($A157="","",RANK(AM157,$AM$2:$AM$201))</f>
        <v/>
      </c>
      <c r="AP157">
        <f>IF($A157="","",IF(OR(AND('Ügyfelek'!B157&lt;&gt;"",B157&lt;='Beállítások'!$B$85),AND('Ügyfelek'!C157&lt;&gt;"",C157&lt;='Beállítások'!$B$86)),"Igen","Nem"))</f>
        <v/>
      </c>
      <c r="AQ157" s="24">
        <f>IF($A157="","",IF(AP157="Igen",5,IF(AN157&gt;='Beállítások'!$C$108,1,IF(AN157&gt;='Beállítások'!$C$109,2,IF(AN157&gt;='Beállítások'!$C$110,3,IF(AND(AN157&gt;='Beállítások'!$B$87,AI157&gt;='Beállítások'!$B$88,AL157&gt;='Beállítások'!$B$89),4,5))))))</f>
        <v/>
      </c>
      <c r="AR157">
        <f>IF($A157="","",INDEX('Beállítások'!$B$108:$B$112,AQ157))</f>
        <v/>
      </c>
      <c r="AS157">
        <f>IF($A157="","",IF(AQ157=5,"Elutasítjuk",IF(AND(AQ157=4,COUNTIFS('Eredmény'!$AQ$2:$AQ$201,4,'Eredmény'!$DY$2:$DY$201,"&gt;"&amp;DY157)&gt;='Beállítások'!$B$90),"Várólista (a 4-es hely foglalt)","Elfogadjuk")))</f>
        <v/>
      </c>
      <c r="AT157">
        <f>IF($A157="","",INDEX('Beállítások'!$F$108:$F$112,AQ157))</f>
        <v/>
      </c>
      <c r="AU157">
        <f>IF($A157="","",INDEX('Beállítások'!$B$6:$B$38,MATCH(MAX(BK157:CQ157),BK157:CQ157,0)))</f>
        <v/>
      </c>
      <c r="AV157">
        <f>IF($A157="","",IF(MAX(CR157:DX157)=0,"—",INDEX('Beállítások'!$B$6:$B$38,MATCH(MAX(CR157:DX157),CR157:DX157,0))))</f>
        <v/>
      </c>
      <c r="AW157" s="10">
        <f>IF($A157="","",'Beállítások'!$B$94*(TRIM('Ügyfelek'!AI157)="igen")+'Beállítások'!$B$95*(TRIM('Ügyfelek'!AJ157)="igen")+'Beállítások'!$B$96*N('Ügyfelek'!AK157)+'Beállítások'!$B$93*N('Ügyfelek'!AL157))</f>
        <v/>
      </c>
      <c r="AX157" s="25">
        <f>IF(OR($A157="",AQ157=5),"",INDEX('Beállítások'!$D$108:$D$112,AQ157))</f>
        <v/>
      </c>
      <c r="AY157" s="10">
        <f>IF($A157="","",N('Ügyfelek'!U157)*'Beállítások'!$B$98)</f>
        <v/>
      </c>
      <c r="AZ157" s="10">
        <f>IF(OR($A157="",AQ157=5),"",CEILING(ROUND(MAX('Beállítások'!$B$97,AW157*AX157,AY157),2),'Beállítások'!$B$99))</f>
        <v/>
      </c>
      <c r="BA157">
        <f>IF($A157="","",IF(AQ157=5,"Elutasítva",IF(MAX('Beállítások'!$B$97,AW157*AX157,AY157)=AW157*AX157,"Munkaigény × státuszszorzó",IF(MAX('Beállítások'!$B$97,AW157*AX157,AY157)=AY157,"Hirdetési keret arányában","Minimumdíj"))))</f>
        <v/>
      </c>
      <c r="BB157" s="10">
        <f>IF(OR($A157="",'Ügyfelek'!AM157=""),"",'Ügyfelek'!AM157)</f>
        <v/>
      </c>
      <c r="BC157" s="10">
        <f>IF(OR(BB157="",AZ157=""),"",AZ157-BB157)</f>
        <v/>
      </c>
      <c r="BD157" s="18">
        <f>IF(OR(BB157="",AZ157="",BB157=0),"",BC157/BB157)</f>
        <v/>
      </c>
      <c r="BE157">
        <f>IF(OR($A157="",AQ157=5),"",IF(AND(INDEX('Beállítások'!$E$108:$E$112,AQ157)&gt;0,Y157&gt;='Beállítások'!$B$91),"Igen","Nem"))</f>
        <v/>
      </c>
      <c r="BF157" s="10">
        <f>IF(BE157="Igen",CEILING(ROUND(AZ157*(1-'Beállítások'!$B$92),2),'Beállítások'!$B$99),"")</f>
        <v/>
      </c>
      <c r="BG157" s="20">
        <f>IF(BE157="Igen",INDEX('Beállítások'!$E$108:$E$112,AQ157),"")</f>
        <v/>
      </c>
      <c r="BH157" s="10">
        <f>IF(OR(BE157&lt;&gt;"Igen",'Ügyfelek'!AN157=""),"",'Ügyfelek'!AN157*BG157)</f>
        <v/>
      </c>
      <c r="BI157" s="24">
        <f>IF($A157="","",('Ügyfelek'!B157="")+('Ügyfelek'!C157="")+('Ügyfelek'!D157="")+('Ügyfelek'!E157="")+('Ügyfelek'!F157="")+('Ügyfelek'!G157="")+('Ügyfelek'!H157="")+('Ügyfelek'!I157="")+('Ügyfelek'!J157="")+('Ügyfelek'!K157="")+('Ügyfelek'!L157="")+('Ügyfelek'!M157="")+('Ügyfelek'!N157="")+('Ügyfelek'!O157="")+('Ügyfelek'!P157="")+('Ügyfelek'!Q157="")+('Ügyfelek'!R157="")+('Ügyfelek'!S157="")+('Ügyfelek'!T157="")+('Ügyfelek'!U157="")+('Ügyfelek'!V157="")+('Ügyfelek'!W157="")+('Ügyfelek'!X157="")+('Ügyfelek'!Y157="")+('Ügyfelek'!Z157="")+('Ügyfelek'!AA157="")+('Ügyfelek'!AB157="")+('Ügyfelek'!AC157="")+('Ügyfelek'!AD157="")+('Ügyfelek'!AE157="")+('Ügyfelek'!AF157="")+('Ügyfelek'!AG157="")+('Ügyfelek'!AH157=""))</f>
        <v/>
      </c>
      <c r="BK157">
        <f>IF($A157="","",B157+'Beállítások'!$E$6/1000)</f>
        <v/>
      </c>
      <c r="BL157">
        <f>IF($A157="","",C157+'Beállítások'!$E$7/1000)</f>
        <v/>
      </c>
      <c r="BM157">
        <f>IF($A157="","",D157+'Beállítások'!$E$8/1000)</f>
        <v/>
      </c>
      <c r="BN157">
        <f>IF($A157="","",E157+'Beállítások'!$E$9/1000)</f>
        <v/>
      </c>
      <c r="BO157">
        <f>IF($A157="","",F157+'Beállítások'!$E$10/1000)</f>
        <v/>
      </c>
      <c r="BP157">
        <f>IF($A157="","",G157+'Beállítások'!$E$11/1000)</f>
        <v/>
      </c>
      <c r="BQ157">
        <f>IF($A157="","",H157+'Beállítások'!$E$12/1000)</f>
        <v/>
      </c>
      <c r="BR157">
        <f>IF($A157="","",I157+'Beállítások'!$E$13/1000)</f>
        <v/>
      </c>
      <c r="BS157">
        <f>IF($A157="","",J157+'Beállítások'!$E$14/1000)</f>
        <v/>
      </c>
      <c r="BT157">
        <f>IF($A157="","",K157+'Beállítások'!$E$15/1000)</f>
        <v/>
      </c>
      <c r="BU157">
        <f>IF($A157="","",L157+'Beállítások'!$E$16/1000)</f>
        <v/>
      </c>
      <c r="BV157">
        <f>IF($A157="","",M157+'Beállítások'!$E$17/1000)</f>
        <v/>
      </c>
      <c r="BW157">
        <f>IF($A157="","",N157+'Beállítások'!$E$18/1000)</f>
        <v/>
      </c>
      <c r="BX157">
        <f>IF($A157="","",O157+'Beállítások'!$E$19/1000)</f>
        <v/>
      </c>
      <c r="BY157">
        <f>IF($A157="","",P157+'Beállítások'!$E$20/1000)</f>
        <v/>
      </c>
      <c r="BZ157">
        <f>IF($A157="","",Q157+'Beállítások'!$E$21/1000)</f>
        <v/>
      </c>
      <c r="CA157">
        <f>IF($A157="","",R157+'Beállítások'!$E$22/1000)</f>
        <v/>
      </c>
      <c r="CB157">
        <f>IF($A157="","",S157+'Beállítások'!$E$23/1000)</f>
        <v/>
      </c>
      <c r="CC157">
        <f>IF($A157="","",T157+'Beállítások'!$E$24/1000)</f>
        <v/>
      </c>
      <c r="CD157">
        <f>IF($A157="","",U157+'Beállítások'!$E$25/1000)</f>
        <v/>
      </c>
      <c r="CE157">
        <f>IF($A157="","",V157+'Beállítások'!$E$26/1000)</f>
        <v/>
      </c>
      <c r="CF157">
        <f>IF($A157="","",W157+'Beállítások'!$E$27/1000)</f>
        <v/>
      </c>
      <c r="CG157">
        <f>IF($A157="","",X157+'Beállítások'!$E$28/1000)</f>
        <v/>
      </c>
      <c r="CH157">
        <f>IF($A157="","",Y157+'Beállítások'!$E$29/1000)</f>
        <v/>
      </c>
      <c r="CI157">
        <f>IF($A157="","",Z157+'Beállítások'!$E$30/1000)</f>
        <v/>
      </c>
      <c r="CJ157">
        <f>IF($A157="","",AA157+'Beállítások'!$E$31/1000)</f>
        <v/>
      </c>
      <c r="CK157">
        <f>IF($A157="","",AB157+'Beállítások'!$E$32/1000)</f>
        <v/>
      </c>
      <c r="CL157">
        <f>IF($A157="","",AC157+'Beállítások'!$E$33/1000)</f>
        <v/>
      </c>
      <c r="CM157">
        <f>IF($A157="","",AD157+'Beállítások'!$E$34/1000)</f>
        <v/>
      </c>
      <c r="CN157">
        <f>IF($A157="","",AE157+'Beállítások'!$E$35/1000)</f>
        <v/>
      </c>
      <c r="CO157">
        <f>IF($A157="","",AF157+'Beállítások'!$E$36/1000)</f>
        <v/>
      </c>
      <c r="CP157">
        <f>IF($A157="","",AG157+'Beállítások'!$E$37/1000)</f>
        <v/>
      </c>
      <c r="CQ157">
        <f>IF($A157="","",AH157+'Beállítások'!$E$38/1000)</f>
        <v/>
      </c>
      <c r="CR157">
        <f>IF($A157="","",'Beállítások'!$E$6*(10-B157))</f>
        <v/>
      </c>
      <c r="CS157">
        <f>IF($A157="","",'Beállítások'!$E$7*(10-C157))</f>
        <v/>
      </c>
      <c r="CT157">
        <f>IF($A157="","",'Beállítások'!$E$8*(10-D157))</f>
        <v/>
      </c>
      <c r="CU157">
        <f>IF($A157="","",'Beállítások'!$E$9*(10-E157))</f>
        <v/>
      </c>
      <c r="CV157">
        <f>IF($A157="","",'Beállítások'!$E$10*(10-F157))</f>
        <v/>
      </c>
      <c r="CW157">
        <f>IF($A157="","",'Beállítások'!$E$11*(10-G157))</f>
        <v/>
      </c>
      <c r="CX157">
        <f>IF($A157="","",'Beállítások'!$E$12*(10-H157))</f>
        <v/>
      </c>
      <c r="CY157">
        <f>IF($A157="","",'Beállítások'!$E$13*(10-I157))</f>
        <v/>
      </c>
      <c r="CZ157">
        <f>IF($A157="","",'Beállítások'!$E$14*(10-J157))</f>
        <v/>
      </c>
      <c r="DA157">
        <f>IF($A157="","",'Beállítások'!$E$15*(10-K157))</f>
        <v/>
      </c>
      <c r="DB157">
        <f>IF($A157="","",'Beállítások'!$E$16*(10-L157))</f>
        <v/>
      </c>
      <c r="DC157">
        <f>IF($A157="","",'Beállítások'!$E$17*(10-M157))</f>
        <v/>
      </c>
      <c r="DD157">
        <f>IF($A157="","",'Beállítások'!$E$18*(10-N157))</f>
        <v/>
      </c>
      <c r="DE157">
        <f>IF($A157="","",'Beállítások'!$E$19*(10-O157))</f>
        <v/>
      </c>
      <c r="DF157">
        <f>IF($A157="","",'Beállítások'!$E$20*(10-P157))</f>
        <v/>
      </c>
      <c r="DG157">
        <f>IF($A157="","",'Beállítások'!$E$21*(10-Q157))</f>
        <v/>
      </c>
      <c r="DH157">
        <f>IF($A157="","",'Beállítások'!$E$22*(10-R157))</f>
        <v/>
      </c>
      <c r="DI157">
        <f>IF($A157="","",'Beállítások'!$E$23*(10-S157))</f>
        <v/>
      </c>
      <c r="DJ157">
        <f>IF($A157="","",'Beállítások'!$E$24*(10-T157))</f>
        <v/>
      </c>
      <c r="DK157">
        <f>IF($A157="","",'Beállítások'!$E$25*(10-U157))</f>
        <v/>
      </c>
      <c r="DL157">
        <f>IF($A157="","",'Beállítások'!$E$26*(10-V157))</f>
        <v/>
      </c>
      <c r="DM157">
        <f>IF($A157="","",'Beállítások'!$E$27*(10-W157))</f>
        <v/>
      </c>
      <c r="DN157">
        <f>IF($A157="","",'Beállítások'!$E$28*(10-X157))</f>
        <v/>
      </c>
      <c r="DO157">
        <f>IF($A157="","",'Beállítások'!$E$29*(10-Y157))</f>
        <v/>
      </c>
      <c r="DP157">
        <f>IF($A157="","",'Beállítások'!$E$30*(10-Z157))</f>
        <v/>
      </c>
      <c r="DQ157">
        <f>IF($A157="","",'Beállítások'!$E$31*(10-AA157))</f>
        <v/>
      </c>
      <c r="DR157">
        <f>IF($A157="","",'Beállítások'!$E$32*(10-AB157))</f>
        <v/>
      </c>
      <c r="DS157">
        <f>IF($A157="","",'Beállítások'!$E$33*(10-AC157))</f>
        <v/>
      </c>
      <c r="DT157">
        <f>IF($A157="","",'Beállítások'!$E$34*(10-AD157))</f>
        <v/>
      </c>
      <c r="DU157">
        <f>IF($A157="","",'Beállítások'!$E$35*(10-AE157))</f>
        <v/>
      </c>
      <c r="DV157">
        <f>IF($A157="","",'Beállítások'!$E$36*(10-AF157))</f>
        <v/>
      </c>
      <c r="DW157">
        <f>IF($A157="","",'Beállítások'!$E$37*(10-AG157))</f>
        <v/>
      </c>
      <c r="DX157">
        <f>IF($A157="","",'Beállítások'!$E$38*(10-AH157))</f>
        <v/>
      </c>
      <c r="DY157">
        <f>IF($A157="","",AM157-ROW()/100000)</f>
        <v/>
      </c>
    </row>
    <row r="158">
      <c r="A158">
        <f>IF('Ügyfelek'!A158="","",'Ügyfelek'!A158)</f>
        <v/>
      </c>
      <c r="B158">
        <f>IF($A158="","",IF('Ügyfelek'!B158="",'Beállítások'!$B$84,IFERROR(VLOOKUP(TRIM('Ügyfelek'!B158),'Beállítások'!$A$51:$B$59,2,FALSE),'Beállítások'!$B$84)))</f>
        <v/>
      </c>
      <c r="C158">
        <f>IF($A158="","",IF('Ügyfelek'!C158="",'Beállítások'!$B$84,MIN(10,MAX(1,ROUND('Ügyfelek'!C158,0)))))</f>
        <v/>
      </c>
      <c r="D158">
        <f>IF($A158="","",IF('Ügyfelek'!D158="",'Beállítások'!$B$84,MIN(10,MAX(1,ROUND('Ügyfelek'!D158,0)))))</f>
        <v/>
      </c>
      <c r="E158">
        <f>IF($A158="","",IF('Ügyfelek'!E158="",'Beállítások'!$B$84,MIN(10,MAX(1,ROUND('Ügyfelek'!E158,0)))))</f>
        <v/>
      </c>
      <c r="F158">
        <f>IF($A158="","",IF('Ügyfelek'!F158="",'Beállítások'!$B$84,MIN(10,MAX(1,ROUND('Ügyfelek'!F158,0)))))</f>
        <v/>
      </c>
      <c r="G158">
        <f>IF($A158="","",IF('Ügyfelek'!G158="",'Beállítások'!$B$84,MIN(10,MAX(1,ROUND('Ügyfelek'!G158,0)))))</f>
        <v/>
      </c>
      <c r="H158">
        <f>IF($A158="","",IF('Ügyfelek'!H158="",'Beállítások'!$B$84,MIN(10,MAX(1,ROUND('Ügyfelek'!H158,0)))))</f>
        <v/>
      </c>
      <c r="I158">
        <f>IF($A158="","",IF('Ügyfelek'!I158="",'Beállítások'!$B$84,MIN(10,MAX(1,ROUND('Ügyfelek'!I158,0)))))</f>
        <v/>
      </c>
      <c r="J158">
        <f>IF($A158="","",IF('Ügyfelek'!J158="",'Beállítások'!$B$84,MIN(10,MAX(1,ROUND('Ügyfelek'!J158,0)))))</f>
        <v/>
      </c>
      <c r="K158">
        <f>IF($A158="","",IF('Ügyfelek'!K158="",'Beállítások'!$B$84,MIN(10,MAX(1,ROUND('Ügyfelek'!K158,0)))))</f>
        <v/>
      </c>
      <c r="L158">
        <f>IF($A158="","",IF('Ügyfelek'!L158="",'Beállítások'!$B$84,MIN(10,MAX(1,ROUND('Ügyfelek'!L158,0)))))</f>
        <v/>
      </c>
      <c r="M158">
        <f>IF($A158="","",IF('Ügyfelek'!M158="",'Beállítások'!$B$84,MIN(10,MAX(1,ROUND('Ügyfelek'!M158,0)))))</f>
        <v/>
      </c>
      <c r="N158">
        <f>IF($A158="","",IF('Ügyfelek'!N158="",'Beállítások'!$B$84,MIN(10,MAX(1,ROUND('Ügyfelek'!N158,0)))))</f>
        <v/>
      </c>
      <c r="O158">
        <f>IF($A158="","",IF('Ügyfelek'!O158="",'Beállítások'!$B$84,MIN(10,MAX(1,ROUND('Ügyfelek'!O158,0)))))</f>
        <v/>
      </c>
      <c r="P158">
        <f>IF($A158="","",IF('Ügyfelek'!P158="",'Beállítások'!$B$84,MIN(10,MAX(1,ROUND('Ügyfelek'!P158,0)))))</f>
        <v/>
      </c>
      <c r="Q158">
        <f>IF($A158="","",IF('Ügyfelek'!Q158="",'Beállítások'!$B$84,MIN(10,MAX(1,ROUND('Ügyfelek'!Q158,0)))))</f>
        <v/>
      </c>
      <c r="R158">
        <f>IF($A158="","",IF('Ügyfelek'!R158="",'Beállítások'!$B$84,MIN(10,MAX(1,ROUND('Ügyfelek'!R158,0)))))</f>
        <v/>
      </c>
      <c r="S158">
        <f>IF($A158="","",IF('Ügyfelek'!S158="",'Beállítások'!$B$84,MIN(10,MAX(1,ROUND('Ügyfelek'!S158,0)))))</f>
        <v/>
      </c>
      <c r="T158">
        <f>IF($A158="","",IF('Ügyfelek'!T158="",'Beállítások'!$B$84,VLOOKUP(MAX('Ügyfelek'!T158,'Beállítások'!$H$7),'Beállítások'!$H$7:$I$12,2,TRUE)))</f>
        <v/>
      </c>
      <c r="U158">
        <f>IF($A158="","",IF('Ügyfelek'!U158="",'Beállítások'!$B$84,VLOOKUP(MAX('Ügyfelek'!U158,'Beállítások'!$K$7),'Beállítások'!$K$7:$L$12,2,TRUE)))</f>
        <v/>
      </c>
      <c r="V158">
        <f>IF($A158="","",IF('Ügyfelek'!V158="",'Beállítások'!$B$84,MIN(10,MAX(1,ROUND('Ügyfelek'!V158,0)))))</f>
        <v/>
      </c>
      <c r="W158">
        <f>IF($A158="","",IF('Ügyfelek'!W158="",'Beállítások'!$B$84,VLOOKUP(MAX('Ügyfelek'!W158,'Beállítások'!$N$7),'Beállítások'!$N$7:$O$12,2,TRUE)))</f>
        <v/>
      </c>
      <c r="X158">
        <f>IF($A158="","",IF('Ügyfelek'!X158="",'Beállítások'!$B$84,MIN(10,MAX(1,ROUND('Ügyfelek'!X158,0)))))</f>
        <v/>
      </c>
      <c r="Y158">
        <f>IF($A158="","",IF('Ügyfelek'!Y158="",'Beállítások'!$B$84,IFERROR(VLOOKUP(TRIM('Ügyfelek'!Y158),'Beállítások'!$A$63:$B$69,2,FALSE),'Beállítások'!$B$84)))</f>
        <v/>
      </c>
      <c r="Z158">
        <f>IF($A158="","",IF('Ügyfelek'!Z158="",'Beállítások'!$B$84,VLOOKUP(MAX('Ügyfelek'!Z158,'Beállítások'!$Q$7),'Beállítások'!$Q$7:$R$12,2,TRUE)))</f>
        <v/>
      </c>
      <c r="AA158">
        <f>IF($A158="","",IF('Ügyfelek'!AA158="",'Beállítások'!$B$84,VLOOKUP(MAX('Ügyfelek'!AA158,'Beállítások'!$T$7),'Beállítások'!$T$7:$U$12,2,TRUE)))</f>
        <v/>
      </c>
      <c r="AB158">
        <f>IF($A158="","",IF('Ügyfelek'!AB158="",'Beállítások'!$B$84,MIN(10,MAX(1,ROUND('Ügyfelek'!AB158,0)))))</f>
        <v/>
      </c>
      <c r="AC158">
        <f>IF($A158="","",IF('Ügyfelek'!AC158="",'Beállítások'!$B$84,MIN(10,MAX(1,ROUND('Ügyfelek'!AC158,0)))))</f>
        <v/>
      </c>
      <c r="AD158">
        <f>IF($A158="","",IF('Ügyfelek'!AD158="",'Beállítások'!$B$84,MIN(10,MAX(1,ROUND('Ügyfelek'!AD158,0)))))</f>
        <v/>
      </c>
      <c r="AE158">
        <f>IF($A158="","",IF('Ügyfelek'!AE158="",'Beállítások'!$B$84,MIN(10,MAX(1,ROUND('Ügyfelek'!AE158,0)))))</f>
        <v/>
      </c>
      <c r="AF158">
        <f>IF($A158="","",IF('Ügyfelek'!AF158="",'Beállítások'!$B$84,MIN(10,MAX(1,ROUND('Ügyfelek'!AF158,0)))))</f>
        <v/>
      </c>
      <c r="AG158">
        <f>IF($A158="","",IF('Ügyfelek'!AG158="",'Beállítások'!$B$84,MIN(10,MAX(1,ROUND('Ügyfelek'!AG158,0)))))</f>
        <v/>
      </c>
      <c r="AH158">
        <f>IF($A158="","",IF('Ügyfelek'!AH158="",'Beállítások'!$B$84,IFERROR(VLOOKUP(TRIM('Ügyfelek'!AH158),'Beállítások'!$A$73:$B$79,2,FALSE),'Beállítások'!$B$84)))</f>
        <v/>
      </c>
      <c r="AI158" s="23">
        <f>IF($A158="","",ROUND(100*('Beállítások'!$E$6*(B158-1)+'Beállítások'!$E$7*(C158-1))/(9*'Beállítások'!$B$43),1))</f>
        <v/>
      </c>
      <c r="AJ158" s="23">
        <f>IF($A158="","",ROUND(100*('Beállítások'!$E$8*(D158-1)+'Beállítások'!$E$9*(E158-1)+'Beállítások'!$E$10*(F158-1)+'Beállítások'!$E$11*(G158-1)+'Beállítások'!$E$12*(H158-1)+'Beállítások'!$E$13*(I158-1)+'Beállítások'!$E$14*(J158-1)+'Beállítások'!$E$15*(K158-1)+'Beállítások'!$E$16*(L158-1)+'Beállítások'!$E$17*(M158-1)+'Beállítások'!$E$18*(N158-1)+'Beállítások'!$E$19*(O158-1)+'Beállítások'!$E$20*(P158-1)+'Beállítások'!$E$21*(Q158-1)+'Beállítások'!$E$22*(R158-1))/(9*'Beállítások'!$B$44),1))</f>
        <v/>
      </c>
      <c r="AK158" s="23">
        <f>IF($A158="","",ROUND(100*('Beállítások'!$E$23*(S158-1)+'Beállítások'!$E$24*(T158-1)+'Beállítások'!$E$25*(U158-1)+'Beállítások'!$E$26*(V158-1)+'Beállítások'!$E$27*(W158-1)+'Beállítások'!$E$28*(X158-1)+'Beállítások'!$E$29*(Y158-1))/(9*'Beállítások'!$B$45),1))</f>
        <v/>
      </c>
      <c r="AL158" s="23">
        <f>IF($A158="","",ROUND(100*('Beállítások'!$E$30*(Z158-1)+'Beállítások'!$E$31*(AA158-1)+'Beállítások'!$E$32*(AB158-1)+'Beállítások'!$E$33*(AC158-1)+'Beállítások'!$E$34*(AD158-1)+'Beállítások'!$E$35*(AE158-1)+'Beállítások'!$E$36*(AF158-1)+'Beállítások'!$E$37*(AG158-1)+'Beállítások'!$E$38*(AH158-1))/(9*'Beállítások'!$B$46),1))</f>
        <v/>
      </c>
      <c r="AM158" s="23">
        <f>IF($A158="","",ROUND(100*('Beállítások'!$E$6*(B158-1)+'Beállítások'!$E$7*(C158-1)+'Beállítások'!$E$8*(D158-1)+'Beállítások'!$E$9*(E158-1)+'Beállítások'!$E$10*(F158-1)+'Beállítások'!$E$11*(G158-1)+'Beállítások'!$E$12*(H158-1)+'Beállítások'!$E$13*(I158-1)+'Beállítások'!$E$14*(J158-1)+'Beállítások'!$E$15*(K158-1)+'Beállítások'!$E$16*(L158-1)+'Beállítások'!$E$17*(M158-1)+'Beállítások'!$E$18*(N158-1)+'Beállítások'!$E$19*(O158-1)+'Beállítások'!$E$20*(P158-1)+'Beállítások'!$E$21*(Q158-1)+'Beállítások'!$E$22*(R158-1)+'Beállítások'!$E$23*(S158-1)+'Beállítások'!$E$24*(T158-1)+'Beállítások'!$E$25*(U158-1)+'Beállítások'!$E$26*(V158-1)+'Beállítások'!$E$27*(W158-1)+'Beállítások'!$E$28*(X158-1)+'Beállítások'!$E$29*(Y158-1)+'Beállítások'!$E$30*(Z158-1)+'Beállítások'!$E$31*(AA158-1)+'Beállítások'!$E$32*(AB158-1)+'Beállítások'!$E$33*(AC158-1)+'Beállítások'!$E$34*(AD158-1)+'Beállítások'!$E$35*(AE158-1)+'Beállítások'!$E$36*(AF158-1)+'Beállítások'!$E$37*(AG158-1)+'Beállítások'!$E$38*(AH158-1))/(9*'Beállítások'!$E$39),1))</f>
        <v/>
      </c>
      <c r="AN158" s="23">
        <f>IF($A158="","",ROUND(100*('Beállítások'!$E$8*(D158-1)+'Beállítások'!$E$9*(E158-1)+'Beállítások'!$E$10*(F158-1)+'Beállítások'!$E$11*(G158-1)+'Beállítások'!$E$12*(H158-1)+'Beállítások'!$E$13*(I158-1)+'Beállítások'!$E$14*(J158-1)+'Beállítások'!$E$15*(K158-1)+'Beállítások'!$E$16*(L158-1)+'Beállítások'!$E$17*(M158-1)+'Beállítások'!$E$18*(N158-1)+'Beállítások'!$E$19*(O158-1)+'Beállítások'!$E$20*(P158-1)+'Beállítások'!$E$21*(Q158-1)+'Beállítások'!$E$22*(R158-1)+'Beállítások'!$E$23*(S158-1)+'Beállítások'!$E$24*(T158-1)+'Beállítások'!$E$25*(U158-1)+'Beállítások'!$E$26*(V158-1)+'Beállítások'!$E$27*(W158-1)+'Beállítások'!$E$28*(X158-1)+'Beállítások'!$E$29*(Y158-1))/(9*('Beállítások'!$B$44+'Beállítások'!$B$45)),1))</f>
        <v/>
      </c>
      <c r="AO158" s="24">
        <f>IF($A158="","",RANK(AM158,$AM$2:$AM$201))</f>
        <v/>
      </c>
      <c r="AP158">
        <f>IF($A158="","",IF(OR(AND('Ügyfelek'!B158&lt;&gt;"",B158&lt;='Beállítások'!$B$85),AND('Ügyfelek'!C158&lt;&gt;"",C158&lt;='Beállítások'!$B$86)),"Igen","Nem"))</f>
        <v/>
      </c>
      <c r="AQ158" s="24">
        <f>IF($A158="","",IF(AP158="Igen",5,IF(AN158&gt;='Beállítások'!$C$108,1,IF(AN158&gt;='Beállítások'!$C$109,2,IF(AN158&gt;='Beállítások'!$C$110,3,IF(AND(AN158&gt;='Beállítások'!$B$87,AI158&gt;='Beállítások'!$B$88,AL158&gt;='Beállítások'!$B$89),4,5))))))</f>
        <v/>
      </c>
      <c r="AR158">
        <f>IF($A158="","",INDEX('Beállítások'!$B$108:$B$112,AQ158))</f>
        <v/>
      </c>
      <c r="AS158">
        <f>IF($A158="","",IF(AQ158=5,"Elutasítjuk",IF(AND(AQ158=4,COUNTIFS('Eredmény'!$AQ$2:$AQ$201,4,'Eredmény'!$DY$2:$DY$201,"&gt;"&amp;DY158)&gt;='Beállítások'!$B$90),"Várólista (a 4-es hely foglalt)","Elfogadjuk")))</f>
        <v/>
      </c>
      <c r="AT158">
        <f>IF($A158="","",INDEX('Beállítások'!$F$108:$F$112,AQ158))</f>
        <v/>
      </c>
      <c r="AU158">
        <f>IF($A158="","",INDEX('Beállítások'!$B$6:$B$38,MATCH(MAX(BK158:CQ158),BK158:CQ158,0)))</f>
        <v/>
      </c>
      <c r="AV158">
        <f>IF($A158="","",IF(MAX(CR158:DX158)=0,"—",INDEX('Beállítások'!$B$6:$B$38,MATCH(MAX(CR158:DX158),CR158:DX158,0))))</f>
        <v/>
      </c>
      <c r="AW158" s="10">
        <f>IF($A158="","",'Beállítások'!$B$94*(TRIM('Ügyfelek'!AI158)="igen")+'Beállítások'!$B$95*(TRIM('Ügyfelek'!AJ158)="igen")+'Beállítások'!$B$96*N('Ügyfelek'!AK158)+'Beállítások'!$B$93*N('Ügyfelek'!AL158))</f>
        <v/>
      </c>
      <c r="AX158" s="25">
        <f>IF(OR($A158="",AQ158=5),"",INDEX('Beállítások'!$D$108:$D$112,AQ158))</f>
        <v/>
      </c>
      <c r="AY158" s="10">
        <f>IF($A158="","",N('Ügyfelek'!U158)*'Beállítások'!$B$98)</f>
        <v/>
      </c>
      <c r="AZ158" s="10">
        <f>IF(OR($A158="",AQ158=5),"",CEILING(ROUND(MAX('Beállítások'!$B$97,AW158*AX158,AY158),2),'Beállítások'!$B$99))</f>
        <v/>
      </c>
      <c r="BA158">
        <f>IF($A158="","",IF(AQ158=5,"Elutasítva",IF(MAX('Beállítások'!$B$97,AW158*AX158,AY158)=AW158*AX158,"Munkaigény × státuszszorzó",IF(MAX('Beállítások'!$B$97,AW158*AX158,AY158)=AY158,"Hirdetési keret arányában","Minimumdíj"))))</f>
        <v/>
      </c>
      <c r="BB158" s="10">
        <f>IF(OR($A158="",'Ügyfelek'!AM158=""),"",'Ügyfelek'!AM158)</f>
        <v/>
      </c>
      <c r="BC158" s="10">
        <f>IF(OR(BB158="",AZ158=""),"",AZ158-BB158)</f>
        <v/>
      </c>
      <c r="BD158" s="18">
        <f>IF(OR(BB158="",AZ158="",BB158=0),"",BC158/BB158)</f>
        <v/>
      </c>
      <c r="BE158">
        <f>IF(OR($A158="",AQ158=5),"",IF(AND(INDEX('Beállítások'!$E$108:$E$112,AQ158)&gt;0,Y158&gt;='Beállítások'!$B$91),"Igen","Nem"))</f>
        <v/>
      </c>
      <c r="BF158" s="10">
        <f>IF(BE158="Igen",CEILING(ROUND(AZ158*(1-'Beállítások'!$B$92),2),'Beállítások'!$B$99),"")</f>
        <v/>
      </c>
      <c r="BG158" s="20">
        <f>IF(BE158="Igen",INDEX('Beállítások'!$E$108:$E$112,AQ158),"")</f>
        <v/>
      </c>
      <c r="BH158" s="10">
        <f>IF(OR(BE158&lt;&gt;"Igen",'Ügyfelek'!AN158=""),"",'Ügyfelek'!AN158*BG158)</f>
        <v/>
      </c>
      <c r="BI158" s="24">
        <f>IF($A158="","",('Ügyfelek'!B158="")+('Ügyfelek'!C158="")+('Ügyfelek'!D158="")+('Ügyfelek'!E158="")+('Ügyfelek'!F158="")+('Ügyfelek'!G158="")+('Ügyfelek'!H158="")+('Ügyfelek'!I158="")+('Ügyfelek'!J158="")+('Ügyfelek'!K158="")+('Ügyfelek'!L158="")+('Ügyfelek'!M158="")+('Ügyfelek'!N158="")+('Ügyfelek'!O158="")+('Ügyfelek'!P158="")+('Ügyfelek'!Q158="")+('Ügyfelek'!R158="")+('Ügyfelek'!S158="")+('Ügyfelek'!T158="")+('Ügyfelek'!U158="")+('Ügyfelek'!V158="")+('Ügyfelek'!W158="")+('Ügyfelek'!X158="")+('Ügyfelek'!Y158="")+('Ügyfelek'!Z158="")+('Ügyfelek'!AA158="")+('Ügyfelek'!AB158="")+('Ügyfelek'!AC158="")+('Ügyfelek'!AD158="")+('Ügyfelek'!AE158="")+('Ügyfelek'!AF158="")+('Ügyfelek'!AG158="")+('Ügyfelek'!AH158=""))</f>
        <v/>
      </c>
      <c r="BK158">
        <f>IF($A158="","",B158+'Beállítások'!$E$6/1000)</f>
        <v/>
      </c>
      <c r="BL158">
        <f>IF($A158="","",C158+'Beállítások'!$E$7/1000)</f>
        <v/>
      </c>
      <c r="BM158">
        <f>IF($A158="","",D158+'Beállítások'!$E$8/1000)</f>
        <v/>
      </c>
      <c r="BN158">
        <f>IF($A158="","",E158+'Beállítások'!$E$9/1000)</f>
        <v/>
      </c>
      <c r="BO158">
        <f>IF($A158="","",F158+'Beállítások'!$E$10/1000)</f>
        <v/>
      </c>
      <c r="BP158">
        <f>IF($A158="","",G158+'Beállítások'!$E$11/1000)</f>
        <v/>
      </c>
      <c r="BQ158">
        <f>IF($A158="","",H158+'Beállítások'!$E$12/1000)</f>
        <v/>
      </c>
      <c r="BR158">
        <f>IF($A158="","",I158+'Beállítások'!$E$13/1000)</f>
        <v/>
      </c>
      <c r="BS158">
        <f>IF($A158="","",J158+'Beállítások'!$E$14/1000)</f>
        <v/>
      </c>
      <c r="BT158">
        <f>IF($A158="","",K158+'Beállítások'!$E$15/1000)</f>
        <v/>
      </c>
      <c r="BU158">
        <f>IF($A158="","",L158+'Beállítások'!$E$16/1000)</f>
        <v/>
      </c>
      <c r="BV158">
        <f>IF($A158="","",M158+'Beállítások'!$E$17/1000)</f>
        <v/>
      </c>
      <c r="BW158">
        <f>IF($A158="","",N158+'Beállítások'!$E$18/1000)</f>
        <v/>
      </c>
      <c r="BX158">
        <f>IF($A158="","",O158+'Beállítások'!$E$19/1000)</f>
        <v/>
      </c>
      <c r="BY158">
        <f>IF($A158="","",P158+'Beállítások'!$E$20/1000)</f>
        <v/>
      </c>
      <c r="BZ158">
        <f>IF($A158="","",Q158+'Beállítások'!$E$21/1000)</f>
        <v/>
      </c>
      <c r="CA158">
        <f>IF($A158="","",R158+'Beállítások'!$E$22/1000)</f>
        <v/>
      </c>
      <c r="CB158">
        <f>IF($A158="","",S158+'Beállítások'!$E$23/1000)</f>
        <v/>
      </c>
      <c r="CC158">
        <f>IF($A158="","",T158+'Beállítások'!$E$24/1000)</f>
        <v/>
      </c>
      <c r="CD158">
        <f>IF($A158="","",U158+'Beállítások'!$E$25/1000)</f>
        <v/>
      </c>
      <c r="CE158">
        <f>IF($A158="","",V158+'Beállítások'!$E$26/1000)</f>
        <v/>
      </c>
      <c r="CF158">
        <f>IF($A158="","",W158+'Beállítások'!$E$27/1000)</f>
        <v/>
      </c>
      <c r="CG158">
        <f>IF($A158="","",X158+'Beállítások'!$E$28/1000)</f>
        <v/>
      </c>
      <c r="CH158">
        <f>IF($A158="","",Y158+'Beállítások'!$E$29/1000)</f>
        <v/>
      </c>
      <c r="CI158">
        <f>IF($A158="","",Z158+'Beállítások'!$E$30/1000)</f>
        <v/>
      </c>
      <c r="CJ158">
        <f>IF($A158="","",AA158+'Beállítások'!$E$31/1000)</f>
        <v/>
      </c>
      <c r="CK158">
        <f>IF($A158="","",AB158+'Beállítások'!$E$32/1000)</f>
        <v/>
      </c>
      <c r="CL158">
        <f>IF($A158="","",AC158+'Beállítások'!$E$33/1000)</f>
        <v/>
      </c>
      <c r="CM158">
        <f>IF($A158="","",AD158+'Beállítások'!$E$34/1000)</f>
        <v/>
      </c>
      <c r="CN158">
        <f>IF($A158="","",AE158+'Beállítások'!$E$35/1000)</f>
        <v/>
      </c>
      <c r="CO158">
        <f>IF($A158="","",AF158+'Beállítások'!$E$36/1000)</f>
        <v/>
      </c>
      <c r="CP158">
        <f>IF($A158="","",AG158+'Beállítások'!$E$37/1000)</f>
        <v/>
      </c>
      <c r="CQ158">
        <f>IF($A158="","",AH158+'Beállítások'!$E$38/1000)</f>
        <v/>
      </c>
      <c r="CR158">
        <f>IF($A158="","",'Beállítások'!$E$6*(10-B158))</f>
        <v/>
      </c>
      <c r="CS158">
        <f>IF($A158="","",'Beállítások'!$E$7*(10-C158))</f>
        <v/>
      </c>
      <c r="CT158">
        <f>IF($A158="","",'Beállítások'!$E$8*(10-D158))</f>
        <v/>
      </c>
      <c r="CU158">
        <f>IF($A158="","",'Beállítások'!$E$9*(10-E158))</f>
        <v/>
      </c>
      <c r="CV158">
        <f>IF($A158="","",'Beállítások'!$E$10*(10-F158))</f>
        <v/>
      </c>
      <c r="CW158">
        <f>IF($A158="","",'Beállítások'!$E$11*(10-G158))</f>
        <v/>
      </c>
      <c r="CX158">
        <f>IF($A158="","",'Beállítások'!$E$12*(10-H158))</f>
        <v/>
      </c>
      <c r="CY158">
        <f>IF($A158="","",'Beállítások'!$E$13*(10-I158))</f>
        <v/>
      </c>
      <c r="CZ158">
        <f>IF($A158="","",'Beállítások'!$E$14*(10-J158))</f>
        <v/>
      </c>
      <c r="DA158">
        <f>IF($A158="","",'Beállítások'!$E$15*(10-K158))</f>
        <v/>
      </c>
      <c r="DB158">
        <f>IF($A158="","",'Beállítások'!$E$16*(10-L158))</f>
        <v/>
      </c>
      <c r="DC158">
        <f>IF($A158="","",'Beállítások'!$E$17*(10-M158))</f>
        <v/>
      </c>
      <c r="DD158">
        <f>IF($A158="","",'Beállítások'!$E$18*(10-N158))</f>
        <v/>
      </c>
      <c r="DE158">
        <f>IF($A158="","",'Beállítások'!$E$19*(10-O158))</f>
        <v/>
      </c>
      <c r="DF158">
        <f>IF($A158="","",'Beállítások'!$E$20*(10-P158))</f>
        <v/>
      </c>
      <c r="DG158">
        <f>IF($A158="","",'Beállítások'!$E$21*(10-Q158))</f>
        <v/>
      </c>
      <c r="DH158">
        <f>IF($A158="","",'Beállítások'!$E$22*(10-R158))</f>
        <v/>
      </c>
      <c r="DI158">
        <f>IF($A158="","",'Beállítások'!$E$23*(10-S158))</f>
        <v/>
      </c>
      <c r="DJ158">
        <f>IF($A158="","",'Beállítások'!$E$24*(10-T158))</f>
        <v/>
      </c>
      <c r="DK158">
        <f>IF($A158="","",'Beállítások'!$E$25*(10-U158))</f>
        <v/>
      </c>
      <c r="DL158">
        <f>IF($A158="","",'Beállítások'!$E$26*(10-V158))</f>
        <v/>
      </c>
      <c r="DM158">
        <f>IF($A158="","",'Beállítások'!$E$27*(10-W158))</f>
        <v/>
      </c>
      <c r="DN158">
        <f>IF($A158="","",'Beállítások'!$E$28*(10-X158))</f>
        <v/>
      </c>
      <c r="DO158">
        <f>IF($A158="","",'Beállítások'!$E$29*(10-Y158))</f>
        <v/>
      </c>
      <c r="DP158">
        <f>IF($A158="","",'Beállítások'!$E$30*(10-Z158))</f>
        <v/>
      </c>
      <c r="DQ158">
        <f>IF($A158="","",'Beállítások'!$E$31*(10-AA158))</f>
        <v/>
      </c>
      <c r="DR158">
        <f>IF($A158="","",'Beállítások'!$E$32*(10-AB158))</f>
        <v/>
      </c>
      <c r="DS158">
        <f>IF($A158="","",'Beállítások'!$E$33*(10-AC158))</f>
        <v/>
      </c>
      <c r="DT158">
        <f>IF($A158="","",'Beállítások'!$E$34*(10-AD158))</f>
        <v/>
      </c>
      <c r="DU158">
        <f>IF($A158="","",'Beállítások'!$E$35*(10-AE158))</f>
        <v/>
      </c>
      <c r="DV158">
        <f>IF($A158="","",'Beállítások'!$E$36*(10-AF158))</f>
        <v/>
      </c>
      <c r="DW158">
        <f>IF($A158="","",'Beállítások'!$E$37*(10-AG158))</f>
        <v/>
      </c>
      <c r="DX158">
        <f>IF($A158="","",'Beállítások'!$E$38*(10-AH158))</f>
        <v/>
      </c>
      <c r="DY158">
        <f>IF($A158="","",AM158-ROW()/100000)</f>
        <v/>
      </c>
    </row>
    <row r="159">
      <c r="A159">
        <f>IF('Ügyfelek'!A159="","",'Ügyfelek'!A159)</f>
        <v/>
      </c>
      <c r="B159">
        <f>IF($A159="","",IF('Ügyfelek'!B159="",'Beállítások'!$B$84,IFERROR(VLOOKUP(TRIM('Ügyfelek'!B159),'Beállítások'!$A$51:$B$59,2,FALSE),'Beállítások'!$B$84)))</f>
        <v/>
      </c>
      <c r="C159">
        <f>IF($A159="","",IF('Ügyfelek'!C159="",'Beállítások'!$B$84,MIN(10,MAX(1,ROUND('Ügyfelek'!C159,0)))))</f>
        <v/>
      </c>
      <c r="D159">
        <f>IF($A159="","",IF('Ügyfelek'!D159="",'Beállítások'!$B$84,MIN(10,MAX(1,ROUND('Ügyfelek'!D159,0)))))</f>
        <v/>
      </c>
      <c r="E159">
        <f>IF($A159="","",IF('Ügyfelek'!E159="",'Beállítások'!$B$84,MIN(10,MAX(1,ROUND('Ügyfelek'!E159,0)))))</f>
        <v/>
      </c>
      <c r="F159">
        <f>IF($A159="","",IF('Ügyfelek'!F159="",'Beállítások'!$B$84,MIN(10,MAX(1,ROUND('Ügyfelek'!F159,0)))))</f>
        <v/>
      </c>
      <c r="G159">
        <f>IF($A159="","",IF('Ügyfelek'!G159="",'Beállítások'!$B$84,MIN(10,MAX(1,ROUND('Ügyfelek'!G159,0)))))</f>
        <v/>
      </c>
      <c r="H159">
        <f>IF($A159="","",IF('Ügyfelek'!H159="",'Beállítások'!$B$84,MIN(10,MAX(1,ROUND('Ügyfelek'!H159,0)))))</f>
        <v/>
      </c>
      <c r="I159">
        <f>IF($A159="","",IF('Ügyfelek'!I159="",'Beállítások'!$B$84,MIN(10,MAX(1,ROUND('Ügyfelek'!I159,0)))))</f>
        <v/>
      </c>
      <c r="J159">
        <f>IF($A159="","",IF('Ügyfelek'!J159="",'Beállítások'!$B$84,MIN(10,MAX(1,ROUND('Ügyfelek'!J159,0)))))</f>
        <v/>
      </c>
      <c r="K159">
        <f>IF($A159="","",IF('Ügyfelek'!K159="",'Beállítások'!$B$84,MIN(10,MAX(1,ROUND('Ügyfelek'!K159,0)))))</f>
        <v/>
      </c>
      <c r="L159">
        <f>IF($A159="","",IF('Ügyfelek'!L159="",'Beállítások'!$B$84,MIN(10,MAX(1,ROUND('Ügyfelek'!L159,0)))))</f>
        <v/>
      </c>
      <c r="M159">
        <f>IF($A159="","",IF('Ügyfelek'!M159="",'Beállítások'!$B$84,MIN(10,MAX(1,ROUND('Ügyfelek'!M159,0)))))</f>
        <v/>
      </c>
      <c r="N159">
        <f>IF($A159="","",IF('Ügyfelek'!N159="",'Beállítások'!$B$84,MIN(10,MAX(1,ROUND('Ügyfelek'!N159,0)))))</f>
        <v/>
      </c>
      <c r="O159">
        <f>IF($A159="","",IF('Ügyfelek'!O159="",'Beállítások'!$B$84,MIN(10,MAX(1,ROUND('Ügyfelek'!O159,0)))))</f>
        <v/>
      </c>
      <c r="P159">
        <f>IF($A159="","",IF('Ügyfelek'!P159="",'Beállítások'!$B$84,MIN(10,MAX(1,ROUND('Ügyfelek'!P159,0)))))</f>
        <v/>
      </c>
      <c r="Q159">
        <f>IF($A159="","",IF('Ügyfelek'!Q159="",'Beállítások'!$B$84,MIN(10,MAX(1,ROUND('Ügyfelek'!Q159,0)))))</f>
        <v/>
      </c>
      <c r="R159">
        <f>IF($A159="","",IF('Ügyfelek'!R159="",'Beállítások'!$B$84,MIN(10,MAX(1,ROUND('Ügyfelek'!R159,0)))))</f>
        <v/>
      </c>
      <c r="S159">
        <f>IF($A159="","",IF('Ügyfelek'!S159="",'Beállítások'!$B$84,MIN(10,MAX(1,ROUND('Ügyfelek'!S159,0)))))</f>
        <v/>
      </c>
      <c r="T159">
        <f>IF($A159="","",IF('Ügyfelek'!T159="",'Beállítások'!$B$84,VLOOKUP(MAX('Ügyfelek'!T159,'Beállítások'!$H$7),'Beállítások'!$H$7:$I$12,2,TRUE)))</f>
        <v/>
      </c>
      <c r="U159">
        <f>IF($A159="","",IF('Ügyfelek'!U159="",'Beállítások'!$B$84,VLOOKUP(MAX('Ügyfelek'!U159,'Beállítások'!$K$7),'Beállítások'!$K$7:$L$12,2,TRUE)))</f>
        <v/>
      </c>
      <c r="V159">
        <f>IF($A159="","",IF('Ügyfelek'!V159="",'Beállítások'!$B$84,MIN(10,MAX(1,ROUND('Ügyfelek'!V159,0)))))</f>
        <v/>
      </c>
      <c r="W159">
        <f>IF($A159="","",IF('Ügyfelek'!W159="",'Beállítások'!$B$84,VLOOKUP(MAX('Ügyfelek'!W159,'Beállítások'!$N$7),'Beállítások'!$N$7:$O$12,2,TRUE)))</f>
        <v/>
      </c>
      <c r="X159">
        <f>IF($A159="","",IF('Ügyfelek'!X159="",'Beállítások'!$B$84,MIN(10,MAX(1,ROUND('Ügyfelek'!X159,0)))))</f>
        <v/>
      </c>
      <c r="Y159">
        <f>IF($A159="","",IF('Ügyfelek'!Y159="",'Beállítások'!$B$84,IFERROR(VLOOKUP(TRIM('Ügyfelek'!Y159),'Beállítások'!$A$63:$B$69,2,FALSE),'Beállítások'!$B$84)))</f>
        <v/>
      </c>
      <c r="Z159">
        <f>IF($A159="","",IF('Ügyfelek'!Z159="",'Beállítások'!$B$84,VLOOKUP(MAX('Ügyfelek'!Z159,'Beállítások'!$Q$7),'Beállítások'!$Q$7:$R$12,2,TRUE)))</f>
        <v/>
      </c>
      <c r="AA159">
        <f>IF($A159="","",IF('Ügyfelek'!AA159="",'Beállítások'!$B$84,VLOOKUP(MAX('Ügyfelek'!AA159,'Beállítások'!$T$7),'Beállítások'!$T$7:$U$12,2,TRUE)))</f>
        <v/>
      </c>
      <c r="AB159">
        <f>IF($A159="","",IF('Ügyfelek'!AB159="",'Beállítások'!$B$84,MIN(10,MAX(1,ROUND('Ügyfelek'!AB159,0)))))</f>
        <v/>
      </c>
      <c r="AC159">
        <f>IF($A159="","",IF('Ügyfelek'!AC159="",'Beállítások'!$B$84,MIN(10,MAX(1,ROUND('Ügyfelek'!AC159,0)))))</f>
        <v/>
      </c>
      <c r="AD159">
        <f>IF($A159="","",IF('Ügyfelek'!AD159="",'Beállítások'!$B$84,MIN(10,MAX(1,ROUND('Ügyfelek'!AD159,0)))))</f>
        <v/>
      </c>
      <c r="AE159">
        <f>IF($A159="","",IF('Ügyfelek'!AE159="",'Beállítások'!$B$84,MIN(10,MAX(1,ROUND('Ügyfelek'!AE159,0)))))</f>
        <v/>
      </c>
      <c r="AF159">
        <f>IF($A159="","",IF('Ügyfelek'!AF159="",'Beállítások'!$B$84,MIN(10,MAX(1,ROUND('Ügyfelek'!AF159,0)))))</f>
        <v/>
      </c>
      <c r="AG159">
        <f>IF($A159="","",IF('Ügyfelek'!AG159="",'Beállítások'!$B$84,MIN(10,MAX(1,ROUND('Ügyfelek'!AG159,0)))))</f>
        <v/>
      </c>
      <c r="AH159">
        <f>IF($A159="","",IF('Ügyfelek'!AH159="",'Beállítások'!$B$84,IFERROR(VLOOKUP(TRIM('Ügyfelek'!AH159),'Beállítások'!$A$73:$B$79,2,FALSE),'Beállítások'!$B$84)))</f>
        <v/>
      </c>
      <c r="AI159" s="23">
        <f>IF($A159="","",ROUND(100*('Beállítások'!$E$6*(B159-1)+'Beállítások'!$E$7*(C159-1))/(9*'Beállítások'!$B$43),1))</f>
        <v/>
      </c>
      <c r="AJ159" s="23">
        <f>IF($A159="","",ROUND(100*('Beállítások'!$E$8*(D159-1)+'Beállítások'!$E$9*(E159-1)+'Beállítások'!$E$10*(F159-1)+'Beállítások'!$E$11*(G159-1)+'Beállítások'!$E$12*(H159-1)+'Beállítások'!$E$13*(I159-1)+'Beállítások'!$E$14*(J159-1)+'Beállítások'!$E$15*(K159-1)+'Beállítások'!$E$16*(L159-1)+'Beállítások'!$E$17*(M159-1)+'Beállítások'!$E$18*(N159-1)+'Beállítások'!$E$19*(O159-1)+'Beállítások'!$E$20*(P159-1)+'Beállítások'!$E$21*(Q159-1)+'Beállítások'!$E$22*(R159-1))/(9*'Beállítások'!$B$44),1))</f>
        <v/>
      </c>
      <c r="AK159" s="23">
        <f>IF($A159="","",ROUND(100*('Beállítások'!$E$23*(S159-1)+'Beállítások'!$E$24*(T159-1)+'Beállítások'!$E$25*(U159-1)+'Beállítások'!$E$26*(V159-1)+'Beállítások'!$E$27*(W159-1)+'Beállítások'!$E$28*(X159-1)+'Beállítások'!$E$29*(Y159-1))/(9*'Beállítások'!$B$45),1))</f>
        <v/>
      </c>
      <c r="AL159" s="23">
        <f>IF($A159="","",ROUND(100*('Beállítások'!$E$30*(Z159-1)+'Beállítások'!$E$31*(AA159-1)+'Beállítások'!$E$32*(AB159-1)+'Beállítások'!$E$33*(AC159-1)+'Beállítások'!$E$34*(AD159-1)+'Beállítások'!$E$35*(AE159-1)+'Beállítások'!$E$36*(AF159-1)+'Beállítások'!$E$37*(AG159-1)+'Beállítások'!$E$38*(AH159-1))/(9*'Beállítások'!$B$46),1))</f>
        <v/>
      </c>
      <c r="AM159" s="23">
        <f>IF($A159="","",ROUND(100*('Beállítások'!$E$6*(B159-1)+'Beállítások'!$E$7*(C159-1)+'Beállítások'!$E$8*(D159-1)+'Beállítások'!$E$9*(E159-1)+'Beállítások'!$E$10*(F159-1)+'Beállítások'!$E$11*(G159-1)+'Beállítások'!$E$12*(H159-1)+'Beállítások'!$E$13*(I159-1)+'Beállítások'!$E$14*(J159-1)+'Beállítások'!$E$15*(K159-1)+'Beállítások'!$E$16*(L159-1)+'Beállítások'!$E$17*(M159-1)+'Beállítások'!$E$18*(N159-1)+'Beállítások'!$E$19*(O159-1)+'Beállítások'!$E$20*(P159-1)+'Beállítások'!$E$21*(Q159-1)+'Beállítások'!$E$22*(R159-1)+'Beállítások'!$E$23*(S159-1)+'Beállítások'!$E$24*(T159-1)+'Beállítások'!$E$25*(U159-1)+'Beállítások'!$E$26*(V159-1)+'Beállítások'!$E$27*(W159-1)+'Beállítások'!$E$28*(X159-1)+'Beállítások'!$E$29*(Y159-1)+'Beállítások'!$E$30*(Z159-1)+'Beállítások'!$E$31*(AA159-1)+'Beállítások'!$E$32*(AB159-1)+'Beállítások'!$E$33*(AC159-1)+'Beállítások'!$E$34*(AD159-1)+'Beállítások'!$E$35*(AE159-1)+'Beállítások'!$E$36*(AF159-1)+'Beállítások'!$E$37*(AG159-1)+'Beállítások'!$E$38*(AH159-1))/(9*'Beállítások'!$E$39),1))</f>
        <v/>
      </c>
      <c r="AN159" s="23">
        <f>IF($A159="","",ROUND(100*('Beállítások'!$E$8*(D159-1)+'Beállítások'!$E$9*(E159-1)+'Beállítások'!$E$10*(F159-1)+'Beállítások'!$E$11*(G159-1)+'Beállítások'!$E$12*(H159-1)+'Beállítások'!$E$13*(I159-1)+'Beállítások'!$E$14*(J159-1)+'Beállítások'!$E$15*(K159-1)+'Beállítások'!$E$16*(L159-1)+'Beállítások'!$E$17*(M159-1)+'Beállítások'!$E$18*(N159-1)+'Beállítások'!$E$19*(O159-1)+'Beállítások'!$E$20*(P159-1)+'Beállítások'!$E$21*(Q159-1)+'Beállítások'!$E$22*(R159-1)+'Beállítások'!$E$23*(S159-1)+'Beállítások'!$E$24*(T159-1)+'Beállítások'!$E$25*(U159-1)+'Beállítások'!$E$26*(V159-1)+'Beállítások'!$E$27*(W159-1)+'Beállítások'!$E$28*(X159-1)+'Beállítások'!$E$29*(Y159-1))/(9*('Beállítások'!$B$44+'Beállítások'!$B$45)),1))</f>
        <v/>
      </c>
      <c r="AO159" s="24">
        <f>IF($A159="","",RANK(AM159,$AM$2:$AM$201))</f>
        <v/>
      </c>
      <c r="AP159">
        <f>IF($A159="","",IF(OR(AND('Ügyfelek'!B159&lt;&gt;"",B159&lt;='Beállítások'!$B$85),AND('Ügyfelek'!C159&lt;&gt;"",C159&lt;='Beállítások'!$B$86)),"Igen","Nem"))</f>
        <v/>
      </c>
      <c r="AQ159" s="24">
        <f>IF($A159="","",IF(AP159="Igen",5,IF(AN159&gt;='Beállítások'!$C$108,1,IF(AN159&gt;='Beállítások'!$C$109,2,IF(AN159&gt;='Beállítások'!$C$110,3,IF(AND(AN159&gt;='Beállítások'!$B$87,AI159&gt;='Beállítások'!$B$88,AL159&gt;='Beállítások'!$B$89),4,5))))))</f>
        <v/>
      </c>
      <c r="AR159">
        <f>IF($A159="","",INDEX('Beállítások'!$B$108:$B$112,AQ159))</f>
        <v/>
      </c>
      <c r="AS159">
        <f>IF($A159="","",IF(AQ159=5,"Elutasítjuk",IF(AND(AQ159=4,COUNTIFS('Eredmény'!$AQ$2:$AQ$201,4,'Eredmény'!$DY$2:$DY$201,"&gt;"&amp;DY159)&gt;='Beállítások'!$B$90),"Várólista (a 4-es hely foglalt)","Elfogadjuk")))</f>
        <v/>
      </c>
      <c r="AT159">
        <f>IF($A159="","",INDEX('Beállítások'!$F$108:$F$112,AQ159))</f>
        <v/>
      </c>
      <c r="AU159">
        <f>IF($A159="","",INDEX('Beállítások'!$B$6:$B$38,MATCH(MAX(BK159:CQ159),BK159:CQ159,0)))</f>
        <v/>
      </c>
      <c r="AV159">
        <f>IF($A159="","",IF(MAX(CR159:DX159)=0,"—",INDEX('Beállítások'!$B$6:$B$38,MATCH(MAX(CR159:DX159),CR159:DX159,0))))</f>
        <v/>
      </c>
      <c r="AW159" s="10">
        <f>IF($A159="","",'Beállítások'!$B$94*(TRIM('Ügyfelek'!AI159)="igen")+'Beállítások'!$B$95*(TRIM('Ügyfelek'!AJ159)="igen")+'Beállítások'!$B$96*N('Ügyfelek'!AK159)+'Beállítások'!$B$93*N('Ügyfelek'!AL159))</f>
        <v/>
      </c>
      <c r="AX159" s="25">
        <f>IF(OR($A159="",AQ159=5),"",INDEX('Beállítások'!$D$108:$D$112,AQ159))</f>
        <v/>
      </c>
      <c r="AY159" s="10">
        <f>IF($A159="","",N('Ügyfelek'!U159)*'Beállítások'!$B$98)</f>
        <v/>
      </c>
      <c r="AZ159" s="10">
        <f>IF(OR($A159="",AQ159=5),"",CEILING(ROUND(MAX('Beállítások'!$B$97,AW159*AX159,AY159),2),'Beállítások'!$B$99))</f>
        <v/>
      </c>
      <c r="BA159">
        <f>IF($A159="","",IF(AQ159=5,"Elutasítva",IF(MAX('Beállítások'!$B$97,AW159*AX159,AY159)=AW159*AX159,"Munkaigény × státuszszorzó",IF(MAX('Beállítások'!$B$97,AW159*AX159,AY159)=AY159,"Hirdetési keret arányában","Minimumdíj"))))</f>
        <v/>
      </c>
      <c r="BB159" s="10">
        <f>IF(OR($A159="",'Ügyfelek'!AM159=""),"",'Ügyfelek'!AM159)</f>
        <v/>
      </c>
      <c r="BC159" s="10">
        <f>IF(OR(BB159="",AZ159=""),"",AZ159-BB159)</f>
        <v/>
      </c>
      <c r="BD159" s="18">
        <f>IF(OR(BB159="",AZ159="",BB159=0),"",BC159/BB159)</f>
        <v/>
      </c>
      <c r="BE159">
        <f>IF(OR($A159="",AQ159=5),"",IF(AND(INDEX('Beállítások'!$E$108:$E$112,AQ159)&gt;0,Y159&gt;='Beállítások'!$B$91),"Igen","Nem"))</f>
        <v/>
      </c>
      <c r="BF159" s="10">
        <f>IF(BE159="Igen",CEILING(ROUND(AZ159*(1-'Beállítások'!$B$92),2),'Beállítások'!$B$99),"")</f>
        <v/>
      </c>
      <c r="BG159" s="20">
        <f>IF(BE159="Igen",INDEX('Beállítások'!$E$108:$E$112,AQ159),"")</f>
        <v/>
      </c>
      <c r="BH159" s="10">
        <f>IF(OR(BE159&lt;&gt;"Igen",'Ügyfelek'!AN159=""),"",'Ügyfelek'!AN159*BG159)</f>
        <v/>
      </c>
      <c r="BI159" s="24">
        <f>IF($A159="","",('Ügyfelek'!B159="")+('Ügyfelek'!C159="")+('Ügyfelek'!D159="")+('Ügyfelek'!E159="")+('Ügyfelek'!F159="")+('Ügyfelek'!G159="")+('Ügyfelek'!H159="")+('Ügyfelek'!I159="")+('Ügyfelek'!J159="")+('Ügyfelek'!K159="")+('Ügyfelek'!L159="")+('Ügyfelek'!M159="")+('Ügyfelek'!N159="")+('Ügyfelek'!O159="")+('Ügyfelek'!P159="")+('Ügyfelek'!Q159="")+('Ügyfelek'!R159="")+('Ügyfelek'!S159="")+('Ügyfelek'!T159="")+('Ügyfelek'!U159="")+('Ügyfelek'!V159="")+('Ügyfelek'!W159="")+('Ügyfelek'!X159="")+('Ügyfelek'!Y159="")+('Ügyfelek'!Z159="")+('Ügyfelek'!AA159="")+('Ügyfelek'!AB159="")+('Ügyfelek'!AC159="")+('Ügyfelek'!AD159="")+('Ügyfelek'!AE159="")+('Ügyfelek'!AF159="")+('Ügyfelek'!AG159="")+('Ügyfelek'!AH159=""))</f>
        <v/>
      </c>
      <c r="BK159">
        <f>IF($A159="","",B159+'Beállítások'!$E$6/1000)</f>
        <v/>
      </c>
      <c r="BL159">
        <f>IF($A159="","",C159+'Beállítások'!$E$7/1000)</f>
        <v/>
      </c>
      <c r="BM159">
        <f>IF($A159="","",D159+'Beállítások'!$E$8/1000)</f>
        <v/>
      </c>
      <c r="BN159">
        <f>IF($A159="","",E159+'Beállítások'!$E$9/1000)</f>
        <v/>
      </c>
      <c r="BO159">
        <f>IF($A159="","",F159+'Beállítások'!$E$10/1000)</f>
        <v/>
      </c>
      <c r="BP159">
        <f>IF($A159="","",G159+'Beállítások'!$E$11/1000)</f>
        <v/>
      </c>
      <c r="BQ159">
        <f>IF($A159="","",H159+'Beállítások'!$E$12/1000)</f>
        <v/>
      </c>
      <c r="BR159">
        <f>IF($A159="","",I159+'Beállítások'!$E$13/1000)</f>
        <v/>
      </c>
      <c r="BS159">
        <f>IF($A159="","",J159+'Beállítások'!$E$14/1000)</f>
        <v/>
      </c>
      <c r="BT159">
        <f>IF($A159="","",K159+'Beállítások'!$E$15/1000)</f>
        <v/>
      </c>
      <c r="BU159">
        <f>IF($A159="","",L159+'Beállítások'!$E$16/1000)</f>
        <v/>
      </c>
      <c r="BV159">
        <f>IF($A159="","",M159+'Beállítások'!$E$17/1000)</f>
        <v/>
      </c>
      <c r="BW159">
        <f>IF($A159="","",N159+'Beállítások'!$E$18/1000)</f>
        <v/>
      </c>
      <c r="BX159">
        <f>IF($A159="","",O159+'Beállítások'!$E$19/1000)</f>
        <v/>
      </c>
      <c r="BY159">
        <f>IF($A159="","",P159+'Beállítások'!$E$20/1000)</f>
        <v/>
      </c>
      <c r="BZ159">
        <f>IF($A159="","",Q159+'Beállítások'!$E$21/1000)</f>
        <v/>
      </c>
      <c r="CA159">
        <f>IF($A159="","",R159+'Beállítások'!$E$22/1000)</f>
        <v/>
      </c>
      <c r="CB159">
        <f>IF($A159="","",S159+'Beállítások'!$E$23/1000)</f>
        <v/>
      </c>
      <c r="CC159">
        <f>IF($A159="","",T159+'Beállítások'!$E$24/1000)</f>
        <v/>
      </c>
      <c r="CD159">
        <f>IF($A159="","",U159+'Beállítások'!$E$25/1000)</f>
        <v/>
      </c>
      <c r="CE159">
        <f>IF($A159="","",V159+'Beállítások'!$E$26/1000)</f>
        <v/>
      </c>
      <c r="CF159">
        <f>IF($A159="","",W159+'Beállítások'!$E$27/1000)</f>
        <v/>
      </c>
      <c r="CG159">
        <f>IF($A159="","",X159+'Beállítások'!$E$28/1000)</f>
        <v/>
      </c>
      <c r="CH159">
        <f>IF($A159="","",Y159+'Beállítások'!$E$29/1000)</f>
        <v/>
      </c>
      <c r="CI159">
        <f>IF($A159="","",Z159+'Beállítások'!$E$30/1000)</f>
        <v/>
      </c>
      <c r="CJ159">
        <f>IF($A159="","",AA159+'Beállítások'!$E$31/1000)</f>
        <v/>
      </c>
      <c r="CK159">
        <f>IF($A159="","",AB159+'Beállítások'!$E$32/1000)</f>
        <v/>
      </c>
      <c r="CL159">
        <f>IF($A159="","",AC159+'Beállítások'!$E$33/1000)</f>
        <v/>
      </c>
      <c r="CM159">
        <f>IF($A159="","",AD159+'Beállítások'!$E$34/1000)</f>
        <v/>
      </c>
      <c r="CN159">
        <f>IF($A159="","",AE159+'Beállítások'!$E$35/1000)</f>
        <v/>
      </c>
      <c r="CO159">
        <f>IF($A159="","",AF159+'Beállítások'!$E$36/1000)</f>
        <v/>
      </c>
      <c r="CP159">
        <f>IF($A159="","",AG159+'Beállítások'!$E$37/1000)</f>
        <v/>
      </c>
      <c r="CQ159">
        <f>IF($A159="","",AH159+'Beállítások'!$E$38/1000)</f>
        <v/>
      </c>
      <c r="CR159">
        <f>IF($A159="","",'Beállítások'!$E$6*(10-B159))</f>
        <v/>
      </c>
      <c r="CS159">
        <f>IF($A159="","",'Beállítások'!$E$7*(10-C159))</f>
        <v/>
      </c>
      <c r="CT159">
        <f>IF($A159="","",'Beállítások'!$E$8*(10-D159))</f>
        <v/>
      </c>
      <c r="CU159">
        <f>IF($A159="","",'Beállítások'!$E$9*(10-E159))</f>
        <v/>
      </c>
      <c r="CV159">
        <f>IF($A159="","",'Beállítások'!$E$10*(10-F159))</f>
        <v/>
      </c>
      <c r="CW159">
        <f>IF($A159="","",'Beállítások'!$E$11*(10-G159))</f>
        <v/>
      </c>
      <c r="CX159">
        <f>IF($A159="","",'Beállítások'!$E$12*(10-H159))</f>
        <v/>
      </c>
      <c r="CY159">
        <f>IF($A159="","",'Beállítások'!$E$13*(10-I159))</f>
        <v/>
      </c>
      <c r="CZ159">
        <f>IF($A159="","",'Beállítások'!$E$14*(10-J159))</f>
        <v/>
      </c>
      <c r="DA159">
        <f>IF($A159="","",'Beállítások'!$E$15*(10-K159))</f>
        <v/>
      </c>
      <c r="DB159">
        <f>IF($A159="","",'Beállítások'!$E$16*(10-L159))</f>
        <v/>
      </c>
      <c r="DC159">
        <f>IF($A159="","",'Beállítások'!$E$17*(10-M159))</f>
        <v/>
      </c>
      <c r="DD159">
        <f>IF($A159="","",'Beállítások'!$E$18*(10-N159))</f>
        <v/>
      </c>
      <c r="DE159">
        <f>IF($A159="","",'Beállítások'!$E$19*(10-O159))</f>
        <v/>
      </c>
      <c r="DF159">
        <f>IF($A159="","",'Beállítások'!$E$20*(10-P159))</f>
        <v/>
      </c>
      <c r="DG159">
        <f>IF($A159="","",'Beállítások'!$E$21*(10-Q159))</f>
        <v/>
      </c>
      <c r="DH159">
        <f>IF($A159="","",'Beállítások'!$E$22*(10-R159))</f>
        <v/>
      </c>
      <c r="DI159">
        <f>IF($A159="","",'Beállítások'!$E$23*(10-S159))</f>
        <v/>
      </c>
      <c r="DJ159">
        <f>IF($A159="","",'Beállítások'!$E$24*(10-T159))</f>
        <v/>
      </c>
      <c r="DK159">
        <f>IF($A159="","",'Beállítások'!$E$25*(10-U159))</f>
        <v/>
      </c>
      <c r="DL159">
        <f>IF($A159="","",'Beállítások'!$E$26*(10-V159))</f>
        <v/>
      </c>
      <c r="DM159">
        <f>IF($A159="","",'Beállítások'!$E$27*(10-W159))</f>
        <v/>
      </c>
      <c r="DN159">
        <f>IF($A159="","",'Beállítások'!$E$28*(10-X159))</f>
        <v/>
      </c>
      <c r="DO159">
        <f>IF($A159="","",'Beállítások'!$E$29*(10-Y159))</f>
        <v/>
      </c>
      <c r="DP159">
        <f>IF($A159="","",'Beállítások'!$E$30*(10-Z159))</f>
        <v/>
      </c>
      <c r="DQ159">
        <f>IF($A159="","",'Beállítások'!$E$31*(10-AA159))</f>
        <v/>
      </c>
      <c r="DR159">
        <f>IF($A159="","",'Beállítások'!$E$32*(10-AB159))</f>
        <v/>
      </c>
      <c r="DS159">
        <f>IF($A159="","",'Beállítások'!$E$33*(10-AC159))</f>
        <v/>
      </c>
      <c r="DT159">
        <f>IF($A159="","",'Beállítások'!$E$34*(10-AD159))</f>
        <v/>
      </c>
      <c r="DU159">
        <f>IF($A159="","",'Beállítások'!$E$35*(10-AE159))</f>
        <v/>
      </c>
      <c r="DV159">
        <f>IF($A159="","",'Beállítások'!$E$36*(10-AF159))</f>
        <v/>
      </c>
      <c r="DW159">
        <f>IF($A159="","",'Beállítások'!$E$37*(10-AG159))</f>
        <v/>
      </c>
      <c r="DX159">
        <f>IF($A159="","",'Beállítások'!$E$38*(10-AH159))</f>
        <v/>
      </c>
      <c r="DY159">
        <f>IF($A159="","",AM159-ROW()/100000)</f>
        <v/>
      </c>
    </row>
    <row r="160">
      <c r="A160">
        <f>IF('Ügyfelek'!A160="","",'Ügyfelek'!A160)</f>
        <v/>
      </c>
      <c r="B160">
        <f>IF($A160="","",IF('Ügyfelek'!B160="",'Beállítások'!$B$84,IFERROR(VLOOKUP(TRIM('Ügyfelek'!B160),'Beállítások'!$A$51:$B$59,2,FALSE),'Beállítások'!$B$84)))</f>
        <v/>
      </c>
      <c r="C160">
        <f>IF($A160="","",IF('Ügyfelek'!C160="",'Beállítások'!$B$84,MIN(10,MAX(1,ROUND('Ügyfelek'!C160,0)))))</f>
        <v/>
      </c>
      <c r="D160">
        <f>IF($A160="","",IF('Ügyfelek'!D160="",'Beállítások'!$B$84,MIN(10,MAX(1,ROUND('Ügyfelek'!D160,0)))))</f>
        <v/>
      </c>
      <c r="E160">
        <f>IF($A160="","",IF('Ügyfelek'!E160="",'Beállítások'!$B$84,MIN(10,MAX(1,ROUND('Ügyfelek'!E160,0)))))</f>
        <v/>
      </c>
      <c r="F160">
        <f>IF($A160="","",IF('Ügyfelek'!F160="",'Beállítások'!$B$84,MIN(10,MAX(1,ROUND('Ügyfelek'!F160,0)))))</f>
        <v/>
      </c>
      <c r="G160">
        <f>IF($A160="","",IF('Ügyfelek'!G160="",'Beállítások'!$B$84,MIN(10,MAX(1,ROUND('Ügyfelek'!G160,0)))))</f>
        <v/>
      </c>
      <c r="H160">
        <f>IF($A160="","",IF('Ügyfelek'!H160="",'Beállítások'!$B$84,MIN(10,MAX(1,ROUND('Ügyfelek'!H160,0)))))</f>
        <v/>
      </c>
      <c r="I160">
        <f>IF($A160="","",IF('Ügyfelek'!I160="",'Beállítások'!$B$84,MIN(10,MAX(1,ROUND('Ügyfelek'!I160,0)))))</f>
        <v/>
      </c>
      <c r="J160">
        <f>IF($A160="","",IF('Ügyfelek'!J160="",'Beállítások'!$B$84,MIN(10,MAX(1,ROUND('Ügyfelek'!J160,0)))))</f>
        <v/>
      </c>
      <c r="K160">
        <f>IF($A160="","",IF('Ügyfelek'!K160="",'Beállítások'!$B$84,MIN(10,MAX(1,ROUND('Ügyfelek'!K160,0)))))</f>
        <v/>
      </c>
      <c r="L160">
        <f>IF($A160="","",IF('Ügyfelek'!L160="",'Beállítások'!$B$84,MIN(10,MAX(1,ROUND('Ügyfelek'!L160,0)))))</f>
        <v/>
      </c>
      <c r="M160">
        <f>IF($A160="","",IF('Ügyfelek'!M160="",'Beállítások'!$B$84,MIN(10,MAX(1,ROUND('Ügyfelek'!M160,0)))))</f>
        <v/>
      </c>
      <c r="N160">
        <f>IF($A160="","",IF('Ügyfelek'!N160="",'Beállítások'!$B$84,MIN(10,MAX(1,ROUND('Ügyfelek'!N160,0)))))</f>
        <v/>
      </c>
      <c r="O160">
        <f>IF($A160="","",IF('Ügyfelek'!O160="",'Beállítások'!$B$84,MIN(10,MAX(1,ROUND('Ügyfelek'!O160,0)))))</f>
        <v/>
      </c>
      <c r="P160">
        <f>IF($A160="","",IF('Ügyfelek'!P160="",'Beállítások'!$B$84,MIN(10,MAX(1,ROUND('Ügyfelek'!P160,0)))))</f>
        <v/>
      </c>
      <c r="Q160">
        <f>IF($A160="","",IF('Ügyfelek'!Q160="",'Beállítások'!$B$84,MIN(10,MAX(1,ROUND('Ügyfelek'!Q160,0)))))</f>
        <v/>
      </c>
      <c r="R160">
        <f>IF($A160="","",IF('Ügyfelek'!R160="",'Beállítások'!$B$84,MIN(10,MAX(1,ROUND('Ügyfelek'!R160,0)))))</f>
        <v/>
      </c>
      <c r="S160">
        <f>IF($A160="","",IF('Ügyfelek'!S160="",'Beállítások'!$B$84,MIN(10,MAX(1,ROUND('Ügyfelek'!S160,0)))))</f>
        <v/>
      </c>
      <c r="T160">
        <f>IF($A160="","",IF('Ügyfelek'!T160="",'Beállítások'!$B$84,VLOOKUP(MAX('Ügyfelek'!T160,'Beállítások'!$H$7),'Beállítások'!$H$7:$I$12,2,TRUE)))</f>
        <v/>
      </c>
      <c r="U160">
        <f>IF($A160="","",IF('Ügyfelek'!U160="",'Beállítások'!$B$84,VLOOKUP(MAX('Ügyfelek'!U160,'Beállítások'!$K$7),'Beállítások'!$K$7:$L$12,2,TRUE)))</f>
        <v/>
      </c>
      <c r="V160">
        <f>IF($A160="","",IF('Ügyfelek'!V160="",'Beállítások'!$B$84,MIN(10,MAX(1,ROUND('Ügyfelek'!V160,0)))))</f>
        <v/>
      </c>
      <c r="W160">
        <f>IF($A160="","",IF('Ügyfelek'!W160="",'Beállítások'!$B$84,VLOOKUP(MAX('Ügyfelek'!W160,'Beállítások'!$N$7),'Beállítások'!$N$7:$O$12,2,TRUE)))</f>
        <v/>
      </c>
      <c r="X160">
        <f>IF($A160="","",IF('Ügyfelek'!X160="",'Beállítások'!$B$84,MIN(10,MAX(1,ROUND('Ügyfelek'!X160,0)))))</f>
        <v/>
      </c>
      <c r="Y160">
        <f>IF($A160="","",IF('Ügyfelek'!Y160="",'Beállítások'!$B$84,IFERROR(VLOOKUP(TRIM('Ügyfelek'!Y160),'Beállítások'!$A$63:$B$69,2,FALSE),'Beállítások'!$B$84)))</f>
        <v/>
      </c>
      <c r="Z160">
        <f>IF($A160="","",IF('Ügyfelek'!Z160="",'Beállítások'!$B$84,VLOOKUP(MAX('Ügyfelek'!Z160,'Beállítások'!$Q$7),'Beállítások'!$Q$7:$R$12,2,TRUE)))</f>
        <v/>
      </c>
      <c r="AA160">
        <f>IF($A160="","",IF('Ügyfelek'!AA160="",'Beállítások'!$B$84,VLOOKUP(MAX('Ügyfelek'!AA160,'Beállítások'!$T$7),'Beállítások'!$T$7:$U$12,2,TRUE)))</f>
        <v/>
      </c>
      <c r="AB160">
        <f>IF($A160="","",IF('Ügyfelek'!AB160="",'Beállítások'!$B$84,MIN(10,MAX(1,ROUND('Ügyfelek'!AB160,0)))))</f>
        <v/>
      </c>
      <c r="AC160">
        <f>IF($A160="","",IF('Ügyfelek'!AC160="",'Beállítások'!$B$84,MIN(10,MAX(1,ROUND('Ügyfelek'!AC160,0)))))</f>
        <v/>
      </c>
      <c r="AD160">
        <f>IF($A160="","",IF('Ügyfelek'!AD160="",'Beállítások'!$B$84,MIN(10,MAX(1,ROUND('Ügyfelek'!AD160,0)))))</f>
        <v/>
      </c>
      <c r="AE160">
        <f>IF($A160="","",IF('Ügyfelek'!AE160="",'Beállítások'!$B$84,MIN(10,MAX(1,ROUND('Ügyfelek'!AE160,0)))))</f>
        <v/>
      </c>
      <c r="AF160">
        <f>IF($A160="","",IF('Ügyfelek'!AF160="",'Beállítások'!$B$84,MIN(10,MAX(1,ROUND('Ügyfelek'!AF160,0)))))</f>
        <v/>
      </c>
      <c r="AG160">
        <f>IF($A160="","",IF('Ügyfelek'!AG160="",'Beállítások'!$B$84,MIN(10,MAX(1,ROUND('Ügyfelek'!AG160,0)))))</f>
        <v/>
      </c>
      <c r="AH160">
        <f>IF($A160="","",IF('Ügyfelek'!AH160="",'Beállítások'!$B$84,IFERROR(VLOOKUP(TRIM('Ügyfelek'!AH160),'Beállítások'!$A$73:$B$79,2,FALSE),'Beállítások'!$B$84)))</f>
        <v/>
      </c>
      <c r="AI160" s="23">
        <f>IF($A160="","",ROUND(100*('Beállítások'!$E$6*(B160-1)+'Beállítások'!$E$7*(C160-1))/(9*'Beállítások'!$B$43),1))</f>
        <v/>
      </c>
      <c r="AJ160" s="23">
        <f>IF($A160="","",ROUND(100*('Beállítások'!$E$8*(D160-1)+'Beállítások'!$E$9*(E160-1)+'Beállítások'!$E$10*(F160-1)+'Beállítások'!$E$11*(G160-1)+'Beállítások'!$E$12*(H160-1)+'Beállítások'!$E$13*(I160-1)+'Beállítások'!$E$14*(J160-1)+'Beállítások'!$E$15*(K160-1)+'Beállítások'!$E$16*(L160-1)+'Beállítások'!$E$17*(M160-1)+'Beállítások'!$E$18*(N160-1)+'Beállítások'!$E$19*(O160-1)+'Beállítások'!$E$20*(P160-1)+'Beállítások'!$E$21*(Q160-1)+'Beállítások'!$E$22*(R160-1))/(9*'Beállítások'!$B$44),1))</f>
        <v/>
      </c>
      <c r="AK160" s="23">
        <f>IF($A160="","",ROUND(100*('Beállítások'!$E$23*(S160-1)+'Beállítások'!$E$24*(T160-1)+'Beállítások'!$E$25*(U160-1)+'Beállítások'!$E$26*(V160-1)+'Beállítások'!$E$27*(W160-1)+'Beállítások'!$E$28*(X160-1)+'Beállítások'!$E$29*(Y160-1))/(9*'Beállítások'!$B$45),1))</f>
        <v/>
      </c>
      <c r="AL160" s="23">
        <f>IF($A160="","",ROUND(100*('Beállítások'!$E$30*(Z160-1)+'Beállítások'!$E$31*(AA160-1)+'Beállítások'!$E$32*(AB160-1)+'Beállítások'!$E$33*(AC160-1)+'Beállítások'!$E$34*(AD160-1)+'Beállítások'!$E$35*(AE160-1)+'Beállítások'!$E$36*(AF160-1)+'Beállítások'!$E$37*(AG160-1)+'Beállítások'!$E$38*(AH160-1))/(9*'Beállítások'!$B$46),1))</f>
        <v/>
      </c>
      <c r="AM160" s="23">
        <f>IF($A160="","",ROUND(100*('Beállítások'!$E$6*(B160-1)+'Beállítások'!$E$7*(C160-1)+'Beállítások'!$E$8*(D160-1)+'Beállítások'!$E$9*(E160-1)+'Beállítások'!$E$10*(F160-1)+'Beállítások'!$E$11*(G160-1)+'Beállítások'!$E$12*(H160-1)+'Beállítások'!$E$13*(I160-1)+'Beállítások'!$E$14*(J160-1)+'Beállítások'!$E$15*(K160-1)+'Beállítások'!$E$16*(L160-1)+'Beállítások'!$E$17*(M160-1)+'Beállítások'!$E$18*(N160-1)+'Beállítások'!$E$19*(O160-1)+'Beállítások'!$E$20*(P160-1)+'Beállítások'!$E$21*(Q160-1)+'Beállítások'!$E$22*(R160-1)+'Beállítások'!$E$23*(S160-1)+'Beállítások'!$E$24*(T160-1)+'Beállítások'!$E$25*(U160-1)+'Beállítások'!$E$26*(V160-1)+'Beállítások'!$E$27*(W160-1)+'Beállítások'!$E$28*(X160-1)+'Beállítások'!$E$29*(Y160-1)+'Beállítások'!$E$30*(Z160-1)+'Beállítások'!$E$31*(AA160-1)+'Beállítások'!$E$32*(AB160-1)+'Beállítások'!$E$33*(AC160-1)+'Beállítások'!$E$34*(AD160-1)+'Beállítások'!$E$35*(AE160-1)+'Beállítások'!$E$36*(AF160-1)+'Beállítások'!$E$37*(AG160-1)+'Beállítások'!$E$38*(AH160-1))/(9*'Beállítások'!$E$39),1))</f>
        <v/>
      </c>
      <c r="AN160" s="23">
        <f>IF($A160="","",ROUND(100*('Beállítások'!$E$8*(D160-1)+'Beállítások'!$E$9*(E160-1)+'Beállítások'!$E$10*(F160-1)+'Beállítások'!$E$11*(G160-1)+'Beállítások'!$E$12*(H160-1)+'Beállítások'!$E$13*(I160-1)+'Beállítások'!$E$14*(J160-1)+'Beállítások'!$E$15*(K160-1)+'Beállítások'!$E$16*(L160-1)+'Beállítások'!$E$17*(M160-1)+'Beállítások'!$E$18*(N160-1)+'Beállítások'!$E$19*(O160-1)+'Beállítások'!$E$20*(P160-1)+'Beállítások'!$E$21*(Q160-1)+'Beállítások'!$E$22*(R160-1)+'Beállítások'!$E$23*(S160-1)+'Beállítások'!$E$24*(T160-1)+'Beállítások'!$E$25*(U160-1)+'Beállítások'!$E$26*(V160-1)+'Beállítások'!$E$27*(W160-1)+'Beállítások'!$E$28*(X160-1)+'Beállítások'!$E$29*(Y160-1))/(9*('Beállítások'!$B$44+'Beállítások'!$B$45)),1))</f>
        <v/>
      </c>
      <c r="AO160" s="24">
        <f>IF($A160="","",RANK(AM160,$AM$2:$AM$201))</f>
        <v/>
      </c>
      <c r="AP160">
        <f>IF($A160="","",IF(OR(AND('Ügyfelek'!B160&lt;&gt;"",B160&lt;='Beállítások'!$B$85),AND('Ügyfelek'!C160&lt;&gt;"",C160&lt;='Beállítások'!$B$86)),"Igen","Nem"))</f>
        <v/>
      </c>
      <c r="AQ160" s="24">
        <f>IF($A160="","",IF(AP160="Igen",5,IF(AN160&gt;='Beállítások'!$C$108,1,IF(AN160&gt;='Beállítások'!$C$109,2,IF(AN160&gt;='Beállítások'!$C$110,3,IF(AND(AN160&gt;='Beállítások'!$B$87,AI160&gt;='Beállítások'!$B$88,AL160&gt;='Beállítások'!$B$89),4,5))))))</f>
        <v/>
      </c>
      <c r="AR160">
        <f>IF($A160="","",INDEX('Beállítások'!$B$108:$B$112,AQ160))</f>
        <v/>
      </c>
      <c r="AS160">
        <f>IF($A160="","",IF(AQ160=5,"Elutasítjuk",IF(AND(AQ160=4,COUNTIFS('Eredmény'!$AQ$2:$AQ$201,4,'Eredmény'!$DY$2:$DY$201,"&gt;"&amp;DY160)&gt;='Beállítások'!$B$90),"Várólista (a 4-es hely foglalt)","Elfogadjuk")))</f>
        <v/>
      </c>
      <c r="AT160">
        <f>IF($A160="","",INDEX('Beállítások'!$F$108:$F$112,AQ160))</f>
        <v/>
      </c>
      <c r="AU160">
        <f>IF($A160="","",INDEX('Beállítások'!$B$6:$B$38,MATCH(MAX(BK160:CQ160),BK160:CQ160,0)))</f>
        <v/>
      </c>
      <c r="AV160">
        <f>IF($A160="","",IF(MAX(CR160:DX160)=0,"—",INDEX('Beállítások'!$B$6:$B$38,MATCH(MAX(CR160:DX160),CR160:DX160,0))))</f>
        <v/>
      </c>
      <c r="AW160" s="10">
        <f>IF($A160="","",'Beállítások'!$B$94*(TRIM('Ügyfelek'!AI160)="igen")+'Beállítások'!$B$95*(TRIM('Ügyfelek'!AJ160)="igen")+'Beállítások'!$B$96*N('Ügyfelek'!AK160)+'Beállítások'!$B$93*N('Ügyfelek'!AL160))</f>
        <v/>
      </c>
      <c r="AX160" s="25">
        <f>IF(OR($A160="",AQ160=5),"",INDEX('Beállítások'!$D$108:$D$112,AQ160))</f>
        <v/>
      </c>
      <c r="AY160" s="10">
        <f>IF($A160="","",N('Ügyfelek'!U160)*'Beállítások'!$B$98)</f>
        <v/>
      </c>
      <c r="AZ160" s="10">
        <f>IF(OR($A160="",AQ160=5),"",CEILING(ROUND(MAX('Beállítások'!$B$97,AW160*AX160,AY160),2),'Beállítások'!$B$99))</f>
        <v/>
      </c>
      <c r="BA160">
        <f>IF($A160="","",IF(AQ160=5,"Elutasítva",IF(MAX('Beállítások'!$B$97,AW160*AX160,AY160)=AW160*AX160,"Munkaigény × státuszszorzó",IF(MAX('Beállítások'!$B$97,AW160*AX160,AY160)=AY160,"Hirdetési keret arányában","Minimumdíj"))))</f>
        <v/>
      </c>
      <c r="BB160" s="10">
        <f>IF(OR($A160="",'Ügyfelek'!AM160=""),"",'Ügyfelek'!AM160)</f>
        <v/>
      </c>
      <c r="BC160" s="10">
        <f>IF(OR(BB160="",AZ160=""),"",AZ160-BB160)</f>
        <v/>
      </c>
      <c r="BD160" s="18">
        <f>IF(OR(BB160="",AZ160="",BB160=0),"",BC160/BB160)</f>
        <v/>
      </c>
      <c r="BE160">
        <f>IF(OR($A160="",AQ160=5),"",IF(AND(INDEX('Beállítások'!$E$108:$E$112,AQ160)&gt;0,Y160&gt;='Beállítások'!$B$91),"Igen","Nem"))</f>
        <v/>
      </c>
      <c r="BF160" s="10">
        <f>IF(BE160="Igen",CEILING(ROUND(AZ160*(1-'Beállítások'!$B$92),2),'Beállítások'!$B$99),"")</f>
        <v/>
      </c>
      <c r="BG160" s="20">
        <f>IF(BE160="Igen",INDEX('Beállítások'!$E$108:$E$112,AQ160),"")</f>
        <v/>
      </c>
      <c r="BH160" s="10">
        <f>IF(OR(BE160&lt;&gt;"Igen",'Ügyfelek'!AN160=""),"",'Ügyfelek'!AN160*BG160)</f>
        <v/>
      </c>
      <c r="BI160" s="24">
        <f>IF($A160="","",('Ügyfelek'!B160="")+('Ügyfelek'!C160="")+('Ügyfelek'!D160="")+('Ügyfelek'!E160="")+('Ügyfelek'!F160="")+('Ügyfelek'!G160="")+('Ügyfelek'!H160="")+('Ügyfelek'!I160="")+('Ügyfelek'!J160="")+('Ügyfelek'!K160="")+('Ügyfelek'!L160="")+('Ügyfelek'!M160="")+('Ügyfelek'!N160="")+('Ügyfelek'!O160="")+('Ügyfelek'!P160="")+('Ügyfelek'!Q160="")+('Ügyfelek'!R160="")+('Ügyfelek'!S160="")+('Ügyfelek'!T160="")+('Ügyfelek'!U160="")+('Ügyfelek'!V160="")+('Ügyfelek'!W160="")+('Ügyfelek'!X160="")+('Ügyfelek'!Y160="")+('Ügyfelek'!Z160="")+('Ügyfelek'!AA160="")+('Ügyfelek'!AB160="")+('Ügyfelek'!AC160="")+('Ügyfelek'!AD160="")+('Ügyfelek'!AE160="")+('Ügyfelek'!AF160="")+('Ügyfelek'!AG160="")+('Ügyfelek'!AH160=""))</f>
        <v/>
      </c>
      <c r="BK160">
        <f>IF($A160="","",B160+'Beállítások'!$E$6/1000)</f>
        <v/>
      </c>
      <c r="BL160">
        <f>IF($A160="","",C160+'Beállítások'!$E$7/1000)</f>
        <v/>
      </c>
      <c r="BM160">
        <f>IF($A160="","",D160+'Beállítások'!$E$8/1000)</f>
        <v/>
      </c>
      <c r="BN160">
        <f>IF($A160="","",E160+'Beállítások'!$E$9/1000)</f>
        <v/>
      </c>
      <c r="BO160">
        <f>IF($A160="","",F160+'Beállítások'!$E$10/1000)</f>
        <v/>
      </c>
      <c r="BP160">
        <f>IF($A160="","",G160+'Beállítások'!$E$11/1000)</f>
        <v/>
      </c>
      <c r="BQ160">
        <f>IF($A160="","",H160+'Beállítások'!$E$12/1000)</f>
        <v/>
      </c>
      <c r="BR160">
        <f>IF($A160="","",I160+'Beállítások'!$E$13/1000)</f>
        <v/>
      </c>
      <c r="BS160">
        <f>IF($A160="","",J160+'Beállítások'!$E$14/1000)</f>
        <v/>
      </c>
      <c r="BT160">
        <f>IF($A160="","",K160+'Beállítások'!$E$15/1000)</f>
        <v/>
      </c>
      <c r="BU160">
        <f>IF($A160="","",L160+'Beállítások'!$E$16/1000)</f>
        <v/>
      </c>
      <c r="BV160">
        <f>IF($A160="","",M160+'Beállítások'!$E$17/1000)</f>
        <v/>
      </c>
      <c r="BW160">
        <f>IF($A160="","",N160+'Beállítások'!$E$18/1000)</f>
        <v/>
      </c>
      <c r="BX160">
        <f>IF($A160="","",O160+'Beállítások'!$E$19/1000)</f>
        <v/>
      </c>
      <c r="BY160">
        <f>IF($A160="","",P160+'Beállítások'!$E$20/1000)</f>
        <v/>
      </c>
      <c r="BZ160">
        <f>IF($A160="","",Q160+'Beállítások'!$E$21/1000)</f>
        <v/>
      </c>
      <c r="CA160">
        <f>IF($A160="","",R160+'Beállítások'!$E$22/1000)</f>
        <v/>
      </c>
      <c r="CB160">
        <f>IF($A160="","",S160+'Beállítások'!$E$23/1000)</f>
        <v/>
      </c>
      <c r="CC160">
        <f>IF($A160="","",T160+'Beállítások'!$E$24/1000)</f>
        <v/>
      </c>
      <c r="CD160">
        <f>IF($A160="","",U160+'Beállítások'!$E$25/1000)</f>
        <v/>
      </c>
      <c r="CE160">
        <f>IF($A160="","",V160+'Beállítások'!$E$26/1000)</f>
        <v/>
      </c>
      <c r="CF160">
        <f>IF($A160="","",W160+'Beállítások'!$E$27/1000)</f>
        <v/>
      </c>
      <c r="CG160">
        <f>IF($A160="","",X160+'Beállítások'!$E$28/1000)</f>
        <v/>
      </c>
      <c r="CH160">
        <f>IF($A160="","",Y160+'Beállítások'!$E$29/1000)</f>
        <v/>
      </c>
      <c r="CI160">
        <f>IF($A160="","",Z160+'Beállítások'!$E$30/1000)</f>
        <v/>
      </c>
      <c r="CJ160">
        <f>IF($A160="","",AA160+'Beállítások'!$E$31/1000)</f>
        <v/>
      </c>
      <c r="CK160">
        <f>IF($A160="","",AB160+'Beállítások'!$E$32/1000)</f>
        <v/>
      </c>
      <c r="CL160">
        <f>IF($A160="","",AC160+'Beállítások'!$E$33/1000)</f>
        <v/>
      </c>
      <c r="CM160">
        <f>IF($A160="","",AD160+'Beállítások'!$E$34/1000)</f>
        <v/>
      </c>
      <c r="CN160">
        <f>IF($A160="","",AE160+'Beállítások'!$E$35/1000)</f>
        <v/>
      </c>
      <c r="CO160">
        <f>IF($A160="","",AF160+'Beállítások'!$E$36/1000)</f>
        <v/>
      </c>
      <c r="CP160">
        <f>IF($A160="","",AG160+'Beállítások'!$E$37/1000)</f>
        <v/>
      </c>
      <c r="CQ160">
        <f>IF($A160="","",AH160+'Beállítások'!$E$38/1000)</f>
        <v/>
      </c>
      <c r="CR160">
        <f>IF($A160="","",'Beállítások'!$E$6*(10-B160))</f>
        <v/>
      </c>
      <c r="CS160">
        <f>IF($A160="","",'Beállítások'!$E$7*(10-C160))</f>
        <v/>
      </c>
      <c r="CT160">
        <f>IF($A160="","",'Beállítások'!$E$8*(10-D160))</f>
        <v/>
      </c>
      <c r="CU160">
        <f>IF($A160="","",'Beállítások'!$E$9*(10-E160))</f>
        <v/>
      </c>
      <c r="CV160">
        <f>IF($A160="","",'Beállítások'!$E$10*(10-F160))</f>
        <v/>
      </c>
      <c r="CW160">
        <f>IF($A160="","",'Beállítások'!$E$11*(10-G160))</f>
        <v/>
      </c>
      <c r="CX160">
        <f>IF($A160="","",'Beállítások'!$E$12*(10-H160))</f>
        <v/>
      </c>
      <c r="CY160">
        <f>IF($A160="","",'Beállítások'!$E$13*(10-I160))</f>
        <v/>
      </c>
      <c r="CZ160">
        <f>IF($A160="","",'Beállítások'!$E$14*(10-J160))</f>
        <v/>
      </c>
      <c r="DA160">
        <f>IF($A160="","",'Beállítások'!$E$15*(10-K160))</f>
        <v/>
      </c>
      <c r="DB160">
        <f>IF($A160="","",'Beállítások'!$E$16*(10-L160))</f>
        <v/>
      </c>
      <c r="DC160">
        <f>IF($A160="","",'Beállítások'!$E$17*(10-M160))</f>
        <v/>
      </c>
      <c r="DD160">
        <f>IF($A160="","",'Beállítások'!$E$18*(10-N160))</f>
        <v/>
      </c>
      <c r="DE160">
        <f>IF($A160="","",'Beállítások'!$E$19*(10-O160))</f>
        <v/>
      </c>
      <c r="DF160">
        <f>IF($A160="","",'Beállítások'!$E$20*(10-P160))</f>
        <v/>
      </c>
      <c r="DG160">
        <f>IF($A160="","",'Beállítások'!$E$21*(10-Q160))</f>
        <v/>
      </c>
      <c r="DH160">
        <f>IF($A160="","",'Beállítások'!$E$22*(10-R160))</f>
        <v/>
      </c>
      <c r="DI160">
        <f>IF($A160="","",'Beállítások'!$E$23*(10-S160))</f>
        <v/>
      </c>
      <c r="DJ160">
        <f>IF($A160="","",'Beállítások'!$E$24*(10-T160))</f>
        <v/>
      </c>
      <c r="DK160">
        <f>IF($A160="","",'Beállítások'!$E$25*(10-U160))</f>
        <v/>
      </c>
      <c r="DL160">
        <f>IF($A160="","",'Beállítások'!$E$26*(10-V160))</f>
        <v/>
      </c>
      <c r="DM160">
        <f>IF($A160="","",'Beállítások'!$E$27*(10-W160))</f>
        <v/>
      </c>
      <c r="DN160">
        <f>IF($A160="","",'Beállítások'!$E$28*(10-X160))</f>
        <v/>
      </c>
      <c r="DO160">
        <f>IF($A160="","",'Beállítások'!$E$29*(10-Y160))</f>
        <v/>
      </c>
      <c r="DP160">
        <f>IF($A160="","",'Beállítások'!$E$30*(10-Z160))</f>
        <v/>
      </c>
      <c r="DQ160">
        <f>IF($A160="","",'Beállítások'!$E$31*(10-AA160))</f>
        <v/>
      </c>
      <c r="DR160">
        <f>IF($A160="","",'Beállítások'!$E$32*(10-AB160))</f>
        <v/>
      </c>
      <c r="DS160">
        <f>IF($A160="","",'Beállítások'!$E$33*(10-AC160))</f>
        <v/>
      </c>
      <c r="DT160">
        <f>IF($A160="","",'Beállítások'!$E$34*(10-AD160))</f>
        <v/>
      </c>
      <c r="DU160">
        <f>IF($A160="","",'Beállítások'!$E$35*(10-AE160))</f>
        <v/>
      </c>
      <c r="DV160">
        <f>IF($A160="","",'Beállítások'!$E$36*(10-AF160))</f>
        <v/>
      </c>
      <c r="DW160">
        <f>IF($A160="","",'Beállítások'!$E$37*(10-AG160))</f>
        <v/>
      </c>
      <c r="DX160">
        <f>IF($A160="","",'Beállítások'!$E$38*(10-AH160))</f>
        <v/>
      </c>
      <c r="DY160">
        <f>IF($A160="","",AM160-ROW()/100000)</f>
        <v/>
      </c>
    </row>
    <row r="161">
      <c r="A161">
        <f>IF('Ügyfelek'!A161="","",'Ügyfelek'!A161)</f>
        <v/>
      </c>
      <c r="B161">
        <f>IF($A161="","",IF('Ügyfelek'!B161="",'Beállítások'!$B$84,IFERROR(VLOOKUP(TRIM('Ügyfelek'!B161),'Beállítások'!$A$51:$B$59,2,FALSE),'Beállítások'!$B$84)))</f>
        <v/>
      </c>
      <c r="C161">
        <f>IF($A161="","",IF('Ügyfelek'!C161="",'Beállítások'!$B$84,MIN(10,MAX(1,ROUND('Ügyfelek'!C161,0)))))</f>
        <v/>
      </c>
      <c r="D161">
        <f>IF($A161="","",IF('Ügyfelek'!D161="",'Beállítások'!$B$84,MIN(10,MAX(1,ROUND('Ügyfelek'!D161,0)))))</f>
        <v/>
      </c>
      <c r="E161">
        <f>IF($A161="","",IF('Ügyfelek'!E161="",'Beállítások'!$B$84,MIN(10,MAX(1,ROUND('Ügyfelek'!E161,0)))))</f>
        <v/>
      </c>
      <c r="F161">
        <f>IF($A161="","",IF('Ügyfelek'!F161="",'Beállítások'!$B$84,MIN(10,MAX(1,ROUND('Ügyfelek'!F161,0)))))</f>
        <v/>
      </c>
      <c r="G161">
        <f>IF($A161="","",IF('Ügyfelek'!G161="",'Beállítások'!$B$84,MIN(10,MAX(1,ROUND('Ügyfelek'!G161,0)))))</f>
        <v/>
      </c>
      <c r="H161">
        <f>IF($A161="","",IF('Ügyfelek'!H161="",'Beállítások'!$B$84,MIN(10,MAX(1,ROUND('Ügyfelek'!H161,0)))))</f>
        <v/>
      </c>
      <c r="I161">
        <f>IF($A161="","",IF('Ügyfelek'!I161="",'Beállítások'!$B$84,MIN(10,MAX(1,ROUND('Ügyfelek'!I161,0)))))</f>
        <v/>
      </c>
      <c r="J161">
        <f>IF($A161="","",IF('Ügyfelek'!J161="",'Beállítások'!$B$84,MIN(10,MAX(1,ROUND('Ügyfelek'!J161,0)))))</f>
        <v/>
      </c>
      <c r="K161">
        <f>IF($A161="","",IF('Ügyfelek'!K161="",'Beállítások'!$B$84,MIN(10,MAX(1,ROUND('Ügyfelek'!K161,0)))))</f>
        <v/>
      </c>
      <c r="L161">
        <f>IF($A161="","",IF('Ügyfelek'!L161="",'Beállítások'!$B$84,MIN(10,MAX(1,ROUND('Ügyfelek'!L161,0)))))</f>
        <v/>
      </c>
      <c r="M161">
        <f>IF($A161="","",IF('Ügyfelek'!M161="",'Beállítások'!$B$84,MIN(10,MAX(1,ROUND('Ügyfelek'!M161,0)))))</f>
        <v/>
      </c>
      <c r="N161">
        <f>IF($A161="","",IF('Ügyfelek'!N161="",'Beállítások'!$B$84,MIN(10,MAX(1,ROUND('Ügyfelek'!N161,0)))))</f>
        <v/>
      </c>
      <c r="O161">
        <f>IF($A161="","",IF('Ügyfelek'!O161="",'Beállítások'!$B$84,MIN(10,MAX(1,ROUND('Ügyfelek'!O161,0)))))</f>
        <v/>
      </c>
      <c r="P161">
        <f>IF($A161="","",IF('Ügyfelek'!P161="",'Beállítások'!$B$84,MIN(10,MAX(1,ROUND('Ügyfelek'!P161,0)))))</f>
        <v/>
      </c>
      <c r="Q161">
        <f>IF($A161="","",IF('Ügyfelek'!Q161="",'Beállítások'!$B$84,MIN(10,MAX(1,ROUND('Ügyfelek'!Q161,0)))))</f>
        <v/>
      </c>
      <c r="R161">
        <f>IF($A161="","",IF('Ügyfelek'!R161="",'Beállítások'!$B$84,MIN(10,MAX(1,ROUND('Ügyfelek'!R161,0)))))</f>
        <v/>
      </c>
      <c r="S161">
        <f>IF($A161="","",IF('Ügyfelek'!S161="",'Beállítások'!$B$84,MIN(10,MAX(1,ROUND('Ügyfelek'!S161,0)))))</f>
        <v/>
      </c>
      <c r="T161">
        <f>IF($A161="","",IF('Ügyfelek'!T161="",'Beállítások'!$B$84,VLOOKUP(MAX('Ügyfelek'!T161,'Beállítások'!$H$7),'Beállítások'!$H$7:$I$12,2,TRUE)))</f>
        <v/>
      </c>
      <c r="U161">
        <f>IF($A161="","",IF('Ügyfelek'!U161="",'Beállítások'!$B$84,VLOOKUP(MAX('Ügyfelek'!U161,'Beállítások'!$K$7),'Beállítások'!$K$7:$L$12,2,TRUE)))</f>
        <v/>
      </c>
      <c r="V161">
        <f>IF($A161="","",IF('Ügyfelek'!V161="",'Beállítások'!$B$84,MIN(10,MAX(1,ROUND('Ügyfelek'!V161,0)))))</f>
        <v/>
      </c>
      <c r="W161">
        <f>IF($A161="","",IF('Ügyfelek'!W161="",'Beállítások'!$B$84,VLOOKUP(MAX('Ügyfelek'!W161,'Beállítások'!$N$7),'Beállítások'!$N$7:$O$12,2,TRUE)))</f>
        <v/>
      </c>
      <c r="X161">
        <f>IF($A161="","",IF('Ügyfelek'!X161="",'Beállítások'!$B$84,MIN(10,MAX(1,ROUND('Ügyfelek'!X161,0)))))</f>
        <v/>
      </c>
      <c r="Y161">
        <f>IF($A161="","",IF('Ügyfelek'!Y161="",'Beállítások'!$B$84,IFERROR(VLOOKUP(TRIM('Ügyfelek'!Y161),'Beállítások'!$A$63:$B$69,2,FALSE),'Beállítások'!$B$84)))</f>
        <v/>
      </c>
      <c r="Z161">
        <f>IF($A161="","",IF('Ügyfelek'!Z161="",'Beállítások'!$B$84,VLOOKUP(MAX('Ügyfelek'!Z161,'Beállítások'!$Q$7),'Beállítások'!$Q$7:$R$12,2,TRUE)))</f>
        <v/>
      </c>
      <c r="AA161">
        <f>IF($A161="","",IF('Ügyfelek'!AA161="",'Beállítások'!$B$84,VLOOKUP(MAX('Ügyfelek'!AA161,'Beállítások'!$T$7),'Beállítások'!$T$7:$U$12,2,TRUE)))</f>
        <v/>
      </c>
      <c r="AB161">
        <f>IF($A161="","",IF('Ügyfelek'!AB161="",'Beállítások'!$B$84,MIN(10,MAX(1,ROUND('Ügyfelek'!AB161,0)))))</f>
        <v/>
      </c>
      <c r="AC161">
        <f>IF($A161="","",IF('Ügyfelek'!AC161="",'Beállítások'!$B$84,MIN(10,MAX(1,ROUND('Ügyfelek'!AC161,0)))))</f>
        <v/>
      </c>
      <c r="AD161">
        <f>IF($A161="","",IF('Ügyfelek'!AD161="",'Beállítások'!$B$84,MIN(10,MAX(1,ROUND('Ügyfelek'!AD161,0)))))</f>
        <v/>
      </c>
      <c r="AE161">
        <f>IF($A161="","",IF('Ügyfelek'!AE161="",'Beállítások'!$B$84,MIN(10,MAX(1,ROUND('Ügyfelek'!AE161,0)))))</f>
        <v/>
      </c>
      <c r="AF161">
        <f>IF($A161="","",IF('Ügyfelek'!AF161="",'Beállítások'!$B$84,MIN(10,MAX(1,ROUND('Ügyfelek'!AF161,0)))))</f>
        <v/>
      </c>
      <c r="AG161">
        <f>IF($A161="","",IF('Ügyfelek'!AG161="",'Beállítások'!$B$84,MIN(10,MAX(1,ROUND('Ügyfelek'!AG161,0)))))</f>
        <v/>
      </c>
      <c r="AH161">
        <f>IF($A161="","",IF('Ügyfelek'!AH161="",'Beállítások'!$B$84,IFERROR(VLOOKUP(TRIM('Ügyfelek'!AH161),'Beállítások'!$A$73:$B$79,2,FALSE),'Beállítások'!$B$84)))</f>
        <v/>
      </c>
      <c r="AI161" s="23">
        <f>IF($A161="","",ROUND(100*('Beállítások'!$E$6*(B161-1)+'Beállítások'!$E$7*(C161-1))/(9*'Beállítások'!$B$43),1))</f>
        <v/>
      </c>
      <c r="AJ161" s="23">
        <f>IF($A161="","",ROUND(100*('Beállítások'!$E$8*(D161-1)+'Beállítások'!$E$9*(E161-1)+'Beállítások'!$E$10*(F161-1)+'Beállítások'!$E$11*(G161-1)+'Beállítások'!$E$12*(H161-1)+'Beállítások'!$E$13*(I161-1)+'Beállítások'!$E$14*(J161-1)+'Beállítások'!$E$15*(K161-1)+'Beállítások'!$E$16*(L161-1)+'Beállítások'!$E$17*(M161-1)+'Beállítások'!$E$18*(N161-1)+'Beállítások'!$E$19*(O161-1)+'Beállítások'!$E$20*(P161-1)+'Beállítások'!$E$21*(Q161-1)+'Beállítások'!$E$22*(R161-1))/(9*'Beállítások'!$B$44),1))</f>
        <v/>
      </c>
      <c r="AK161" s="23">
        <f>IF($A161="","",ROUND(100*('Beállítások'!$E$23*(S161-1)+'Beállítások'!$E$24*(T161-1)+'Beállítások'!$E$25*(U161-1)+'Beállítások'!$E$26*(V161-1)+'Beállítások'!$E$27*(W161-1)+'Beállítások'!$E$28*(X161-1)+'Beállítások'!$E$29*(Y161-1))/(9*'Beállítások'!$B$45),1))</f>
        <v/>
      </c>
      <c r="AL161" s="23">
        <f>IF($A161="","",ROUND(100*('Beállítások'!$E$30*(Z161-1)+'Beállítások'!$E$31*(AA161-1)+'Beállítások'!$E$32*(AB161-1)+'Beállítások'!$E$33*(AC161-1)+'Beállítások'!$E$34*(AD161-1)+'Beállítások'!$E$35*(AE161-1)+'Beállítások'!$E$36*(AF161-1)+'Beállítások'!$E$37*(AG161-1)+'Beállítások'!$E$38*(AH161-1))/(9*'Beállítások'!$B$46),1))</f>
        <v/>
      </c>
      <c r="AM161" s="23">
        <f>IF($A161="","",ROUND(100*('Beállítások'!$E$6*(B161-1)+'Beállítások'!$E$7*(C161-1)+'Beállítások'!$E$8*(D161-1)+'Beállítások'!$E$9*(E161-1)+'Beállítások'!$E$10*(F161-1)+'Beállítások'!$E$11*(G161-1)+'Beállítások'!$E$12*(H161-1)+'Beállítások'!$E$13*(I161-1)+'Beállítások'!$E$14*(J161-1)+'Beállítások'!$E$15*(K161-1)+'Beállítások'!$E$16*(L161-1)+'Beállítások'!$E$17*(M161-1)+'Beállítások'!$E$18*(N161-1)+'Beállítások'!$E$19*(O161-1)+'Beállítások'!$E$20*(P161-1)+'Beállítások'!$E$21*(Q161-1)+'Beállítások'!$E$22*(R161-1)+'Beállítások'!$E$23*(S161-1)+'Beállítások'!$E$24*(T161-1)+'Beállítások'!$E$25*(U161-1)+'Beállítások'!$E$26*(V161-1)+'Beállítások'!$E$27*(W161-1)+'Beállítások'!$E$28*(X161-1)+'Beállítások'!$E$29*(Y161-1)+'Beállítások'!$E$30*(Z161-1)+'Beállítások'!$E$31*(AA161-1)+'Beállítások'!$E$32*(AB161-1)+'Beállítások'!$E$33*(AC161-1)+'Beállítások'!$E$34*(AD161-1)+'Beállítások'!$E$35*(AE161-1)+'Beállítások'!$E$36*(AF161-1)+'Beállítások'!$E$37*(AG161-1)+'Beállítások'!$E$38*(AH161-1))/(9*'Beállítások'!$E$39),1))</f>
        <v/>
      </c>
      <c r="AN161" s="23">
        <f>IF($A161="","",ROUND(100*('Beállítások'!$E$8*(D161-1)+'Beállítások'!$E$9*(E161-1)+'Beállítások'!$E$10*(F161-1)+'Beállítások'!$E$11*(G161-1)+'Beállítások'!$E$12*(H161-1)+'Beállítások'!$E$13*(I161-1)+'Beállítások'!$E$14*(J161-1)+'Beállítások'!$E$15*(K161-1)+'Beállítások'!$E$16*(L161-1)+'Beállítások'!$E$17*(M161-1)+'Beállítások'!$E$18*(N161-1)+'Beállítások'!$E$19*(O161-1)+'Beállítások'!$E$20*(P161-1)+'Beállítások'!$E$21*(Q161-1)+'Beállítások'!$E$22*(R161-1)+'Beállítások'!$E$23*(S161-1)+'Beállítások'!$E$24*(T161-1)+'Beállítások'!$E$25*(U161-1)+'Beállítások'!$E$26*(V161-1)+'Beállítások'!$E$27*(W161-1)+'Beállítások'!$E$28*(X161-1)+'Beállítások'!$E$29*(Y161-1))/(9*('Beállítások'!$B$44+'Beállítások'!$B$45)),1))</f>
        <v/>
      </c>
      <c r="AO161" s="24">
        <f>IF($A161="","",RANK(AM161,$AM$2:$AM$201))</f>
        <v/>
      </c>
      <c r="AP161">
        <f>IF($A161="","",IF(OR(AND('Ügyfelek'!B161&lt;&gt;"",B161&lt;='Beállítások'!$B$85),AND('Ügyfelek'!C161&lt;&gt;"",C161&lt;='Beállítások'!$B$86)),"Igen","Nem"))</f>
        <v/>
      </c>
      <c r="AQ161" s="24">
        <f>IF($A161="","",IF(AP161="Igen",5,IF(AN161&gt;='Beállítások'!$C$108,1,IF(AN161&gt;='Beállítások'!$C$109,2,IF(AN161&gt;='Beállítások'!$C$110,3,IF(AND(AN161&gt;='Beállítások'!$B$87,AI161&gt;='Beállítások'!$B$88,AL161&gt;='Beállítások'!$B$89),4,5))))))</f>
        <v/>
      </c>
      <c r="AR161">
        <f>IF($A161="","",INDEX('Beállítások'!$B$108:$B$112,AQ161))</f>
        <v/>
      </c>
      <c r="AS161">
        <f>IF($A161="","",IF(AQ161=5,"Elutasítjuk",IF(AND(AQ161=4,COUNTIFS('Eredmény'!$AQ$2:$AQ$201,4,'Eredmény'!$DY$2:$DY$201,"&gt;"&amp;DY161)&gt;='Beállítások'!$B$90),"Várólista (a 4-es hely foglalt)","Elfogadjuk")))</f>
        <v/>
      </c>
      <c r="AT161">
        <f>IF($A161="","",INDEX('Beállítások'!$F$108:$F$112,AQ161))</f>
        <v/>
      </c>
      <c r="AU161">
        <f>IF($A161="","",INDEX('Beállítások'!$B$6:$B$38,MATCH(MAX(BK161:CQ161),BK161:CQ161,0)))</f>
        <v/>
      </c>
      <c r="AV161">
        <f>IF($A161="","",IF(MAX(CR161:DX161)=0,"—",INDEX('Beállítások'!$B$6:$B$38,MATCH(MAX(CR161:DX161),CR161:DX161,0))))</f>
        <v/>
      </c>
      <c r="AW161" s="10">
        <f>IF($A161="","",'Beállítások'!$B$94*(TRIM('Ügyfelek'!AI161)="igen")+'Beállítások'!$B$95*(TRIM('Ügyfelek'!AJ161)="igen")+'Beállítások'!$B$96*N('Ügyfelek'!AK161)+'Beállítások'!$B$93*N('Ügyfelek'!AL161))</f>
        <v/>
      </c>
      <c r="AX161" s="25">
        <f>IF(OR($A161="",AQ161=5),"",INDEX('Beállítások'!$D$108:$D$112,AQ161))</f>
        <v/>
      </c>
      <c r="AY161" s="10">
        <f>IF($A161="","",N('Ügyfelek'!U161)*'Beállítások'!$B$98)</f>
        <v/>
      </c>
      <c r="AZ161" s="10">
        <f>IF(OR($A161="",AQ161=5),"",CEILING(ROUND(MAX('Beállítások'!$B$97,AW161*AX161,AY161),2),'Beállítások'!$B$99))</f>
        <v/>
      </c>
      <c r="BA161">
        <f>IF($A161="","",IF(AQ161=5,"Elutasítva",IF(MAX('Beállítások'!$B$97,AW161*AX161,AY161)=AW161*AX161,"Munkaigény × státuszszorzó",IF(MAX('Beállítások'!$B$97,AW161*AX161,AY161)=AY161,"Hirdetési keret arányában","Minimumdíj"))))</f>
        <v/>
      </c>
      <c r="BB161" s="10">
        <f>IF(OR($A161="",'Ügyfelek'!AM161=""),"",'Ügyfelek'!AM161)</f>
        <v/>
      </c>
      <c r="BC161" s="10">
        <f>IF(OR(BB161="",AZ161=""),"",AZ161-BB161)</f>
        <v/>
      </c>
      <c r="BD161" s="18">
        <f>IF(OR(BB161="",AZ161="",BB161=0),"",BC161/BB161)</f>
        <v/>
      </c>
      <c r="BE161">
        <f>IF(OR($A161="",AQ161=5),"",IF(AND(INDEX('Beállítások'!$E$108:$E$112,AQ161)&gt;0,Y161&gt;='Beállítások'!$B$91),"Igen","Nem"))</f>
        <v/>
      </c>
      <c r="BF161" s="10">
        <f>IF(BE161="Igen",CEILING(ROUND(AZ161*(1-'Beállítások'!$B$92),2),'Beállítások'!$B$99),"")</f>
        <v/>
      </c>
      <c r="BG161" s="20">
        <f>IF(BE161="Igen",INDEX('Beállítások'!$E$108:$E$112,AQ161),"")</f>
        <v/>
      </c>
      <c r="BH161" s="10">
        <f>IF(OR(BE161&lt;&gt;"Igen",'Ügyfelek'!AN161=""),"",'Ügyfelek'!AN161*BG161)</f>
        <v/>
      </c>
      <c r="BI161" s="24">
        <f>IF($A161="","",('Ügyfelek'!B161="")+('Ügyfelek'!C161="")+('Ügyfelek'!D161="")+('Ügyfelek'!E161="")+('Ügyfelek'!F161="")+('Ügyfelek'!G161="")+('Ügyfelek'!H161="")+('Ügyfelek'!I161="")+('Ügyfelek'!J161="")+('Ügyfelek'!K161="")+('Ügyfelek'!L161="")+('Ügyfelek'!M161="")+('Ügyfelek'!N161="")+('Ügyfelek'!O161="")+('Ügyfelek'!P161="")+('Ügyfelek'!Q161="")+('Ügyfelek'!R161="")+('Ügyfelek'!S161="")+('Ügyfelek'!T161="")+('Ügyfelek'!U161="")+('Ügyfelek'!V161="")+('Ügyfelek'!W161="")+('Ügyfelek'!X161="")+('Ügyfelek'!Y161="")+('Ügyfelek'!Z161="")+('Ügyfelek'!AA161="")+('Ügyfelek'!AB161="")+('Ügyfelek'!AC161="")+('Ügyfelek'!AD161="")+('Ügyfelek'!AE161="")+('Ügyfelek'!AF161="")+('Ügyfelek'!AG161="")+('Ügyfelek'!AH161=""))</f>
        <v/>
      </c>
      <c r="BK161">
        <f>IF($A161="","",B161+'Beállítások'!$E$6/1000)</f>
        <v/>
      </c>
      <c r="BL161">
        <f>IF($A161="","",C161+'Beállítások'!$E$7/1000)</f>
        <v/>
      </c>
      <c r="BM161">
        <f>IF($A161="","",D161+'Beállítások'!$E$8/1000)</f>
        <v/>
      </c>
      <c r="BN161">
        <f>IF($A161="","",E161+'Beállítások'!$E$9/1000)</f>
        <v/>
      </c>
      <c r="BO161">
        <f>IF($A161="","",F161+'Beállítások'!$E$10/1000)</f>
        <v/>
      </c>
      <c r="BP161">
        <f>IF($A161="","",G161+'Beállítások'!$E$11/1000)</f>
        <v/>
      </c>
      <c r="BQ161">
        <f>IF($A161="","",H161+'Beállítások'!$E$12/1000)</f>
        <v/>
      </c>
      <c r="BR161">
        <f>IF($A161="","",I161+'Beállítások'!$E$13/1000)</f>
        <v/>
      </c>
      <c r="BS161">
        <f>IF($A161="","",J161+'Beállítások'!$E$14/1000)</f>
        <v/>
      </c>
      <c r="BT161">
        <f>IF($A161="","",K161+'Beállítások'!$E$15/1000)</f>
        <v/>
      </c>
      <c r="BU161">
        <f>IF($A161="","",L161+'Beállítások'!$E$16/1000)</f>
        <v/>
      </c>
      <c r="BV161">
        <f>IF($A161="","",M161+'Beállítások'!$E$17/1000)</f>
        <v/>
      </c>
      <c r="BW161">
        <f>IF($A161="","",N161+'Beállítások'!$E$18/1000)</f>
        <v/>
      </c>
      <c r="BX161">
        <f>IF($A161="","",O161+'Beállítások'!$E$19/1000)</f>
        <v/>
      </c>
      <c r="BY161">
        <f>IF($A161="","",P161+'Beállítások'!$E$20/1000)</f>
        <v/>
      </c>
      <c r="BZ161">
        <f>IF($A161="","",Q161+'Beállítások'!$E$21/1000)</f>
        <v/>
      </c>
      <c r="CA161">
        <f>IF($A161="","",R161+'Beállítások'!$E$22/1000)</f>
        <v/>
      </c>
      <c r="CB161">
        <f>IF($A161="","",S161+'Beállítások'!$E$23/1000)</f>
        <v/>
      </c>
      <c r="CC161">
        <f>IF($A161="","",T161+'Beállítások'!$E$24/1000)</f>
        <v/>
      </c>
      <c r="CD161">
        <f>IF($A161="","",U161+'Beállítások'!$E$25/1000)</f>
        <v/>
      </c>
      <c r="CE161">
        <f>IF($A161="","",V161+'Beállítások'!$E$26/1000)</f>
        <v/>
      </c>
      <c r="CF161">
        <f>IF($A161="","",W161+'Beállítások'!$E$27/1000)</f>
        <v/>
      </c>
      <c r="CG161">
        <f>IF($A161="","",X161+'Beállítások'!$E$28/1000)</f>
        <v/>
      </c>
      <c r="CH161">
        <f>IF($A161="","",Y161+'Beállítások'!$E$29/1000)</f>
        <v/>
      </c>
      <c r="CI161">
        <f>IF($A161="","",Z161+'Beállítások'!$E$30/1000)</f>
        <v/>
      </c>
      <c r="CJ161">
        <f>IF($A161="","",AA161+'Beállítások'!$E$31/1000)</f>
        <v/>
      </c>
      <c r="CK161">
        <f>IF($A161="","",AB161+'Beállítások'!$E$32/1000)</f>
        <v/>
      </c>
      <c r="CL161">
        <f>IF($A161="","",AC161+'Beállítások'!$E$33/1000)</f>
        <v/>
      </c>
      <c r="CM161">
        <f>IF($A161="","",AD161+'Beállítások'!$E$34/1000)</f>
        <v/>
      </c>
      <c r="CN161">
        <f>IF($A161="","",AE161+'Beállítások'!$E$35/1000)</f>
        <v/>
      </c>
      <c r="CO161">
        <f>IF($A161="","",AF161+'Beállítások'!$E$36/1000)</f>
        <v/>
      </c>
      <c r="CP161">
        <f>IF($A161="","",AG161+'Beállítások'!$E$37/1000)</f>
        <v/>
      </c>
      <c r="CQ161">
        <f>IF($A161="","",AH161+'Beállítások'!$E$38/1000)</f>
        <v/>
      </c>
      <c r="CR161">
        <f>IF($A161="","",'Beállítások'!$E$6*(10-B161))</f>
        <v/>
      </c>
      <c r="CS161">
        <f>IF($A161="","",'Beállítások'!$E$7*(10-C161))</f>
        <v/>
      </c>
      <c r="CT161">
        <f>IF($A161="","",'Beállítások'!$E$8*(10-D161))</f>
        <v/>
      </c>
      <c r="CU161">
        <f>IF($A161="","",'Beállítások'!$E$9*(10-E161))</f>
        <v/>
      </c>
      <c r="CV161">
        <f>IF($A161="","",'Beállítások'!$E$10*(10-F161))</f>
        <v/>
      </c>
      <c r="CW161">
        <f>IF($A161="","",'Beállítások'!$E$11*(10-G161))</f>
        <v/>
      </c>
      <c r="CX161">
        <f>IF($A161="","",'Beállítások'!$E$12*(10-H161))</f>
        <v/>
      </c>
      <c r="CY161">
        <f>IF($A161="","",'Beállítások'!$E$13*(10-I161))</f>
        <v/>
      </c>
      <c r="CZ161">
        <f>IF($A161="","",'Beállítások'!$E$14*(10-J161))</f>
        <v/>
      </c>
      <c r="DA161">
        <f>IF($A161="","",'Beállítások'!$E$15*(10-K161))</f>
        <v/>
      </c>
      <c r="DB161">
        <f>IF($A161="","",'Beállítások'!$E$16*(10-L161))</f>
        <v/>
      </c>
      <c r="DC161">
        <f>IF($A161="","",'Beállítások'!$E$17*(10-M161))</f>
        <v/>
      </c>
      <c r="DD161">
        <f>IF($A161="","",'Beállítások'!$E$18*(10-N161))</f>
        <v/>
      </c>
      <c r="DE161">
        <f>IF($A161="","",'Beállítások'!$E$19*(10-O161))</f>
        <v/>
      </c>
      <c r="DF161">
        <f>IF($A161="","",'Beállítások'!$E$20*(10-P161))</f>
        <v/>
      </c>
      <c r="DG161">
        <f>IF($A161="","",'Beállítások'!$E$21*(10-Q161))</f>
        <v/>
      </c>
      <c r="DH161">
        <f>IF($A161="","",'Beállítások'!$E$22*(10-R161))</f>
        <v/>
      </c>
      <c r="DI161">
        <f>IF($A161="","",'Beállítások'!$E$23*(10-S161))</f>
        <v/>
      </c>
      <c r="DJ161">
        <f>IF($A161="","",'Beállítások'!$E$24*(10-T161))</f>
        <v/>
      </c>
      <c r="DK161">
        <f>IF($A161="","",'Beállítások'!$E$25*(10-U161))</f>
        <v/>
      </c>
      <c r="DL161">
        <f>IF($A161="","",'Beállítások'!$E$26*(10-V161))</f>
        <v/>
      </c>
      <c r="DM161">
        <f>IF($A161="","",'Beállítások'!$E$27*(10-W161))</f>
        <v/>
      </c>
      <c r="DN161">
        <f>IF($A161="","",'Beállítások'!$E$28*(10-X161))</f>
        <v/>
      </c>
      <c r="DO161">
        <f>IF($A161="","",'Beállítások'!$E$29*(10-Y161))</f>
        <v/>
      </c>
      <c r="DP161">
        <f>IF($A161="","",'Beállítások'!$E$30*(10-Z161))</f>
        <v/>
      </c>
      <c r="DQ161">
        <f>IF($A161="","",'Beállítások'!$E$31*(10-AA161))</f>
        <v/>
      </c>
      <c r="DR161">
        <f>IF($A161="","",'Beállítások'!$E$32*(10-AB161))</f>
        <v/>
      </c>
      <c r="DS161">
        <f>IF($A161="","",'Beállítások'!$E$33*(10-AC161))</f>
        <v/>
      </c>
      <c r="DT161">
        <f>IF($A161="","",'Beállítások'!$E$34*(10-AD161))</f>
        <v/>
      </c>
      <c r="DU161">
        <f>IF($A161="","",'Beállítások'!$E$35*(10-AE161))</f>
        <v/>
      </c>
      <c r="DV161">
        <f>IF($A161="","",'Beállítások'!$E$36*(10-AF161))</f>
        <v/>
      </c>
      <c r="DW161">
        <f>IF($A161="","",'Beállítások'!$E$37*(10-AG161))</f>
        <v/>
      </c>
      <c r="DX161">
        <f>IF($A161="","",'Beállítások'!$E$38*(10-AH161))</f>
        <v/>
      </c>
      <c r="DY161">
        <f>IF($A161="","",AM161-ROW()/100000)</f>
        <v/>
      </c>
    </row>
    <row r="162">
      <c r="A162">
        <f>IF('Ügyfelek'!A162="","",'Ügyfelek'!A162)</f>
        <v/>
      </c>
      <c r="B162">
        <f>IF($A162="","",IF('Ügyfelek'!B162="",'Beállítások'!$B$84,IFERROR(VLOOKUP(TRIM('Ügyfelek'!B162),'Beállítások'!$A$51:$B$59,2,FALSE),'Beállítások'!$B$84)))</f>
        <v/>
      </c>
      <c r="C162">
        <f>IF($A162="","",IF('Ügyfelek'!C162="",'Beállítások'!$B$84,MIN(10,MAX(1,ROUND('Ügyfelek'!C162,0)))))</f>
        <v/>
      </c>
      <c r="D162">
        <f>IF($A162="","",IF('Ügyfelek'!D162="",'Beállítások'!$B$84,MIN(10,MAX(1,ROUND('Ügyfelek'!D162,0)))))</f>
        <v/>
      </c>
      <c r="E162">
        <f>IF($A162="","",IF('Ügyfelek'!E162="",'Beállítások'!$B$84,MIN(10,MAX(1,ROUND('Ügyfelek'!E162,0)))))</f>
        <v/>
      </c>
      <c r="F162">
        <f>IF($A162="","",IF('Ügyfelek'!F162="",'Beállítások'!$B$84,MIN(10,MAX(1,ROUND('Ügyfelek'!F162,0)))))</f>
        <v/>
      </c>
      <c r="G162">
        <f>IF($A162="","",IF('Ügyfelek'!G162="",'Beállítások'!$B$84,MIN(10,MAX(1,ROUND('Ügyfelek'!G162,0)))))</f>
        <v/>
      </c>
      <c r="H162">
        <f>IF($A162="","",IF('Ügyfelek'!H162="",'Beállítások'!$B$84,MIN(10,MAX(1,ROUND('Ügyfelek'!H162,0)))))</f>
        <v/>
      </c>
      <c r="I162">
        <f>IF($A162="","",IF('Ügyfelek'!I162="",'Beállítások'!$B$84,MIN(10,MAX(1,ROUND('Ügyfelek'!I162,0)))))</f>
        <v/>
      </c>
      <c r="J162">
        <f>IF($A162="","",IF('Ügyfelek'!J162="",'Beállítások'!$B$84,MIN(10,MAX(1,ROUND('Ügyfelek'!J162,0)))))</f>
        <v/>
      </c>
      <c r="K162">
        <f>IF($A162="","",IF('Ügyfelek'!K162="",'Beállítások'!$B$84,MIN(10,MAX(1,ROUND('Ügyfelek'!K162,0)))))</f>
        <v/>
      </c>
      <c r="L162">
        <f>IF($A162="","",IF('Ügyfelek'!L162="",'Beállítások'!$B$84,MIN(10,MAX(1,ROUND('Ügyfelek'!L162,0)))))</f>
        <v/>
      </c>
      <c r="M162">
        <f>IF($A162="","",IF('Ügyfelek'!M162="",'Beállítások'!$B$84,MIN(10,MAX(1,ROUND('Ügyfelek'!M162,0)))))</f>
        <v/>
      </c>
      <c r="N162">
        <f>IF($A162="","",IF('Ügyfelek'!N162="",'Beállítások'!$B$84,MIN(10,MAX(1,ROUND('Ügyfelek'!N162,0)))))</f>
        <v/>
      </c>
      <c r="O162">
        <f>IF($A162="","",IF('Ügyfelek'!O162="",'Beállítások'!$B$84,MIN(10,MAX(1,ROUND('Ügyfelek'!O162,0)))))</f>
        <v/>
      </c>
      <c r="P162">
        <f>IF($A162="","",IF('Ügyfelek'!P162="",'Beállítások'!$B$84,MIN(10,MAX(1,ROUND('Ügyfelek'!P162,0)))))</f>
        <v/>
      </c>
      <c r="Q162">
        <f>IF($A162="","",IF('Ügyfelek'!Q162="",'Beállítások'!$B$84,MIN(10,MAX(1,ROUND('Ügyfelek'!Q162,0)))))</f>
        <v/>
      </c>
      <c r="R162">
        <f>IF($A162="","",IF('Ügyfelek'!R162="",'Beállítások'!$B$84,MIN(10,MAX(1,ROUND('Ügyfelek'!R162,0)))))</f>
        <v/>
      </c>
      <c r="S162">
        <f>IF($A162="","",IF('Ügyfelek'!S162="",'Beállítások'!$B$84,MIN(10,MAX(1,ROUND('Ügyfelek'!S162,0)))))</f>
        <v/>
      </c>
      <c r="T162">
        <f>IF($A162="","",IF('Ügyfelek'!T162="",'Beállítások'!$B$84,VLOOKUP(MAX('Ügyfelek'!T162,'Beállítások'!$H$7),'Beállítások'!$H$7:$I$12,2,TRUE)))</f>
        <v/>
      </c>
      <c r="U162">
        <f>IF($A162="","",IF('Ügyfelek'!U162="",'Beállítások'!$B$84,VLOOKUP(MAX('Ügyfelek'!U162,'Beállítások'!$K$7),'Beállítások'!$K$7:$L$12,2,TRUE)))</f>
        <v/>
      </c>
      <c r="V162">
        <f>IF($A162="","",IF('Ügyfelek'!V162="",'Beállítások'!$B$84,MIN(10,MAX(1,ROUND('Ügyfelek'!V162,0)))))</f>
        <v/>
      </c>
      <c r="W162">
        <f>IF($A162="","",IF('Ügyfelek'!W162="",'Beállítások'!$B$84,VLOOKUP(MAX('Ügyfelek'!W162,'Beállítások'!$N$7),'Beállítások'!$N$7:$O$12,2,TRUE)))</f>
        <v/>
      </c>
      <c r="X162">
        <f>IF($A162="","",IF('Ügyfelek'!X162="",'Beállítások'!$B$84,MIN(10,MAX(1,ROUND('Ügyfelek'!X162,0)))))</f>
        <v/>
      </c>
      <c r="Y162">
        <f>IF($A162="","",IF('Ügyfelek'!Y162="",'Beállítások'!$B$84,IFERROR(VLOOKUP(TRIM('Ügyfelek'!Y162),'Beállítások'!$A$63:$B$69,2,FALSE),'Beállítások'!$B$84)))</f>
        <v/>
      </c>
      <c r="Z162">
        <f>IF($A162="","",IF('Ügyfelek'!Z162="",'Beállítások'!$B$84,VLOOKUP(MAX('Ügyfelek'!Z162,'Beállítások'!$Q$7),'Beállítások'!$Q$7:$R$12,2,TRUE)))</f>
        <v/>
      </c>
      <c r="AA162">
        <f>IF($A162="","",IF('Ügyfelek'!AA162="",'Beállítások'!$B$84,VLOOKUP(MAX('Ügyfelek'!AA162,'Beállítások'!$T$7),'Beállítások'!$T$7:$U$12,2,TRUE)))</f>
        <v/>
      </c>
      <c r="AB162">
        <f>IF($A162="","",IF('Ügyfelek'!AB162="",'Beállítások'!$B$84,MIN(10,MAX(1,ROUND('Ügyfelek'!AB162,0)))))</f>
        <v/>
      </c>
      <c r="AC162">
        <f>IF($A162="","",IF('Ügyfelek'!AC162="",'Beállítások'!$B$84,MIN(10,MAX(1,ROUND('Ügyfelek'!AC162,0)))))</f>
        <v/>
      </c>
      <c r="AD162">
        <f>IF($A162="","",IF('Ügyfelek'!AD162="",'Beállítások'!$B$84,MIN(10,MAX(1,ROUND('Ügyfelek'!AD162,0)))))</f>
        <v/>
      </c>
      <c r="AE162">
        <f>IF($A162="","",IF('Ügyfelek'!AE162="",'Beállítások'!$B$84,MIN(10,MAX(1,ROUND('Ügyfelek'!AE162,0)))))</f>
        <v/>
      </c>
      <c r="AF162">
        <f>IF($A162="","",IF('Ügyfelek'!AF162="",'Beállítások'!$B$84,MIN(10,MAX(1,ROUND('Ügyfelek'!AF162,0)))))</f>
        <v/>
      </c>
      <c r="AG162">
        <f>IF($A162="","",IF('Ügyfelek'!AG162="",'Beállítások'!$B$84,MIN(10,MAX(1,ROUND('Ügyfelek'!AG162,0)))))</f>
        <v/>
      </c>
      <c r="AH162">
        <f>IF($A162="","",IF('Ügyfelek'!AH162="",'Beállítások'!$B$84,IFERROR(VLOOKUP(TRIM('Ügyfelek'!AH162),'Beállítások'!$A$73:$B$79,2,FALSE),'Beállítások'!$B$84)))</f>
        <v/>
      </c>
      <c r="AI162" s="23">
        <f>IF($A162="","",ROUND(100*('Beállítások'!$E$6*(B162-1)+'Beállítások'!$E$7*(C162-1))/(9*'Beállítások'!$B$43),1))</f>
        <v/>
      </c>
      <c r="AJ162" s="23">
        <f>IF($A162="","",ROUND(100*('Beállítások'!$E$8*(D162-1)+'Beállítások'!$E$9*(E162-1)+'Beállítások'!$E$10*(F162-1)+'Beállítások'!$E$11*(G162-1)+'Beállítások'!$E$12*(H162-1)+'Beállítások'!$E$13*(I162-1)+'Beállítások'!$E$14*(J162-1)+'Beállítások'!$E$15*(K162-1)+'Beállítások'!$E$16*(L162-1)+'Beállítások'!$E$17*(M162-1)+'Beállítások'!$E$18*(N162-1)+'Beállítások'!$E$19*(O162-1)+'Beállítások'!$E$20*(P162-1)+'Beállítások'!$E$21*(Q162-1)+'Beállítások'!$E$22*(R162-1))/(9*'Beállítások'!$B$44),1))</f>
        <v/>
      </c>
      <c r="AK162" s="23">
        <f>IF($A162="","",ROUND(100*('Beállítások'!$E$23*(S162-1)+'Beállítások'!$E$24*(T162-1)+'Beállítások'!$E$25*(U162-1)+'Beállítások'!$E$26*(V162-1)+'Beállítások'!$E$27*(W162-1)+'Beállítások'!$E$28*(X162-1)+'Beállítások'!$E$29*(Y162-1))/(9*'Beállítások'!$B$45),1))</f>
        <v/>
      </c>
      <c r="AL162" s="23">
        <f>IF($A162="","",ROUND(100*('Beállítások'!$E$30*(Z162-1)+'Beállítások'!$E$31*(AA162-1)+'Beállítások'!$E$32*(AB162-1)+'Beállítások'!$E$33*(AC162-1)+'Beállítások'!$E$34*(AD162-1)+'Beállítások'!$E$35*(AE162-1)+'Beállítások'!$E$36*(AF162-1)+'Beállítások'!$E$37*(AG162-1)+'Beállítások'!$E$38*(AH162-1))/(9*'Beállítások'!$B$46),1))</f>
        <v/>
      </c>
      <c r="AM162" s="23">
        <f>IF($A162="","",ROUND(100*('Beállítások'!$E$6*(B162-1)+'Beállítások'!$E$7*(C162-1)+'Beállítások'!$E$8*(D162-1)+'Beállítások'!$E$9*(E162-1)+'Beállítások'!$E$10*(F162-1)+'Beállítások'!$E$11*(G162-1)+'Beállítások'!$E$12*(H162-1)+'Beállítások'!$E$13*(I162-1)+'Beállítások'!$E$14*(J162-1)+'Beállítások'!$E$15*(K162-1)+'Beállítások'!$E$16*(L162-1)+'Beállítások'!$E$17*(M162-1)+'Beállítások'!$E$18*(N162-1)+'Beállítások'!$E$19*(O162-1)+'Beállítások'!$E$20*(P162-1)+'Beállítások'!$E$21*(Q162-1)+'Beállítások'!$E$22*(R162-1)+'Beállítások'!$E$23*(S162-1)+'Beállítások'!$E$24*(T162-1)+'Beállítások'!$E$25*(U162-1)+'Beállítások'!$E$26*(V162-1)+'Beállítások'!$E$27*(W162-1)+'Beállítások'!$E$28*(X162-1)+'Beállítások'!$E$29*(Y162-1)+'Beállítások'!$E$30*(Z162-1)+'Beállítások'!$E$31*(AA162-1)+'Beállítások'!$E$32*(AB162-1)+'Beállítások'!$E$33*(AC162-1)+'Beállítások'!$E$34*(AD162-1)+'Beállítások'!$E$35*(AE162-1)+'Beállítások'!$E$36*(AF162-1)+'Beállítások'!$E$37*(AG162-1)+'Beállítások'!$E$38*(AH162-1))/(9*'Beállítások'!$E$39),1))</f>
        <v/>
      </c>
      <c r="AN162" s="23">
        <f>IF($A162="","",ROUND(100*('Beállítások'!$E$8*(D162-1)+'Beállítások'!$E$9*(E162-1)+'Beállítások'!$E$10*(F162-1)+'Beállítások'!$E$11*(G162-1)+'Beállítások'!$E$12*(H162-1)+'Beállítások'!$E$13*(I162-1)+'Beállítások'!$E$14*(J162-1)+'Beállítások'!$E$15*(K162-1)+'Beállítások'!$E$16*(L162-1)+'Beállítások'!$E$17*(M162-1)+'Beállítások'!$E$18*(N162-1)+'Beállítások'!$E$19*(O162-1)+'Beállítások'!$E$20*(P162-1)+'Beállítások'!$E$21*(Q162-1)+'Beállítások'!$E$22*(R162-1)+'Beállítások'!$E$23*(S162-1)+'Beállítások'!$E$24*(T162-1)+'Beállítások'!$E$25*(U162-1)+'Beállítások'!$E$26*(V162-1)+'Beállítások'!$E$27*(W162-1)+'Beállítások'!$E$28*(X162-1)+'Beállítások'!$E$29*(Y162-1))/(9*('Beállítások'!$B$44+'Beállítások'!$B$45)),1))</f>
        <v/>
      </c>
      <c r="AO162" s="24">
        <f>IF($A162="","",RANK(AM162,$AM$2:$AM$201))</f>
        <v/>
      </c>
      <c r="AP162">
        <f>IF($A162="","",IF(OR(AND('Ügyfelek'!B162&lt;&gt;"",B162&lt;='Beállítások'!$B$85),AND('Ügyfelek'!C162&lt;&gt;"",C162&lt;='Beállítások'!$B$86)),"Igen","Nem"))</f>
        <v/>
      </c>
      <c r="AQ162" s="24">
        <f>IF($A162="","",IF(AP162="Igen",5,IF(AN162&gt;='Beállítások'!$C$108,1,IF(AN162&gt;='Beállítások'!$C$109,2,IF(AN162&gt;='Beállítások'!$C$110,3,IF(AND(AN162&gt;='Beállítások'!$B$87,AI162&gt;='Beállítások'!$B$88,AL162&gt;='Beállítások'!$B$89),4,5))))))</f>
        <v/>
      </c>
      <c r="AR162">
        <f>IF($A162="","",INDEX('Beállítások'!$B$108:$B$112,AQ162))</f>
        <v/>
      </c>
      <c r="AS162">
        <f>IF($A162="","",IF(AQ162=5,"Elutasítjuk",IF(AND(AQ162=4,COUNTIFS('Eredmény'!$AQ$2:$AQ$201,4,'Eredmény'!$DY$2:$DY$201,"&gt;"&amp;DY162)&gt;='Beállítások'!$B$90),"Várólista (a 4-es hely foglalt)","Elfogadjuk")))</f>
        <v/>
      </c>
      <c r="AT162">
        <f>IF($A162="","",INDEX('Beállítások'!$F$108:$F$112,AQ162))</f>
        <v/>
      </c>
      <c r="AU162">
        <f>IF($A162="","",INDEX('Beállítások'!$B$6:$B$38,MATCH(MAX(BK162:CQ162),BK162:CQ162,0)))</f>
        <v/>
      </c>
      <c r="AV162">
        <f>IF($A162="","",IF(MAX(CR162:DX162)=0,"—",INDEX('Beállítások'!$B$6:$B$38,MATCH(MAX(CR162:DX162),CR162:DX162,0))))</f>
        <v/>
      </c>
      <c r="AW162" s="10">
        <f>IF($A162="","",'Beállítások'!$B$94*(TRIM('Ügyfelek'!AI162)="igen")+'Beállítások'!$B$95*(TRIM('Ügyfelek'!AJ162)="igen")+'Beállítások'!$B$96*N('Ügyfelek'!AK162)+'Beállítások'!$B$93*N('Ügyfelek'!AL162))</f>
        <v/>
      </c>
      <c r="AX162" s="25">
        <f>IF(OR($A162="",AQ162=5),"",INDEX('Beállítások'!$D$108:$D$112,AQ162))</f>
        <v/>
      </c>
      <c r="AY162" s="10">
        <f>IF($A162="","",N('Ügyfelek'!U162)*'Beállítások'!$B$98)</f>
        <v/>
      </c>
      <c r="AZ162" s="10">
        <f>IF(OR($A162="",AQ162=5),"",CEILING(ROUND(MAX('Beállítások'!$B$97,AW162*AX162,AY162),2),'Beállítások'!$B$99))</f>
        <v/>
      </c>
      <c r="BA162">
        <f>IF($A162="","",IF(AQ162=5,"Elutasítva",IF(MAX('Beállítások'!$B$97,AW162*AX162,AY162)=AW162*AX162,"Munkaigény × státuszszorzó",IF(MAX('Beállítások'!$B$97,AW162*AX162,AY162)=AY162,"Hirdetési keret arányában","Minimumdíj"))))</f>
        <v/>
      </c>
      <c r="BB162" s="10">
        <f>IF(OR($A162="",'Ügyfelek'!AM162=""),"",'Ügyfelek'!AM162)</f>
        <v/>
      </c>
      <c r="BC162" s="10">
        <f>IF(OR(BB162="",AZ162=""),"",AZ162-BB162)</f>
        <v/>
      </c>
      <c r="BD162" s="18">
        <f>IF(OR(BB162="",AZ162="",BB162=0),"",BC162/BB162)</f>
        <v/>
      </c>
      <c r="BE162">
        <f>IF(OR($A162="",AQ162=5),"",IF(AND(INDEX('Beállítások'!$E$108:$E$112,AQ162)&gt;0,Y162&gt;='Beállítások'!$B$91),"Igen","Nem"))</f>
        <v/>
      </c>
      <c r="BF162" s="10">
        <f>IF(BE162="Igen",CEILING(ROUND(AZ162*(1-'Beállítások'!$B$92),2),'Beállítások'!$B$99),"")</f>
        <v/>
      </c>
      <c r="BG162" s="20">
        <f>IF(BE162="Igen",INDEX('Beállítások'!$E$108:$E$112,AQ162),"")</f>
        <v/>
      </c>
      <c r="BH162" s="10">
        <f>IF(OR(BE162&lt;&gt;"Igen",'Ügyfelek'!AN162=""),"",'Ügyfelek'!AN162*BG162)</f>
        <v/>
      </c>
      <c r="BI162" s="24">
        <f>IF($A162="","",('Ügyfelek'!B162="")+('Ügyfelek'!C162="")+('Ügyfelek'!D162="")+('Ügyfelek'!E162="")+('Ügyfelek'!F162="")+('Ügyfelek'!G162="")+('Ügyfelek'!H162="")+('Ügyfelek'!I162="")+('Ügyfelek'!J162="")+('Ügyfelek'!K162="")+('Ügyfelek'!L162="")+('Ügyfelek'!M162="")+('Ügyfelek'!N162="")+('Ügyfelek'!O162="")+('Ügyfelek'!P162="")+('Ügyfelek'!Q162="")+('Ügyfelek'!R162="")+('Ügyfelek'!S162="")+('Ügyfelek'!T162="")+('Ügyfelek'!U162="")+('Ügyfelek'!V162="")+('Ügyfelek'!W162="")+('Ügyfelek'!X162="")+('Ügyfelek'!Y162="")+('Ügyfelek'!Z162="")+('Ügyfelek'!AA162="")+('Ügyfelek'!AB162="")+('Ügyfelek'!AC162="")+('Ügyfelek'!AD162="")+('Ügyfelek'!AE162="")+('Ügyfelek'!AF162="")+('Ügyfelek'!AG162="")+('Ügyfelek'!AH162=""))</f>
        <v/>
      </c>
      <c r="BK162">
        <f>IF($A162="","",B162+'Beállítások'!$E$6/1000)</f>
        <v/>
      </c>
      <c r="BL162">
        <f>IF($A162="","",C162+'Beállítások'!$E$7/1000)</f>
        <v/>
      </c>
      <c r="BM162">
        <f>IF($A162="","",D162+'Beállítások'!$E$8/1000)</f>
        <v/>
      </c>
      <c r="BN162">
        <f>IF($A162="","",E162+'Beállítások'!$E$9/1000)</f>
        <v/>
      </c>
      <c r="BO162">
        <f>IF($A162="","",F162+'Beállítások'!$E$10/1000)</f>
        <v/>
      </c>
      <c r="BP162">
        <f>IF($A162="","",G162+'Beállítások'!$E$11/1000)</f>
        <v/>
      </c>
      <c r="BQ162">
        <f>IF($A162="","",H162+'Beállítások'!$E$12/1000)</f>
        <v/>
      </c>
      <c r="BR162">
        <f>IF($A162="","",I162+'Beállítások'!$E$13/1000)</f>
        <v/>
      </c>
      <c r="BS162">
        <f>IF($A162="","",J162+'Beállítások'!$E$14/1000)</f>
        <v/>
      </c>
      <c r="BT162">
        <f>IF($A162="","",K162+'Beállítások'!$E$15/1000)</f>
        <v/>
      </c>
      <c r="BU162">
        <f>IF($A162="","",L162+'Beállítások'!$E$16/1000)</f>
        <v/>
      </c>
      <c r="BV162">
        <f>IF($A162="","",M162+'Beállítások'!$E$17/1000)</f>
        <v/>
      </c>
      <c r="BW162">
        <f>IF($A162="","",N162+'Beállítások'!$E$18/1000)</f>
        <v/>
      </c>
      <c r="BX162">
        <f>IF($A162="","",O162+'Beállítások'!$E$19/1000)</f>
        <v/>
      </c>
      <c r="BY162">
        <f>IF($A162="","",P162+'Beállítások'!$E$20/1000)</f>
        <v/>
      </c>
      <c r="BZ162">
        <f>IF($A162="","",Q162+'Beállítások'!$E$21/1000)</f>
        <v/>
      </c>
      <c r="CA162">
        <f>IF($A162="","",R162+'Beállítások'!$E$22/1000)</f>
        <v/>
      </c>
      <c r="CB162">
        <f>IF($A162="","",S162+'Beállítások'!$E$23/1000)</f>
        <v/>
      </c>
      <c r="CC162">
        <f>IF($A162="","",T162+'Beállítások'!$E$24/1000)</f>
        <v/>
      </c>
      <c r="CD162">
        <f>IF($A162="","",U162+'Beállítások'!$E$25/1000)</f>
        <v/>
      </c>
      <c r="CE162">
        <f>IF($A162="","",V162+'Beállítások'!$E$26/1000)</f>
        <v/>
      </c>
      <c r="CF162">
        <f>IF($A162="","",W162+'Beállítások'!$E$27/1000)</f>
        <v/>
      </c>
      <c r="CG162">
        <f>IF($A162="","",X162+'Beállítások'!$E$28/1000)</f>
        <v/>
      </c>
      <c r="CH162">
        <f>IF($A162="","",Y162+'Beállítások'!$E$29/1000)</f>
        <v/>
      </c>
      <c r="CI162">
        <f>IF($A162="","",Z162+'Beállítások'!$E$30/1000)</f>
        <v/>
      </c>
      <c r="CJ162">
        <f>IF($A162="","",AA162+'Beállítások'!$E$31/1000)</f>
        <v/>
      </c>
      <c r="CK162">
        <f>IF($A162="","",AB162+'Beállítások'!$E$32/1000)</f>
        <v/>
      </c>
      <c r="CL162">
        <f>IF($A162="","",AC162+'Beállítások'!$E$33/1000)</f>
        <v/>
      </c>
      <c r="CM162">
        <f>IF($A162="","",AD162+'Beállítások'!$E$34/1000)</f>
        <v/>
      </c>
      <c r="CN162">
        <f>IF($A162="","",AE162+'Beállítások'!$E$35/1000)</f>
        <v/>
      </c>
      <c r="CO162">
        <f>IF($A162="","",AF162+'Beállítások'!$E$36/1000)</f>
        <v/>
      </c>
      <c r="CP162">
        <f>IF($A162="","",AG162+'Beállítások'!$E$37/1000)</f>
        <v/>
      </c>
      <c r="CQ162">
        <f>IF($A162="","",AH162+'Beállítások'!$E$38/1000)</f>
        <v/>
      </c>
      <c r="CR162">
        <f>IF($A162="","",'Beállítások'!$E$6*(10-B162))</f>
        <v/>
      </c>
      <c r="CS162">
        <f>IF($A162="","",'Beállítások'!$E$7*(10-C162))</f>
        <v/>
      </c>
      <c r="CT162">
        <f>IF($A162="","",'Beállítások'!$E$8*(10-D162))</f>
        <v/>
      </c>
      <c r="CU162">
        <f>IF($A162="","",'Beállítások'!$E$9*(10-E162))</f>
        <v/>
      </c>
      <c r="CV162">
        <f>IF($A162="","",'Beállítások'!$E$10*(10-F162))</f>
        <v/>
      </c>
      <c r="CW162">
        <f>IF($A162="","",'Beállítások'!$E$11*(10-G162))</f>
        <v/>
      </c>
      <c r="CX162">
        <f>IF($A162="","",'Beállítások'!$E$12*(10-H162))</f>
        <v/>
      </c>
      <c r="CY162">
        <f>IF($A162="","",'Beállítások'!$E$13*(10-I162))</f>
        <v/>
      </c>
      <c r="CZ162">
        <f>IF($A162="","",'Beállítások'!$E$14*(10-J162))</f>
        <v/>
      </c>
      <c r="DA162">
        <f>IF($A162="","",'Beállítások'!$E$15*(10-K162))</f>
        <v/>
      </c>
      <c r="DB162">
        <f>IF($A162="","",'Beállítások'!$E$16*(10-L162))</f>
        <v/>
      </c>
      <c r="DC162">
        <f>IF($A162="","",'Beállítások'!$E$17*(10-M162))</f>
        <v/>
      </c>
      <c r="DD162">
        <f>IF($A162="","",'Beállítások'!$E$18*(10-N162))</f>
        <v/>
      </c>
      <c r="DE162">
        <f>IF($A162="","",'Beállítások'!$E$19*(10-O162))</f>
        <v/>
      </c>
      <c r="DF162">
        <f>IF($A162="","",'Beállítások'!$E$20*(10-P162))</f>
        <v/>
      </c>
      <c r="DG162">
        <f>IF($A162="","",'Beállítások'!$E$21*(10-Q162))</f>
        <v/>
      </c>
      <c r="DH162">
        <f>IF($A162="","",'Beállítások'!$E$22*(10-R162))</f>
        <v/>
      </c>
      <c r="DI162">
        <f>IF($A162="","",'Beállítások'!$E$23*(10-S162))</f>
        <v/>
      </c>
      <c r="DJ162">
        <f>IF($A162="","",'Beállítások'!$E$24*(10-T162))</f>
        <v/>
      </c>
      <c r="DK162">
        <f>IF($A162="","",'Beállítások'!$E$25*(10-U162))</f>
        <v/>
      </c>
      <c r="DL162">
        <f>IF($A162="","",'Beállítások'!$E$26*(10-V162))</f>
        <v/>
      </c>
      <c r="DM162">
        <f>IF($A162="","",'Beállítások'!$E$27*(10-W162))</f>
        <v/>
      </c>
      <c r="DN162">
        <f>IF($A162="","",'Beállítások'!$E$28*(10-X162))</f>
        <v/>
      </c>
      <c r="DO162">
        <f>IF($A162="","",'Beállítások'!$E$29*(10-Y162))</f>
        <v/>
      </c>
      <c r="DP162">
        <f>IF($A162="","",'Beállítások'!$E$30*(10-Z162))</f>
        <v/>
      </c>
      <c r="DQ162">
        <f>IF($A162="","",'Beállítások'!$E$31*(10-AA162))</f>
        <v/>
      </c>
      <c r="DR162">
        <f>IF($A162="","",'Beállítások'!$E$32*(10-AB162))</f>
        <v/>
      </c>
      <c r="DS162">
        <f>IF($A162="","",'Beállítások'!$E$33*(10-AC162))</f>
        <v/>
      </c>
      <c r="DT162">
        <f>IF($A162="","",'Beállítások'!$E$34*(10-AD162))</f>
        <v/>
      </c>
      <c r="DU162">
        <f>IF($A162="","",'Beállítások'!$E$35*(10-AE162))</f>
        <v/>
      </c>
      <c r="DV162">
        <f>IF($A162="","",'Beállítások'!$E$36*(10-AF162))</f>
        <v/>
      </c>
      <c r="DW162">
        <f>IF($A162="","",'Beállítások'!$E$37*(10-AG162))</f>
        <v/>
      </c>
      <c r="DX162">
        <f>IF($A162="","",'Beállítások'!$E$38*(10-AH162))</f>
        <v/>
      </c>
      <c r="DY162">
        <f>IF($A162="","",AM162-ROW()/100000)</f>
        <v/>
      </c>
    </row>
    <row r="163">
      <c r="A163">
        <f>IF('Ügyfelek'!A163="","",'Ügyfelek'!A163)</f>
        <v/>
      </c>
      <c r="B163">
        <f>IF($A163="","",IF('Ügyfelek'!B163="",'Beállítások'!$B$84,IFERROR(VLOOKUP(TRIM('Ügyfelek'!B163),'Beállítások'!$A$51:$B$59,2,FALSE),'Beállítások'!$B$84)))</f>
        <v/>
      </c>
      <c r="C163">
        <f>IF($A163="","",IF('Ügyfelek'!C163="",'Beállítások'!$B$84,MIN(10,MAX(1,ROUND('Ügyfelek'!C163,0)))))</f>
        <v/>
      </c>
      <c r="D163">
        <f>IF($A163="","",IF('Ügyfelek'!D163="",'Beállítások'!$B$84,MIN(10,MAX(1,ROUND('Ügyfelek'!D163,0)))))</f>
        <v/>
      </c>
      <c r="E163">
        <f>IF($A163="","",IF('Ügyfelek'!E163="",'Beállítások'!$B$84,MIN(10,MAX(1,ROUND('Ügyfelek'!E163,0)))))</f>
        <v/>
      </c>
      <c r="F163">
        <f>IF($A163="","",IF('Ügyfelek'!F163="",'Beállítások'!$B$84,MIN(10,MAX(1,ROUND('Ügyfelek'!F163,0)))))</f>
        <v/>
      </c>
      <c r="G163">
        <f>IF($A163="","",IF('Ügyfelek'!G163="",'Beállítások'!$B$84,MIN(10,MAX(1,ROUND('Ügyfelek'!G163,0)))))</f>
        <v/>
      </c>
      <c r="H163">
        <f>IF($A163="","",IF('Ügyfelek'!H163="",'Beállítások'!$B$84,MIN(10,MAX(1,ROUND('Ügyfelek'!H163,0)))))</f>
        <v/>
      </c>
      <c r="I163">
        <f>IF($A163="","",IF('Ügyfelek'!I163="",'Beállítások'!$B$84,MIN(10,MAX(1,ROUND('Ügyfelek'!I163,0)))))</f>
        <v/>
      </c>
      <c r="J163">
        <f>IF($A163="","",IF('Ügyfelek'!J163="",'Beállítások'!$B$84,MIN(10,MAX(1,ROUND('Ügyfelek'!J163,0)))))</f>
        <v/>
      </c>
      <c r="K163">
        <f>IF($A163="","",IF('Ügyfelek'!K163="",'Beállítások'!$B$84,MIN(10,MAX(1,ROUND('Ügyfelek'!K163,0)))))</f>
        <v/>
      </c>
      <c r="L163">
        <f>IF($A163="","",IF('Ügyfelek'!L163="",'Beállítások'!$B$84,MIN(10,MAX(1,ROUND('Ügyfelek'!L163,0)))))</f>
        <v/>
      </c>
      <c r="M163">
        <f>IF($A163="","",IF('Ügyfelek'!M163="",'Beállítások'!$B$84,MIN(10,MAX(1,ROUND('Ügyfelek'!M163,0)))))</f>
        <v/>
      </c>
      <c r="N163">
        <f>IF($A163="","",IF('Ügyfelek'!N163="",'Beállítások'!$B$84,MIN(10,MAX(1,ROUND('Ügyfelek'!N163,0)))))</f>
        <v/>
      </c>
      <c r="O163">
        <f>IF($A163="","",IF('Ügyfelek'!O163="",'Beállítások'!$B$84,MIN(10,MAX(1,ROUND('Ügyfelek'!O163,0)))))</f>
        <v/>
      </c>
      <c r="P163">
        <f>IF($A163="","",IF('Ügyfelek'!P163="",'Beállítások'!$B$84,MIN(10,MAX(1,ROUND('Ügyfelek'!P163,0)))))</f>
        <v/>
      </c>
      <c r="Q163">
        <f>IF($A163="","",IF('Ügyfelek'!Q163="",'Beállítások'!$B$84,MIN(10,MAX(1,ROUND('Ügyfelek'!Q163,0)))))</f>
        <v/>
      </c>
      <c r="R163">
        <f>IF($A163="","",IF('Ügyfelek'!R163="",'Beállítások'!$B$84,MIN(10,MAX(1,ROUND('Ügyfelek'!R163,0)))))</f>
        <v/>
      </c>
      <c r="S163">
        <f>IF($A163="","",IF('Ügyfelek'!S163="",'Beállítások'!$B$84,MIN(10,MAX(1,ROUND('Ügyfelek'!S163,0)))))</f>
        <v/>
      </c>
      <c r="T163">
        <f>IF($A163="","",IF('Ügyfelek'!T163="",'Beállítások'!$B$84,VLOOKUP(MAX('Ügyfelek'!T163,'Beállítások'!$H$7),'Beállítások'!$H$7:$I$12,2,TRUE)))</f>
        <v/>
      </c>
      <c r="U163">
        <f>IF($A163="","",IF('Ügyfelek'!U163="",'Beállítások'!$B$84,VLOOKUP(MAX('Ügyfelek'!U163,'Beállítások'!$K$7),'Beállítások'!$K$7:$L$12,2,TRUE)))</f>
        <v/>
      </c>
      <c r="V163">
        <f>IF($A163="","",IF('Ügyfelek'!V163="",'Beállítások'!$B$84,MIN(10,MAX(1,ROUND('Ügyfelek'!V163,0)))))</f>
        <v/>
      </c>
      <c r="W163">
        <f>IF($A163="","",IF('Ügyfelek'!W163="",'Beállítások'!$B$84,VLOOKUP(MAX('Ügyfelek'!W163,'Beállítások'!$N$7),'Beállítások'!$N$7:$O$12,2,TRUE)))</f>
        <v/>
      </c>
      <c r="X163">
        <f>IF($A163="","",IF('Ügyfelek'!X163="",'Beállítások'!$B$84,MIN(10,MAX(1,ROUND('Ügyfelek'!X163,0)))))</f>
        <v/>
      </c>
      <c r="Y163">
        <f>IF($A163="","",IF('Ügyfelek'!Y163="",'Beállítások'!$B$84,IFERROR(VLOOKUP(TRIM('Ügyfelek'!Y163),'Beállítások'!$A$63:$B$69,2,FALSE),'Beállítások'!$B$84)))</f>
        <v/>
      </c>
      <c r="Z163">
        <f>IF($A163="","",IF('Ügyfelek'!Z163="",'Beállítások'!$B$84,VLOOKUP(MAX('Ügyfelek'!Z163,'Beállítások'!$Q$7),'Beállítások'!$Q$7:$R$12,2,TRUE)))</f>
        <v/>
      </c>
      <c r="AA163">
        <f>IF($A163="","",IF('Ügyfelek'!AA163="",'Beállítások'!$B$84,VLOOKUP(MAX('Ügyfelek'!AA163,'Beállítások'!$T$7),'Beállítások'!$T$7:$U$12,2,TRUE)))</f>
        <v/>
      </c>
      <c r="AB163">
        <f>IF($A163="","",IF('Ügyfelek'!AB163="",'Beállítások'!$B$84,MIN(10,MAX(1,ROUND('Ügyfelek'!AB163,0)))))</f>
        <v/>
      </c>
      <c r="AC163">
        <f>IF($A163="","",IF('Ügyfelek'!AC163="",'Beállítások'!$B$84,MIN(10,MAX(1,ROUND('Ügyfelek'!AC163,0)))))</f>
        <v/>
      </c>
      <c r="AD163">
        <f>IF($A163="","",IF('Ügyfelek'!AD163="",'Beállítások'!$B$84,MIN(10,MAX(1,ROUND('Ügyfelek'!AD163,0)))))</f>
        <v/>
      </c>
      <c r="AE163">
        <f>IF($A163="","",IF('Ügyfelek'!AE163="",'Beállítások'!$B$84,MIN(10,MAX(1,ROUND('Ügyfelek'!AE163,0)))))</f>
        <v/>
      </c>
      <c r="AF163">
        <f>IF($A163="","",IF('Ügyfelek'!AF163="",'Beállítások'!$B$84,MIN(10,MAX(1,ROUND('Ügyfelek'!AF163,0)))))</f>
        <v/>
      </c>
      <c r="AG163">
        <f>IF($A163="","",IF('Ügyfelek'!AG163="",'Beállítások'!$B$84,MIN(10,MAX(1,ROUND('Ügyfelek'!AG163,0)))))</f>
        <v/>
      </c>
      <c r="AH163">
        <f>IF($A163="","",IF('Ügyfelek'!AH163="",'Beállítások'!$B$84,IFERROR(VLOOKUP(TRIM('Ügyfelek'!AH163),'Beállítások'!$A$73:$B$79,2,FALSE),'Beállítások'!$B$84)))</f>
        <v/>
      </c>
      <c r="AI163" s="23">
        <f>IF($A163="","",ROUND(100*('Beállítások'!$E$6*(B163-1)+'Beállítások'!$E$7*(C163-1))/(9*'Beállítások'!$B$43),1))</f>
        <v/>
      </c>
      <c r="AJ163" s="23">
        <f>IF($A163="","",ROUND(100*('Beállítások'!$E$8*(D163-1)+'Beállítások'!$E$9*(E163-1)+'Beállítások'!$E$10*(F163-1)+'Beállítások'!$E$11*(G163-1)+'Beállítások'!$E$12*(H163-1)+'Beállítások'!$E$13*(I163-1)+'Beállítások'!$E$14*(J163-1)+'Beállítások'!$E$15*(K163-1)+'Beállítások'!$E$16*(L163-1)+'Beállítások'!$E$17*(M163-1)+'Beállítások'!$E$18*(N163-1)+'Beállítások'!$E$19*(O163-1)+'Beállítások'!$E$20*(P163-1)+'Beállítások'!$E$21*(Q163-1)+'Beállítások'!$E$22*(R163-1))/(9*'Beállítások'!$B$44),1))</f>
        <v/>
      </c>
      <c r="AK163" s="23">
        <f>IF($A163="","",ROUND(100*('Beállítások'!$E$23*(S163-1)+'Beállítások'!$E$24*(T163-1)+'Beállítások'!$E$25*(U163-1)+'Beállítások'!$E$26*(V163-1)+'Beállítások'!$E$27*(W163-1)+'Beállítások'!$E$28*(X163-1)+'Beállítások'!$E$29*(Y163-1))/(9*'Beállítások'!$B$45),1))</f>
        <v/>
      </c>
      <c r="AL163" s="23">
        <f>IF($A163="","",ROUND(100*('Beállítások'!$E$30*(Z163-1)+'Beállítások'!$E$31*(AA163-1)+'Beállítások'!$E$32*(AB163-1)+'Beállítások'!$E$33*(AC163-1)+'Beállítások'!$E$34*(AD163-1)+'Beállítások'!$E$35*(AE163-1)+'Beállítások'!$E$36*(AF163-1)+'Beállítások'!$E$37*(AG163-1)+'Beállítások'!$E$38*(AH163-1))/(9*'Beállítások'!$B$46),1))</f>
        <v/>
      </c>
      <c r="AM163" s="23">
        <f>IF($A163="","",ROUND(100*('Beállítások'!$E$6*(B163-1)+'Beállítások'!$E$7*(C163-1)+'Beállítások'!$E$8*(D163-1)+'Beállítások'!$E$9*(E163-1)+'Beállítások'!$E$10*(F163-1)+'Beállítások'!$E$11*(G163-1)+'Beállítások'!$E$12*(H163-1)+'Beállítások'!$E$13*(I163-1)+'Beállítások'!$E$14*(J163-1)+'Beállítások'!$E$15*(K163-1)+'Beállítások'!$E$16*(L163-1)+'Beállítások'!$E$17*(M163-1)+'Beállítások'!$E$18*(N163-1)+'Beállítások'!$E$19*(O163-1)+'Beállítások'!$E$20*(P163-1)+'Beállítások'!$E$21*(Q163-1)+'Beállítások'!$E$22*(R163-1)+'Beállítások'!$E$23*(S163-1)+'Beállítások'!$E$24*(T163-1)+'Beállítások'!$E$25*(U163-1)+'Beállítások'!$E$26*(V163-1)+'Beállítások'!$E$27*(W163-1)+'Beállítások'!$E$28*(X163-1)+'Beállítások'!$E$29*(Y163-1)+'Beállítások'!$E$30*(Z163-1)+'Beállítások'!$E$31*(AA163-1)+'Beállítások'!$E$32*(AB163-1)+'Beállítások'!$E$33*(AC163-1)+'Beállítások'!$E$34*(AD163-1)+'Beállítások'!$E$35*(AE163-1)+'Beállítások'!$E$36*(AF163-1)+'Beállítások'!$E$37*(AG163-1)+'Beállítások'!$E$38*(AH163-1))/(9*'Beállítások'!$E$39),1))</f>
        <v/>
      </c>
      <c r="AN163" s="23">
        <f>IF($A163="","",ROUND(100*('Beállítások'!$E$8*(D163-1)+'Beállítások'!$E$9*(E163-1)+'Beállítások'!$E$10*(F163-1)+'Beállítások'!$E$11*(G163-1)+'Beállítások'!$E$12*(H163-1)+'Beállítások'!$E$13*(I163-1)+'Beállítások'!$E$14*(J163-1)+'Beállítások'!$E$15*(K163-1)+'Beállítások'!$E$16*(L163-1)+'Beállítások'!$E$17*(M163-1)+'Beállítások'!$E$18*(N163-1)+'Beállítások'!$E$19*(O163-1)+'Beállítások'!$E$20*(P163-1)+'Beállítások'!$E$21*(Q163-1)+'Beállítások'!$E$22*(R163-1)+'Beállítások'!$E$23*(S163-1)+'Beállítások'!$E$24*(T163-1)+'Beállítások'!$E$25*(U163-1)+'Beállítások'!$E$26*(V163-1)+'Beállítások'!$E$27*(W163-1)+'Beállítások'!$E$28*(X163-1)+'Beállítások'!$E$29*(Y163-1))/(9*('Beállítások'!$B$44+'Beállítások'!$B$45)),1))</f>
        <v/>
      </c>
      <c r="AO163" s="24">
        <f>IF($A163="","",RANK(AM163,$AM$2:$AM$201))</f>
        <v/>
      </c>
      <c r="AP163">
        <f>IF($A163="","",IF(OR(AND('Ügyfelek'!B163&lt;&gt;"",B163&lt;='Beállítások'!$B$85),AND('Ügyfelek'!C163&lt;&gt;"",C163&lt;='Beállítások'!$B$86)),"Igen","Nem"))</f>
        <v/>
      </c>
      <c r="AQ163" s="24">
        <f>IF($A163="","",IF(AP163="Igen",5,IF(AN163&gt;='Beállítások'!$C$108,1,IF(AN163&gt;='Beállítások'!$C$109,2,IF(AN163&gt;='Beállítások'!$C$110,3,IF(AND(AN163&gt;='Beállítások'!$B$87,AI163&gt;='Beállítások'!$B$88,AL163&gt;='Beállítások'!$B$89),4,5))))))</f>
        <v/>
      </c>
      <c r="AR163">
        <f>IF($A163="","",INDEX('Beállítások'!$B$108:$B$112,AQ163))</f>
        <v/>
      </c>
      <c r="AS163">
        <f>IF($A163="","",IF(AQ163=5,"Elutasítjuk",IF(AND(AQ163=4,COUNTIFS('Eredmény'!$AQ$2:$AQ$201,4,'Eredmény'!$DY$2:$DY$201,"&gt;"&amp;DY163)&gt;='Beállítások'!$B$90),"Várólista (a 4-es hely foglalt)","Elfogadjuk")))</f>
        <v/>
      </c>
      <c r="AT163">
        <f>IF($A163="","",INDEX('Beállítások'!$F$108:$F$112,AQ163))</f>
        <v/>
      </c>
      <c r="AU163">
        <f>IF($A163="","",INDEX('Beállítások'!$B$6:$B$38,MATCH(MAX(BK163:CQ163),BK163:CQ163,0)))</f>
        <v/>
      </c>
      <c r="AV163">
        <f>IF($A163="","",IF(MAX(CR163:DX163)=0,"—",INDEX('Beállítások'!$B$6:$B$38,MATCH(MAX(CR163:DX163),CR163:DX163,0))))</f>
        <v/>
      </c>
      <c r="AW163" s="10">
        <f>IF($A163="","",'Beállítások'!$B$94*(TRIM('Ügyfelek'!AI163)="igen")+'Beállítások'!$B$95*(TRIM('Ügyfelek'!AJ163)="igen")+'Beállítások'!$B$96*N('Ügyfelek'!AK163)+'Beállítások'!$B$93*N('Ügyfelek'!AL163))</f>
        <v/>
      </c>
      <c r="AX163" s="25">
        <f>IF(OR($A163="",AQ163=5),"",INDEX('Beállítások'!$D$108:$D$112,AQ163))</f>
        <v/>
      </c>
      <c r="AY163" s="10">
        <f>IF($A163="","",N('Ügyfelek'!U163)*'Beállítások'!$B$98)</f>
        <v/>
      </c>
      <c r="AZ163" s="10">
        <f>IF(OR($A163="",AQ163=5),"",CEILING(ROUND(MAX('Beállítások'!$B$97,AW163*AX163,AY163),2),'Beállítások'!$B$99))</f>
        <v/>
      </c>
      <c r="BA163">
        <f>IF($A163="","",IF(AQ163=5,"Elutasítva",IF(MAX('Beállítások'!$B$97,AW163*AX163,AY163)=AW163*AX163,"Munkaigény × státuszszorzó",IF(MAX('Beállítások'!$B$97,AW163*AX163,AY163)=AY163,"Hirdetési keret arányában","Minimumdíj"))))</f>
        <v/>
      </c>
      <c r="BB163" s="10">
        <f>IF(OR($A163="",'Ügyfelek'!AM163=""),"",'Ügyfelek'!AM163)</f>
        <v/>
      </c>
      <c r="BC163" s="10">
        <f>IF(OR(BB163="",AZ163=""),"",AZ163-BB163)</f>
        <v/>
      </c>
      <c r="BD163" s="18">
        <f>IF(OR(BB163="",AZ163="",BB163=0),"",BC163/BB163)</f>
        <v/>
      </c>
      <c r="BE163">
        <f>IF(OR($A163="",AQ163=5),"",IF(AND(INDEX('Beállítások'!$E$108:$E$112,AQ163)&gt;0,Y163&gt;='Beállítások'!$B$91),"Igen","Nem"))</f>
        <v/>
      </c>
      <c r="BF163" s="10">
        <f>IF(BE163="Igen",CEILING(ROUND(AZ163*(1-'Beállítások'!$B$92),2),'Beállítások'!$B$99),"")</f>
        <v/>
      </c>
      <c r="BG163" s="20">
        <f>IF(BE163="Igen",INDEX('Beállítások'!$E$108:$E$112,AQ163),"")</f>
        <v/>
      </c>
      <c r="BH163" s="10">
        <f>IF(OR(BE163&lt;&gt;"Igen",'Ügyfelek'!AN163=""),"",'Ügyfelek'!AN163*BG163)</f>
        <v/>
      </c>
      <c r="BI163" s="24">
        <f>IF($A163="","",('Ügyfelek'!B163="")+('Ügyfelek'!C163="")+('Ügyfelek'!D163="")+('Ügyfelek'!E163="")+('Ügyfelek'!F163="")+('Ügyfelek'!G163="")+('Ügyfelek'!H163="")+('Ügyfelek'!I163="")+('Ügyfelek'!J163="")+('Ügyfelek'!K163="")+('Ügyfelek'!L163="")+('Ügyfelek'!M163="")+('Ügyfelek'!N163="")+('Ügyfelek'!O163="")+('Ügyfelek'!P163="")+('Ügyfelek'!Q163="")+('Ügyfelek'!R163="")+('Ügyfelek'!S163="")+('Ügyfelek'!T163="")+('Ügyfelek'!U163="")+('Ügyfelek'!V163="")+('Ügyfelek'!W163="")+('Ügyfelek'!X163="")+('Ügyfelek'!Y163="")+('Ügyfelek'!Z163="")+('Ügyfelek'!AA163="")+('Ügyfelek'!AB163="")+('Ügyfelek'!AC163="")+('Ügyfelek'!AD163="")+('Ügyfelek'!AE163="")+('Ügyfelek'!AF163="")+('Ügyfelek'!AG163="")+('Ügyfelek'!AH163=""))</f>
        <v/>
      </c>
      <c r="BK163">
        <f>IF($A163="","",B163+'Beállítások'!$E$6/1000)</f>
        <v/>
      </c>
      <c r="BL163">
        <f>IF($A163="","",C163+'Beállítások'!$E$7/1000)</f>
        <v/>
      </c>
      <c r="BM163">
        <f>IF($A163="","",D163+'Beállítások'!$E$8/1000)</f>
        <v/>
      </c>
      <c r="BN163">
        <f>IF($A163="","",E163+'Beállítások'!$E$9/1000)</f>
        <v/>
      </c>
      <c r="BO163">
        <f>IF($A163="","",F163+'Beállítások'!$E$10/1000)</f>
        <v/>
      </c>
      <c r="BP163">
        <f>IF($A163="","",G163+'Beállítások'!$E$11/1000)</f>
        <v/>
      </c>
      <c r="BQ163">
        <f>IF($A163="","",H163+'Beállítások'!$E$12/1000)</f>
        <v/>
      </c>
      <c r="BR163">
        <f>IF($A163="","",I163+'Beállítások'!$E$13/1000)</f>
        <v/>
      </c>
      <c r="BS163">
        <f>IF($A163="","",J163+'Beállítások'!$E$14/1000)</f>
        <v/>
      </c>
      <c r="BT163">
        <f>IF($A163="","",K163+'Beállítások'!$E$15/1000)</f>
        <v/>
      </c>
      <c r="BU163">
        <f>IF($A163="","",L163+'Beállítások'!$E$16/1000)</f>
        <v/>
      </c>
      <c r="BV163">
        <f>IF($A163="","",M163+'Beállítások'!$E$17/1000)</f>
        <v/>
      </c>
      <c r="BW163">
        <f>IF($A163="","",N163+'Beállítások'!$E$18/1000)</f>
        <v/>
      </c>
      <c r="BX163">
        <f>IF($A163="","",O163+'Beállítások'!$E$19/1000)</f>
        <v/>
      </c>
      <c r="BY163">
        <f>IF($A163="","",P163+'Beállítások'!$E$20/1000)</f>
        <v/>
      </c>
      <c r="BZ163">
        <f>IF($A163="","",Q163+'Beállítások'!$E$21/1000)</f>
        <v/>
      </c>
      <c r="CA163">
        <f>IF($A163="","",R163+'Beállítások'!$E$22/1000)</f>
        <v/>
      </c>
      <c r="CB163">
        <f>IF($A163="","",S163+'Beállítások'!$E$23/1000)</f>
        <v/>
      </c>
      <c r="CC163">
        <f>IF($A163="","",T163+'Beállítások'!$E$24/1000)</f>
        <v/>
      </c>
      <c r="CD163">
        <f>IF($A163="","",U163+'Beállítások'!$E$25/1000)</f>
        <v/>
      </c>
      <c r="CE163">
        <f>IF($A163="","",V163+'Beállítások'!$E$26/1000)</f>
        <v/>
      </c>
      <c r="CF163">
        <f>IF($A163="","",W163+'Beállítások'!$E$27/1000)</f>
        <v/>
      </c>
      <c r="CG163">
        <f>IF($A163="","",X163+'Beállítások'!$E$28/1000)</f>
        <v/>
      </c>
      <c r="CH163">
        <f>IF($A163="","",Y163+'Beállítások'!$E$29/1000)</f>
        <v/>
      </c>
      <c r="CI163">
        <f>IF($A163="","",Z163+'Beállítások'!$E$30/1000)</f>
        <v/>
      </c>
      <c r="CJ163">
        <f>IF($A163="","",AA163+'Beállítások'!$E$31/1000)</f>
        <v/>
      </c>
      <c r="CK163">
        <f>IF($A163="","",AB163+'Beállítások'!$E$32/1000)</f>
        <v/>
      </c>
      <c r="CL163">
        <f>IF($A163="","",AC163+'Beállítások'!$E$33/1000)</f>
        <v/>
      </c>
      <c r="CM163">
        <f>IF($A163="","",AD163+'Beállítások'!$E$34/1000)</f>
        <v/>
      </c>
      <c r="CN163">
        <f>IF($A163="","",AE163+'Beállítások'!$E$35/1000)</f>
        <v/>
      </c>
      <c r="CO163">
        <f>IF($A163="","",AF163+'Beállítások'!$E$36/1000)</f>
        <v/>
      </c>
      <c r="CP163">
        <f>IF($A163="","",AG163+'Beállítások'!$E$37/1000)</f>
        <v/>
      </c>
      <c r="CQ163">
        <f>IF($A163="","",AH163+'Beállítások'!$E$38/1000)</f>
        <v/>
      </c>
      <c r="CR163">
        <f>IF($A163="","",'Beállítások'!$E$6*(10-B163))</f>
        <v/>
      </c>
      <c r="CS163">
        <f>IF($A163="","",'Beállítások'!$E$7*(10-C163))</f>
        <v/>
      </c>
      <c r="CT163">
        <f>IF($A163="","",'Beállítások'!$E$8*(10-D163))</f>
        <v/>
      </c>
      <c r="CU163">
        <f>IF($A163="","",'Beállítások'!$E$9*(10-E163))</f>
        <v/>
      </c>
      <c r="CV163">
        <f>IF($A163="","",'Beállítások'!$E$10*(10-F163))</f>
        <v/>
      </c>
      <c r="CW163">
        <f>IF($A163="","",'Beállítások'!$E$11*(10-G163))</f>
        <v/>
      </c>
      <c r="CX163">
        <f>IF($A163="","",'Beállítások'!$E$12*(10-H163))</f>
        <v/>
      </c>
      <c r="CY163">
        <f>IF($A163="","",'Beállítások'!$E$13*(10-I163))</f>
        <v/>
      </c>
      <c r="CZ163">
        <f>IF($A163="","",'Beállítások'!$E$14*(10-J163))</f>
        <v/>
      </c>
      <c r="DA163">
        <f>IF($A163="","",'Beállítások'!$E$15*(10-K163))</f>
        <v/>
      </c>
      <c r="DB163">
        <f>IF($A163="","",'Beállítások'!$E$16*(10-L163))</f>
        <v/>
      </c>
      <c r="DC163">
        <f>IF($A163="","",'Beállítások'!$E$17*(10-M163))</f>
        <v/>
      </c>
      <c r="DD163">
        <f>IF($A163="","",'Beállítások'!$E$18*(10-N163))</f>
        <v/>
      </c>
      <c r="DE163">
        <f>IF($A163="","",'Beállítások'!$E$19*(10-O163))</f>
        <v/>
      </c>
      <c r="DF163">
        <f>IF($A163="","",'Beállítások'!$E$20*(10-P163))</f>
        <v/>
      </c>
      <c r="DG163">
        <f>IF($A163="","",'Beállítások'!$E$21*(10-Q163))</f>
        <v/>
      </c>
      <c r="DH163">
        <f>IF($A163="","",'Beállítások'!$E$22*(10-R163))</f>
        <v/>
      </c>
      <c r="DI163">
        <f>IF($A163="","",'Beállítások'!$E$23*(10-S163))</f>
        <v/>
      </c>
      <c r="DJ163">
        <f>IF($A163="","",'Beállítások'!$E$24*(10-T163))</f>
        <v/>
      </c>
      <c r="DK163">
        <f>IF($A163="","",'Beállítások'!$E$25*(10-U163))</f>
        <v/>
      </c>
      <c r="DL163">
        <f>IF($A163="","",'Beállítások'!$E$26*(10-V163))</f>
        <v/>
      </c>
      <c r="DM163">
        <f>IF($A163="","",'Beállítások'!$E$27*(10-W163))</f>
        <v/>
      </c>
      <c r="DN163">
        <f>IF($A163="","",'Beállítások'!$E$28*(10-X163))</f>
        <v/>
      </c>
      <c r="DO163">
        <f>IF($A163="","",'Beállítások'!$E$29*(10-Y163))</f>
        <v/>
      </c>
      <c r="DP163">
        <f>IF($A163="","",'Beállítások'!$E$30*(10-Z163))</f>
        <v/>
      </c>
      <c r="DQ163">
        <f>IF($A163="","",'Beállítások'!$E$31*(10-AA163))</f>
        <v/>
      </c>
      <c r="DR163">
        <f>IF($A163="","",'Beállítások'!$E$32*(10-AB163))</f>
        <v/>
      </c>
      <c r="DS163">
        <f>IF($A163="","",'Beállítások'!$E$33*(10-AC163))</f>
        <v/>
      </c>
      <c r="DT163">
        <f>IF($A163="","",'Beállítások'!$E$34*(10-AD163))</f>
        <v/>
      </c>
      <c r="DU163">
        <f>IF($A163="","",'Beállítások'!$E$35*(10-AE163))</f>
        <v/>
      </c>
      <c r="DV163">
        <f>IF($A163="","",'Beállítások'!$E$36*(10-AF163))</f>
        <v/>
      </c>
      <c r="DW163">
        <f>IF($A163="","",'Beállítások'!$E$37*(10-AG163))</f>
        <v/>
      </c>
      <c r="DX163">
        <f>IF($A163="","",'Beállítások'!$E$38*(10-AH163))</f>
        <v/>
      </c>
      <c r="DY163">
        <f>IF($A163="","",AM163-ROW()/100000)</f>
        <v/>
      </c>
    </row>
    <row r="164">
      <c r="A164">
        <f>IF('Ügyfelek'!A164="","",'Ügyfelek'!A164)</f>
        <v/>
      </c>
      <c r="B164">
        <f>IF($A164="","",IF('Ügyfelek'!B164="",'Beállítások'!$B$84,IFERROR(VLOOKUP(TRIM('Ügyfelek'!B164),'Beállítások'!$A$51:$B$59,2,FALSE),'Beállítások'!$B$84)))</f>
        <v/>
      </c>
      <c r="C164">
        <f>IF($A164="","",IF('Ügyfelek'!C164="",'Beállítások'!$B$84,MIN(10,MAX(1,ROUND('Ügyfelek'!C164,0)))))</f>
        <v/>
      </c>
      <c r="D164">
        <f>IF($A164="","",IF('Ügyfelek'!D164="",'Beállítások'!$B$84,MIN(10,MAX(1,ROUND('Ügyfelek'!D164,0)))))</f>
        <v/>
      </c>
      <c r="E164">
        <f>IF($A164="","",IF('Ügyfelek'!E164="",'Beállítások'!$B$84,MIN(10,MAX(1,ROUND('Ügyfelek'!E164,0)))))</f>
        <v/>
      </c>
      <c r="F164">
        <f>IF($A164="","",IF('Ügyfelek'!F164="",'Beállítások'!$B$84,MIN(10,MAX(1,ROUND('Ügyfelek'!F164,0)))))</f>
        <v/>
      </c>
      <c r="G164">
        <f>IF($A164="","",IF('Ügyfelek'!G164="",'Beállítások'!$B$84,MIN(10,MAX(1,ROUND('Ügyfelek'!G164,0)))))</f>
        <v/>
      </c>
      <c r="H164">
        <f>IF($A164="","",IF('Ügyfelek'!H164="",'Beállítások'!$B$84,MIN(10,MAX(1,ROUND('Ügyfelek'!H164,0)))))</f>
        <v/>
      </c>
      <c r="I164">
        <f>IF($A164="","",IF('Ügyfelek'!I164="",'Beállítások'!$B$84,MIN(10,MAX(1,ROUND('Ügyfelek'!I164,0)))))</f>
        <v/>
      </c>
      <c r="J164">
        <f>IF($A164="","",IF('Ügyfelek'!J164="",'Beállítások'!$B$84,MIN(10,MAX(1,ROUND('Ügyfelek'!J164,0)))))</f>
        <v/>
      </c>
      <c r="K164">
        <f>IF($A164="","",IF('Ügyfelek'!K164="",'Beállítások'!$B$84,MIN(10,MAX(1,ROUND('Ügyfelek'!K164,0)))))</f>
        <v/>
      </c>
      <c r="L164">
        <f>IF($A164="","",IF('Ügyfelek'!L164="",'Beállítások'!$B$84,MIN(10,MAX(1,ROUND('Ügyfelek'!L164,0)))))</f>
        <v/>
      </c>
      <c r="M164">
        <f>IF($A164="","",IF('Ügyfelek'!M164="",'Beállítások'!$B$84,MIN(10,MAX(1,ROUND('Ügyfelek'!M164,0)))))</f>
        <v/>
      </c>
      <c r="N164">
        <f>IF($A164="","",IF('Ügyfelek'!N164="",'Beállítások'!$B$84,MIN(10,MAX(1,ROUND('Ügyfelek'!N164,0)))))</f>
        <v/>
      </c>
      <c r="O164">
        <f>IF($A164="","",IF('Ügyfelek'!O164="",'Beállítások'!$B$84,MIN(10,MAX(1,ROUND('Ügyfelek'!O164,0)))))</f>
        <v/>
      </c>
      <c r="P164">
        <f>IF($A164="","",IF('Ügyfelek'!P164="",'Beállítások'!$B$84,MIN(10,MAX(1,ROUND('Ügyfelek'!P164,0)))))</f>
        <v/>
      </c>
      <c r="Q164">
        <f>IF($A164="","",IF('Ügyfelek'!Q164="",'Beállítások'!$B$84,MIN(10,MAX(1,ROUND('Ügyfelek'!Q164,0)))))</f>
        <v/>
      </c>
      <c r="R164">
        <f>IF($A164="","",IF('Ügyfelek'!R164="",'Beállítások'!$B$84,MIN(10,MAX(1,ROUND('Ügyfelek'!R164,0)))))</f>
        <v/>
      </c>
      <c r="S164">
        <f>IF($A164="","",IF('Ügyfelek'!S164="",'Beállítások'!$B$84,MIN(10,MAX(1,ROUND('Ügyfelek'!S164,0)))))</f>
        <v/>
      </c>
      <c r="T164">
        <f>IF($A164="","",IF('Ügyfelek'!T164="",'Beállítások'!$B$84,VLOOKUP(MAX('Ügyfelek'!T164,'Beállítások'!$H$7),'Beállítások'!$H$7:$I$12,2,TRUE)))</f>
        <v/>
      </c>
      <c r="U164">
        <f>IF($A164="","",IF('Ügyfelek'!U164="",'Beállítások'!$B$84,VLOOKUP(MAX('Ügyfelek'!U164,'Beállítások'!$K$7),'Beállítások'!$K$7:$L$12,2,TRUE)))</f>
        <v/>
      </c>
      <c r="V164">
        <f>IF($A164="","",IF('Ügyfelek'!V164="",'Beállítások'!$B$84,MIN(10,MAX(1,ROUND('Ügyfelek'!V164,0)))))</f>
        <v/>
      </c>
      <c r="W164">
        <f>IF($A164="","",IF('Ügyfelek'!W164="",'Beállítások'!$B$84,VLOOKUP(MAX('Ügyfelek'!W164,'Beállítások'!$N$7),'Beállítások'!$N$7:$O$12,2,TRUE)))</f>
        <v/>
      </c>
      <c r="X164">
        <f>IF($A164="","",IF('Ügyfelek'!X164="",'Beállítások'!$B$84,MIN(10,MAX(1,ROUND('Ügyfelek'!X164,0)))))</f>
        <v/>
      </c>
      <c r="Y164">
        <f>IF($A164="","",IF('Ügyfelek'!Y164="",'Beállítások'!$B$84,IFERROR(VLOOKUP(TRIM('Ügyfelek'!Y164),'Beállítások'!$A$63:$B$69,2,FALSE),'Beállítások'!$B$84)))</f>
        <v/>
      </c>
      <c r="Z164">
        <f>IF($A164="","",IF('Ügyfelek'!Z164="",'Beállítások'!$B$84,VLOOKUP(MAX('Ügyfelek'!Z164,'Beállítások'!$Q$7),'Beállítások'!$Q$7:$R$12,2,TRUE)))</f>
        <v/>
      </c>
      <c r="AA164">
        <f>IF($A164="","",IF('Ügyfelek'!AA164="",'Beállítások'!$B$84,VLOOKUP(MAX('Ügyfelek'!AA164,'Beállítások'!$T$7),'Beállítások'!$T$7:$U$12,2,TRUE)))</f>
        <v/>
      </c>
      <c r="AB164">
        <f>IF($A164="","",IF('Ügyfelek'!AB164="",'Beállítások'!$B$84,MIN(10,MAX(1,ROUND('Ügyfelek'!AB164,0)))))</f>
        <v/>
      </c>
      <c r="AC164">
        <f>IF($A164="","",IF('Ügyfelek'!AC164="",'Beállítások'!$B$84,MIN(10,MAX(1,ROUND('Ügyfelek'!AC164,0)))))</f>
        <v/>
      </c>
      <c r="AD164">
        <f>IF($A164="","",IF('Ügyfelek'!AD164="",'Beállítások'!$B$84,MIN(10,MAX(1,ROUND('Ügyfelek'!AD164,0)))))</f>
        <v/>
      </c>
      <c r="AE164">
        <f>IF($A164="","",IF('Ügyfelek'!AE164="",'Beállítások'!$B$84,MIN(10,MAX(1,ROUND('Ügyfelek'!AE164,0)))))</f>
        <v/>
      </c>
      <c r="AF164">
        <f>IF($A164="","",IF('Ügyfelek'!AF164="",'Beállítások'!$B$84,MIN(10,MAX(1,ROUND('Ügyfelek'!AF164,0)))))</f>
        <v/>
      </c>
      <c r="AG164">
        <f>IF($A164="","",IF('Ügyfelek'!AG164="",'Beállítások'!$B$84,MIN(10,MAX(1,ROUND('Ügyfelek'!AG164,0)))))</f>
        <v/>
      </c>
      <c r="AH164">
        <f>IF($A164="","",IF('Ügyfelek'!AH164="",'Beállítások'!$B$84,IFERROR(VLOOKUP(TRIM('Ügyfelek'!AH164),'Beállítások'!$A$73:$B$79,2,FALSE),'Beállítások'!$B$84)))</f>
        <v/>
      </c>
      <c r="AI164" s="23">
        <f>IF($A164="","",ROUND(100*('Beállítások'!$E$6*(B164-1)+'Beállítások'!$E$7*(C164-1))/(9*'Beállítások'!$B$43),1))</f>
        <v/>
      </c>
      <c r="AJ164" s="23">
        <f>IF($A164="","",ROUND(100*('Beállítások'!$E$8*(D164-1)+'Beállítások'!$E$9*(E164-1)+'Beállítások'!$E$10*(F164-1)+'Beállítások'!$E$11*(G164-1)+'Beállítások'!$E$12*(H164-1)+'Beállítások'!$E$13*(I164-1)+'Beállítások'!$E$14*(J164-1)+'Beállítások'!$E$15*(K164-1)+'Beállítások'!$E$16*(L164-1)+'Beállítások'!$E$17*(M164-1)+'Beállítások'!$E$18*(N164-1)+'Beállítások'!$E$19*(O164-1)+'Beállítások'!$E$20*(P164-1)+'Beállítások'!$E$21*(Q164-1)+'Beállítások'!$E$22*(R164-1))/(9*'Beállítások'!$B$44),1))</f>
        <v/>
      </c>
      <c r="AK164" s="23">
        <f>IF($A164="","",ROUND(100*('Beállítások'!$E$23*(S164-1)+'Beállítások'!$E$24*(T164-1)+'Beállítások'!$E$25*(U164-1)+'Beállítások'!$E$26*(V164-1)+'Beállítások'!$E$27*(W164-1)+'Beállítások'!$E$28*(X164-1)+'Beállítások'!$E$29*(Y164-1))/(9*'Beállítások'!$B$45),1))</f>
        <v/>
      </c>
      <c r="AL164" s="23">
        <f>IF($A164="","",ROUND(100*('Beállítások'!$E$30*(Z164-1)+'Beállítások'!$E$31*(AA164-1)+'Beállítások'!$E$32*(AB164-1)+'Beállítások'!$E$33*(AC164-1)+'Beállítások'!$E$34*(AD164-1)+'Beállítások'!$E$35*(AE164-1)+'Beállítások'!$E$36*(AF164-1)+'Beállítások'!$E$37*(AG164-1)+'Beállítások'!$E$38*(AH164-1))/(9*'Beállítások'!$B$46),1))</f>
        <v/>
      </c>
      <c r="AM164" s="23">
        <f>IF($A164="","",ROUND(100*('Beállítások'!$E$6*(B164-1)+'Beállítások'!$E$7*(C164-1)+'Beállítások'!$E$8*(D164-1)+'Beállítások'!$E$9*(E164-1)+'Beállítások'!$E$10*(F164-1)+'Beállítások'!$E$11*(G164-1)+'Beállítások'!$E$12*(H164-1)+'Beállítások'!$E$13*(I164-1)+'Beállítások'!$E$14*(J164-1)+'Beállítások'!$E$15*(K164-1)+'Beállítások'!$E$16*(L164-1)+'Beállítások'!$E$17*(M164-1)+'Beállítások'!$E$18*(N164-1)+'Beállítások'!$E$19*(O164-1)+'Beállítások'!$E$20*(P164-1)+'Beállítások'!$E$21*(Q164-1)+'Beállítások'!$E$22*(R164-1)+'Beállítások'!$E$23*(S164-1)+'Beállítások'!$E$24*(T164-1)+'Beállítások'!$E$25*(U164-1)+'Beállítások'!$E$26*(V164-1)+'Beállítások'!$E$27*(W164-1)+'Beállítások'!$E$28*(X164-1)+'Beállítások'!$E$29*(Y164-1)+'Beállítások'!$E$30*(Z164-1)+'Beállítások'!$E$31*(AA164-1)+'Beállítások'!$E$32*(AB164-1)+'Beállítások'!$E$33*(AC164-1)+'Beállítások'!$E$34*(AD164-1)+'Beállítások'!$E$35*(AE164-1)+'Beállítások'!$E$36*(AF164-1)+'Beállítások'!$E$37*(AG164-1)+'Beállítások'!$E$38*(AH164-1))/(9*'Beállítások'!$E$39),1))</f>
        <v/>
      </c>
      <c r="AN164" s="23">
        <f>IF($A164="","",ROUND(100*('Beállítások'!$E$8*(D164-1)+'Beállítások'!$E$9*(E164-1)+'Beállítások'!$E$10*(F164-1)+'Beállítások'!$E$11*(G164-1)+'Beállítások'!$E$12*(H164-1)+'Beállítások'!$E$13*(I164-1)+'Beállítások'!$E$14*(J164-1)+'Beállítások'!$E$15*(K164-1)+'Beállítások'!$E$16*(L164-1)+'Beállítások'!$E$17*(M164-1)+'Beállítások'!$E$18*(N164-1)+'Beállítások'!$E$19*(O164-1)+'Beállítások'!$E$20*(P164-1)+'Beállítások'!$E$21*(Q164-1)+'Beállítások'!$E$22*(R164-1)+'Beállítások'!$E$23*(S164-1)+'Beállítások'!$E$24*(T164-1)+'Beállítások'!$E$25*(U164-1)+'Beállítások'!$E$26*(V164-1)+'Beállítások'!$E$27*(W164-1)+'Beállítások'!$E$28*(X164-1)+'Beállítások'!$E$29*(Y164-1))/(9*('Beállítások'!$B$44+'Beállítások'!$B$45)),1))</f>
        <v/>
      </c>
      <c r="AO164" s="24">
        <f>IF($A164="","",RANK(AM164,$AM$2:$AM$201))</f>
        <v/>
      </c>
      <c r="AP164">
        <f>IF($A164="","",IF(OR(AND('Ügyfelek'!B164&lt;&gt;"",B164&lt;='Beállítások'!$B$85),AND('Ügyfelek'!C164&lt;&gt;"",C164&lt;='Beállítások'!$B$86)),"Igen","Nem"))</f>
        <v/>
      </c>
      <c r="AQ164" s="24">
        <f>IF($A164="","",IF(AP164="Igen",5,IF(AN164&gt;='Beállítások'!$C$108,1,IF(AN164&gt;='Beállítások'!$C$109,2,IF(AN164&gt;='Beállítások'!$C$110,3,IF(AND(AN164&gt;='Beállítások'!$B$87,AI164&gt;='Beállítások'!$B$88,AL164&gt;='Beállítások'!$B$89),4,5))))))</f>
        <v/>
      </c>
      <c r="AR164">
        <f>IF($A164="","",INDEX('Beállítások'!$B$108:$B$112,AQ164))</f>
        <v/>
      </c>
      <c r="AS164">
        <f>IF($A164="","",IF(AQ164=5,"Elutasítjuk",IF(AND(AQ164=4,COUNTIFS('Eredmény'!$AQ$2:$AQ$201,4,'Eredmény'!$DY$2:$DY$201,"&gt;"&amp;DY164)&gt;='Beállítások'!$B$90),"Várólista (a 4-es hely foglalt)","Elfogadjuk")))</f>
        <v/>
      </c>
      <c r="AT164">
        <f>IF($A164="","",INDEX('Beállítások'!$F$108:$F$112,AQ164))</f>
        <v/>
      </c>
      <c r="AU164">
        <f>IF($A164="","",INDEX('Beállítások'!$B$6:$B$38,MATCH(MAX(BK164:CQ164),BK164:CQ164,0)))</f>
        <v/>
      </c>
      <c r="AV164">
        <f>IF($A164="","",IF(MAX(CR164:DX164)=0,"—",INDEX('Beállítások'!$B$6:$B$38,MATCH(MAX(CR164:DX164),CR164:DX164,0))))</f>
        <v/>
      </c>
      <c r="AW164" s="10">
        <f>IF($A164="","",'Beállítások'!$B$94*(TRIM('Ügyfelek'!AI164)="igen")+'Beállítások'!$B$95*(TRIM('Ügyfelek'!AJ164)="igen")+'Beállítások'!$B$96*N('Ügyfelek'!AK164)+'Beállítások'!$B$93*N('Ügyfelek'!AL164))</f>
        <v/>
      </c>
      <c r="AX164" s="25">
        <f>IF(OR($A164="",AQ164=5),"",INDEX('Beállítások'!$D$108:$D$112,AQ164))</f>
        <v/>
      </c>
      <c r="AY164" s="10">
        <f>IF($A164="","",N('Ügyfelek'!U164)*'Beállítások'!$B$98)</f>
        <v/>
      </c>
      <c r="AZ164" s="10">
        <f>IF(OR($A164="",AQ164=5),"",CEILING(ROUND(MAX('Beállítások'!$B$97,AW164*AX164,AY164),2),'Beállítások'!$B$99))</f>
        <v/>
      </c>
      <c r="BA164">
        <f>IF($A164="","",IF(AQ164=5,"Elutasítva",IF(MAX('Beállítások'!$B$97,AW164*AX164,AY164)=AW164*AX164,"Munkaigény × státuszszorzó",IF(MAX('Beállítások'!$B$97,AW164*AX164,AY164)=AY164,"Hirdetési keret arányában","Minimumdíj"))))</f>
        <v/>
      </c>
      <c r="BB164" s="10">
        <f>IF(OR($A164="",'Ügyfelek'!AM164=""),"",'Ügyfelek'!AM164)</f>
        <v/>
      </c>
      <c r="BC164" s="10">
        <f>IF(OR(BB164="",AZ164=""),"",AZ164-BB164)</f>
        <v/>
      </c>
      <c r="BD164" s="18">
        <f>IF(OR(BB164="",AZ164="",BB164=0),"",BC164/BB164)</f>
        <v/>
      </c>
      <c r="BE164">
        <f>IF(OR($A164="",AQ164=5),"",IF(AND(INDEX('Beállítások'!$E$108:$E$112,AQ164)&gt;0,Y164&gt;='Beállítások'!$B$91),"Igen","Nem"))</f>
        <v/>
      </c>
      <c r="BF164" s="10">
        <f>IF(BE164="Igen",CEILING(ROUND(AZ164*(1-'Beállítások'!$B$92),2),'Beállítások'!$B$99),"")</f>
        <v/>
      </c>
      <c r="BG164" s="20">
        <f>IF(BE164="Igen",INDEX('Beállítások'!$E$108:$E$112,AQ164),"")</f>
        <v/>
      </c>
      <c r="BH164" s="10">
        <f>IF(OR(BE164&lt;&gt;"Igen",'Ügyfelek'!AN164=""),"",'Ügyfelek'!AN164*BG164)</f>
        <v/>
      </c>
      <c r="BI164" s="24">
        <f>IF($A164="","",('Ügyfelek'!B164="")+('Ügyfelek'!C164="")+('Ügyfelek'!D164="")+('Ügyfelek'!E164="")+('Ügyfelek'!F164="")+('Ügyfelek'!G164="")+('Ügyfelek'!H164="")+('Ügyfelek'!I164="")+('Ügyfelek'!J164="")+('Ügyfelek'!K164="")+('Ügyfelek'!L164="")+('Ügyfelek'!M164="")+('Ügyfelek'!N164="")+('Ügyfelek'!O164="")+('Ügyfelek'!P164="")+('Ügyfelek'!Q164="")+('Ügyfelek'!R164="")+('Ügyfelek'!S164="")+('Ügyfelek'!T164="")+('Ügyfelek'!U164="")+('Ügyfelek'!V164="")+('Ügyfelek'!W164="")+('Ügyfelek'!X164="")+('Ügyfelek'!Y164="")+('Ügyfelek'!Z164="")+('Ügyfelek'!AA164="")+('Ügyfelek'!AB164="")+('Ügyfelek'!AC164="")+('Ügyfelek'!AD164="")+('Ügyfelek'!AE164="")+('Ügyfelek'!AF164="")+('Ügyfelek'!AG164="")+('Ügyfelek'!AH164=""))</f>
        <v/>
      </c>
      <c r="BK164">
        <f>IF($A164="","",B164+'Beállítások'!$E$6/1000)</f>
        <v/>
      </c>
      <c r="BL164">
        <f>IF($A164="","",C164+'Beállítások'!$E$7/1000)</f>
        <v/>
      </c>
      <c r="BM164">
        <f>IF($A164="","",D164+'Beállítások'!$E$8/1000)</f>
        <v/>
      </c>
      <c r="BN164">
        <f>IF($A164="","",E164+'Beállítások'!$E$9/1000)</f>
        <v/>
      </c>
      <c r="BO164">
        <f>IF($A164="","",F164+'Beállítások'!$E$10/1000)</f>
        <v/>
      </c>
      <c r="BP164">
        <f>IF($A164="","",G164+'Beállítások'!$E$11/1000)</f>
        <v/>
      </c>
      <c r="BQ164">
        <f>IF($A164="","",H164+'Beállítások'!$E$12/1000)</f>
        <v/>
      </c>
      <c r="BR164">
        <f>IF($A164="","",I164+'Beállítások'!$E$13/1000)</f>
        <v/>
      </c>
      <c r="BS164">
        <f>IF($A164="","",J164+'Beállítások'!$E$14/1000)</f>
        <v/>
      </c>
      <c r="BT164">
        <f>IF($A164="","",K164+'Beállítások'!$E$15/1000)</f>
        <v/>
      </c>
      <c r="BU164">
        <f>IF($A164="","",L164+'Beállítások'!$E$16/1000)</f>
        <v/>
      </c>
      <c r="BV164">
        <f>IF($A164="","",M164+'Beállítások'!$E$17/1000)</f>
        <v/>
      </c>
      <c r="BW164">
        <f>IF($A164="","",N164+'Beállítások'!$E$18/1000)</f>
        <v/>
      </c>
      <c r="BX164">
        <f>IF($A164="","",O164+'Beállítások'!$E$19/1000)</f>
        <v/>
      </c>
      <c r="BY164">
        <f>IF($A164="","",P164+'Beállítások'!$E$20/1000)</f>
        <v/>
      </c>
      <c r="BZ164">
        <f>IF($A164="","",Q164+'Beállítások'!$E$21/1000)</f>
        <v/>
      </c>
      <c r="CA164">
        <f>IF($A164="","",R164+'Beállítások'!$E$22/1000)</f>
        <v/>
      </c>
      <c r="CB164">
        <f>IF($A164="","",S164+'Beállítások'!$E$23/1000)</f>
        <v/>
      </c>
      <c r="CC164">
        <f>IF($A164="","",T164+'Beállítások'!$E$24/1000)</f>
        <v/>
      </c>
      <c r="CD164">
        <f>IF($A164="","",U164+'Beállítások'!$E$25/1000)</f>
        <v/>
      </c>
      <c r="CE164">
        <f>IF($A164="","",V164+'Beállítások'!$E$26/1000)</f>
        <v/>
      </c>
      <c r="CF164">
        <f>IF($A164="","",W164+'Beállítások'!$E$27/1000)</f>
        <v/>
      </c>
      <c r="CG164">
        <f>IF($A164="","",X164+'Beállítások'!$E$28/1000)</f>
        <v/>
      </c>
      <c r="CH164">
        <f>IF($A164="","",Y164+'Beállítások'!$E$29/1000)</f>
        <v/>
      </c>
      <c r="CI164">
        <f>IF($A164="","",Z164+'Beállítások'!$E$30/1000)</f>
        <v/>
      </c>
      <c r="CJ164">
        <f>IF($A164="","",AA164+'Beállítások'!$E$31/1000)</f>
        <v/>
      </c>
      <c r="CK164">
        <f>IF($A164="","",AB164+'Beállítások'!$E$32/1000)</f>
        <v/>
      </c>
      <c r="CL164">
        <f>IF($A164="","",AC164+'Beállítások'!$E$33/1000)</f>
        <v/>
      </c>
      <c r="CM164">
        <f>IF($A164="","",AD164+'Beállítások'!$E$34/1000)</f>
        <v/>
      </c>
      <c r="CN164">
        <f>IF($A164="","",AE164+'Beállítások'!$E$35/1000)</f>
        <v/>
      </c>
      <c r="CO164">
        <f>IF($A164="","",AF164+'Beállítások'!$E$36/1000)</f>
        <v/>
      </c>
      <c r="CP164">
        <f>IF($A164="","",AG164+'Beállítások'!$E$37/1000)</f>
        <v/>
      </c>
      <c r="CQ164">
        <f>IF($A164="","",AH164+'Beállítások'!$E$38/1000)</f>
        <v/>
      </c>
      <c r="CR164">
        <f>IF($A164="","",'Beállítások'!$E$6*(10-B164))</f>
        <v/>
      </c>
      <c r="CS164">
        <f>IF($A164="","",'Beállítások'!$E$7*(10-C164))</f>
        <v/>
      </c>
      <c r="CT164">
        <f>IF($A164="","",'Beállítások'!$E$8*(10-D164))</f>
        <v/>
      </c>
      <c r="CU164">
        <f>IF($A164="","",'Beállítások'!$E$9*(10-E164))</f>
        <v/>
      </c>
      <c r="CV164">
        <f>IF($A164="","",'Beállítások'!$E$10*(10-F164))</f>
        <v/>
      </c>
      <c r="CW164">
        <f>IF($A164="","",'Beállítások'!$E$11*(10-G164))</f>
        <v/>
      </c>
      <c r="CX164">
        <f>IF($A164="","",'Beállítások'!$E$12*(10-H164))</f>
        <v/>
      </c>
      <c r="CY164">
        <f>IF($A164="","",'Beállítások'!$E$13*(10-I164))</f>
        <v/>
      </c>
      <c r="CZ164">
        <f>IF($A164="","",'Beállítások'!$E$14*(10-J164))</f>
        <v/>
      </c>
      <c r="DA164">
        <f>IF($A164="","",'Beállítások'!$E$15*(10-K164))</f>
        <v/>
      </c>
      <c r="DB164">
        <f>IF($A164="","",'Beállítások'!$E$16*(10-L164))</f>
        <v/>
      </c>
      <c r="DC164">
        <f>IF($A164="","",'Beállítások'!$E$17*(10-M164))</f>
        <v/>
      </c>
      <c r="DD164">
        <f>IF($A164="","",'Beállítások'!$E$18*(10-N164))</f>
        <v/>
      </c>
      <c r="DE164">
        <f>IF($A164="","",'Beállítások'!$E$19*(10-O164))</f>
        <v/>
      </c>
      <c r="DF164">
        <f>IF($A164="","",'Beállítások'!$E$20*(10-P164))</f>
        <v/>
      </c>
      <c r="DG164">
        <f>IF($A164="","",'Beállítások'!$E$21*(10-Q164))</f>
        <v/>
      </c>
      <c r="DH164">
        <f>IF($A164="","",'Beállítások'!$E$22*(10-R164))</f>
        <v/>
      </c>
      <c r="DI164">
        <f>IF($A164="","",'Beállítások'!$E$23*(10-S164))</f>
        <v/>
      </c>
      <c r="DJ164">
        <f>IF($A164="","",'Beállítások'!$E$24*(10-T164))</f>
        <v/>
      </c>
      <c r="DK164">
        <f>IF($A164="","",'Beállítások'!$E$25*(10-U164))</f>
        <v/>
      </c>
      <c r="DL164">
        <f>IF($A164="","",'Beállítások'!$E$26*(10-V164))</f>
        <v/>
      </c>
      <c r="DM164">
        <f>IF($A164="","",'Beállítások'!$E$27*(10-W164))</f>
        <v/>
      </c>
      <c r="DN164">
        <f>IF($A164="","",'Beállítások'!$E$28*(10-X164))</f>
        <v/>
      </c>
      <c r="DO164">
        <f>IF($A164="","",'Beállítások'!$E$29*(10-Y164))</f>
        <v/>
      </c>
      <c r="DP164">
        <f>IF($A164="","",'Beállítások'!$E$30*(10-Z164))</f>
        <v/>
      </c>
      <c r="DQ164">
        <f>IF($A164="","",'Beállítások'!$E$31*(10-AA164))</f>
        <v/>
      </c>
      <c r="DR164">
        <f>IF($A164="","",'Beállítások'!$E$32*(10-AB164))</f>
        <v/>
      </c>
      <c r="DS164">
        <f>IF($A164="","",'Beállítások'!$E$33*(10-AC164))</f>
        <v/>
      </c>
      <c r="DT164">
        <f>IF($A164="","",'Beállítások'!$E$34*(10-AD164))</f>
        <v/>
      </c>
      <c r="DU164">
        <f>IF($A164="","",'Beállítások'!$E$35*(10-AE164))</f>
        <v/>
      </c>
      <c r="DV164">
        <f>IF($A164="","",'Beállítások'!$E$36*(10-AF164))</f>
        <v/>
      </c>
      <c r="DW164">
        <f>IF($A164="","",'Beállítások'!$E$37*(10-AG164))</f>
        <v/>
      </c>
      <c r="DX164">
        <f>IF($A164="","",'Beállítások'!$E$38*(10-AH164))</f>
        <v/>
      </c>
      <c r="DY164">
        <f>IF($A164="","",AM164-ROW()/100000)</f>
        <v/>
      </c>
    </row>
    <row r="165">
      <c r="A165">
        <f>IF('Ügyfelek'!A165="","",'Ügyfelek'!A165)</f>
        <v/>
      </c>
      <c r="B165">
        <f>IF($A165="","",IF('Ügyfelek'!B165="",'Beállítások'!$B$84,IFERROR(VLOOKUP(TRIM('Ügyfelek'!B165),'Beállítások'!$A$51:$B$59,2,FALSE),'Beállítások'!$B$84)))</f>
        <v/>
      </c>
      <c r="C165">
        <f>IF($A165="","",IF('Ügyfelek'!C165="",'Beállítások'!$B$84,MIN(10,MAX(1,ROUND('Ügyfelek'!C165,0)))))</f>
        <v/>
      </c>
      <c r="D165">
        <f>IF($A165="","",IF('Ügyfelek'!D165="",'Beállítások'!$B$84,MIN(10,MAX(1,ROUND('Ügyfelek'!D165,0)))))</f>
        <v/>
      </c>
      <c r="E165">
        <f>IF($A165="","",IF('Ügyfelek'!E165="",'Beállítások'!$B$84,MIN(10,MAX(1,ROUND('Ügyfelek'!E165,0)))))</f>
        <v/>
      </c>
      <c r="F165">
        <f>IF($A165="","",IF('Ügyfelek'!F165="",'Beállítások'!$B$84,MIN(10,MAX(1,ROUND('Ügyfelek'!F165,0)))))</f>
        <v/>
      </c>
      <c r="G165">
        <f>IF($A165="","",IF('Ügyfelek'!G165="",'Beállítások'!$B$84,MIN(10,MAX(1,ROUND('Ügyfelek'!G165,0)))))</f>
        <v/>
      </c>
      <c r="H165">
        <f>IF($A165="","",IF('Ügyfelek'!H165="",'Beállítások'!$B$84,MIN(10,MAX(1,ROUND('Ügyfelek'!H165,0)))))</f>
        <v/>
      </c>
      <c r="I165">
        <f>IF($A165="","",IF('Ügyfelek'!I165="",'Beállítások'!$B$84,MIN(10,MAX(1,ROUND('Ügyfelek'!I165,0)))))</f>
        <v/>
      </c>
      <c r="J165">
        <f>IF($A165="","",IF('Ügyfelek'!J165="",'Beállítások'!$B$84,MIN(10,MAX(1,ROUND('Ügyfelek'!J165,0)))))</f>
        <v/>
      </c>
      <c r="K165">
        <f>IF($A165="","",IF('Ügyfelek'!K165="",'Beállítások'!$B$84,MIN(10,MAX(1,ROUND('Ügyfelek'!K165,0)))))</f>
        <v/>
      </c>
      <c r="L165">
        <f>IF($A165="","",IF('Ügyfelek'!L165="",'Beállítások'!$B$84,MIN(10,MAX(1,ROUND('Ügyfelek'!L165,0)))))</f>
        <v/>
      </c>
      <c r="M165">
        <f>IF($A165="","",IF('Ügyfelek'!M165="",'Beállítások'!$B$84,MIN(10,MAX(1,ROUND('Ügyfelek'!M165,0)))))</f>
        <v/>
      </c>
      <c r="N165">
        <f>IF($A165="","",IF('Ügyfelek'!N165="",'Beállítások'!$B$84,MIN(10,MAX(1,ROUND('Ügyfelek'!N165,0)))))</f>
        <v/>
      </c>
      <c r="O165">
        <f>IF($A165="","",IF('Ügyfelek'!O165="",'Beállítások'!$B$84,MIN(10,MAX(1,ROUND('Ügyfelek'!O165,0)))))</f>
        <v/>
      </c>
      <c r="P165">
        <f>IF($A165="","",IF('Ügyfelek'!P165="",'Beállítások'!$B$84,MIN(10,MAX(1,ROUND('Ügyfelek'!P165,0)))))</f>
        <v/>
      </c>
      <c r="Q165">
        <f>IF($A165="","",IF('Ügyfelek'!Q165="",'Beállítások'!$B$84,MIN(10,MAX(1,ROUND('Ügyfelek'!Q165,0)))))</f>
        <v/>
      </c>
      <c r="R165">
        <f>IF($A165="","",IF('Ügyfelek'!R165="",'Beállítások'!$B$84,MIN(10,MAX(1,ROUND('Ügyfelek'!R165,0)))))</f>
        <v/>
      </c>
      <c r="S165">
        <f>IF($A165="","",IF('Ügyfelek'!S165="",'Beállítások'!$B$84,MIN(10,MAX(1,ROUND('Ügyfelek'!S165,0)))))</f>
        <v/>
      </c>
      <c r="T165">
        <f>IF($A165="","",IF('Ügyfelek'!T165="",'Beállítások'!$B$84,VLOOKUP(MAX('Ügyfelek'!T165,'Beállítások'!$H$7),'Beállítások'!$H$7:$I$12,2,TRUE)))</f>
        <v/>
      </c>
      <c r="U165">
        <f>IF($A165="","",IF('Ügyfelek'!U165="",'Beállítások'!$B$84,VLOOKUP(MAX('Ügyfelek'!U165,'Beállítások'!$K$7),'Beállítások'!$K$7:$L$12,2,TRUE)))</f>
        <v/>
      </c>
      <c r="V165">
        <f>IF($A165="","",IF('Ügyfelek'!V165="",'Beállítások'!$B$84,MIN(10,MAX(1,ROUND('Ügyfelek'!V165,0)))))</f>
        <v/>
      </c>
      <c r="W165">
        <f>IF($A165="","",IF('Ügyfelek'!W165="",'Beállítások'!$B$84,VLOOKUP(MAX('Ügyfelek'!W165,'Beállítások'!$N$7),'Beállítások'!$N$7:$O$12,2,TRUE)))</f>
        <v/>
      </c>
      <c r="X165">
        <f>IF($A165="","",IF('Ügyfelek'!X165="",'Beállítások'!$B$84,MIN(10,MAX(1,ROUND('Ügyfelek'!X165,0)))))</f>
        <v/>
      </c>
      <c r="Y165">
        <f>IF($A165="","",IF('Ügyfelek'!Y165="",'Beállítások'!$B$84,IFERROR(VLOOKUP(TRIM('Ügyfelek'!Y165),'Beállítások'!$A$63:$B$69,2,FALSE),'Beállítások'!$B$84)))</f>
        <v/>
      </c>
      <c r="Z165">
        <f>IF($A165="","",IF('Ügyfelek'!Z165="",'Beállítások'!$B$84,VLOOKUP(MAX('Ügyfelek'!Z165,'Beállítások'!$Q$7),'Beállítások'!$Q$7:$R$12,2,TRUE)))</f>
        <v/>
      </c>
      <c r="AA165">
        <f>IF($A165="","",IF('Ügyfelek'!AA165="",'Beállítások'!$B$84,VLOOKUP(MAX('Ügyfelek'!AA165,'Beállítások'!$T$7),'Beállítások'!$T$7:$U$12,2,TRUE)))</f>
        <v/>
      </c>
      <c r="AB165">
        <f>IF($A165="","",IF('Ügyfelek'!AB165="",'Beállítások'!$B$84,MIN(10,MAX(1,ROUND('Ügyfelek'!AB165,0)))))</f>
        <v/>
      </c>
      <c r="AC165">
        <f>IF($A165="","",IF('Ügyfelek'!AC165="",'Beállítások'!$B$84,MIN(10,MAX(1,ROUND('Ügyfelek'!AC165,0)))))</f>
        <v/>
      </c>
      <c r="AD165">
        <f>IF($A165="","",IF('Ügyfelek'!AD165="",'Beállítások'!$B$84,MIN(10,MAX(1,ROUND('Ügyfelek'!AD165,0)))))</f>
        <v/>
      </c>
      <c r="AE165">
        <f>IF($A165="","",IF('Ügyfelek'!AE165="",'Beállítások'!$B$84,MIN(10,MAX(1,ROUND('Ügyfelek'!AE165,0)))))</f>
        <v/>
      </c>
      <c r="AF165">
        <f>IF($A165="","",IF('Ügyfelek'!AF165="",'Beállítások'!$B$84,MIN(10,MAX(1,ROUND('Ügyfelek'!AF165,0)))))</f>
        <v/>
      </c>
      <c r="AG165">
        <f>IF($A165="","",IF('Ügyfelek'!AG165="",'Beállítások'!$B$84,MIN(10,MAX(1,ROUND('Ügyfelek'!AG165,0)))))</f>
        <v/>
      </c>
      <c r="AH165">
        <f>IF($A165="","",IF('Ügyfelek'!AH165="",'Beállítások'!$B$84,IFERROR(VLOOKUP(TRIM('Ügyfelek'!AH165),'Beállítások'!$A$73:$B$79,2,FALSE),'Beállítások'!$B$84)))</f>
        <v/>
      </c>
      <c r="AI165" s="23">
        <f>IF($A165="","",ROUND(100*('Beállítások'!$E$6*(B165-1)+'Beállítások'!$E$7*(C165-1))/(9*'Beállítások'!$B$43),1))</f>
        <v/>
      </c>
      <c r="AJ165" s="23">
        <f>IF($A165="","",ROUND(100*('Beállítások'!$E$8*(D165-1)+'Beállítások'!$E$9*(E165-1)+'Beállítások'!$E$10*(F165-1)+'Beállítások'!$E$11*(G165-1)+'Beállítások'!$E$12*(H165-1)+'Beállítások'!$E$13*(I165-1)+'Beállítások'!$E$14*(J165-1)+'Beállítások'!$E$15*(K165-1)+'Beállítások'!$E$16*(L165-1)+'Beállítások'!$E$17*(M165-1)+'Beállítások'!$E$18*(N165-1)+'Beállítások'!$E$19*(O165-1)+'Beállítások'!$E$20*(P165-1)+'Beállítások'!$E$21*(Q165-1)+'Beállítások'!$E$22*(R165-1))/(9*'Beállítások'!$B$44),1))</f>
        <v/>
      </c>
      <c r="AK165" s="23">
        <f>IF($A165="","",ROUND(100*('Beállítások'!$E$23*(S165-1)+'Beállítások'!$E$24*(T165-1)+'Beállítások'!$E$25*(U165-1)+'Beállítások'!$E$26*(V165-1)+'Beállítások'!$E$27*(W165-1)+'Beállítások'!$E$28*(X165-1)+'Beállítások'!$E$29*(Y165-1))/(9*'Beállítások'!$B$45),1))</f>
        <v/>
      </c>
      <c r="AL165" s="23">
        <f>IF($A165="","",ROUND(100*('Beállítások'!$E$30*(Z165-1)+'Beállítások'!$E$31*(AA165-1)+'Beállítások'!$E$32*(AB165-1)+'Beállítások'!$E$33*(AC165-1)+'Beállítások'!$E$34*(AD165-1)+'Beállítások'!$E$35*(AE165-1)+'Beállítások'!$E$36*(AF165-1)+'Beállítások'!$E$37*(AG165-1)+'Beállítások'!$E$38*(AH165-1))/(9*'Beállítások'!$B$46),1))</f>
        <v/>
      </c>
      <c r="AM165" s="23">
        <f>IF($A165="","",ROUND(100*('Beállítások'!$E$6*(B165-1)+'Beállítások'!$E$7*(C165-1)+'Beállítások'!$E$8*(D165-1)+'Beállítások'!$E$9*(E165-1)+'Beállítások'!$E$10*(F165-1)+'Beállítások'!$E$11*(G165-1)+'Beállítások'!$E$12*(H165-1)+'Beállítások'!$E$13*(I165-1)+'Beállítások'!$E$14*(J165-1)+'Beállítások'!$E$15*(K165-1)+'Beállítások'!$E$16*(L165-1)+'Beállítások'!$E$17*(M165-1)+'Beállítások'!$E$18*(N165-1)+'Beállítások'!$E$19*(O165-1)+'Beállítások'!$E$20*(P165-1)+'Beállítások'!$E$21*(Q165-1)+'Beállítások'!$E$22*(R165-1)+'Beállítások'!$E$23*(S165-1)+'Beállítások'!$E$24*(T165-1)+'Beállítások'!$E$25*(U165-1)+'Beállítások'!$E$26*(V165-1)+'Beállítások'!$E$27*(W165-1)+'Beállítások'!$E$28*(X165-1)+'Beállítások'!$E$29*(Y165-1)+'Beállítások'!$E$30*(Z165-1)+'Beállítások'!$E$31*(AA165-1)+'Beállítások'!$E$32*(AB165-1)+'Beállítások'!$E$33*(AC165-1)+'Beállítások'!$E$34*(AD165-1)+'Beállítások'!$E$35*(AE165-1)+'Beállítások'!$E$36*(AF165-1)+'Beállítások'!$E$37*(AG165-1)+'Beállítások'!$E$38*(AH165-1))/(9*'Beállítások'!$E$39),1))</f>
        <v/>
      </c>
      <c r="AN165" s="23">
        <f>IF($A165="","",ROUND(100*('Beállítások'!$E$8*(D165-1)+'Beállítások'!$E$9*(E165-1)+'Beállítások'!$E$10*(F165-1)+'Beállítások'!$E$11*(G165-1)+'Beállítások'!$E$12*(H165-1)+'Beállítások'!$E$13*(I165-1)+'Beállítások'!$E$14*(J165-1)+'Beállítások'!$E$15*(K165-1)+'Beállítások'!$E$16*(L165-1)+'Beállítások'!$E$17*(M165-1)+'Beállítások'!$E$18*(N165-1)+'Beállítások'!$E$19*(O165-1)+'Beállítások'!$E$20*(P165-1)+'Beállítások'!$E$21*(Q165-1)+'Beállítások'!$E$22*(R165-1)+'Beállítások'!$E$23*(S165-1)+'Beállítások'!$E$24*(T165-1)+'Beállítások'!$E$25*(U165-1)+'Beállítások'!$E$26*(V165-1)+'Beállítások'!$E$27*(W165-1)+'Beállítások'!$E$28*(X165-1)+'Beállítások'!$E$29*(Y165-1))/(9*('Beállítások'!$B$44+'Beállítások'!$B$45)),1))</f>
        <v/>
      </c>
      <c r="AO165" s="24">
        <f>IF($A165="","",RANK(AM165,$AM$2:$AM$201))</f>
        <v/>
      </c>
      <c r="AP165">
        <f>IF($A165="","",IF(OR(AND('Ügyfelek'!B165&lt;&gt;"",B165&lt;='Beállítások'!$B$85),AND('Ügyfelek'!C165&lt;&gt;"",C165&lt;='Beállítások'!$B$86)),"Igen","Nem"))</f>
        <v/>
      </c>
      <c r="AQ165" s="24">
        <f>IF($A165="","",IF(AP165="Igen",5,IF(AN165&gt;='Beállítások'!$C$108,1,IF(AN165&gt;='Beállítások'!$C$109,2,IF(AN165&gt;='Beállítások'!$C$110,3,IF(AND(AN165&gt;='Beállítások'!$B$87,AI165&gt;='Beállítások'!$B$88,AL165&gt;='Beállítások'!$B$89),4,5))))))</f>
        <v/>
      </c>
      <c r="AR165">
        <f>IF($A165="","",INDEX('Beállítások'!$B$108:$B$112,AQ165))</f>
        <v/>
      </c>
      <c r="AS165">
        <f>IF($A165="","",IF(AQ165=5,"Elutasítjuk",IF(AND(AQ165=4,COUNTIFS('Eredmény'!$AQ$2:$AQ$201,4,'Eredmény'!$DY$2:$DY$201,"&gt;"&amp;DY165)&gt;='Beállítások'!$B$90),"Várólista (a 4-es hely foglalt)","Elfogadjuk")))</f>
        <v/>
      </c>
      <c r="AT165">
        <f>IF($A165="","",INDEX('Beállítások'!$F$108:$F$112,AQ165))</f>
        <v/>
      </c>
      <c r="AU165">
        <f>IF($A165="","",INDEX('Beállítások'!$B$6:$B$38,MATCH(MAX(BK165:CQ165),BK165:CQ165,0)))</f>
        <v/>
      </c>
      <c r="AV165">
        <f>IF($A165="","",IF(MAX(CR165:DX165)=0,"—",INDEX('Beállítások'!$B$6:$B$38,MATCH(MAX(CR165:DX165),CR165:DX165,0))))</f>
        <v/>
      </c>
      <c r="AW165" s="10">
        <f>IF($A165="","",'Beállítások'!$B$94*(TRIM('Ügyfelek'!AI165)="igen")+'Beállítások'!$B$95*(TRIM('Ügyfelek'!AJ165)="igen")+'Beállítások'!$B$96*N('Ügyfelek'!AK165)+'Beállítások'!$B$93*N('Ügyfelek'!AL165))</f>
        <v/>
      </c>
      <c r="AX165" s="25">
        <f>IF(OR($A165="",AQ165=5),"",INDEX('Beállítások'!$D$108:$D$112,AQ165))</f>
        <v/>
      </c>
      <c r="AY165" s="10">
        <f>IF($A165="","",N('Ügyfelek'!U165)*'Beállítások'!$B$98)</f>
        <v/>
      </c>
      <c r="AZ165" s="10">
        <f>IF(OR($A165="",AQ165=5),"",CEILING(ROUND(MAX('Beállítások'!$B$97,AW165*AX165,AY165),2),'Beállítások'!$B$99))</f>
        <v/>
      </c>
      <c r="BA165">
        <f>IF($A165="","",IF(AQ165=5,"Elutasítva",IF(MAX('Beállítások'!$B$97,AW165*AX165,AY165)=AW165*AX165,"Munkaigény × státuszszorzó",IF(MAX('Beállítások'!$B$97,AW165*AX165,AY165)=AY165,"Hirdetési keret arányában","Minimumdíj"))))</f>
        <v/>
      </c>
      <c r="BB165" s="10">
        <f>IF(OR($A165="",'Ügyfelek'!AM165=""),"",'Ügyfelek'!AM165)</f>
        <v/>
      </c>
      <c r="BC165" s="10">
        <f>IF(OR(BB165="",AZ165=""),"",AZ165-BB165)</f>
        <v/>
      </c>
      <c r="BD165" s="18">
        <f>IF(OR(BB165="",AZ165="",BB165=0),"",BC165/BB165)</f>
        <v/>
      </c>
      <c r="BE165">
        <f>IF(OR($A165="",AQ165=5),"",IF(AND(INDEX('Beállítások'!$E$108:$E$112,AQ165)&gt;0,Y165&gt;='Beállítások'!$B$91),"Igen","Nem"))</f>
        <v/>
      </c>
      <c r="BF165" s="10">
        <f>IF(BE165="Igen",CEILING(ROUND(AZ165*(1-'Beállítások'!$B$92),2),'Beállítások'!$B$99),"")</f>
        <v/>
      </c>
      <c r="BG165" s="20">
        <f>IF(BE165="Igen",INDEX('Beállítások'!$E$108:$E$112,AQ165),"")</f>
        <v/>
      </c>
      <c r="BH165" s="10">
        <f>IF(OR(BE165&lt;&gt;"Igen",'Ügyfelek'!AN165=""),"",'Ügyfelek'!AN165*BG165)</f>
        <v/>
      </c>
      <c r="BI165" s="24">
        <f>IF($A165="","",('Ügyfelek'!B165="")+('Ügyfelek'!C165="")+('Ügyfelek'!D165="")+('Ügyfelek'!E165="")+('Ügyfelek'!F165="")+('Ügyfelek'!G165="")+('Ügyfelek'!H165="")+('Ügyfelek'!I165="")+('Ügyfelek'!J165="")+('Ügyfelek'!K165="")+('Ügyfelek'!L165="")+('Ügyfelek'!M165="")+('Ügyfelek'!N165="")+('Ügyfelek'!O165="")+('Ügyfelek'!P165="")+('Ügyfelek'!Q165="")+('Ügyfelek'!R165="")+('Ügyfelek'!S165="")+('Ügyfelek'!T165="")+('Ügyfelek'!U165="")+('Ügyfelek'!V165="")+('Ügyfelek'!W165="")+('Ügyfelek'!X165="")+('Ügyfelek'!Y165="")+('Ügyfelek'!Z165="")+('Ügyfelek'!AA165="")+('Ügyfelek'!AB165="")+('Ügyfelek'!AC165="")+('Ügyfelek'!AD165="")+('Ügyfelek'!AE165="")+('Ügyfelek'!AF165="")+('Ügyfelek'!AG165="")+('Ügyfelek'!AH165=""))</f>
        <v/>
      </c>
      <c r="BK165">
        <f>IF($A165="","",B165+'Beállítások'!$E$6/1000)</f>
        <v/>
      </c>
      <c r="BL165">
        <f>IF($A165="","",C165+'Beállítások'!$E$7/1000)</f>
        <v/>
      </c>
      <c r="BM165">
        <f>IF($A165="","",D165+'Beállítások'!$E$8/1000)</f>
        <v/>
      </c>
      <c r="BN165">
        <f>IF($A165="","",E165+'Beállítások'!$E$9/1000)</f>
        <v/>
      </c>
      <c r="BO165">
        <f>IF($A165="","",F165+'Beállítások'!$E$10/1000)</f>
        <v/>
      </c>
      <c r="BP165">
        <f>IF($A165="","",G165+'Beállítások'!$E$11/1000)</f>
        <v/>
      </c>
      <c r="BQ165">
        <f>IF($A165="","",H165+'Beállítások'!$E$12/1000)</f>
        <v/>
      </c>
      <c r="BR165">
        <f>IF($A165="","",I165+'Beállítások'!$E$13/1000)</f>
        <v/>
      </c>
      <c r="BS165">
        <f>IF($A165="","",J165+'Beállítások'!$E$14/1000)</f>
        <v/>
      </c>
      <c r="BT165">
        <f>IF($A165="","",K165+'Beállítások'!$E$15/1000)</f>
        <v/>
      </c>
      <c r="BU165">
        <f>IF($A165="","",L165+'Beállítások'!$E$16/1000)</f>
        <v/>
      </c>
      <c r="BV165">
        <f>IF($A165="","",M165+'Beállítások'!$E$17/1000)</f>
        <v/>
      </c>
      <c r="BW165">
        <f>IF($A165="","",N165+'Beállítások'!$E$18/1000)</f>
        <v/>
      </c>
      <c r="BX165">
        <f>IF($A165="","",O165+'Beállítások'!$E$19/1000)</f>
        <v/>
      </c>
      <c r="BY165">
        <f>IF($A165="","",P165+'Beállítások'!$E$20/1000)</f>
        <v/>
      </c>
      <c r="BZ165">
        <f>IF($A165="","",Q165+'Beállítások'!$E$21/1000)</f>
        <v/>
      </c>
      <c r="CA165">
        <f>IF($A165="","",R165+'Beállítások'!$E$22/1000)</f>
        <v/>
      </c>
      <c r="CB165">
        <f>IF($A165="","",S165+'Beállítások'!$E$23/1000)</f>
        <v/>
      </c>
      <c r="CC165">
        <f>IF($A165="","",T165+'Beállítások'!$E$24/1000)</f>
        <v/>
      </c>
      <c r="CD165">
        <f>IF($A165="","",U165+'Beállítások'!$E$25/1000)</f>
        <v/>
      </c>
      <c r="CE165">
        <f>IF($A165="","",V165+'Beállítások'!$E$26/1000)</f>
        <v/>
      </c>
      <c r="CF165">
        <f>IF($A165="","",W165+'Beállítások'!$E$27/1000)</f>
        <v/>
      </c>
      <c r="CG165">
        <f>IF($A165="","",X165+'Beállítások'!$E$28/1000)</f>
        <v/>
      </c>
      <c r="CH165">
        <f>IF($A165="","",Y165+'Beállítások'!$E$29/1000)</f>
        <v/>
      </c>
      <c r="CI165">
        <f>IF($A165="","",Z165+'Beállítások'!$E$30/1000)</f>
        <v/>
      </c>
      <c r="CJ165">
        <f>IF($A165="","",AA165+'Beállítások'!$E$31/1000)</f>
        <v/>
      </c>
      <c r="CK165">
        <f>IF($A165="","",AB165+'Beállítások'!$E$32/1000)</f>
        <v/>
      </c>
      <c r="CL165">
        <f>IF($A165="","",AC165+'Beállítások'!$E$33/1000)</f>
        <v/>
      </c>
      <c r="CM165">
        <f>IF($A165="","",AD165+'Beállítások'!$E$34/1000)</f>
        <v/>
      </c>
      <c r="CN165">
        <f>IF($A165="","",AE165+'Beállítások'!$E$35/1000)</f>
        <v/>
      </c>
      <c r="CO165">
        <f>IF($A165="","",AF165+'Beállítások'!$E$36/1000)</f>
        <v/>
      </c>
      <c r="CP165">
        <f>IF($A165="","",AG165+'Beállítások'!$E$37/1000)</f>
        <v/>
      </c>
      <c r="CQ165">
        <f>IF($A165="","",AH165+'Beállítások'!$E$38/1000)</f>
        <v/>
      </c>
      <c r="CR165">
        <f>IF($A165="","",'Beállítások'!$E$6*(10-B165))</f>
        <v/>
      </c>
      <c r="CS165">
        <f>IF($A165="","",'Beállítások'!$E$7*(10-C165))</f>
        <v/>
      </c>
      <c r="CT165">
        <f>IF($A165="","",'Beállítások'!$E$8*(10-D165))</f>
        <v/>
      </c>
      <c r="CU165">
        <f>IF($A165="","",'Beállítások'!$E$9*(10-E165))</f>
        <v/>
      </c>
      <c r="CV165">
        <f>IF($A165="","",'Beállítások'!$E$10*(10-F165))</f>
        <v/>
      </c>
      <c r="CW165">
        <f>IF($A165="","",'Beállítások'!$E$11*(10-G165))</f>
        <v/>
      </c>
      <c r="CX165">
        <f>IF($A165="","",'Beállítások'!$E$12*(10-H165))</f>
        <v/>
      </c>
      <c r="CY165">
        <f>IF($A165="","",'Beállítások'!$E$13*(10-I165))</f>
        <v/>
      </c>
      <c r="CZ165">
        <f>IF($A165="","",'Beállítások'!$E$14*(10-J165))</f>
        <v/>
      </c>
      <c r="DA165">
        <f>IF($A165="","",'Beállítások'!$E$15*(10-K165))</f>
        <v/>
      </c>
      <c r="DB165">
        <f>IF($A165="","",'Beállítások'!$E$16*(10-L165))</f>
        <v/>
      </c>
      <c r="DC165">
        <f>IF($A165="","",'Beállítások'!$E$17*(10-M165))</f>
        <v/>
      </c>
      <c r="DD165">
        <f>IF($A165="","",'Beállítások'!$E$18*(10-N165))</f>
        <v/>
      </c>
      <c r="DE165">
        <f>IF($A165="","",'Beállítások'!$E$19*(10-O165))</f>
        <v/>
      </c>
      <c r="DF165">
        <f>IF($A165="","",'Beállítások'!$E$20*(10-P165))</f>
        <v/>
      </c>
      <c r="DG165">
        <f>IF($A165="","",'Beállítások'!$E$21*(10-Q165))</f>
        <v/>
      </c>
      <c r="DH165">
        <f>IF($A165="","",'Beállítások'!$E$22*(10-R165))</f>
        <v/>
      </c>
      <c r="DI165">
        <f>IF($A165="","",'Beállítások'!$E$23*(10-S165))</f>
        <v/>
      </c>
      <c r="DJ165">
        <f>IF($A165="","",'Beállítások'!$E$24*(10-T165))</f>
        <v/>
      </c>
      <c r="DK165">
        <f>IF($A165="","",'Beállítások'!$E$25*(10-U165))</f>
        <v/>
      </c>
      <c r="DL165">
        <f>IF($A165="","",'Beállítások'!$E$26*(10-V165))</f>
        <v/>
      </c>
      <c r="DM165">
        <f>IF($A165="","",'Beállítások'!$E$27*(10-W165))</f>
        <v/>
      </c>
      <c r="DN165">
        <f>IF($A165="","",'Beállítások'!$E$28*(10-X165))</f>
        <v/>
      </c>
      <c r="DO165">
        <f>IF($A165="","",'Beállítások'!$E$29*(10-Y165))</f>
        <v/>
      </c>
      <c r="DP165">
        <f>IF($A165="","",'Beállítások'!$E$30*(10-Z165))</f>
        <v/>
      </c>
      <c r="DQ165">
        <f>IF($A165="","",'Beállítások'!$E$31*(10-AA165))</f>
        <v/>
      </c>
      <c r="DR165">
        <f>IF($A165="","",'Beállítások'!$E$32*(10-AB165))</f>
        <v/>
      </c>
      <c r="DS165">
        <f>IF($A165="","",'Beállítások'!$E$33*(10-AC165))</f>
        <v/>
      </c>
      <c r="DT165">
        <f>IF($A165="","",'Beállítások'!$E$34*(10-AD165))</f>
        <v/>
      </c>
      <c r="DU165">
        <f>IF($A165="","",'Beállítások'!$E$35*(10-AE165))</f>
        <v/>
      </c>
      <c r="DV165">
        <f>IF($A165="","",'Beállítások'!$E$36*(10-AF165))</f>
        <v/>
      </c>
      <c r="DW165">
        <f>IF($A165="","",'Beállítások'!$E$37*(10-AG165))</f>
        <v/>
      </c>
      <c r="DX165">
        <f>IF($A165="","",'Beállítások'!$E$38*(10-AH165))</f>
        <v/>
      </c>
      <c r="DY165">
        <f>IF($A165="","",AM165-ROW()/100000)</f>
        <v/>
      </c>
    </row>
    <row r="166">
      <c r="A166">
        <f>IF('Ügyfelek'!A166="","",'Ügyfelek'!A166)</f>
        <v/>
      </c>
      <c r="B166">
        <f>IF($A166="","",IF('Ügyfelek'!B166="",'Beállítások'!$B$84,IFERROR(VLOOKUP(TRIM('Ügyfelek'!B166),'Beállítások'!$A$51:$B$59,2,FALSE),'Beállítások'!$B$84)))</f>
        <v/>
      </c>
      <c r="C166">
        <f>IF($A166="","",IF('Ügyfelek'!C166="",'Beállítások'!$B$84,MIN(10,MAX(1,ROUND('Ügyfelek'!C166,0)))))</f>
        <v/>
      </c>
      <c r="D166">
        <f>IF($A166="","",IF('Ügyfelek'!D166="",'Beállítások'!$B$84,MIN(10,MAX(1,ROUND('Ügyfelek'!D166,0)))))</f>
        <v/>
      </c>
      <c r="E166">
        <f>IF($A166="","",IF('Ügyfelek'!E166="",'Beállítások'!$B$84,MIN(10,MAX(1,ROUND('Ügyfelek'!E166,0)))))</f>
        <v/>
      </c>
      <c r="F166">
        <f>IF($A166="","",IF('Ügyfelek'!F166="",'Beállítások'!$B$84,MIN(10,MAX(1,ROUND('Ügyfelek'!F166,0)))))</f>
        <v/>
      </c>
      <c r="G166">
        <f>IF($A166="","",IF('Ügyfelek'!G166="",'Beállítások'!$B$84,MIN(10,MAX(1,ROUND('Ügyfelek'!G166,0)))))</f>
        <v/>
      </c>
      <c r="H166">
        <f>IF($A166="","",IF('Ügyfelek'!H166="",'Beállítások'!$B$84,MIN(10,MAX(1,ROUND('Ügyfelek'!H166,0)))))</f>
        <v/>
      </c>
      <c r="I166">
        <f>IF($A166="","",IF('Ügyfelek'!I166="",'Beállítások'!$B$84,MIN(10,MAX(1,ROUND('Ügyfelek'!I166,0)))))</f>
        <v/>
      </c>
      <c r="J166">
        <f>IF($A166="","",IF('Ügyfelek'!J166="",'Beállítások'!$B$84,MIN(10,MAX(1,ROUND('Ügyfelek'!J166,0)))))</f>
        <v/>
      </c>
      <c r="K166">
        <f>IF($A166="","",IF('Ügyfelek'!K166="",'Beállítások'!$B$84,MIN(10,MAX(1,ROUND('Ügyfelek'!K166,0)))))</f>
        <v/>
      </c>
      <c r="L166">
        <f>IF($A166="","",IF('Ügyfelek'!L166="",'Beállítások'!$B$84,MIN(10,MAX(1,ROUND('Ügyfelek'!L166,0)))))</f>
        <v/>
      </c>
      <c r="M166">
        <f>IF($A166="","",IF('Ügyfelek'!M166="",'Beállítások'!$B$84,MIN(10,MAX(1,ROUND('Ügyfelek'!M166,0)))))</f>
        <v/>
      </c>
      <c r="N166">
        <f>IF($A166="","",IF('Ügyfelek'!N166="",'Beállítások'!$B$84,MIN(10,MAX(1,ROUND('Ügyfelek'!N166,0)))))</f>
        <v/>
      </c>
      <c r="O166">
        <f>IF($A166="","",IF('Ügyfelek'!O166="",'Beállítások'!$B$84,MIN(10,MAX(1,ROUND('Ügyfelek'!O166,0)))))</f>
        <v/>
      </c>
      <c r="P166">
        <f>IF($A166="","",IF('Ügyfelek'!P166="",'Beállítások'!$B$84,MIN(10,MAX(1,ROUND('Ügyfelek'!P166,0)))))</f>
        <v/>
      </c>
      <c r="Q166">
        <f>IF($A166="","",IF('Ügyfelek'!Q166="",'Beállítások'!$B$84,MIN(10,MAX(1,ROUND('Ügyfelek'!Q166,0)))))</f>
        <v/>
      </c>
      <c r="R166">
        <f>IF($A166="","",IF('Ügyfelek'!R166="",'Beállítások'!$B$84,MIN(10,MAX(1,ROUND('Ügyfelek'!R166,0)))))</f>
        <v/>
      </c>
      <c r="S166">
        <f>IF($A166="","",IF('Ügyfelek'!S166="",'Beállítások'!$B$84,MIN(10,MAX(1,ROUND('Ügyfelek'!S166,0)))))</f>
        <v/>
      </c>
      <c r="T166">
        <f>IF($A166="","",IF('Ügyfelek'!T166="",'Beállítások'!$B$84,VLOOKUP(MAX('Ügyfelek'!T166,'Beállítások'!$H$7),'Beállítások'!$H$7:$I$12,2,TRUE)))</f>
        <v/>
      </c>
      <c r="U166">
        <f>IF($A166="","",IF('Ügyfelek'!U166="",'Beállítások'!$B$84,VLOOKUP(MAX('Ügyfelek'!U166,'Beállítások'!$K$7),'Beállítások'!$K$7:$L$12,2,TRUE)))</f>
        <v/>
      </c>
      <c r="V166">
        <f>IF($A166="","",IF('Ügyfelek'!V166="",'Beállítások'!$B$84,MIN(10,MAX(1,ROUND('Ügyfelek'!V166,0)))))</f>
        <v/>
      </c>
      <c r="W166">
        <f>IF($A166="","",IF('Ügyfelek'!W166="",'Beállítások'!$B$84,VLOOKUP(MAX('Ügyfelek'!W166,'Beállítások'!$N$7),'Beállítások'!$N$7:$O$12,2,TRUE)))</f>
        <v/>
      </c>
      <c r="X166">
        <f>IF($A166="","",IF('Ügyfelek'!X166="",'Beállítások'!$B$84,MIN(10,MAX(1,ROUND('Ügyfelek'!X166,0)))))</f>
        <v/>
      </c>
      <c r="Y166">
        <f>IF($A166="","",IF('Ügyfelek'!Y166="",'Beállítások'!$B$84,IFERROR(VLOOKUP(TRIM('Ügyfelek'!Y166),'Beállítások'!$A$63:$B$69,2,FALSE),'Beállítások'!$B$84)))</f>
        <v/>
      </c>
      <c r="Z166">
        <f>IF($A166="","",IF('Ügyfelek'!Z166="",'Beállítások'!$B$84,VLOOKUP(MAX('Ügyfelek'!Z166,'Beállítások'!$Q$7),'Beállítások'!$Q$7:$R$12,2,TRUE)))</f>
        <v/>
      </c>
      <c r="AA166">
        <f>IF($A166="","",IF('Ügyfelek'!AA166="",'Beállítások'!$B$84,VLOOKUP(MAX('Ügyfelek'!AA166,'Beállítások'!$T$7),'Beállítások'!$T$7:$U$12,2,TRUE)))</f>
        <v/>
      </c>
      <c r="AB166">
        <f>IF($A166="","",IF('Ügyfelek'!AB166="",'Beállítások'!$B$84,MIN(10,MAX(1,ROUND('Ügyfelek'!AB166,0)))))</f>
        <v/>
      </c>
      <c r="AC166">
        <f>IF($A166="","",IF('Ügyfelek'!AC166="",'Beállítások'!$B$84,MIN(10,MAX(1,ROUND('Ügyfelek'!AC166,0)))))</f>
        <v/>
      </c>
      <c r="AD166">
        <f>IF($A166="","",IF('Ügyfelek'!AD166="",'Beállítások'!$B$84,MIN(10,MAX(1,ROUND('Ügyfelek'!AD166,0)))))</f>
        <v/>
      </c>
      <c r="AE166">
        <f>IF($A166="","",IF('Ügyfelek'!AE166="",'Beállítások'!$B$84,MIN(10,MAX(1,ROUND('Ügyfelek'!AE166,0)))))</f>
        <v/>
      </c>
      <c r="AF166">
        <f>IF($A166="","",IF('Ügyfelek'!AF166="",'Beállítások'!$B$84,MIN(10,MAX(1,ROUND('Ügyfelek'!AF166,0)))))</f>
        <v/>
      </c>
      <c r="AG166">
        <f>IF($A166="","",IF('Ügyfelek'!AG166="",'Beállítások'!$B$84,MIN(10,MAX(1,ROUND('Ügyfelek'!AG166,0)))))</f>
        <v/>
      </c>
      <c r="AH166">
        <f>IF($A166="","",IF('Ügyfelek'!AH166="",'Beállítások'!$B$84,IFERROR(VLOOKUP(TRIM('Ügyfelek'!AH166),'Beállítások'!$A$73:$B$79,2,FALSE),'Beállítások'!$B$84)))</f>
        <v/>
      </c>
      <c r="AI166" s="23">
        <f>IF($A166="","",ROUND(100*('Beállítások'!$E$6*(B166-1)+'Beállítások'!$E$7*(C166-1))/(9*'Beállítások'!$B$43),1))</f>
        <v/>
      </c>
      <c r="AJ166" s="23">
        <f>IF($A166="","",ROUND(100*('Beállítások'!$E$8*(D166-1)+'Beállítások'!$E$9*(E166-1)+'Beállítások'!$E$10*(F166-1)+'Beállítások'!$E$11*(G166-1)+'Beállítások'!$E$12*(H166-1)+'Beállítások'!$E$13*(I166-1)+'Beállítások'!$E$14*(J166-1)+'Beállítások'!$E$15*(K166-1)+'Beállítások'!$E$16*(L166-1)+'Beállítások'!$E$17*(M166-1)+'Beállítások'!$E$18*(N166-1)+'Beállítások'!$E$19*(O166-1)+'Beállítások'!$E$20*(P166-1)+'Beállítások'!$E$21*(Q166-1)+'Beállítások'!$E$22*(R166-1))/(9*'Beállítások'!$B$44),1))</f>
        <v/>
      </c>
      <c r="AK166" s="23">
        <f>IF($A166="","",ROUND(100*('Beállítások'!$E$23*(S166-1)+'Beállítások'!$E$24*(T166-1)+'Beállítások'!$E$25*(U166-1)+'Beállítások'!$E$26*(V166-1)+'Beállítások'!$E$27*(W166-1)+'Beállítások'!$E$28*(X166-1)+'Beállítások'!$E$29*(Y166-1))/(9*'Beállítások'!$B$45),1))</f>
        <v/>
      </c>
      <c r="AL166" s="23">
        <f>IF($A166="","",ROUND(100*('Beállítások'!$E$30*(Z166-1)+'Beállítások'!$E$31*(AA166-1)+'Beállítások'!$E$32*(AB166-1)+'Beállítások'!$E$33*(AC166-1)+'Beállítások'!$E$34*(AD166-1)+'Beállítások'!$E$35*(AE166-1)+'Beállítások'!$E$36*(AF166-1)+'Beállítások'!$E$37*(AG166-1)+'Beállítások'!$E$38*(AH166-1))/(9*'Beállítások'!$B$46),1))</f>
        <v/>
      </c>
      <c r="AM166" s="23">
        <f>IF($A166="","",ROUND(100*('Beállítások'!$E$6*(B166-1)+'Beállítások'!$E$7*(C166-1)+'Beállítások'!$E$8*(D166-1)+'Beállítások'!$E$9*(E166-1)+'Beállítások'!$E$10*(F166-1)+'Beállítások'!$E$11*(G166-1)+'Beállítások'!$E$12*(H166-1)+'Beállítások'!$E$13*(I166-1)+'Beállítások'!$E$14*(J166-1)+'Beállítások'!$E$15*(K166-1)+'Beállítások'!$E$16*(L166-1)+'Beállítások'!$E$17*(M166-1)+'Beállítások'!$E$18*(N166-1)+'Beállítások'!$E$19*(O166-1)+'Beállítások'!$E$20*(P166-1)+'Beállítások'!$E$21*(Q166-1)+'Beállítások'!$E$22*(R166-1)+'Beállítások'!$E$23*(S166-1)+'Beállítások'!$E$24*(T166-1)+'Beállítások'!$E$25*(U166-1)+'Beállítások'!$E$26*(V166-1)+'Beállítások'!$E$27*(W166-1)+'Beállítások'!$E$28*(X166-1)+'Beállítások'!$E$29*(Y166-1)+'Beállítások'!$E$30*(Z166-1)+'Beállítások'!$E$31*(AA166-1)+'Beállítások'!$E$32*(AB166-1)+'Beállítások'!$E$33*(AC166-1)+'Beállítások'!$E$34*(AD166-1)+'Beállítások'!$E$35*(AE166-1)+'Beállítások'!$E$36*(AF166-1)+'Beállítások'!$E$37*(AG166-1)+'Beállítások'!$E$38*(AH166-1))/(9*'Beállítások'!$E$39),1))</f>
        <v/>
      </c>
      <c r="AN166" s="23">
        <f>IF($A166="","",ROUND(100*('Beállítások'!$E$8*(D166-1)+'Beállítások'!$E$9*(E166-1)+'Beállítások'!$E$10*(F166-1)+'Beállítások'!$E$11*(G166-1)+'Beállítások'!$E$12*(H166-1)+'Beállítások'!$E$13*(I166-1)+'Beállítások'!$E$14*(J166-1)+'Beállítások'!$E$15*(K166-1)+'Beállítások'!$E$16*(L166-1)+'Beállítások'!$E$17*(M166-1)+'Beállítások'!$E$18*(N166-1)+'Beállítások'!$E$19*(O166-1)+'Beállítások'!$E$20*(P166-1)+'Beállítások'!$E$21*(Q166-1)+'Beállítások'!$E$22*(R166-1)+'Beállítások'!$E$23*(S166-1)+'Beállítások'!$E$24*(T166-1)+'Beállítások'!$E$25*(U166-1)+'Beállítások'!$E$26*(V166-1)+'Beállítások'!$E$27*(W166-1)+'Beállítások'!$E$28*(X166-1)+'Beállítások'!$E$29*(Y166-1))/(9*('Beállítások'!$B$44+'Beállítások'!$B$45)),1))</f>
        <v/>
      </c>
      <c r="AO166" s="24">
        <f>IF($A166="","",RANK(AM166,$AM$2:$AM$201))</f>
        <v/>
      </c>
      <c r="AP166">
        <f>IF($A166="","",IF(OR(AND('Ügyfelek'!B166&lt;&gt;"",B166&lt;='Beállítások'!$B$85),AND('Ügyfelek'!C166&lt;&gt;"",C166&lt;='Beállítások'!$B$86)),"Igen","Nem"))</f>
        <v/>
      </c>
      <c r="AQ166" s="24">
        <f>IF($A166="","",IF(AP166="Igen",5,IF(AN166&gt;='Beállítások'!$C$108,1,IF(AN166&gt;='Beállítások'!$C$109,2,IF(AN166&gt;='Beállítások'!$C$110,3,IF(AND(AN166&gt;='Beállítások'!$B$87,AI166&gt;='Beállítások'!$B$88,AL166&gt;='Beállítások'!$B$89),4,5))))))</f>
        <v/>
      </c>
      <c r="AR166">
        <f>IF($A166="","",INDEX('Beállítások'!$B$108:$B$112,AQ166))</f>
        <v/>
      </c>
      <c r="AS166">
        <f>IF($A166="","",IF(AQ166=5,"Elutasítjuk",IF(AND(AQ166=4,COUNTIFS('Eredmény'!$AQ$2:$AQ$201,4,'Eredmény'!$DY$2:$DY$201,"&gt;"&amp;DY166)&gt;='Beállítások'!$B$90),"Várólista (a 4-es hely foglalt)","Elfogadjuk")))</f>
        <v/>
      </c>
      <c r="AT166">
        <f>IF($A166="","",INDEX('Beállítások'!$F$108:$F$112,AQ166))</f>
        <v/>
      </c>
      <c r="AU166">
        <f>IF($A166="","",INDEX('Beállítások'!$B$6:$B$38,MATCH(MAX(BK166:CQ166),BK166:CQ166,0)))</f>
        <v/>
      </c>
      <c r="AV166">
        <f>IF($A166="","",IF(MAX(CR166:DX166)=0,"—",INDEX('Beállítások'!$B$6:$B$38,MATCH(MAX(CR166:DX166),CR166:DX166,0))))</f>
        <v/>
      </c>
      <c r="AW166" s="10">
        <f>IF($A166="","",'Beállítások'!$B$94*(TRIM('Ügyfelek'!AI166)="igen")+'Beállítások'!$B$95*(TRIM('Ügyfelek'!AJ166)="igen")+'Beállítások'!$B$96*N('Ügyfelek'!AK166)+'Beállítások'!$B$93*N('Ügyfelek'!AL166))</f>
        <v/>
      </c>
      <c r="AX166" s="25">
        <f>IF(OR($A166="",AQ166=5),"",INDEX('Beállítások'!$D$108:$D$112,AQ166))</f>
        <v/>
      </c>
      <c r="AY166" s="10">
        <f>IF($A166="","",N('Ügyfelek'!U166)*'Beállítások'!$B$98)</f>
        <v/>
      </c>
      <c r="AZ166" s="10">
        <f>IF(OR($A166="",AQ166=5),"",CEILING(ROUND(MAX('Beállítások'!$B$97,AW166*AX166,AY166),2),'Beállítások'!$B$99))</f>
        <v/>
      </c>
      <c r="BA166">
        <f>IF($A166="","",IF(AQ166=5,"Elutasítva",IF(MAX('Beállítások'!$B$97,AW166*AX166,AY166)=AW166*AX166,"Munkaigény × státuszszorzó",IF(MAX('Beállítások'!$B$97,AW166*AX166,AY166)=AY166,"Hirdetési keret arányában","Minimumdíj"))))</f>
        <v/>
      </c>
      <c r="BB166" s="10">
        <f>IF(OR($A166="",'Ügyfelek'!AM166=""),"",'Ügyfelek'!AM166)</f>
        <v/>
      </c>
      <c r="BC166" s="10">
        <f>IF(OR(BB166="",AZ166=""),"",AZ166-BB166)</f>
        <v/>
      </c>
      <c r="BD166" s="18">
        <f>IF(OR(BB166="",AZ166="",BB166=0),"",BC166/BB166)</f>
        <v/>
      </c>
      <c r="BE166">
        <f>IF(OR($A166="",AQ166=5),"",IF(AND(INDEX('Beállítások'!$E$108:$E$112,AQ166)&gt;0,Y166&gt;='Beállítások'!$B$91),"Igen","Nem"))</f>
        <v/>
      </c>
      <c r="BF166" s="10">
        <f>IF(BE166="Igen",CEILING(ROUND(AZ166*(1-'Beállítások'!$B$92),2),'Beállítások'!$B$99),"")</f>
        <v/>
      </c>
      <c r="BG166" s="20">
        <f>IF(BE166="Igen",INDEX('Beállítások'!$E$108:$E$112,AQ166),"")</f>
        <v/>
      </c>
      <c r="BH166" s="10">
        <f>IF(OR(BE166&lt;&gt;"Igen",'Ügyfelek'!AN166=""),"",'Ügyfelek'!AN166*BG166)</f>
        <v/>
      </c>
      <c r="BI166" s="24">
        <f>IF($A166="","",('Ügyfelek'!B166="")+('Ügyfelek'!C166="")+('Ügyfelek'!D166="")+('Ügyfelek'!E166="")+('Ügyfelek'!F166="")+('Ügyfelek'!G166="")+('Ügyfelek'!H166="")+('Ügyfelek'!I166="")+('Ügyfelek'!J166="")+('Ügyfelek'!K166="")+('Ügyfelek'!L166="")+('Ügyfelek'!M166="")+('Ügyfelek'!N166="")+('Ügyfelek'!O166="")+('Ügyfelek'!P166="")+('Ügyfelek'!Q166="")+('Ügyfelek'!R166="")+('Ügyfelek'!S166="")+('Ügyfelek'!T166="")+('Ügyfelek'!U166="")+('Ügyfelek'!V166="")+('Ügyfelek'!W166="")+('Ügyfelek'!X166="")+('Ügyfelek'!Y166="")+('Ügyfelek'!Z166="")+('Ügyfelek'!AA166="")+('Ügyfelek'!AB166="")+('Ügyfelek'!AC166="")+('Ügyfelek'!AD166="")+('Ügyfelek'!AE166="")+('Ügyfelek'!AF166="")+('Ügyfelek'!AG166="")+('Ügyfelek'!AH166=""))</f>
        <v/>
      </c>
      <c r="BK166">
        <f>IF($A166="","",B166+'Beállítások'!$E$6/1000)</f>
        <v/>
      </c>
      <c r="BL166">
        <f>IF($A166="","",C166+'Beállítások'!$E$7/1000)</f>
        <v/>
      </c>
      <c r="BM166">
        <f>IF($A166="","",D166+'Beállítások'!$E$8/1000)</f>
        <v/>
      </c>
      <c r="BN166">
        <f>IF($A166="","",E166+'Beállítások'!$E$9/1000)</f>
        <v/>
      </c>
      <c r="BO166">
        <f>IF($A166="","",F166+'Beállítások'!$E$10/1000)</f>
        <v/>
      </c>
      <c r="BP166">
        <f>IF($A166="","",G166+'Beállítások'!$E$11/1000)</f>
        <v/>
      </c>
      <c r="BQ166">
        <f>IF($A166="","",H166+'Beállítások'!$E$12/1000)</f>
        <v/>
      </c>
      <c r="BR166">
        <f>IF($A166="","",I166+'Beállítások'!$E$13/1000)</f>
        <v/>
      </c>
      <c r="BS166">
        <f>IF($A166="","",J166+'Beállítások'!$E$14/1000)</f>
        <v/>
      </c>
      <c r="BT166">
        <f>IF($A166="","",K166+'Beállítások'!$E$15/1000)</f>
        <v/>
      </c>
      <c r="BU166">
        <f>IF($A166="","",L166+'Beállítások'!$E$16/1000)</f>
        <v/>
      </c>
      <c r="BV166">
        <f>IF($A166="","",M166+'Beállítások'!$E$17/1000)</f>
        <v/>
      </c>
      <c r="BW166">
        <f>IF($A166="","",N166+'Beállítások'!$E$18/1000)</f>
        <v/>
      </c>
      <c r="BX166">
        <f>IF($A166="","",O166+'Beállítások'!$E$19/1000)</f>
        <v/>
      </c>
      <c r="BY166">
        <f>IF($A166="","",P166+'Beállítások'!$E$20/1000)</f>
        <v/>
      </c>
      <c r="BZ166">
        <f>IF($A166="","",Q166+'Beállítások'!$E$21/1000)</f>
        <v/>
      </c>
      <c r="CA166">
        <f>IF($A166="","",R166+'Beállítások'!$E$22/1000)</f>
        <v/>
      </c>
      <c r="CB166">
        <f>IF($A166="","",S166+'Beállítások'!$E$23/1000)</f>
        <v/>
      </c>
      <c r="CC166">
        <f>IF($A166="","",T166+'Beállítások'!$E$24/1000)</f>
        <v/>
      </c>
      <c r="CD166">
        <f>IF($A166="","",U166+'Beállítások'!$E$25/1000)</f>
        <v/>
      </c>
      <c r="CE166">
        <f>IF($A166="","",V166+'Beállítások'!$E$26/1000)</f>
        <v/>
      </c>
      <c r="CF166">
        <f>IF($A166="","",W166+'Beállítások'!$E$27/1000)</f>
        <v/>
      </c>
      <c r="CG166">
        <f>IF($A166="","",X166+'Beállítások'!$E$28/1000)</f>
        <v/>
      </c>
      <c r="CH166">
        <f>IF($A166="","",Y166+'Beállítások'!$E$29/1000)</f>
        <v/>
      </c>
      <c r="CI166">
        <f>IF($A166="","",Z166+'Beállítások'!$E$30/1000)</f>
        <v/>
      </c>
      <c r="CJ166">
        <f>IF($A166="","",AA166+'Beállítások'!$E$31/1000)</f>
        <v/>
      </c>
      <c r="CK166">
        <f>IF($A166="","",AB166+'Beállítások'!$E$32/1000)</f>
        <v/>
      </c>
      <c r="CL166">
        <f>IF($A166="","",AC166+'Beállítások'!$E$33/1000)</f>
        <v/>
      </c>
      <c r="CM166">
        <f>IF($A166="","",AD166+'Beállítások'!$E$34/1000)</f>
        <v/>
      </c>
      <c r="CN166">
        <f>IF($A166="","",AE166+'Beállítások'!$E$35/1000)</f>
        <v/>
      </c>
      <c r="CO166">
        <f>IF($A166="","",AF166+'Beállítások'!$E$36/1000)</f>
        <v/>
      </c>
      <c r="CP166">
        <f>IF($A166="","",AG166+'Beállítások'!$E$37/1000)</f>
        <v/>
      </c>
      <c r="CQ166">
        <f>IF($A166="","",AH166+'Beállítások'!$E$38/1000)</f>
        <v/>
      </c>
      <c r="CR166">
        <f>IF($A166="","",'Beállítások'!$E$6*(10-B166))</f>
        <v/>
      </c>
      <c r="CS166">
        <f>IF($A166="","",'Beállítások'!$E$7*(10-C166))</f>
        <v/>
      </c>
      <c r="CT166">
        <f>IF($A166="","",'Beállítások'!$E$8*(10-D166))</f>
        <v/>
      </c>
      <c r="CU166">
        <f>IF($A166="","",'Beállítások'!$E$9*(10-E166))</f>
        <v/>
      </c>
      <c r="CV166">
        <f>IF($A166="","",'Beállítások'!$E$10*(10-F166))</f>
        <v/>
      </c>
      <c r="CW166">
        <f>IF($A166="","",'Beállítások'!$E$11*(10-G166))</f>
        <v/>
      </c>
      <c r="CX166">
        <f>IF($A166="","",'Beállítások'!$E$12*(10-H166))</f>
        <v/>
      </c>
      <c r="CY166">
        <f>IF($A166="","",'Beállítások'!$E$13*(10-I166))</f>
        <v/>
      </c>
      <c r="CZ166">
        <f>IF($A166="","",'Beállítások'!$E$14*(10-J166))</f>
        <v/>
      </c>
      <c r="DA166">
        <f>IF($A166="","",'Beállítások'!$E$15*(10-K166))</f>
        <v/>
      </c>
      <c r="DB166">
        <f>IF($A166="","",'Beállítások'!$E$16*(10-L166))</f>
        <v/>
      </c>
      <c r="DC166">
        <f>IF($A166="","",'Beállítások'!$E$17*(10-M166))</f>
        <v/>
      </c>
      <c r="DD166">
        <f>IF($A166="","",'Beállítások'!$E$18*(10-N166))</f>
        <v/>
      </c>
      <c r="DE166">
        <f>IF($A166="","",'Beállítások'!$E$19*(10-O166))</f>
        <v/>
      </c>
      <c r="DF166">
        <f>IF($A166="","",'Beállítások'!$E$20*(10-P166))</f>
        <v/>
      </c>
      <c r="DG166">
        <f>IF($A166="","",'Beállítások'!$E$21*(10-Q166))</f>
        <v/>
      </c>
      <c r="DH166">
        <f>IF($A166="","",'Beállítások'!$E$22*(10-R166))</f>
        <v/>
      </c>
      <c r="DI166">
        <f>IF($A166="","",'Beállítások'!$E$23*(10-S166))</f>
        <v/>
      </c>
      <c r="DJ166">
        <f>IF($A166="","",'Beállítások'!$E$24*(10-T166))</f>
        <v/>
      </c>
      <c r="DK166">
        <f>IF($A166="","",'Beállítások'!$E$25*(10-U166))</f>
        <v/>
      </c>
      <c r="DL166">
        <f>IF($A166="","",'Beállítások'!$E$26*(10-V166))</f>
        <v/>
      </c>
      <c r="DM166">
        <f>IF($A166="","",'Beállítások'!$E$27*(10-W166))</f>
        <v/>
      </c>
      <c r="DN166">
        <f>IF($A166="","",'Beállítások'!$E$28*(10-X166))</f>
        <v/>
      </c>
      <c r="DO166">
        <f>IF($A166="","",'Beállítások'!$E$29*(10-Y166))</f>
        <v/>
      </c>
      <c r="DP166">
        <f>IF($A166="","",'Beállítások'!$E$30*(10-Z166))</f>
        <v/>
      </c>
      <c r="DQ166">
        <f>IF($A166="","",'Beállítások'!$E$31*(10-AA166))</f>
        <v/>
      </c>
      <c r="DR166">
        <f>IF($A166="","",'Beállítások'!$E$32*(10-AB166))</f>
        <v/>
      </c>
      <c r="DS166">
        <f>IF($A166="","",'Beállítások'!$E$33*(10-AC166))</f>
        <v/>
      </c>
      <c r="DT166">
        <f>IF($A166="","",'Beállítások'!$E$34*(10-AD166))</f>
        <v/>
      </c>
      <c r="DU166">
        <f>IF($A166="","",'Beállítások'!$E$35*(10-AE166))</f>
        <v/>
      </c>
      <c r="DV166">
        <f>IF($A166="","",'Beállítások'!$E$36*(10-AF166))</f>
        <v/>
      </c>
      <c r="DW166">
        <f>IF($A166="","",'Beállítások'!$E$37*(10-AG166))</f>
        <v/>
      </c>
      <c r="DX166">
        <f>IF($A166="","",'Beállítások'!$E$38*(10-AH166))</f>
        <v/>
      </c>
      <c r="DY166">
        <f>IF($A166="","",AM166-ROW()/100000)</f>
        <v/>
      </c>
    </row>
    <row r="167">
      <c r="A167">
        <f>IF('Ügyfelek'!A167="","",'Ügyfelek'!A167)</f>
        <v/>
      </c>
      <c r="B167">
        <f>IF($A167="","",IF('Ügyfelek'!B167="",'Beállítások'!$B$84,IFERROR(VLOOKUP(TRIM('Ügyfelek'!B167),'Beállítások'!$A$51:$B$59,2,FALSE),'Beállítások'!$B$84)))</f>
        <v/>
      </c>
      <c r="C167">
        <f>IF($A167="","",IF('Ügyfelek'!C167="",'Beállítások'!$B$84,MIN(10,MAX(1,ROUND('Ügyfelek'!C167,0)))))</f>
        <v/>
      </c>
      <c r="D167">
        <f>IF($A167="","",IF('Ügyfelek'!D167="",'Beállítások'!$B$84,MIN(10,MAX(1,ROUND('Ügyfelek'!D167,0)))))</f>
        <v/>
      </c>
      <c r="E167">
        <f>IF($A167="","",IF('Ügyfelek'!E167="",'Beállítások'!$B$84,MIN(10,MAX(1,ROUND('Ügyfelek'!E167,0)))))</f>
        <v/>
      </c>
      <c r="F167">
        <f>IF($A167="","",IF('Ügyfelek'!F167="",'Beállítások'!$B$84,MIN(10,MAX(1,ROUND('Ügyfelek'!F167,0)))))</f>
        <v/>
      </c>
      <c r="G167">
        <f>IF($A167="","",IF('Ügyfelek'!G167="",'Beállítások'!$B$84,MIN(10,MAX(1,ROUND('Ügyfelek'!G167,0)))))</f>
        <v/>
      </c>
      <c r="H167">
        <f>IF($A167="","",IF('Ügyfelek'!H167="",'Beállítások'!$B$84,MIN(10,MAX(1,ROUND('Ügyfelek'!H167,0)))))</f>
        <v/>
      </c>
      <c r="I167">
        <f>IF($A167="","",IF('Ügyfelek'!I167="",'Beállítások'!$B$84,MIN(10,MAX(1,ROUND('Ügyfelek'!I167,0)))))</f>
        <v/>
      </c>
      <c r="J167">
        <f>IF($A167="","",IF('Ügyfelek'!J167="",'Beállítások'!$B$84,MIN(10,MAX(1,ROUND('Ügyfelek'!J167,0)))))</f>
        <v/>
      </c>
      <c r="K167">
        <f>IF($A167="","",IF('Ügyfelek'!K167="",'Beállítások'!$B$84,MIN(10,MAX(1,ROUND('Ügyfelek'!K167,0)))))</f>
        <v/>
      </c>
      <c r="L167">
        <f>IF($A167="","",IF('Ügyfelek'!L167="",'Beállítások'!$B$84,MIN(10,MAX(1,ROUND('Ügyfelek'!L167,0)))))</f>
        <v/>
      </c>
      <c r="M167">
        <f>IF($A167="","",IF('Ügyfelek'!M167="",'Beállítások'!$B$84,MIN(10,MAX(1,ROUND('Ügyfelek'!M167,0)))))</f>
        <v/>
      </c>
      <c r="N167">
        <f>IF($A167="","",IF('Ügyfelek'!N167="",'Beállítások'!$B$84,MIN(10,MAX(1,ROUND('Ügyfelek'!N167,0)))))</f>
        <v/>
      </c>
      <c r="O167">
        <f>IF($A167="","",IF('Ügyfelek'!O167="",'Beállítások'!$B$84,MIN(10,MAX(1,ROUND('Ügyfelek'!O167,0)))))</f>
        <v/>
      </c>
      <c r="P167">
        <f>IF($A167="","",IF('Ügyfelek'!P167="",'Beállítások'!$B$84,MIN(10,MAX(1,ROUND('Ügyfelek'!P167,0)))))</f>
        <v/>
      </c>
      <c r="Q167">
        <f>IF($A167="","",IF('Ügyfelek'!Q167="",'Beállítások'!$B$84,MIN(10,MAX(1,ROUND('Ügyfelek'!Q167,0)))))</f>
        <v/>
      </c>
      <c r="R167">
        <f>IF($A167="","",IF('Ügyfelek'!R167="",'Beállítások'!$B$84,MIN(10,MAX(1,ROUND('Ügyfelek'!R167,0)))))</f>
        <v/>
      </c>
      <c r="S167">
        <f>IF($A167="","",IF('Ügyfelek'!S167="",'Beállítások'!$B$84,MIN(10,MAX(1,ROUND('Ügyfelek'!S167,0)))))</f>
        <v/>
      </c>
      <c r="T167">
        <f>IF($A167="","",IF('Ügyfelek'!T167="",'Beállítások'!$B$84,VLOOKUP(MAX('Ügyfelek'!T167,'Beállítások'!$H$7),'Beállítások'!$H$7:$I$12,2,TRUE)))</f>
        <v/>
      </c>
      <c r="U167">
        <f>IF($A167="","",IF('Ügyfelek'!U167="",'Beállítások'!$B$84,VLOOKUP(MAX('Ügyfelek'!U167,'Beállítások'!$K$7),'Beállítások'!$K$7:$L$12,2,TRUE)))</f>
        <v/>
      </c>
      <c r="V167">
        <f>IF($A167="","",IF('Ügyfelek'!V167="",'Beállítások'!$B$84,MIN(10,MAX(1,ROUND('Ügyfelek'!V167,0)))))</f>
        <v/>
      </c>
      <c r="W167">
        <f>IF($A167="","",IF('Ügyfelek'!W167="",'Beállítások'!$B$84,VLOOKUP(MAX('Ügyfelek'!W167,'Beállítások'!$N$7),'Beállítások'!$N$7:$O$12,2,TRUE)))</f>
        <v/>
      </c>
      <c r="X167">
        <f>IF($A167="","",IF('Ügyfelek'!X167="",'Beállítások'!$B$84,MIN(10,MAX(1,ROUND('Ügyfelek'!X167,0)))))</f>
        <v/>
      </c>
      <c r="Y167">
        <f>IF($A167="","",IF('Ügyfelek'!Y167="",'Beállítások'!$B$84,IFERROR(VLOOKUP(TRIM('Ügyfelek'!Y167),'Beállítások'!$A$63:$B$69,2,FALSE),'Beállítások'!$B$84)))</f>
        <v/>
      </c>
      <c r="Z167">
        <f>IF($A167="","",IF('Ügyfelek'!Z167="",'Beállítások'!$B$84,VLOOKUP(MAX('Ügyfelek'!Z167,'Beállítások'!$Q$7),'Beállítások'!$Q$7:$R$12,2,TRUE)))</f>
        <v/>
      </c>
      <c r="AA167">
        <f>IF($A167="","",IF('Ügyfelek'!AA167="",'Beállítások'!$B$84,VLOOKUP(MAX('Ügyfelek'!AA167,'Beállítások'!$T$7),'Beállítások'!$T$7:$U$12,2,TRUE)))</f>
        <v/>
      </c>
      <c r="AB167">
        <f>IF($A167="","",IF('Ügyfelek'!AB167="",'Beállítások'!$B$84,MIN(10,MAX(1,ROUND('Ügyfelek'!AB167,0)))))</f>
        <v/>
      </c>
      <c r="AC167">
        <f>IF($A167="","",IF('Ügyfelek'!AC167="",'Beállítások'!$B$84,MIN(10,MAX(1,ROUND('Ügyfelek'!AC167,0)))))</f>
        <v/>
      </c>
      <c r="AD167">
        <f>IF($A167="","",IF('Ügyfelek'!AD167="",'Beállítások'!$B$84,MIN(10,MAX(1,ROUND('Ügyfelek'!AD167,0)))))</f>
        <v/>
      </c>
      <c r="AE167">
        <f>IF($A167="","",IF('Ügyfelek'!AE167="",'Beállítások'!$B$84,MIN(10,MAX(1,ROUND('Ügyfelek'!AE167,0)))))</f>
        <v/>
      </c>
      <c r="AF167">
        <f>IF($A167="","",IF('Ügyfelek'!AF167="",'Beállítások'!$B$84,MIN(10,MAX(1,ROUND('Ügyfelek'!AF167,0)))))</f>
        <v/>
      </c>
      <c r="AG167">
        <f>IF($A167="","",IF('Ügyfelek'!AG167="",'Beállítások'!$B$84,MIN(10,MAX(1,ROUND('Ügyfelek'!AG167,0)))))</f>
        <v/>
      </c>
      <c r="AH167">
        <f>IF($A167="","",IF('Ügyfelek'!AH167="",'Beállítások'!$B$84,IFERROR(VLOOKUP(TRIM('Ügyfelek'!AH167),'Beállítások'!$A$73:$B$79,2,FALSE),'Beállítások'!$B$84)))</f>
        <v/>
      </c>
      <c r="AI167" s="23">
        <f>IF($A167="","",ROUND(100*('Beállítások'!$E$6*(B167-1)+'Beállítások'!$E$7*(C167-1))/(9*'Beállítások'!$B$43),1))</f>
        <v/>
      </c>
      <c r="AJ167" s="23">
        <f>IF($A167="","",ROUND(100*('Beállítások'!$E$8*(D167-1)+'Beállítások'!$E$9*(E167-1)+'Beállítások'!$E$10*(F167-1)+'Beállítások'!$E$11*(G167-1)+'Beállítások'!$E$12*(H167-1)+'Beállítások'!$E$13*(I167-1)+'Beállítások'!$E$14*(J167-1)+'Beállítások'!$E$15*(K167-1)+'Beállítások'!$E$16*(L167-1)+'Beállítások'!$E$17*(M167-1)+'Beállítások'!$E$18*(N167-1)+'Beállítások'!$E$19*(O167-1)+'Beállítások'!$E$20*(P167-1)+'Beállítások'!$E$21*(Q167-1)+'Beállítások'!$E$22*(R167-1))/(9*'Beállítások'!$B$44),1))</f>
        <v/>
      </c>
      <c r="AK167" s="23">
        <f>IF($A167="","",ROUND(100*('Beállítások'!$E$23*(S167-1)+'Beállítások'!$E$24*(T167-1)+'Beállítások'!$E$25*(U167-1)+'Beállítások'!$E$26*(V167-1)+'Beállítások'!$E$27*(W167-1)+'Beállítások'!$E$28*(X167-1)+'Beállítások'!$E$29*(Y167-1))/(9*'Beállítások'!$B$45),1))</f>
        <v/>
      </c>
      <c r="AL167" s="23">
        <f>IF($A167="","",ROUND(100*('Beállítások'!$E$30*(Z167-1)+'Beállítások'!$E$31*(AA167-1)+'Beállítások'!$E$32*(AB167-1)+'Beállítások'!$E$33*(AC167-1)+'Beállítások'!$E$34*(AD167-1)+'Beállítások'!$E$35*(AE167-1)+'Beállítások'!$E$36*(AF167-1)+'Beállítások'!$E$37*(AG167-1)+'Beállítások'!$E$38*(AH167-1))/(9*'Beállítások'!$B$46),1))</f>
        <v/>
      </c>
      <c r="AM167" s="23">
        <f>IF($A167="","",ROUND(100*('Beállítások'!$E$6*(B167-1)+'Beállítások'!$E$7*(C167-1)+'Beállítások'!$E$8*(D167-1)+'Beállítások'!$E$9*(E167-1)+'Beállítások'!$E$10*(F167-1)+'Beállítások'!$E$11*(G167-1)+'Beállítások'!$E$12*(H167-1)+'Beállítások'!$E$13*(I167-1)+'Beállítások'!$E$14*(J167-1)+'Beállítások'!$E$15*(K167-1)+'Beállítások'!$E$16*(L167-1)+'Beállítások'!$E$17*(M167-1)+'Beállítások'!$E$18*(N167-1)+'Beállítások'!$E$19*(O167-1)+'Beállítások'!$E$20*(P167-1)+'Beállítások'!$E$21*(Q167-1)+'Beállítások'!$E$22*(R167-1)+'Beállítások'!$E$23*(S167-1)+'Beállítások'!$E$24*(T167-1)+'Beállítások'!$E$25*(U167-1)+'Beállítások'!$E$26*(V167-1)+'Beállítások'!$E$27*(W167-1)+'Beállítások'!$E$28*(X167-1)+'Beállítások'!$E$29*(Y167-1)+'Beállítások'!$E$30*(Z167-1)+'Beállítások'!$E$31*(AA167-1)+'Beállítások'!$E$32*(AB167-1)+'Beállítások'!$E$33*(AC167-1)+'Beállítások'!$E$34*(AD167-1)+'Beállítások'!$E$35*(AE167-1)+'Beállítások'!$E$36*(AF167-1)+'Beállítások'!$E$37*(AG167-1)+'Beállítások'!$E$38*(AH167-1))/(9*'Beállítások'!$E$39),1))</f>
        <v/>
      </c>
      <c r="AN167" s="23">
        <f>IF($A167="","",ROUND(100*('Beállítások'!$E$8*(D167-1)+'Beállítások'!$E$9*(E167-1)+'Beállítások'!$E$10*(F167-1)+'Beállítások'!$E$11*(G167-1)+'Beállítások'!$E$12*(H167-1)+'Beállítások'!$E$13*(I167-1)+'Beállítások'!$E$14*(J167-1)+'Beállítások'!$E$15*(K167-1)+'Beállítások'!$E$16*(L167-1)+'Beállítások'!$E$17*(M167-1)+'Beállítások'!$E$18*(N167-1)+'Beállítások'!$E$19*(O167-1)+'Beállítások'!$E$20*(P167-1)+'Beállítások'!$E$21*(Q167-1)+'Beállítások'!$E$22*(R167-1)+'Beállítások'!$E$23*(S167-1)+'Beállítások'!$E$24*(T167-1)+'Beállítások'!$E$25*(U167-1)+'Beállítások'!$E$26*(V167-1)+'Beállítások'!$E$27*(W167-1)+'Beállítások'!$E$28*(X167-1)+'Beállítások'!$E$29*(Y167-1))/(9*('Beállítások'!$B$44+'Beállítások'!$B$45)),1))</f>
        <v/>
      </c>
      <c r="AO167" s="24">
        <f>IF($A167="","",RANK(AM167,$AM$2:$AM$201))</f>
        <v/>
      </c>
      <c r="AP167">
        <f>IF($A167="","",IF(OR(AND('Ügyfelek'!B167&lt;&gt;"",B167&lt;='Beállítások'!$B$85),AND('Ügyfelek'!C167&lt;&gt;"",C167&lt;='Beállítások'!$B$86)),"Igen","Nem"))</f>
        <v/>
      </c>
      <c r="AQ167" s="24">
        <f>IF($A167="","",IF(AP167="Igen",5,IF(AN167&gt;='Beállítások'!$C$108,1,IF(AN167&gt;='Beállítások'!$C$109,2,IF(AN167&gt;='Beállítások'!$C$110,3,IF(AND(AN167&gt;='Beállítások'!$B$87,AI167&gt;='Beállítások'!$B$88,AL167&gt;='Beállítások'!$B$89),4,5))))))</f>
        <v/>
      </c>
      <c r="AR167">
        <f>IF($A167="","",INDEX('Beállítások'!$B$108:$B$112,AQ167))</f>
        <v/>
      </c>
      <c r="AS167">
        <f>IF($A167="","",IF(AQ167=5,"Elutasítjuk",IF(AND(AQ167=4,COUNTIFS('Eredmény'!$AQ$2:$AQ$201,4,'Eredmény'!$DY$2:$DY$201,"&gt;"&amp;DY167)&gt;='Beállítások'!$B$90),"Várólista (a 4-es hely foglalt)","Elfogadjuk")))</f>
        <v/>
      </c>
      <c r="AT167">
        <f>IF($A167="","",INDEX('Beállítások'!$F$108:$F$112,AQ167))</f>
        <v/>
      </c>
      <c r="AU167">
        <f>IF($A167="","",INDEX('Beállítások'!$B$6:$B$38,MATCH(MAX(BK167:CQ167),BK167:CQ167,0)))</f>
        <v/>
      </c>
      <c r="AV167">
        <f>IF($A167="","",IF(MAX(CR167:DX167)=0,"—",INDEX('Beállítások'!$B$6:$B$38,MATCH(MAX(CR167:DX167),CR167:DX167,0))))</f>
        <v/>
      </c>
      <c r="AW167" s="10">
        <f>IF($A167="","",'Beállítások'!$B$94*(TRIM('Ügyfelek'!AI167)="igen")+'Beállítások'!$B$95*(TRIM('Ügyfelek'!AJ167)="igen")+'Beállítások'!$B$96*N('Ügyfelek'!AK167)+'Beállítások'!$B$93*N('Ügyfelek'!AL167))</f>
        <v/>
      </c>
      <c r="AX167" s="25">
        <f>IF(OR($A167="",AQ167=5),"",INDEX('Beállítások'!$D$108:$D$112,AQ167))</f>
        <v/>
      </c>
      <c r="AY167" s="10">
        <f>IF($A167="","",N('Ügyfelek'!U167)*'Beállítások'!$B$98)</f>
        <v/>
      </c>
      <c r="AZ167" s="10">
        <f>IF(OR($A167="",AQ167=5),"",CEILING(ROUND(MAX('Beállítások'!$B$97,AW167*AX167,AY167),2),'Beállítások'!$B$99))</f>
        <v/>
      </c>
      <c r="BA167">
        <f>IF($A167="","",IF(AQ167=5,"Elutasítva",IF(MAX('Beállítások'!$B$97,AW167*AX167,AY167)=AW167*AX167,"Munkaigény × státuszszorzó",IF(MAX('Beállítások'!$B$97,AW167*AX167,AY167)=AY167,"Hirdetési keret arányában","Minimumdíj"))))</f>
        <v/>
      </c>
      <c r="BB167" s="10">
        <f>IF(OR($A167="",'Ügyfelek'!AM167=""),"",'Ügyfelek'!AM167)</f>
        <v/>
      </c>
      <c r="BC167" s="10">
        <f>IF(OR(BB167="",AZ167=""),"",AZ167-BB167)</f>
        <v/>
      </c>
      <c r="BD167" s="18">
        <f>IF(OR(BB167="",AZ167="",BB167=0),"",BC167/BB167)</f>
        <v/>
      </c>
      <c r="BE167">
        <f>IF(OR($A167="",AQ167=5),"",IF(AND(INDEX('Beállítások'!$E$108:$E$112,AQ167)&gt;0,Y167&gt;='Beállítások'!$B$91),"Igen","Nem"))</f>
        <v/>
      </c>
      <c r="BF167" s="10">
        <f>IF(BE167="Igen",CEILING(ROUND(AZ167*(1-'Beállítások'!$B$92),2),'Beállítások'!$B$99),"")</f>
        <v/>
      </c>
      <c r="BG167" s="20">
        <f>IF(BE167="Igen",INDEX('Beállítások'!$E$108:$E$112,AQ167),"")</f>
        <v/>
      </c>
      <c r="BH167" s="10">
        <f>IF(OR(BE167&lt;&gt;"Igen",'Ügyfelek'!AN167=""),"",'Ügyfelek'!AN167*BG167)</f>
        <v/>
      </c>
      <c r="BI167" s="24">
        <f>IF($A167="","",('Ügyfelek'!B167="")+('Ügyfelek'!C167="")+('Ügyfelek'!D167="")+('Ügyfelek'!E167="")+('Ügyfelek'!F167="")+('Ügyfelek'!G167="")+('Ügyfelek'!H167="")+('Ügyfelek'!I167="")+('Ügyfelek'!J167="")+('Ügyfelek'!K167="")+('Ügyfelek'!L167="")+('Ügyfelek'!M167="")+('Ügyfelek'!N167="")+('Ügyfelek'!O167="")+('Ügyfelek'!P167="")+('Ügyfelek'!Q167="")+('Ügyfelek'!R167="")+('Ügyfelek'!S167="")+('Ügyfelek'!T167="")+('Ügyfelek'!U167="")+('Ügyfelek'!V167="")+('Ügyfelek'!W167="")+('Ügyfelek'!X167="")+('Ügyfelek'!Y167="")+('Ügyfelek'!Z167="")+('Ügyfelek'!AA167="")+('Ügyfelek'!AB167="")+('Ügyfelek'!AC167="")+('Ügyfelek'!AD167="")+('Ügyfelek'!AE167="")+('Ügyfelek'!AF167="")+('Ügyfelek'!AG167="")+('Ügyfelek'!AH167=""))</f>
        <v/>
      </c>
      <c r="BK167">
        <f>IF($A167="","",B167+'Beállítások'!$E$6/1000)</f>
        <v/>
      </c>
      <c r="BL167">
        <f>IF($A167="","",C167+'Beállítások'!$E$7/1000)</f>
        <v/>
      </c>
      <c r="BM167">
        <f>IF($A167="","",D167+'Beállítások'!$E$8/1000)</f>
        <v/>
      </c>
      <c r="BN167">
        <f>IF($A167="","",E167+'Beállítások'!$E$9/1000)</f>
        <v/>
      </c>
      <c r="BO167">
        <f>IF($A167="","",F167+'Beállítások'!$E$10/1000)</f>
        <v/>
      </c>
      <c r="BP167">
        <f>IF($A167="","",G167+'Beállítások'!$E$11/1000)</f>
        <v/>
      </c>
      <c r="BQ167">
        <f>IF($A167="","",H167+'Beállítások'!$E$12/1000)</f>
        <v/>
      </c>
      <c r="BR167">
        <f>IF($A167="","",I167+'Beállítások'!$E$13/1000)</f>
        <v/>
      </c>
      <c r="BS167">
        <f>IF($A167="","",J167+'Beállítások'!$E$14/1000)</f>
        <v/>
      </c>
      <c r="BT167">
        <f>IF($A167="","",K167+'Beállítások'!$E$15/1000)</f>
        <v/>
      </c>
      <c r="BU167">
        <f>IF($A167="","",L167+'Beállítások'!$E$16/1000)</f>
        <v/>
      </c>
      <c r="BV167">
        <f>IF($A167="","",M167+'Beállítások'!$E$17/1000)</f>
        <v/>
      </c>
      <c r="BW167">
        <f>IF($A167="","",N167+'Beállítások'!$E$18/1000)</f>
        <v/>
      </c>
      <c r="BX167">
        <f>IF($A167="","",O167+'Beállítások'!$E$19/1000)</f>
        <v/>
      </c>
      <c r="BY167">
        <f>IF($A167="","",P167+'Beállítások'!$E$20/1000)</f>
        <v/>
      </c>
      <c r="BZ167">
        <f>IF($A167="","",Q167+'Beállítások'!$E$21/1000)</f>
        <v/>
      </c>
      <c r="CA167">
        <f>IF($A167="","",R167+'Beállítások'!$E$22/1000)</f>
        <v/>
      </c>
      <c r="CB167">
        <f>IF($A167="","",S167+'Beállítások'!$E$23/1000)</f>
        <v/>
      </c>
      <c r="CC167">
        <f>IF($A167="","",T167+'Beállítások'!$E$24/1000)</f>
        <v/>
      </c>
      <c r="CD167">
        <f>IF($A167="","",U167+'Beállítások'!$E$25/1000)</f>
        <v/>
      </c>
      <c r="CE167">
        <f>IF($A167="","",V167+'Beállítások'!$E$26/1000)</f>
        <v/>
      </c>
      <c r="CF167">
        <f>IF($A167="","",W167+'Beállítások'!$E$27/1000)</f>
        <v/>
      </c>
      <c r="CG167">
        <f>IF($A167="","",X167+'Beállítások'!$E$28/1000)</f>
        <v/>
      </c>
      <c r="CH167">
        <f>IF($A167="","",Y167+'Beállítások'!$E$29/1000)</f>
        <v/>
      </c>
      <c r="CI167">
        <f>IF($A167="","",Z167+'Beállítások'!$E$30/1000)</f>
        <v/>
      </c>
      <c r="CJ167">
        <f>IF($A167="","",AA167+'Beállítások'!$E$31/1000)</f>
        <v/>
      </c>
      <c r="CK167">
        <f>IF($A167="","",AB167+'Beállítások'!$E$32/1000)</f>
        <v/>
      </c>
      <c r="CL167">
        <f>IF($A167="","",AC167+'Beállítások'!$E$33/1000)</f>
        <v/>
      </c>
      <c r="CM167">
        <f>IF($A167="","",AD167+'Beállítások'!$E$34/1000)</f>
        <v/>
      </c>
      <c r="CN167">
        <f>IF($A167="","",AE167+'Beállítások'!$E$35/1000)</f>
        <v/>
      </c>
      <c r="CO167">
        <f>IF($A167="","",AF167+'Beállítások'!$E$36/1000)</f>
        <v/>
      </c>
      <c r="CP167">
        <f>IF($A167="","",AG167+'Beállítások'!$E$37/1000)</f>
        <v/>
      </c>
      <c r="CQ167">
        <f>IF($A167="","",AH167+'Beállítások'!$E$38/1000)</f>
        <v/>
      </c>
      <c r="CR167">
        <f>IF($A167="","",'Beállítások'!$E$6*(10-B167))</f>
        <v/>
      </c>
      <c r="CS167">
        <f>IF($A167="","",'Beállítások'!$E$7*(10-C167))</f>
        <v/>
      </c>
      <c r="CT167">
        <f>IF($A167="","",'Beállítások'!$E$8*(10-D167))</f>
        <v/>
      </c>
      <c r="CU167">
        <f>IF($A167="","",'Beállítások'!$E$9*(10-E167))</f>
        <v/>
      </c>
      <c r="CV167">
        <f>IF($A167="","",'Beállítások'!$E$10*(10-F167))</f>
        <v/>
      </c>
      <c r="CW167">
        <f>IF($A167="","",'Beállítások'!$E$11*(10-G167))</f>
        <v/>
      </c>
      <c r="CX167">
        <f>IF($A167="","",'Beállítások'!$E$12*(10-H167))</f>
        <v/>
      </c>
      <c r="CY167">
        <f>IF($A167="","",'Beállítások'!$E$13*(10-I167))</f>
        <v/>
      </c>
      <c r="CZ167">
        <f>IF($A167="","",'Beállítások'!$E$14*(10-J167))</f>
        <v/>
      </c>
      <c r="DA167">
        <f>IF($A167="","",'Beállítások'!$E$15*(10-K167))</f>
        <v/>
      </c>
      <c r="DB167">
        <f>IF($A167="","",'Beállítások'!$E$16*(10-L167))</f>
        <v/>
      </c>
      <c r="DC167">
        <f>IF($A167="","",'Beállítások'!$E$17*(10-M167))</f>
        <v/>
      </c>
      <c r="DD167">
        <f>IF($A167="","",'Beállítások'!$E$18*(10-N167))</f>
        <v/>
      </c>
      <c r="DE167">
        <f>IF($A167="","",'Beállítások'!$E$19*(10-O167))</f>
        <v/>
      </c>
      <c r="DF167">
        <f>IF($A167="","",'Beállítások'!$E$20*(10-P167))</f>
        <v/>
      </c>
      <c r="DG167">
        <f>IF($A167="","",'Beállítások'!$E$21*(10-Q167))</f>
        <v/>
      </c>
      <c r="DH167">
        <f>IF($A167="","",'Beállítások'!$E$22*(10-R167))</f>
        <v/>
      </c>
      <c r="DI167">
        <f>IF($A167="","",'Beállítások'!$E$23*(10-S167))</f>
        <v/>
      </c>
      <c r="DJ167">
        <f>IF($A167="","",'Beállítások'!$E$24*(10-T167))</f>
        <v/>
      </c>
      <c r="DK167">
        <f>IF($A167="","",'Beállítások'!$E$25*(10-U167))</f>
        <v/>
      </c>
      <c r="DL167">
        <f>IF($A167="","",'Beállítások'!$E$26*(10-V167))</f>
        <v/>
      </c>
      <c r="DM167">
        <f>IF($A167="","",'Beállítások'!$E$27*(10-W167))</f>
        <v/>
      </c>
      <c r="DN167">
        <f>IF($A167="","",'Beállítások'!$E$28*(10-X167))</f>
        <v/>
      </c>
      <c r="DO167">
        <f>IF($A167="","",'Beállítások'!$E$29*(10-Y167))</f>
        <v/>
      </c>
      <c r="DP167">
        <f>IF($A167="","",'Beállítások'!$E$30*(10-Z167))</f>
        <v/>
      </c>
      <c r="DQ167">
        <f>IF($A167="","",'Beállítások'!$E$31*(10-AA167))</f>
        <v/>
      </c>
      <c r="DR167">
        <f>IF($A167="","",'Beállítások'!$E$32*(10-AB167))</f>
        <v/>
      </c>
      <c r="DS167">
        <f>IF($A167="","",'Beállítások'!$E$33*(10-AC167))</f>
        <v/>
      </c>
      <c r="DT167">
        <f>IF($A167="","",'Beállítások'!$E$34*(10-AD167))</f>
        <v/>
      </c>
      <c r="DU167">
        <f>IF($A167="","",'Beállítások'!$E$35*(10-AE167))</f>
        <v/>
      </c>
      <c r="DV167">
        <f>IF($A167="","",'Beállítások'!$E$36*(10-AF167))</f>
        <v/>
      </c>
      <c r="DW167">
        <f>IF($A167="","",'Beállítások'!$E$37*(10-AG167))</f>
        <v/>
      </c>
      <c r="DX167">
        <f>IF($A167="","",'Beállítások'!$E$38*(10-AH167))</f>
        <v/>
      </c>
      <c r="DY167">
        <f>IF($A167="","",AM167-ROW()/100000)</f>
        <v/>
      </c>
    </row>
    <row r="168">
      <c r="A168">
        <f>IF('Ügyfelek'!A168="","",'Ügyfelek'!A168)</f>
        <v/>
      </c>
      <c r="B168">
        <f>IF($A168="","",IF('Ügyfelek'!B168="",'Beállítások'!$B$84,IFERROR(VLOOKUP(TRIM('Ügyfelek'!B168),'Beállítások'!$A$51:$B$59,2,FALSE),'Beállítások'!$B$84)))</f>
        <v/>
      </c>
      <c r="C168">
        <f>IF($A168="","",IF('Ügyfelek'!C168="",'Beállítások'!$B$84,MIN(10,MAX(1,ROUND('Ügyfelek'!C168,0)))))</f>
        <v/>
      </c>
      <c r="D168">
        <f>IF($A168="","",IF('Ügyfelek'!D168="",'Beállítások'!$B$84,MIN(10,MAX(1,ROUND('Ügyfelek'!D168,0)))))</f>
        <v/>
      </c>
      <c r="E168">
        <f>IF($A168="","",IF('Ügyfelek'!E168="",'Beállítások'!$B$84,MIN(10,MAX(1,ROUND('Ügyfelek'!E168,0)))))</f>
        <v/>
      </c>
      <c r="F168">
        <f>IF($A168="","",IF('Ügyfelek'!F168="",'Beállítások'!$B$84,MIN(10,MAX(1,ROUND('Ügyfelek'!F168,0)))))</f>
        <v/>
      </c>
      <c r="G168">
        <f>IF($A168="","",IF('Ügyfelek'!G168="",'Beállítások'!$B$84,MIN(10,MAX(1,ROUND('Ügyfelek'!G168,0)))))</f>
        <v/>
      </c>
      <c r="H168">
        <f>IF($A168="","",IF('Ügyfelek'!H168="",'Beállítások'!$B$84,MIN(10,MAX(1,ROUND('Ügyfelek'!H168,0)))))</f>
        <v/>
      </c>
      <c r="I168">
        <f>IF($A168="","",IF('Ügyfelek'!I168="",'Beállítások'!$B$84,MIN(10,MAX(1,ROUND('Ügyfelek'!I168,0)))))</f>
        <v/>
      </c>
      <c r="J168">
        <f>IF($A168="","",IF('Ügyfelek'!J168="",'Beállítások'!$B$84,MIN(10,MAX(1,ROUND('Ügyfelek'!J168,0)))))</f>
        <v/>
      </c>
      <c r="K168">
        <f>IF($A168="","",IF('Ügyfelek'!K168="",'Beállítások'!$B$84,MIN(10,MAX(1,ROUND('Ügyfelek'!K168,0)))))</f>
        <v/>
      </c>
      <c r="L168">
        <f>IF($A168="","",IF('Ügyfelek'!L168="",'Beállítások'!$B$84,MIN(10,MAX(1,ROUND('Ügyfelek'!L168,0)))))</f>
        <v/>
      </c>
      <c r="M168">
        <f>IF($A168="","",IF('Ügyfelek'!M168="",'Beállítások'!$B$84,MIN(10,MAX(1,ROUND('Ügyfelek'!M168,0)))))</f>
        <v/>
      </c>
      <c r="N168">
        <f>IF($A168="","",IF('Ügyfelek'!N168="",'Beállítások'!$B$84,MIN(10,MAX(1,ROUND('Ügyfelek'!N168,0)))))</f>
        <v/>
      </c>
      <c r="O168">
        <f>IF($A168="","",IF('Ügyfelek'!O168="",'Beállítások'!$B$84,MIN(10,MAX(1,ROUND('Ügyfelek'!O168,0)))))</f>
        <v/>
      </c>
      <c r="P168">
        <f>IF($A168="","",IF('Ügyfelek'!P168="",'Beállítások'!$B$84,MIN(10,MAX(1,ROUND('Ügyfelek'!P168,0)))))</f>
        <v/>
      </c>
      <c r="Q168">
        <f>IF($A168="","",IF('Ügyfelek'!Q168="",'Beállítások'!$B$84,MIN(10,MAX(1,ROUND('Ügyfelek'!Q168,0)))))</f>
        <v/>
      </c>
      <c r="R168">
        <f>IF($A168="","",IF('Ügyfelek'!R168="",'Beállítások'!$B$84,MIN(10,MAX(1,ROUND('Ügyfelek'!R168,0)))))</f>
        <v/>
      </c>
      <c r="S168">
        <f>IF($A168="","",IF('Ügyfelek'!S168="",'Beállítások'!$B$84,MIN(10,MAX(1,ROUND('Ügyfelek'!S168,0)))))</f>
        <v/>
      </c>
      <c r="T168">
        <f>IF($A168="","",IF('Ügyfelek'!T168="",'Beállítások'!$B$84,VLOOKUP(MAX('Ügyfelek'!T168,'Beállítások'!$H$7),'Beállítások'!$H$7:$I$12,2,TRUE)))</f>
        <v/>
      </c>
      <c r="U168">
        <f>IF($A168="","",IF('Ügyfelek'!U168="",'Beállítások'!$B$84,VLOOKUP(MAX('Ügyfelek'!U168,'Beállítások'!$K$7),'Beállítások'!$K$7:$L$12,2,TRUE)))</f>
        <v/>
      </c>
      <c r="V168">
        <f>IF($A168="","",IF('Ügyfelek'!V168="",'Beállítások'!$B$84,MIN(10,MAX(1,ROUND('Ügyfelek'!V168,0)))))</f>
        <v/>
      </c>
      <c r="W168">
        <f>IF($A168="","",IF('Ügyfelek'!W168="",'Beállítások'!$B$84,VLOOKUP(MAX('Ügyfelek'!W168,'Beállítások'!$N$7),'Beállítások'!$N$7:$O$12,2,TRUE)))</f>
        <v/>
      </c>
      <c r="X168">
        <f>IF($A168="","",IF('Ügyfelek'!X168="",'Beállítások'!$B$84,MIN(10,MAX(1,ROUND('Ügyfelek'!X168,0)))))</f>
        <v/>
      </c>
      <c r="Y168">
        <f>IF($A168="","",IF('Ügyfelek'!Y168="",'Beállítások'!$B$84,IFERROR(VLOOKUP(TRIM('Ügyfelek'!Y168),'Beállítások'!$A$63:$B$69,2,FALSE),'Beállítások'!$B$84)))</f>
        <v/>
      </c>
      <c r="Z168">
        <f>IF($A168="","",IF('Ügyfelek'!Z168="",'Beállítások'!$B$84,VLOOKUP(MAX('Ügyfelek'!Z168,'Beállítások'!$Q$7),'Beállítások'!$Q$7:$R$12,2,TRUE)))</f>
        <v/>
      </c>
      <c r="AA168">
        <f>IF($A168="","",IF('Ügyfelek'!AA168="",'Beállítások'!$B$84,VLOOKUP(MAX('Ügyfelek'!AA168,'Beállítások'!$T$7),'Beállítások'!$T$7:$U$12,2,TRUE)))</f>
        <v/>
      </c>
      <c r="AB168">
        <f>IF($A168="","",IF('Ügyfelek'!AB168="",'Beállítások'!$B$84,MIN(10,MAX(1,ROUND('Ügyfelek'!AB168,0)))))</f>
        <v/>
      </c>
      <c r="AC168">
        <f>IF($A168="","",IF('Ügyfelek'!AC168="",'Beállítások'!$B$84,MIN(10,MAX(1,ROUND('Ügyfelek'!AC168,0)))))</f>
        <v/>
      </c>
      <c r="AD168">
        <f>IF($A168="","",IF('Ügyfelek'!AD168="",'Beállítások'!$B$84,MIN(10,MAX(1,ROUND('Ügyfelek'!AD168,0)))))</f>
        <v/>
      </c>
      <c r="AE168">
        <f>IF($A168="","",IF('Ügyfelek'!AE168="",'Beállítások'!$B$84,MIN(10,MAX(1,ROUND('Ügyfelek'!AE168,0)))))</f>
        <v/>
      </c>
      <c r="AF168">
        <f>IF($A168="","",IF('Ügyfelek'!AF168="",'Beállítások'!$B$84,MIN(10,MAX(1,ROUND('Ügyfelek'!AF168,0)))))</f>
        <v/>
      </c>
      <c r="AG168">
        <f>IF($A168="","",IF('Ügyfelek'!AG168="",'Beállítások'!$B$84,MIN(10,MAX(1,ROUND('Ügyfelek'!AG168,0)))))</f>
        <v/>
      </c>
      <c r="AH168">
        <f>IF($A168="","",IF('Ügyfelek'!AH168="",'Beállítások'!$B$84,IFERROR(VLOOKUP(TRIM('Ügyfelek'!AH168),'Beállítások'!$A$73:$B$79,2,FALSE),'Beállítások'!$B$84)))</f>
        <v/>
      </c>
      <c r="AI168" s="23">
        <f>IF($A168="","",ROUND(100*('Beállítások'!$E$6*(B168-1)+'Beállítások'!$E$7*(C168-1))/(9*'Beállítások'!$B$43),1))</f>
        <v/>
      </c>
      <c r="AJ168" s="23">
        <f>IF($A168="","",ROUND(100*('Beállítások'!$E$8*(D168-1)+'Beállítások'!$E$9*(E168-1)+'Beállítások'!$E$10*(F168-1)+'Beállítások'!$E$11*(G168-1)+'Beállítások'!$E$12*(H168-1)+'Beállítások'!$E$13*(I168-1)+'Beállítások'!$E$14*(J168-1)+'Beállítások'!$E$15*(K168-1)+'Beállítások'!$E$16*(L168-1)+'Beállítások'!$E$17*(M168-1)+'Beállítások'!$E$18*(N168-1)+'Beállítások'!$E$19*(O168-1)+'Beállítások'!$E$20*(P168-1)+'Beállítások'!$E$21*(Q168-1)+'Beállítások'!$E$22*(R168-1))/(9*'Beállítások'!$B$44),1))</f>
        <v/>
      </c>
      <c r="AK168" s="23">
        <f>IF($A168="","",ROUND(100*('Beállítások'!$E$23*(S168-1)+'Beállítások'!$E$24*(T168-1)+'Beállítások'!$E$25*(U168-1)+'Beállítások'!$E$26*(V168-1)+'Beállítások'!$E$27*(W168-1)+'Beállítások'!$E$28*(X168-1)+'Beállítások'!$E$29*(Y168-1))/(9*'Beállítások'!$B$45),1))</f>
        <v/>
      </c>
      <c r="AL168" s="23">
        <f>IF($A168="","",ROUND(100*('Beállítások'!$E$30*(Z168-1)+'Beállítások'!$E$31*(AA168-1)+'Beállítások'!$E$32*(AB168-1)+'Beállítások'!$E$33*(AC168-1)+'Beállítások'!$E$34*(AD168-1)+'Beállítások'!$E$35*(AE168-1)+'Beállítások'!$E$36*(AF168-1)+'Beállítások'!$E$37*(AG168-1)+'Beállítások'!$E$38*(AH168-1))/(9*'Beállítások'!$B$46),1))</f>
        <v/>
      </c>
      <c r="AM168" s="23">
        <f>IF($A168="","",ROUND(100*('Beállítások'!$E$6*(B168-1)+'Beállítások'!$E$7*(C168-1)+'Beállítások'!$E$8*(D168-1)+'Beállítások'!$E$9*(E168-1)+'Beállítások'!$E$10*(F168-1)+'Beállítások'!$E$11*(G168-1)+'Beállítások'!$E$12*(H168-1)+'Beállítások'!$E$13*(I168-1)+'Beállítások'!$E$14*(J168-1)+'Beállítások'!$E$15*(K168-1)+'Beállítások'!$E$16*(L168-1)+'Beállítások'!$E$17*(M168-1)+'Beállítások'!$E$18*(N168-1)+'Beállítások'!$E$19*(O168-1)+'Beállítások'!$E$20*(P168-1)+'Beállítások'!$E$21*(Q168-1)+'Beállítások'!$E$22*(R168-1)+'Beállítások'!$E$23*(S168-1)+'Beállítások'!$E$24*(T168-1)+'Beállítások'!$E$25*(U168-1)+'Beállítások'!$E$26*(V168-1)+'Beállítások'!$E$27*(W168-1)+'Beállítások'!$E$28*(X168-1)+'Beállítások'!$E$29*(Y168-1)+'Beállítások'!$E$30*(Z168-1)+'Beállítások'!$E$31*(AA168-1)+'Beállítások'!$E$32*(AB168-1)+'Beállítások'!$E$33*(AC168-1)+'Beállítások'!$E$34*(AD168-1)+'Beállítások'!$E$35*(AE168-1)+'Beállítások'!$E$36*(AF168-1)+'Beállítások'!$E$37*(AG168-1)+'Beállítások'!$E$38*(AH168-1))/(9*'Beállítások'!$E$39),1))</f>
        <v/>
      </c>
      <c r="AN168" s="23">
        <f>IF($A168="","",ROUND(100*('Beállítások'!$E$8*(D168-1)+'Beállítások'!$E$9*(E168-1)+'Beállítások'!$E$10*(F168-1)+'Beállítások'!$E$11*(G168-1)+'Beállítások'!$E$12*(H168-1)+'Beállítások'!$E$13*(I168-1)+'Beállítások'!$E$14*(J168-1)+'Beállítások'!$E$15*(K168-1)+'Beállítások'!$E$16*(L168-1)+'Beállítások'!$E$17*(M168-1)+'Beállítások'!$E$18*(N168-1)+'Beállítások'!$E$19*(O168-1)+'Beállítások'!$E$20*(P168-1)+'Beállítások'!$E$21*(Q168-1)+'Beállítások'!$E$22*(R168-1)+'Beállítások'!$E$23*(S168-1)+'Beállítások'!$E$24*(T168-1)+'Beállítások'!$E$25*(U168-1)+'Beállítások'!$E$26*(V168-1)+'Beállítások'!$E$27*(W168-1)+'Beállítások'!$E$28*(X168-1)+'Beállítások'!$E$29*(Y168-1))/(9*('Beállítások'!$B$44+'Beállítások'!$B$45)),1))</f>
        <v/>
      </c>
      <c r="AO168" s="24">
        <f>IF($A168="","",RANK(AM168,$AM$2:$AM$201))</f>
        <v/>
      </c>
      <c r="AP168">
        <f>IF($A168="","",IF(OR(AND('Ügyfelek'!B168&lt;&gt;"",B168&lt;='Beállítások'!$B$85),AND('Ügyfelek'!C168&lt;&gt;"",C168&lt;='Beállítások'!$B$86)),"Igen","Nem"))</f>
        <v/>
      </c>
      <c r="AQ168" s="24">
        <f>IF($A168="","",IF(AP168="Igen",5,IF(AN168&gt;='Beállítások'!$C$108,1,IF(AN168&gt;='Beállítások'!$C$109,2,IF(AN168&gt;='Beállítások'!$C$110,3,IF(AND(AN168&gt;='Beállítások'!$B$87,AI168&gt;='Beállítások'!$B$88,AL168&gt;='Beállítások'!$B$89),4,5))))))</f>
        <v/>
      </c>
      <c r="AR168">
        <f>IF($A168="","",INDEX('Beállítások'!$B$108:$B$112,AQ168))</f>
        <v/>
      </c>
      <c r="AS168">
        <f>IF($A168="","",IF(AQ168=5,"Elutasítjuk",IF(AND(AQ168=4,COUNTIFS('Eredmény'!$AQ$2:$AQ$201,4,'Eredmény'!$DY$2:$DY$201,"&gt;"&amp;DY168)&gt;='Beállítások'!$B$90),"Várólista (a 4-es hely foglalt)","Elfogadjuk")))</f>
        <v/>
      </c>
      <c r="AT168">
        <f>IF($A168="","",INDEX('Beállítások'!$F$108:$F$112,AQ168))</f>
        <v/>
      </c>
      <c r="AU168">
        <f>IF($A168="","",INDEX('Beállítások'!$B$6:$B$38,MATCH(MAX(BK168:CQ168),BK168:CQ168,0)))</f>
        <v/>
      </c>
      <c r="AV168">
        <f>IF($A168="","",IF(MAX(CR168:DX168)=0,"—",INDEX('Beállítások'!$B$6:$B$38,MATCH(MAX(CR168:DX168),CR168:DX168,0))))</f>
        <v/>
      </c>
      <c r="AW168" s="10">
        <f>IF($A168="","",'Beállítások'!$B$94*(TRIM('Ügyfelek'!AI168)="igen")+'Beállítások'!$B$95*(TRIM('Ügyfelek'!AJ168)="igen")+'Beállítások'!$B$96*N('Ügyfelek'!AK168)+'Beállítások'!$B$93*N('Ügyfelek'!AL168))</f>
        <v/>
      </c>
      <c r="AX168" s="25">
        <f>IF(OR($A168="",AQ168=5),"",INDEX('Beállítások'!$D$108:$D$112,AQ168))</f>
        <v/>
      </c>
      <c r="AY168" s="10">
        <f>IF($A168="","",N('Ügyfelek'!U168)*'Beállítások'!$B$98)</f>
        <v/>
      </c>
      <c r="AZ168" s="10">
        <f>IF(OR($A168="",AQ168=5),"",CEILING(ROUND(MAX('Beállítások'!$B$97,AW168*AX168,AY168),2),'Beállítások'!$B$99))</f>
        <v/>
      </c>
      <c r="BA168">
        <f>IF($A168="","",IF(AQ168=5,"Elutasítva",IF(MAX('Beállítások'!$B$97,AW168*AX168,AY168)=AW168*AX168,"Munkaigény × státuszszorzó",IF(MAX('Beállítások'!$B$97,AW168*AX168,AY168)=AY168,"Hirdetési keret arányában","Minimumdíj"))))</f>
        <v/>
      </c>
      <c r="BB168" s="10">
        <f>IF(OR($A168="",'Ügyfelek'!AM168=""),"",'Ügyfelek'!AM168)</f>
        <v/>
      </c>
      <c r="BC168" s="10">
        <f>IF(OR(BB168="",AZ168=""),"",AZ168-BB168)</f>
        <v/>
      </c>
      <c r="BD168" s="18">
        <f>IF(OR(BB168="",AZ168="",BB168=0),"",BC168/BB168)</f>
        <v/>
      </c>
      <c r="BE168">
        <f>IF(OR($A168="",AQ168=5),"",IF(AND(INDEX('Beállítások'!$E$108:$E$112,AQ168)&gt;0,Y168&gt;='Beállítások'!$B$91),"Igen","Nem"))</f>
        <v/>
      </c>
      <c r="BF168" s="10">
        <f>IF(BE168="Igen",CEILING(ROUND(AZ168*(1-'Beállítások'!$B$92),2),'Beállítások'!$B$99),"")</f>
        <v/>
      </c>
      <c r="BG168" s="20">
        <f>IF(BE168="Igen",INDEX('Beállítások'!$E$108:$E$112,AQ168),"")</f>
        <v/>
      </c>
      <c r="BH168" s="10">
        <f>IF(OR(BE168&lt;&gt;"Igen",'Ügyfelek'!AN168=""),"",'Ügyfelek'!AN168*BG168)</f>
        <v/>
      </c>
      <c r="BI168" s="24">
        <f>IF($A168="","",('Ügyfelek'!B168="")+('Ügyfelek'!C168="")+('Ügyfelek'!D168="")+('Ügyfelek'!E168="")+('Ügyfelek'!F168="")+('Ügyfelek'!G168="")+('Ügyfelek'!H168="")+('Ügyfelek'!I168="")+('Ügyfelek'!J168="")+('Ügyfelek'!K168="")+('Ügyfelek'!L168="")+('Ügyfelek'!M168="")+('Ügyfelek'!N168="")+('Ügyfelek'!O168="")+('Ügyfelek'!P168="")+('Ügyfelek'!Q168="")+('Ügyfelek'!R168="")+('Ügyfelek'!S168="")+('Ügyfelek'!T168="")+('Ügyfelek'!U168="")+('Ügyfelek'!V168="")+('Ügyfelek'!W168="")+('Ügyfelek'!X168="")+('Ügyfelek'!Y168="")+('Ügyfelek'!Z168="")+('Ügyfelek'!AA168="")+('Ügyfelek'!AB168="")+('Ügyfelek'!AC168="")+('Ügyfelek'!AD168="")+('Ügyfelek'!AE168="")+('Ügyfelek'!AF168="")+('Ügyfelek'!AG168="")+('Ügyfelek'!AH168=""))</f>
        <v/>
      </c>
      <c r="BK168">
        <f>IF($A168="","",B168+'Beállítások'!$E$6/1000)</f>
        <v/>
      </c>
      <c r="BL168">
        <f>IF($A168="","",C168+'Beállítások'!$E$7/1000)</f>
        <v/>
      </c>
      <c r="BM168">
        <f>IF($A168="","",D168+'Beállítások'!$E$8/1000)</f>
        <v/>
      </c>
      <c r="BN168">
        <f>IF($A168="","",E168+'Beállítások'!$E$9/1000)</f>
        <v/>
      </c>
      <c r="BO168">
        <f>IF($A168="","",F168+'Beállítások'!$E$10/1000)</f>
        <v/>
      </c>
      <c r="BP168">
        <f>IF($A168="","",G168+'Beállítások'!$E$11/1000)</f>
        <v/>
      </c>
      <c r="BQ168">
        <f>IF($A168="","",H168+'Beállítások'!$E$12/1000)</f>
        <v/>
      </c>
      <c r="BR168">
        <f>IF($A168="","",I168+'Beállítások'!$E$13/1000)</f>
        <v/>
      </c>
      <c r="BS168">
        <f>IF($A168="","",J168+'Beállítások'!$E$14/1000)</f>
        <v/>
      </c>
      <c r="BT168">
        <f>IF($A168="","",K168+'Beállítások'!$E$15/1000)</f>
        <v/>
      </c>
      <c r="BU168">
        <f>IF($A168="","",L168+'Beállítások'!$E$16/1000)</f>
        <v/>
      </c>
      <c r="BV168">
        <f>IF($A168="","",M168+'Beállítások'!$E$17/1000)</f>
        <v/>
      </c>
      <c r="BW168">
        <f>IF($A168="","",N168+'Beállítások'!$E$18/1000)</f>
        <v/>
      </c>
      <c r="BX168">
        <f>IF($A168="","",O168+'Beállítások'!$E$19/1000)</f>
        <v/>
      </c>
      <c r="BY168">
        <f>IF($A168="","",P168+'Beállítások'!$E$20/1000)</f>
        <v/>
      </c>
      <c r="BZ168">
        <f>IF($A168="","",Q168+'Beállítások'!$E$21/1000)</f>
        <v/>
      </c>
      <c r="CA168">
        <f>IF($A168="","",R168+'Beállítások'!$E$22/1000)</f>
        <v/>
      </c>
      <c r="CB168">
        <f>IF($A168="","",S168+'Beállítások'!$E$23/1000)</f>
        <v/>
      </c>
      <c r="CC168">
        <f>IF($A168="","",T168+'Beállítások'!$E$24/1000)</f>
        <v/>
      </c>
      <c r="CD168">
        <f>IF($A168="","",U168+'Beállítások'!$E$25/1000)</f>
        <v/>
      </c>
      <c r="CE168">
        <f>IF($A168="","",V168+'Beállítások'!$E$26/1000)</f>
        <v/>
      </c>
      <c r="CF168">
        <f>IF($A168="","",W168+'Beállítások'!$E$27/1000)</f>
        <v/>
      </c>
      <c r="CG168">
        <f>IF($A168="","",X168+'Beállítások'!$E$28/1000)</f>
        <v/>
      </c>
      <c r="CH168">
        <f>IF($A168="","",Y168+'Beállítások'!$E$29/1000)</f>
        <v/>
      </c>
      <c r="CI168">
        <f>IF($A168="","",Z168+'Beállítások'!$E$30/1000)</f>
        <v/>
      </c>
      <c r="CJ168">
        <f>IF($A168="","",AA168+'Beállítások'!$E$31/1000)</f>
        <v/>
      </c>
      <c r="CK168">
        <f>IF($A168="","",AB168+'Beállítások'!$E$32/1000)</f>
        <v/>
      </c>
      <c r="CL168">
        <f>IF($A168="","",AC168+'Beállítások'!$E$33/1000)</f>
        <v/>
      </c>
      <c r="CM168">
        <f>IF($A168="","",AD168+'Beállítások'!$E$34/1000)</f>
        <v/>
      </c>
      <c r="CN168">
        <f>IF($A168="","",AE168+'Beállítások'!$E$35/1000)</f>
        <v/>
      </c>
      <c r="CO168">
        <f>IF($A168="","",AF168+'Beállítások'!$E$36/1000)</f>
        <v/>
      </c>
      <c r="CP168">
        <f>IF($A168="","",AG168+'Beállítások'!$E$37/1000)</f>
        <v/>
      </c>
      <c r="CQ168">
        <f>IF($A168="","",AH168+'Beállítások'!$E$38/1000)</f>
        <v/>
      </c>
      <c r="CR168">
        <f>IF($A168="","",'Beállítások'!$E$6*(10-B168))</f>
        <v/>
      </c>
      <c r="CS168">
        <f>IF($A168="","",'Beállítások'!$E$7*(10-C168))</f>
        <v/>
      </c>
      <c r="CT168">
        <f>IF($A168="","",'Beállítások'!$E$8*(10-D168))</f>
        <v/>
      </c>
      <c r="CU168">
        <f>IF($A168="","",'Beállítások'!$E$9*(10-E168))</f>
        <v/>
      </c>
      <c r="CV168">
        <f>IF($A168="","",'Beállítások'!$E$10*(10-F168))</f>
        <v/>
      </c>
      <c r="CW168">
        <f>IF($A168="","",'Beállítások'!$E$11*(10-G168))</f>
        <v/>
      </c>
      <c r="CX168">
        <f>IF($A168="","",'Beállítások'!$E$12*(10-H168))</f>
        <v/>
      </c>
      <c r="CY168">
        <f>IF($A168="","",'Beállítások'!$E$13*(10-I168))</f>
        <v/>
      </c>
      <c r="CZ168">
        <f>IF($A168="","",'Beállítások'!$E$14*(10-J168))</f>
        <v/>
      </c>
      <c r="DA168">
        <f>IF($A168="","",'Beállítások'!$E$15*(10-K168))</f>
        <v/>
      </c>
      <c r="DB168">
        <f>IF($A168="","",'Beállítások'!$E$16*(10-L168))</f>
        <v/>
      </c>
      <c r="DC168">
        <f>IF($A168="","",'Beállítások'!$E$17*(10-M168))</f>
        <v/>
      </c>
      <c r="DD168">
        <f>IF($A168="","",'Beállítások'!$E$18*(10-N168))</f>
        <v/>
      </c>
      <c r="DE168">
        <f>IF($A168="","",'Beállítások'!$E$19*(10-O168))</f>
        <v/>
      </c>
      <c r="DF168">
        <f>IF($A168="","",'Beállítások'!$E$20*(10-P168))</f>
        <v/>
      </c>
      <c r="DG168">
        <f>IF($A168="","",'Beállítások'!$E$21*(10-Q168))</f>
        <v/>
      </c>
      <c r="DH168">
        <f>IF($A168="","",'Beállítások'!$E$22*(10-R168))</f>
        <v/>
      </c>
      <c r="DI168">
        <f>IF($A168="","",'Beállítások'!$E$23*(10-S168))</f>
        <v/>
      </c>
      <c r="DJ168">
        <f>IF($A168="","",'Beállítások'!$E$24*(10-T168))</f>
        <v/>
      </c>
      <c r="DK168">
        <f>IF($A168="","",'Beállítások'!$E$25*(10-U168))</f>
        <v/>
      </c>
      <c r="DL168">
        <f>IF($A168="","",'Beállítások'!$E$26*(10-V168))</f>
        <v/>
      </c>
      <c r="DM168">
        <f>IF($A168="","",'Beállítások'!$E$27*(10-W168))</f>
        <v/>
      </c>
      <c r="DN168">
        <f>IF($A168="","",'Beállítások'!$E$28*(10-X168))</f>
        <v/>
      </c>
      <c r="DO168">
        <f>IF($A168="","",'Beállítások'!$E$29*(10-Y168))</f>
        <v/>
      </c>
      <c r="DP168">
        <f>IF($A168="","",'Beállítások'!$E$30*(10-Z168))</f>
        <v/>
      </c>
      <c r="DQ168">
        <f>IF($A168="","",'Beállítások'!$E$31*(10-AA168))</f>
        <v/>
      </c>
      <c r="DR168">
        <f>IF($A168="","",'Beállítások'!$E$32*(10-AB168))</f>
        <v/>
      </c>
      <c r="DS168">
        <f>IF($A168="","",'Beállítások'!$E$33*(10-AC168))</f>
        <v/>
      </c>
      <c r="DT168">
        <f>IF($A168="","",'Beállítások'!$E$34*(10-AD168))</f>
        <v/>
      </c>
      <c r="DU168">
        <f>IF($A168="","",'Beállítások'!$E$35*(10-AE168))</f>
        <v/>
      </c>
      <c r="DV168">
        <f>IF($A168="","",'Beállítások'!$E$36*(10-AF168))</f>
        <v/>
      </c>
      <c r="DW168">
        <f>IF($A168="","",'Beállítások'!$E$37*(10-AG168))</f>
        <v/>
      </c>
      <c r="DX168">
        <f>IF($A168="","",'Beállítások'!$E$38*(10-AH168))</f>
        <v/>
      </c>
      <c r="DY168">
        <f>IF($A168="","",AM168-ROW()/100000)</f>
        <v/>
      </c>
    </row>
    <row r="169">
      <c r="A169">
        <f>IF('Ügyfelek'!A169="","",'Ügyfelek'!A169)</f>
        <v/>
      </c>
      <c r="B169">
        <f>IF($A169="","",IF('Ügyfelek'!B169="",'Beállítások'!$B$84,IFERROR(VLOOKUP(TRIM('Ügyfelek'!B169),'Beállítások'!$A$51:$B$59,2,FALSE),'Beállítások'!$B$84)))</f>
        <v/>
      </c>
      <c r="C169">
        <f>IF($A169="","",IF('Ügyfelek'!C169="",'Beállítások'!$B$84,MIN(10,MAX(1,ROUND('Ügyfelek'!C169,0)))))</f>
        <v/>
      </c>
      <c r="D169">
        <f>IF($A169="","",IF('Ügyfelek'!D169="",'Beállítások'!$B$84,MIN(10,MAX(1,ROUND('Ügyfelek'!D169,0)))))</f>
        <v/>
      </c>
      <c r="E169">
        <f>IF($A169="","",IF('Ügyfelek'!E169="",'Beállítások'!$B$84,MIN(10,MAX(1,ROUND('Ügyfelek'!E169,0)))))</f>
        <v/>
      </c>
      <c r="F169">
        <f>IF($A169="","",IF('Ügyfelek'!F169="",'Beállítások'!$B$84,MIN(10,MAX(1,ROUND('Ügyfelek'!F169,0)))))</f>
        <v/>
      </c>
      <c r="G169">
        <f>IF($A169="","",IF('Ügyfelek'!G169="",'Beállítások'!$B$84,MIN(10,MAX(1,ROUND('Ügyfelek'!G169,0)))))</f>
        <v/>
      </c>
      <c r="H169">
        <f>IF($A169="","",IF('Ügyfelek'!H169="",'Beállítások'!$B$84,MIN(10,MAX(1,ROUND('Ügyfelek'!H169,0)))))</f>
        <v/>
      </c>
      <c r="I169">
        <f>IF($A169="","",IF('Ügyfelek'!I169="",'Beállítások'!$B$84,MIN(10,MAX(1,ROUND('Ügyfelek'!I169,0)))))</f>
        <v/>
      </c>
      <c r="J169">
        <f>IF($A169="","",IF('Ügyfelek'!J169="",'Beállítások'!$B$84,MIN(10,MAX(1,ROUND('Ügyfelek'!J169,0)))))</f>
        <v/>
      </c>
      <c r="K169">
        <f>IF($A169="","",IF('Ügyfelek'!K169="",'Beállítások'!$B$84,MIN(10,MAX(1,ROUND('Ügyfelek'!K169,0)))))</f>
        <v/>
      </c>
      <c r="L169">
        <f>IF($A169="","",IF('Ügyfelek'!L169="",'Beállítások'!$B$84,MIN(10,MAX(1,ROUND('Ügyfelek'!L169,0)))))</f>
        <v/>
      </c>
      <c r="M169">
        <f>IF($A169="","",IF('Ügyfelek'!M169="",'Beállítások'!$B$84,MIN(10,MAX(1,ROUND('Ügyfelek'!M169,0)))))</f>
        <v/>
      </c>
      <c r="N169">
        <f>IF($A169="","",IF('Ügyfelek'!N169="",'Beállítások'!$B$84,MIN(10,MAX(1,ROUND('Ügyfelek'!N169,0)))))</f>
        <v/>
      </c>
      <c r="O169">
        <f>IF($A169="","",IF('Ügyfelek'!O169="",'Beállítások'!$B$84,MIN(10,MAX(1,ROUND('Ügyfelek'!O169,0)))))</f>
        <v/>
      </c>
      <c r="P169">
        <f>IF($A169="","",IF('Ügyfelek'!P169="",'Beállítások'!$B$84,MIN(10,MAX(1,ROUND('Ügyfelek'!P169,0)))))</f>
        <v/>
      </c>
      <c r="Q169">
        <f>IF($A169="","",IF('Ügyfelek'!Q169="",'Beállítások'!$B$84,MIN(10,MAX(1,ROUND('Ügyfelek'!Q169,0)))))</f>
        <v/>
      </c>
      <c r="R169">
        <f>IF($A169="","",IF('Ügyfelek'!R169="",'Beállítások'!$B$84,MIN(10,MAX(1,ROUND('Ügyfelek'!R169,0)))))</f>
        <v/>
      </c>
      <c r="S169">
        <f>IF($A169="","",IF('Ügyfelek'!S169="",'Beállítások'!$B$84,MIN(10,MAX(1,ROUND('Ügyfelek'!S169,0)))))</f>
        <v/>
      </c>
      <c r="T169">
        <f>IF($A169="","",IF('Ügyfelek'!T169="",'Beállítások'!$B$84,VLOOKUP(MAX('Ügyfelek'!T169,'Beállítások'!$H$7),'Beállítások'!$H$7:$I$12,2,TRUE)))</f>
        <v/>
      </c>
      <c r="U169">
        <f>IF($A169="","",IF('Ügyfelek'!U169="",'Beállítások'!$B$84,VLOOKUP(MAX('Ügyfelek'!U169,'Beállítások'!$K$7),'Beállítások'!$K$7:$L$12,2,TRUE)))</f>
        <v/>
      </c>
      <c r="V169">
        <f>IF($A169="","",IF('Ügyfelek'!V169="",'Beállítások'!$B$84,MIN(10,MAX(1,ROUND('Ügyfelek'!V169,0)))))</f>
        <v/>
      </c>
      <c r="W169">
        <f>IF($A169="","",IF('Ügyfelek'!W169="",'Beállítások'!$B$84,VLOOKUP(MAX('Ügyfelek'!W169,'Beállítások'!$N$7),'Beállítások'!$N$7:$O$12,2,TRUE)))</f>
        <v/>
      </c>
      <c r="X169">
        <f>IF($A169="","",IF('Ügyfelek'!X169="",'Beállítások'!$B$84,MIN(10,MAX(1,ROUND('Ügyfelek'!X169,0)))))</f>
        <v/>
      </c>
      <c r="Y169">
        <f>IF($A169="","",IF('Ügyfelek'!Y169="",'Beállítások'!$B$84,IFERROR(VLOOKUP(TRIM('Ügyfelek'!Y169),'Beállítások'!$A$63:$B$69,2,FALSE),'Beállítások'!$B$84)))</f>
        <v/>
      </c>
      <c r="Z169">
        <f>IF($A169="","",IF('Ügyfelek'!Z169="",'Beállítások'!$B$84,VLOOKUP(MAX('Ügyfelek'!Z169,'Beállítások'!$Q$7),'Beállítások'!$Q$7:$R$12,2,TRUE)))</f>
        <v/>
      </c>
      <c r="AA169">
        <f>IF($A169="","",IF('Ügyfelek'!AA169="",'Beállítások'!$B$84,VLOOKUP(MAX('Ügyfelek'!AA169,'Beállítások'!$T$7),'Beállítások'!$T$7:$U$12,2,TRUE)))</f>
        <v/>
      </c>
      <c r="AB169">
        <f>IF($A169="","",IF('Ügyfelek'!AB169="",'Beállítások'!$B$84,MIN(10,MAX(1,ROUND('Ügyfelek'!AB169,0)))))</f>
        <v/>
      </c>
      <c r="AC169">
        <f>IF($A169="","",IF('Ügyfelek'!AC169="",'Beállítások'!$B$84,MIN(10,MAX(1,ROUND('Ügyfelek'!AC169,0)))))</f>
        <v/>
      </c>
      <c r="AD169">
        <f>IF($A169="","",IF('Ügyfelek'!AD169="",'Beállítások'!$B$84,MIN(10,MAX(1,ROUND('Ügyfelek'!AD169,0)))))</f>
        <v/>
      </c>
      <c r="AE169">
        <f>IF($A169="","",IF('Ügyfelek'!AE169="",'Beállítások'!$B$84,MIN(10,MAX(1,ROUND('Ügyfelek'!AE169,0)))))</f>
        <v/>
      </c>
      <c r="AF169">
        <f>IF($A169="","",IF('Ügyfelek'!AF169="",'Beállítások'!$B$84,MIN(10,MAX(1,ROUND('Ügyfelek'!AF169,0)))))</f>
        <v/>
      </c>
      <c r="AG169">
        <f>IF($A169="","",IF('Ügyfelek'!AG169="",'Beállítások'!$B$84,MIN(10,MAX(1,ROUND('Ügyfelek'!AG169,0)))))</f>
        <v/>
      </c>
      <c r="AH169">
        <f>IF($A169="","",IF('Ügyfelek'!AH169="",'Beállítások'!$B$84,IFERROR(VLOOKUP(TRIM('Ügyfelek'!AH169),'Beállítások'!$A$73:$B$79,2,FALSE),'Beállítások'!$B$84)))</f>
        <v/>
      </c>
      <c r="AI169" s="23">
        <f>IF($A169="","",ROUND(100*('Beállítások'!$E$6*(B169-1)+'Beállítások'!$E$7*(C169-1))/(9*'Beállítások'!$B$43),1))</f>
        <v/>
      </c>
      <c r="AJ169" s="23">
        <f>IF($A169="","",ROUND(100*('Beállítások'!$E$8*(D169-1)+'Beállítások'!$E$9*(E169-1)+'Beállítások'!$E$10*(F169-1)+'Beállítások'!$E$11*(G169-1)+'Beállítások'!$E$12*(H169-1)+'Beállítások'!$E$13*(I169-1)+'Beállítások'!$E$14*(J169-1)+'Beállítások'!$E$15*(K169-1)+'Beállítások'!$E$16*(L169-1)+'Beállítások'!$E$17*(M169-1)+'Beállítások'!$E$18*(N169-1)+'Beállítások'!$E$19*(O169-1)+'Beállítások'!$E$20*(P169-1)+'Beállítások'!$E$21*(Q169-1)+'Beállítások'!$E$22*(R169-1))/(9*'Beállítások'!$B$44),1))</f>
        <v/>
      </c>
      <c r="AK169" s="23">
        <f>IF($A169="","",ROUND(100*('Beállítások'!$E$23*(S169-1)+'Beállítások'!$E$24*(T169-1)+'Beállítások'!$E$25*(U169-1)+'Beállítások'!$E$26*(V169-1)+'Beállítások'!$E$27*(W169-1)+'Beállítások'!$E$28*(X169-1)+'Beállítások'!$E$29*(Y169-1))/(9*'Beállítások'!$B$45),1))</f>
        <v/>
      </c>
      <c r="AL169" s="23">
        <f>IF($A169="","",ROUND(100*('Beállítások'!$E$30*(Z169-1)+'Beállítások'!$E$31*(AA169-1)+'Beállítások'!$E$32*(AB169-1)+'Beállítások'!$E$33*(AC169-1)+'Beállítások'!$E$34*(AD169-1)+'Beállítások'!$E$35*(AE169-1)+'Beállítások'!$E$36*(AF169-1)+'Beállítások'!$E$37*(AG169-1)+'Beállítások'!$E$38*(AH169-1))/(9*'Beállítások'!$B$46),1))</f>
        <v/>
      </c>
      <c r="AM169" s="23">
        <f>IF($A169="","",ROUND(100*('Beállítások'!$E$6*(B169-1)+'Beállítások'!$E$7*(C169-1)+'Beállítások'!$E$8*(D169-1)+'Beállítások'!$E$9*(E169-1)+'Beállítások'!$E$10*(F169-1)+'Beállítások'!$E$11*(G169-1)+'Beállítások'!$E$12*(H169-1)+'Beállítások'!$E$13*(I169-1)+'Beállítások'!$E$14*(J169-1)+'Beállítások'!$E$15*(K169-1)+'Beállítások'!$E$16*(L169-1)+'Beállítások'!$E$17*(M169-1)+'Beállítások'!$E$18*(N169-1)+'Beállítások'!$E$19*(O169-1)+'Beállítások'!$E$20*(P169-1)+'Beállítások'!$E$21*(Q169-1)+'Beállítások'!$E$22*(R169-1)+'Beállítások'!$E$23*(S169-1)+'Beállítások'!$E$24*(T169-1)+'Beállítások'!$E$25*(U169-1)+'Beállítások'!$E$26*(V169-1)+'Beállítások'!$E$27*(W169-1)+'Beállítások'!$E$28*(X169-1)+'Beállítások'!$E$29*(Y169-1)+'Beállítások'!$E$30*(Z169-1)+'Beállítások'!$E$31*(AA169-1)+'Beállítások'!$E$32*(AB169-1)+'Beállítások'!$E$33*(AC169-1)+'Beállítások'!$E$34*(AD169-1)+'Beállítások'!$E$35*(AE169-1)+'Beállítások'!$E$36*(AF169-1)+'Beállítások'!$E$37*(AG169-1)+'Beállítások'!$E$38*(AH169-1))/(9*'Beállítások'!$E$39),1))</f>
        <v/>
      </c>
      <c r="AN169" s="23">
        <f>IF($A169="","",ROUND(100*('Beállítások'!$E$8*(D169-1)+'Beállítások'!$E$9*(E169-1)+'Beállítások'!$E$10*(F169-1)+'Beállítások'!$E$11*(G169-1)+'Beállítások'!$E$12*(H169-1)+'Beállítások'!$E$13*(I169-1)+'Beállítások'!$E$14*(J169-1)+'Beállítások'!$E$15*(K169-1)+'Beállítások'!$E$16*(L169-1)+'Beállítások'!$E$17*(M169-1)+'Beállítások'!$E$18*(N169-1)+'Beállítások'!$E$19*(O169-1)+'Beállítások'!$E$20*(P169-1)+'Beállítások'!$E$21*(Q169-1)+'Beállítások'!$E$22*(R169-1)+'Beállítások'!$E$23*(S169-1)+'Beállítások'!$E$24*(T169-1)+'Beállítások'!$E$25*(U169-1)+'Beállítások'!$E$26*(V169-1)+'Beállítások'!$E$27*(W169-1)+'Beállítások'!$E$28*(X169-1)+'Beállítások'!$E$29*(Y169-1))/(9*('Beállítások'!$B$44+'Beállítások'!$B$45)),1))</f>
        <v/>
      </c>
      <c r="AO169" s="24">
        <f>IF($A169="","",RANK(AM169,$AM$2:$AM$201))</f>
        <v/>
      </c>
      <c r="AP169">
        <f>IF($A169="","",IF(OR(AND('Ügyfelek'!B169&lt;&gt;"",B169&lt;='Beállítások'!$B$85),AND('Ügyfelek'!C169&lt;&gt;"",C169&lt;='Beállítások'!$B$86)),"Igen","Nem"))</f>
        <v/>
      </c>
      <c r="AQ169" s="24">
        <f>IF($A169="","",IF(AP169="Igen",5,IF(AN169&gt;='Beállítások'!$C$108,1,IF(AN169&gt;='Beállítások'!$C$109,2,IF(AN169&gt;='Beállítások'!$C$110,3,IF(AND(AN169&gt;='Beállítások'!$B$87,AI169&gt;='Beállítások'!$B$88,AL169&gt;='Beállítások'!$B$89),4,5))))))</f>
        <v/>
      </c>
      <c r="AR169">
        <f>IF($A169="","",INDEX('Beállítások'!$B$108:$B$112,AQ169))</f>
        <v/>
      </c>
      <c r="AS169">
        <f>IF($A169="","",IF(AQ169=5,"Elutasítjuk",IF(AND(AQ169=4,COUNTIFS('Eredmény'!$AQ$2:$AQ$201,4,'Eredmény'!$DY$2:$DY$201,"&gt;"&amp;DY169)&gt;='Beállítások'!$B$90),"Várólista (a 4-es hely foglalt)","Elfogadjuk")))</f>
        <v/>
      </c>
      <c r="AT169">
        <f>IF($A169="","",INDEX('Beállítások'!$F$108:$F$112,AQ169))</f>
        <v/>
      </c>
      <c r="AU169">
        <f>IF($A169="","",INDEX('Beállítások'!$B$6:$B$38,MATCH(MAX(BK169:CQ169),BK169:CQ169,0)))</f>
        <v/>
      </c>
      <c r="AV169">
        <f>IF($A169="","",IF(MAX(CR169:DX169)=0,"—",INDEX('Beállítások'!$B$6:$B$38,MATCH(MAX(CR169:DX169),CR169:DX169,0))))</f>
        <v/>
      </c>
      <c r="AW169" s="10">
        <f>IF($A169="","",'Beállítások'!$B$94*(TRIM('Ügyfelek'!AI169)="igen")+'Beállítások'!$B$95*(TRIM('Ügyfelek'!AJ169)="igen")+'Beállítások'!$B$96*N('Ügyfelek'!AK169)+'Beállítások'!$B$93*N('Ügyfelek'!AL169))</f>
        <v/>
      </c>
      <c r="AX169" s="25">
        <f>IF(OR($A169="",AQ169=5),"",INDEX('Beállítások'!$D$108:$D$112,AQ169))</f>
        <v/>
      </c>
      <c r="AY169" s="10">
        <f>IF($A169="","",N('Ügyfelek'!U169)*'Beállítások'!$B$98)</f>
        <v/>
      </c>
      <c r="AZ169" s="10">
        <f>IF(OR($A169="",AQ169=5),"",CEILING(ROUND(MAX('Beállítások'!$B$97,AW169*AX169,AY169),2),'Beállítások'!$B$99))</f>
        <v/>
      </c>
      <c r="BA169">
        <f>IF($A169="","",IF(AQ169=5,"Elutasítva",IF(MAX('Beállítások'!$B$97,AW169*AX169,AY169)=AW169*AX169,"Munkaigény × státuszszorzó",IF(MAX('Beállítások'!$B$97,AW169*AX169,AY169)=AY169,"Hirdetési keret arányában","Minimumdíj"))))</f>
        <v/>
      </c>
      <c r="BB169" s="10">
        <f>IF(OR($A169="",'Ügyfelek'!AM169=""),"",'Ügyfelek'!AM169)</f>
        <v/>
      </c>
      <c r="BC169" s="10">
        <f>IF(OR(BB169="",AZ169=""),"",AZ169-BB169)</f>
        <v/>
      </c>
      <c r="BD169" s="18">
        <f>IF(OR(BB169="",AZ169="",BB169=0),"",BC169/BB169)</f>
        <v/>
      </c>
      <c r="BE169">
        <f>IF(OR($A169="",AQ169=5),"",IF(AND(INDEX('Beállítások'!$E$108:$E$112,AQ169)&gt;0,Y169&gt;='Beállítások'!$B$91),"Igen","Nem"))</f>
        <v/>
      </c>
      <c r="BF169" s="10">
        <f>IF(BE169="Igen",CEILING(ROUND(AZ169*(1-'Beállítások'!$B$92),2),'Beállítások'!$B$99),"")</f>
        <v/>
      </c>
      <c r="BG169" s="20">
        <f>IF(BE169="Igen",INDEX('Beállítások'!$E$108:$E$112,AQ169),"")</f>
        <v/>
      </c>
      <c r="BH169" s="10">
        <f>IF(OR(BE169&lt;&gt;"Igen",'Ügyfelek'!AN169=""),"",'Ügyfelek'!AN169*BG169)</f>
        <v/>
      </c>
      <c r="BI169" s="24">
        <f>IF($A169="","",('Ügyfelek'!B169="")+('Ügyfelek'!C169="")+('Ügyfelek'!D169="")+('Ügyfelek'!E169="")+('Ügyfelek'!F169="")+('Ügyfelek'!G169="")+('Ügyfelek'!H169="")+('Ügyfelek'!I169="")+('Ügyfelek'!J169="")+('Ügyfelek'!K169="")+('Ügyfelek'!L169="")+('Ügyfelek'!M169="")+('Ügyfelek'!N169="")+('Ügyfelek'!O169="")+('Ügyfelek'!P169="")+('Ügyfelek'!Q169="")+('Ügyfelek'!R169="")+('Ügyfelek'!S169="")+('Ügyfelek'!T169="")+('Ügyfelek'!U169="")+('Ügyfelek'!V169="")+('Ügyfelek'!W169="")+('Ügyfelek'!X169="")+('Ügyfelek'!Y169="")+('Ügyfelek'!Z169="")+('Ügyfelek'!AA169="")+('Ügyfelek'!AB169="")+('Ügyfelek'!AC169="")+('Ügyfelek'!AD169="")+('Ügyfelek'!AE169="")+('Ügyfelek'!AF169="")+('Ügyfelek'!AG169="")+('Ügyfelek'!AH169=""))</f>
        <v/>
      </c>
      <c r="BK169">
        <f>IF($A169="","",B169+'Beállítások'!$E$6/1000)</f>
        <v/>
      </c>
      <c r="BL169">
        <f>IF($A169="","",C169+'Beállítások'!$E$7/1000)</f>
        <v/>
      </c>
      <c r="BM169">
        <f>IF($A169="","",D169+'Beállítások'!$E$8/1000)</f>
        <v/>
      </c>
      <c r="BN169">
        <f>IF($A169="","",E169+'Beállítások'!$E$9/1000)</f>
        <v/>
      </c>
      <c r="BO169">
        <f>IF($A169="","",F169+'Beállítások'!$E$10/1000)</f>
        <v/>
      </c>
      <c r="BP169">
        <f>IF($A169="","",G169+'Beállítások'!$E$11/1000)</f>
        <v/>
      </c>
      <c r="BQ169">
        <f>IF($A169="","",H169+'Beállítások'!$E$12/1000)</f>
        <v/>
      </c>
      <c r="BR169">
        <f>IF($A169="","",I169+'Beállítások'!$E$13/1000)</f>
        <v/>
      </c>
      <c r="BS169">
        <f>IF($A169="","",J169+'Beállítások'!$E$14/1000)</f>
        <v/>
      </c>
      <c r="BT169">
        <f>IF($A169="","",K169+'Beállítások'!$E$15/1000)</f>
        <v/>
      </c>
      <c r="BU169">
        <f>IF($A169="","",L169+'Beállítások'!$E$16/1000)</f>
        <v/>
      </c>
      <c r="BV169">
        <f>IF($A169="","",M169+'Beállítások'!$E$17/1000)</f>
        <v/>
      </c>
      <c r="BW169">
        <f>IF($A169="","",N169+'Beállítások'!$E$18/1000)</f>
        <v/>
      </c>
      <c r="BX169">
        <f>IF($A169="","",O169+'Beállítások'!$E$19/1000)</f>
        <v/>
      </c>
      <c r="BY169">
        <f>IF($A169="","",P169+'Beállítások'!$E$20/1000)</f>
        <v/>
      </c>
      <c r="BZ169">
        <f>IF($A169="","",Q169+'Beállítások'!$E$21/1000)</f>
        <v/>
      </c>
      <c r="CA169">
        <f>IF($A169="","",R169+'Beállítások'!$E$22/1000)</f>
        <v/>
      </c>
      <c r="CB169">
        <f>IF($A169="","",S169+'Beállítások'!$E$23/1000)</f>
        <v/>
      </c>
      <c r="CC169">
        <f>IF($A169="","",T169+'Beállítások'!$E$24/1000)</f>
        <v/>
      </c>
      <c r="CD169">
        <f>IF($A169="","",U169+'Beállítások'!$E$25/1000)</f>
        <v/>
      </c>
      <c r="CE169">
        <f>IF($A169="","",V169+'Beállítások'!$E$26/1000)</f>
        <v/>
      </c>
      <c r="CF169">
        <f>IF($A169="","",W169+'Beállítások'!$E$27/1000)</f>
        <v/>
      </c>
      <c r="CG169">
        <f>IF($A169="","",X169+'Beállítások'!$E$28/1000)</f>
        <v/>
      </c>
      <c r="CH169">
        <f>IF($A169="","",Y169+'Beállítások'!$E$29/1000)</f>
        <v/>
      </c>
      <c r="CI169">
        <f>IF($A169="","",Z169+'Beállítások'!$E$30/1000)</f>
        <v/>
      </c>
      <c r="CJ169">
        <f>IF($A169="","",AA169+'Beállítások'!$E$31/1000)</f>
        <v/>
      </c>
      <c r="CK169">
        <f>IF($A169="","",AB169+'Beállítások'!$E$32/1000)</f>
        <v/>
      </c>
      <c r="CL169">
        <f>IF($A169="","",AC169+'Beállítások'!$E$33/1000)</f>
        <v/>
      </c>
      <c r="CM169">
        <f>IF($A169="","",AD169+'Beállítások'!$E$34/1000)</f>
        <v/>
      </c>
      <c r="CN169">
        <f>IF($A169="","",AE169+'Beállítások'!$E$35/1000)</f>
        <v/>
      </c>
      <c r="CO169">
        <f>IF($A169="","",AF169+'Beállítások'!$E$36/1000)</f>
        <v/>
      </c>
      <c r="CP169">
        <f>IF($A169="","",AG169+'Beállítások'!$E$37/1000)</f>
        <v/>
      </c>
      <c r="CQ169">
        <f>IF($A169="","",AH169+'Beállítások'!$E$38/1000)</f>
        <v/>
      </c>
      <c r="CR169">
        <f>IF($A169="","",'Beállítások'!$E$6*(10-B169))</f>
        <v/>
      </c>
      <c r="CS169">
        <f>IF($A169="","",'Beállítások'!$E$7*(10-C169))</f>
        <v/>
      </c>
      <c r="CT169">
        <f>IF($A169="","",'Beállítások'!$E$8*(10-D169))</f>
        <v/>
      </c>
      <c r="CU169">
        <f>IF($A169="","",'Beállítások'!$E$9*(10-E169))</f>
        <v/>
      </c>
      <c r="CV169">
        <f>IF($A169="","",'Beállítások'!$E$10*(10-F169))</f>
        <v/>
      </c>
      <c r="CW169">
        <f>IF($A169="","",'Beállítások'!$E$11*(10-G169))</f>
        <v/>
      </c>
      <c r="CX169">
        <f>IF($A169="","",'Beállítások'!$E$12*(10-H169))</f>
        <v/>
      </c>
      <c r="CY169">
        <f>IF($A169="","",'Beállítások'!$E$13*(10-I169))</f>
        <v/>
      </c>
      <c r="CZ169">
        <f>IF($A169="","",'Beállítások'!$E$14*(10-J169))</f>
        <v/>
      </c>
      <c r="DA169">
        <f>IF($A169="","",'Beállítások'!$E$15*(10-K169))</f>
        <v/>
      </c>
      <c r="DB169">
        <f>IF($A169="","",'Beállítások'!$E$16*(10-L169))</f>
        <v/>
      </c>
      <c r="DC169">
        <f>IF($A169="","",'Beállítások'!$E$17*(10-M169))</f>
        <v/>
      </c>
      <c r="DD169">
        <f>IF($A169="","",'Beállítások'!$E$18*(10-N169))</f>
        <v/>
      </c>
      <c r="DE169">
        <f>IF($A169="","",'Beállítások'!$E$19*(10-O169))</f>
        <v/>
      </c>
      <c r="DF169">
        <f>IF($A169="","",'Beállítások'!$E$20*(10-P169))</f>
        <v/>
      </c>
      <c r="DG169">
        <f>IF($A169="","",'Beállítások'!$E$21*(10-Q169))</f>
        <v/>
      </c>
      <c r="DH169">
        <f>IF($A169="","",'Beállítások'!$E$22*(10-R169))</f>
        <v/>
      </c>
      <c r="DI169">
        <f>IF($A169="","",'Beállítások'!$E$23*(10-S169))</f>
        <v/>
      </c>
      <c r="DJ169">
        <f>IF($A169="","",'Beállítások'!$E$24*(10-T169))</f>
        <v/>
      </c>
      <c r="DK169">
        <f>IF($A169="","",'Beállítások'!$E$25*(10-U169))</f>
        <v/>
      </c>
      <c r="DL169">
        <f>IF($A169="","",'Beállítások'!$E$26*(10-V169))</f>
        <v/>
      </c>
      <c r="DM169">
        <f>IF($A169="","",'Beállítások'!$E$27*(10-W169))</f>
        <v/>
      </c>
      <c r="DN169">
        <f>IF($A169="","",'Beállítások'!$E$28*(10-X169))</f>
        <v/>
      </c>
      <c r="DO169">
        <f>IF($A169="","",'Beállítások'!$E$29*(10-Y169))</f>
        <v/>
      </c>
      <c r="DP169">
        <f>IF($A169="","",'Beállítások'!$E$30*(10-Z169))</f>
        <v/>
      </c>
      <c r="DQ169">
        <f>IF($A169="","",'Beállítások'!$E$31*(10-AA169))</f>
        <v/>
      </c>
      <c r="DR169">
        <f>IF($A169="","",'Beállítások'!$E$32*(10-AB169))</f>
        <v/>
      </c>
      <c r="DS169">
        <f>IF($A169="","",'Beállítások'!$E$33*(10-AC169))</f>
        <v/>
      </c>
      <c r="DT169">
        <f>IF($A169="","",'Beállítások'!$E$34*(10-AD169))</f>
        <v/>
      </c>
      <c r="DU169">
        <f>IF($A169="","",'Beállítások'!$E$35*(10-AE169))</f>
        <v/>
      </c>
      <c r="DV169">
        <f>IF($A169="","",'Beállítások'!$E$36*(10-AF169))</f>
        <v/>
      </c>
      <c r="DW169">
        <f>IF($A169="","",'Beállítások'!$E$37*(10-AG169))</f>
        <v/>
      </c>
      <c r="DX169">
        <f>IF($A169="","",'Beállítások'!$E$38*(10-AH169))</f>
        <v/>
      </c>
      <c r="DY169">
        <f>IF($A169="","",AM169-ROW()/100000)</f>
        <v/>
      </c>
    </row>
    <row r="170">
      <c r="A170">
        <f>IF('Ügyfelek'!A170="","",'Ügyfelek'!A170)</f>
        <v/>
      </c>
      <c r="B170">
        <f>IF($A170="","",IF('Ügyfelek'!B170="",'Beállítások'!$B$84,IFERROR(VLOOKUP(TRIM('Ügyfelek'!B170),'Beállítások'!$A$51:$B$59,2,FALSE),'Beállítások'!$B$84)))</f>
        <v/>
      </c>
      <c r="C170">
        <f>IF($A170="","",IF('Ügyfelek'!C170="",'Beállítások'!$B$84,MIN(10,MAX(1,ROUND('Ügyfelek'!C170,0)))))</f>
        <v/>
      </c>
      <c r="D170">
        <f>IF($A170="","",IF('Ügyfelek'!D170="",'Beállítások'!$B$84,MIN(10,MAX(1,ROUND('Ügyfelek'!D170,0)))))</f>
        <v/>
      </c>
      <c r="E170">
        <f>IF($A170="","",IF('Ügyfelek'!E170="",'Beállítások'!$B$84,MIN(10,MAX(1,ROUND('Ügyfelek'!E170,0)))))</f>
        <v/>
      </c>
      <c r="F170">
        <f>IF($A170="","",IF('Ügyfelek'!F170="",'Beállítások'!$B$84,MIN(10,MAX(1,ROUND('Ügyfelek'!F170,0)))))</f>
        <v/>
      </c>
      <c r="G170">
        <f>IF($A170="","",IF('Ügyfelek'!G170="",'Beállítások'!$B$84,MIN(10,MAX(1,ROUND('Ügyfelek'!G170,0)))))</f>
        <v/>
      </c>
      <c r="H170">
        <f>IF($A170="","",IF('Ügyfelek'!H170="",'Beállítások'!$B$84,MIN(10,MAX(1,ROUND('Ügyfelek'!H170,0)))))</f>
        <v/>
      </c>
      <c r="I170">
        <f>IF($A170="","",IF('Ügyfelek'!I170="",'Beállítások'!$B$84,MIN(10,MAX(1,ROUND('Ügyfelek'!I170,0)))))</f>
        <v/>
      </c>
      <c r="J170">
        <f>IF($A170="","",IF('Ügyfelek'!J170="",'Beállítások'!$B$84,MIN(10,MAX(1,ROUND('Ügyfelek'!J170,0)))))</f>
        <v/>
      </c>
      <c r="K170">
        <f>IF($A170="","",IF('Ügyfelek'!K170="",'Beállítások'!$B$84,MIN(10,MAX(1,ROUND('Ügyfelek'!K170,0)))))</f>
        <v/>
      </c>
      <c r="L170">
        <f>IF($A170="","",IF('Ügyfelek'!L170="",'Beállítások'!$B$84,MIN(10,MAX(1,ROUND('Ügyfelek'!L170,0)))))</f>
        <v/>
      </c>
      <c r="M170">
        <f>IF($A170="","",IF('Ügyfelek'!M170="",'Beállítások'!$B$84,MIN(10,MAX(1,ROUND('Ügyfelek'!M170,0)))))</f>
        <v/>
      </c>
      <c r="N170">
        <f>IF($A170="","",IF('Ügyfelek'!N170="",'Beállítások'!$B$84,MIN(10,MAX(1,ROUND('Ügyfelek'!N170,0)))))</f>
        <v/>
      </c>
      <c r="O170">
        <f>IF($A170="","",IF('Ügyfelek'!O170="",'Beállítások'!$B$84,MIN(10,MAX(1,ROUND('Ügyfelek'!O170,0)))))</f>
        <v/>
      </c>
      <c r="P170">
        <f>IF($A170="","",IF('Ügyfelek'!P170="",'Beállítások'!$B$84,MIN(10,MAX(1,ROUND('Ügyfelek'!P170,0)))))</f>
        <v/>
      </c>
      <c r="Q170">
        <f>IF($A170="","",IF('Ügyfelek'!Q170="",'Beállítások'!$B$84,MIN(10,MAX(1,ROUND('Ügyfelek'!Q170,0)))))</f>
        <v/>
      </c>
      <c r="R170">
        <f>IF($A170="","",IF('Ügyfelek'!R170="",'Beállítások'!$B$84,MIN(10,MAX(1,ROUND('Ügyfelek'!R170,0)))))</f>
        <v/>
      </c>
      <c r="S170">
        <f>IF($A170="","",IF('Ügyfelek'!S170="",'Beállítások'!$B$84,MIN(10,MAX(1,ROUND('Ügyfelek'!S170,0)))))</f>
        <v/>
      </c>
      <c r="T170">
        <f>IF($A170="","",IF('Ügyfelek'!T170="",'Beállítások'!$B$84,VLOOKUP(MAX('Ügyfelek'!T170,'Beállítások'!$H$7),'Beállítások'!$H$7:$I$12,2,TRUE)))</f>
        <v/>
      </c>
      <c r="U170">
        <f>IF($A170="","",IF('Ügyfelek'!U170="",'Beállítások'!$B$84,VLOOKUP(MAX('Ügyfelek'!U170,'Beállítások'!$K$7),'Beállítások'!$K$7:$L$12,2,TRUE)))</f>
        <v/>
      </c>
      <c r="V170">
        <f>IF($A170="","",IF('Ügyfelek'!V170="",'Beállítások'!$B$84,MIN(10,MAX(1,ROUND('Ügyfelek'!V170,0)))))</f>
        <v/>
      </c>
      <c r="W170">
        <f>IF($A170="","",IF('Ügyfelek'!W170="",'Beállítások'!$B$84,VLOOKUP(MAX('Ügyfelek'!W170,'Beállítások'!$N$7),'Beállítások'!$N$7:$O$12,2,TRUE)))</f>
        <v/>
      </c>
      <c r="X170">
        <f>IF($A170="","",IF('Ügyfelek'!X170="",'Beállítások'!$B$84,MIN(10,MAX(1,ROUND('Ügyfelek'!X170,0)))))</f>
        <v/>
      </c>
      <c r="Y170">
        <f>IF($A170="","",IF('Ügyfelek'!Y170="",'Beállítások'!$B$84,IFERROR(VLOOKUP(TRIM('Ügyfelek'!Y170),'Beállítások'!$A$63:$B$69,2,FALSE),'Beállítások'!$B$84)))</f>
        <v/>
      </c>
      <c r="Z170">
        <f>IF($A170="","",IF('Ügyfelek'!Z170="",'Beállítások'!$B$84,VLOOKUP(MAX('Ügyfelek'!Z170,'Beállítások'!$Q$7),'Beállítások'!$Q$7:$R$12,2,TRUE)))</f>
        <v/>
      </c>
      <c r="AA170">
        <f>IF($A170="","",IF('Ügyfelek'!AA170="",'Beállítások'!$B$84,VLOOKUP(MAX('Ügyfelek'!AA170,'Beállítások'!$T$7),'Beállítások'!$T$7:$U$12,2,TRUE)))</f>
        <v/>
      </c>
      <c r="AB170">
        <f>IF($A170="","",IF('Ügyfelek'!AB170="",'Beállítások'!$B$84,MIN(10,MAX(1,ROUND('Ügyfelek'!AB170,0)))))</f>
        <v/>
      </c>
      <c r="AC170">
        <f>IF($A170="","",IF('Ügyfelek'!AC170="",'Beállítások'!$B$84,MIN(10,MAX(1,ROUND('Ügyfelek'!AC170,0)))))</f>
        <v/>
      </c>
      <c r="AD170">
        <f>IF($A170="","",IF('Ügyfelek'!AD170="",'Beállítások'!$B$84,MIN(10,MAX(1,ROUND('Ügyfelek'!AD170,0)))))</f>
        <v/>
      </c>
      <c r="AE170">
        <f>IF($A170="","",IF('Ügyfelek'!AE170="",'Beállítások'!$B$84,MIN(10,MAX(1,ROUND('Ügyfelek'!AE170,0)))))</f>
        <v/>
      </c>
      <c r="AF170">
        <f>IF($A170="","",IF('Ügyfelek'!AF170="",'Beállítások'!$B$84,MIN(10,MAX(1,ROUND('Ügyfelek'!AF170,0)))))</f>
        <v/>
      </c>
      <c r="AG170">
        <f>IF($A170="","",IF('Ügyfelek'!AG170="",'Beállítások'!$B$84,MIN(10,MAX(1,ROUND('Ügyfelek'!AG170,0)))))</f>
        <v/>
      </c>
      <c r="AH170">
        <f>IF($A170="","",IF('Ügyfelek'!AH170="",'Beállítások'!$B$84,IFERROR(VLOOKUP(TRIM('Ügyfelek'!AH170),'Beállítások'!$A$73:$B$79,2,FALSE),'Beállítások'!$B$84)))</f>
        <v/>
      </c>
      <c r="AI170" s="23">
        <f>IF($A170="","",ROUND(100*('Beállítások'!$E$6*(B170-1)+'Beállítások'!$E$7*(C170-1))/(9*'Beállítások'!$B$43),1))</f>
        <v/>
      </c>
      <c r="AJ170" s="23">
        <f>IF($A170="","",ROUND(100*('Beállítások'!$E$8*(D170-1)+'Beállítások'!$E$9*(E170-1)+'Beállítások'!$E$10*(F170-1)+'Beállítások'!$E$11*(G170-1)+'Beállítások'!$E$12*(H170-1)+'Beállítások'!$E$13*(I170-1)+'Beállítások'!$E$14*(J170-1)+'Beállítások'!$E$15*(K170-1)+'Beállítások'!$E$16*(L170-1)+'Beállítások'!$E$17*(M170-1)+'Beállítások'!$E$18*(N170-1)+'Beállítások'!$E$19*(O170-1)+'Beállítások'!$E$20*(P170-1)+'Beállítások'!$E$21*(Q170-1)+'Beállítások'!$E$22*(R170-1))/(9*'Beállítások'!$B$44),1))</f>
        <v/>
      </c>
      <c r="AK170" s="23">
        <f>IF($A170="","",ROUND(100*('Beállítások'!$E$23*(S170-1)+'Beállítások'!$E$24*(T170-1)+'Beállítások'!$E$25*(U170-1)+'Beállítások'!$E$26*(V170-1)+'Beállítások'!$E$27*(W170-1)+'Beállítások'!$E$28*(X170-1)+'Beállítások'!$E$29*(Y170-1))/(9*'Beállítások'!$B$45),1))</f>
        <v/>
      </c>
      <c r="AL170" s="23">
        <f>IF($A170="","",ROUND(100*('Beállítások'!$E$30*(Z170-1)+'Beállítások'!$E$31*(AA170-1)+'Beállítások'!$E$32*(AB170-1)+'Beállítások'!$E$33*(AC170-1)+'Beállítások'!$E$34*(AD170-1)+'Beállítások'!$E$35*(AE170-1)+'Beállítások'!$E$36*(AF170-1)+'Beállítások'!$E$37*(AG170-1)+'Beállítások'!$E$38*(AH170-1))/(9*'Beállítások'!$B$46),1))</f>
        <v/>
      </c>
      <c r="AM170" s="23">
        <f>IF($A170="","",ROUND(100*('Beállítások'!$E$6*(B170-1)+'Beállítások'!$E$7*(C170-1)+'Beállítások'!$E$8*(D170-1)+'Beállítások'!$E$9*(E170-1)+'Beállítások'!$E$10*(F170-1)+'Beállítások'!$E$11*(G170-1)+'Beállítások'!$E$12*(H170-1)+'Beállítások'!$E$13*(I170-1)+'Beállítások'!$E$14*(J170-1)+'Beállítások'!$E$15*(K170-1)+'Beállítások'!$E$16*(L170-1)+'Beállítások'!$E$17*(M170-1)+'Beállítások'!$E$18*(N170-1)+'Beállítások'!$E$19*(O170-1)+'Beállítások'!$E$20*(P170-1)+'Beállítások'!$E$21*(Q170-1)+'Beállítások'!$E$22*(R170-1)+'Beállítások'!$E$23*(S170-1)+'Beállítások'!$E$24*(T170-1)+'Beállítások'!$E$25*(U170-1)+'Beállítások'!$E$26*(V170-1)+'Beállítások'!$E$27*(W170-1)+'Beállítások'!$E$28*(X170-1)+'Beállítások'!$E$29*(Y170-1)+'Beállítások'!$E$30*(Z170-1)+'Beállítások'!$E$31*(AA170-1)+'Beállítások'!$E$32*(AB170-1)+'Beállítások'!$E$33*(AC170-1)+'Beállítások'!$E$34*(AD170-1)+'Beállítások'!$E$35*(AE170-1)+'Beállítások'!$E$36*(AF170-1)+'Beállítások'!$E$37*(AG170-1)+'Beállítások'!$E$38*(AH170-1))/(9*'Beállítások'!$E$39),1))</f>
        <v/>
      </c>
      <c r="AN170" s="23">
        <f>IF($A170="","",ROUND(100*('Beállítások'!$E$8*(D170-1)+'Beállítások'!$E$9*(E170-1)+'Beállítások'!$E$10*(F170-1)+'Beállítások'!$E$11*(G170-1)+'Beállítások'!$E$12*(H170-1)+'Beállítások'!$E$13*(I170-1)+'Beállítások'!$E$14*(J170-1)+'Beállítások'!$E$15*(K170-1)+'Beállítások'!$E$16*(L170-1)+'Beállítások'!$E$17*(M170-1)+'Beállítások'!$E$18*(N170-1)+'Beállítások'!$E$19*(O170-1)+'Beállítások'!$E$20*(P170-1)+'Beállítások'!$E$21*(Q170-1)+'Beállítások'!$E$22*(R170-1)+'Beállítások'!$E$23*(S170-1)+'Beállítások'!$E$24*(T170-1)+'Beállítások'!$E$25*(U170-1)+'Beállítások'!$E$26*(V170-1)+'Beállítások'!$E$27*(W170-1)+'Beállítások'!$E$28*(X170-1)+'Beállítások'!$E$29*(Y170-1))/(9*('Beállítások'!$B$44+'Beállítások'!$B$45)),1))</f>
        <v/>
      </c>
      <c r="AO170" s="24">
        <f>IF($A170="","",RANK(AM170,$AM$2:$AM$201))</f>
        <v/>
      </c>
      <c r="AP170">
        <f>IF($A170="","",IF(OR(AND('Ügyfelek'!B170&lt;&gt;"",B170&lt;='Beállítások'!$B$85),AND('Ügyfelek'!C170&lt;&gt;"",C170&lt;='Beállítások'!$B$86)),"Igen","Nem"))</f>
        <v/>
      </c>
      <c r="AQ170" s="24">
        <f>IF($A170="","",IF(AP170="Igen",5,IF(AN170&gt;='Beállítások'!$C$108,1,IF(AN170&gt;='Beállítások'!$C$109,2,IF(AN170&gt;='Beállítások'!$C$110,3,IF(AND(AN170&gt;='Beállítások'!$B$87,AI170&gt;='Beállítások'!$B$88,AL170&gt;='Beállítások'!$B$89),4,5))))))</f>
        <v/>
      </c>
      <c r="AR170">
        <f>IF($A170="","",INDEX('Beállítások'!$B$108:$B$112,AQ170))</f>
        <v/>
      </c>
      <c r="AS170">
        <f>IF($A170="","",IF(AQ170=5,"Elutasítjuk",IF(AND(AQ170=4,COUNTIFS('Eredmény'!$AQ$2:$AQ$201,4,'Eredmény'!$DY$2:$DY$201,"&gt;"&amp;DY170)&gt;='Beállítások'!$B$90),"Várólista (a 4-es hely foglalt)","Elfogadjuk")))</f>
        <v/>
      </c>
      <c r="AT170">
        <f>IF($A170="","",INDEX('Beállítások'!$F$108:$F$112,AQ170))</f>
        <v/>
      </c>
      <c r="AU170">
        <f>IF($A170="","",INDEX('Beállítások'!$B$6:$B$38,MATCH(MAX(BK170:CQ170),BK170:CQ170,0)))</f>
        <v/>
      </c>
      <c r="AV170">
        <f>IF($A170="","",IF(MAX(CR170:DX170)=0,"—",INDEX('Beállítások'!$B$6:$B$38,MATCH(MAX(CR170:DX170),CR170:DX170,0))))</f>
        <v/>
      </c>
      <c r="AW170" s="10">
        <f>IF($A170="","",'Beállítások'!$B$94*(TRIM('Ügyfelek'!AI170)="igen")+'Beállítások'!$B$95*(TRIM('Ügyfelek'!AJ170)="igen")+'Beállítások'!$B$96*N('Ügyfelek'!AK170)+'Beállítások'!$B$93*N('Ügyfelek'!AL170))</f>
        <v/>
      </c>
      <c r="AX170" s="25">
        <f>IF(OR($A170="",AQ170=5),"",INDEX('Beállítások'!$D$108:$D$112,AQ170))</f>
        <v/>
      </c>
      <c r="AY170" s="10">
        <f>IF($A170="","",N('Ügyfelek'!U170)*'Beállítások'!$B$98)</f>
        <v/>
      </c>
      <c r="AZ170" s="10">
        <f>IF(OR($A170="",AQ170=5),"",CEILING(ROUND(MAX('Beállítások'!$B$97,AW170*AX170,AY170),2),'Beállítások'!$B$99))</f>
        <v/>
      </c>
      <c r="BA170">
        <f>IF($A170="","",IF(AQ170=5,"Elutasítva",IF(MAX('Beállítások'!$B$97,AW170*AX170,AY170)=AW170*AX170,"Munkaigény × státuszszorzó",IF(MAX('Beállítások'!$B$97,AW170*AX170,AY170)=AY170,"Hirdetési keret arányában","Minimumdíj"))))</f>
        <v/>
      </c>
      <c r="BB170" s="10">
        <f>IF(OR($A170="",'Ügyfelek'!AM170=""),"",'Ügyfelek'!AM170)</f>
        <v/>
      </c>
      <c r="BC170" s="10">
        <f>IF(OR(BB170="",AZ170=""),"",AZ170-BB170)</f>
        <v/>
      </c>
      <c r="BD170" s="18">
        <f>IF(OR(BB170="",AZ170="",BB170=0),"",BC170/BB170)</f>
        <v/>
      </c>
      <c r="BE170">
        <f>IF(OR($A170="",AQ170=5),"",IF(AND(INDEX('Beállítások'!$E$108:$E$112,AQ170)&gt;0,Y170&gt;='Beállítások'!$B$91),"Igen","Nem"))</f>
        <v/>
      </c>
      <c r="BF170" s="10">
        <f>IF(BE170="Igen",CEILING(ROUND(AZ170*(1-'Beállítások'!$B$92),2),'Beállítások'!$B$99),"")</f>
        <v/>
      </c>
      <c r="BG170" s="20">
        <f>IF(BE170="Igen",INDEX('Beállítások'!$E$108:$E$112,AQ170),"")</f>
        <v/>
      </c>
      <c r="BH170" s="10">
        <f>IF(OR(BE170&lt;&gt;"Igen",'Ügyfelek'!AN170=""),"",'Ügyfelek'!AN170*BG170)</f>
        <v/>
      </c>
      <c r="BI170" s="24">
        <f>IF($A170="","",('Ügyfelek'!B170="")+('Ügyfelek'!C170="")+('Ügyfelek'!D170="")+('Ügyfelek'!E170="")+('Ügyfelek'!F170="")+('Ügyfelek'!G170="")+('Ügyfelek'!H170="")+('Ügyfelek'!I170="")+('Ügyfelek'!J170="")+('Ügyfelek'!K170="")+('Ügyfelek'!L170="")+('Ügyfelek'!M170="")+('Ügyfelek'!N170="")+('Ügyfelek'!O170="")+('Ügyfelek'!P170="")+('Ügyfelek'!Q170="")+('Ügyfelek'!R170="")+('Ügyfelek'!S170="")+('Ügyfelek'!T170="")+('Ügyfelek'!U170="")+('Ügyfelek'!V170="")+('Ügyfelek'!W170="")+('Ügyfelek'!X170="")+('Ügyfelek'!Y170="")+('Ügyfelek'!Z170="")+('Ügyfelek'!AA170="")+('Ügyfelek'!AB170="")+('Ügyfelek'!AC170="")+('Ügyfelek'!AD170="")+('Ügyfelek'!AE170="")+('Ügyfelek'!AF170="")+('Ügyfelek'!AG170="")+('Ügyfelek'!AH170=""))</f>
        <v/>
      </c>
      <c r="BK170">
        <f>IF($A170="","",B170+'Beállítások'!$E$6/1000)</f>
        <v/>
      </c>
      <c r="BL170">
        <f>IF($A170="","",C170+'Beállítások'!$E$7/1000)</f>
        <v/>
      </c>
      <c r="BM170">
        <f>IF($A170="","",D170+'Beállítások'!$E$8/1000)</f>
        <v/>
      </c>
      <c r="BN170">
        <f>IF($A170="","",E170+'Beállítások'!$E$9/1000)</f>
        <v/>
      </c>
      <c r="BO170">
        <f>IF($A170="","",F170+'Beállítások'!$E$10/1000)</f>
        <v/>
      </c>
      <c r="BP170">
        <f>IF($A170="","",G170+'Beállítások'!$E$11/1000)</f>
        <v/>
      </c>
      <c r="BQ170">
        <f>IF($A170="","",H170+'Beállítások'!$E$12/1000)</f>
        <v/>
      </c>
      <c r="BR170">
        <f>IF($A170="","",I170+'Beállítások'!$E$13/1000)</f>
        <v/>
      </c>
      <c r="BS170">
        <f>IF($A170="","",J170+'Beállítások'!$E$14/1000)</f>
        <v/>
      </c>
      <c r="BT170">
        <f>IF($A170="","",K170+'Beállítások'!$E$15/1000)</f>
        <v/>
      </c>
      <c r="BU170">
        <f>IF($A170="","",L170+'Beállítások'!$E$16/1000)</f>
        <v/>
      </c>
      <c r="BV170">
        <f>IF($A170="","",M170+'Beállítások'!$E$17/1000)</f>
        <v/>
      </c>
      <c r="BW170">
        <f>IF($A170="","",N170+'Beállítások'!$E$18/1000)</f>
        <v/>
      </c>
      <c r="BX170">
        <f>IF($A170="","",O170+'Beállítások'!$E$19/1000)</f>
        <v/>
      </c>
      <c r="BY170">
        <f>IF($A170="","",P170+'Beállítások'!$E$20/1000)</f>
        <v/>
      </c>
      <c r="BZ170">
        <f>IF($A170="","",Q170+'Beállítások'!$E$21/1000)</f>
        <v/>
      </c>
      <c r="CA170">
        <f>IF($A170="","",R170+'Beállítások'!$E$22/1000)</f>
        <v/>
      </c>
      <c r="CB170">
        <f>IF($A170="","",S170+'Beállítások'!$E$23/1000)</f>
        <v/>
      </c>
      <c r="CC170">
        <f>IF($A170="","",T170+'Beállítások'!$E$24/1000)</f>
        <v/>
      </c>
      <c r="CD170">
        <f>IF($A170="","",U170+'Beállítások'!$E$25/1000)</f>
        <v/>
      </c>
      <c r="CE170">
        <f>IF($A170="","",V170+'Beállítások'!$E$26/1000)</f>
        <v/>
      </c>
      <c r="CF170">
        <f>IF($A170="","",W170+'Beállítások'!$E$27/1000)</f>
        <v/>
      </c>
      <c r="CG170">
        <f>IF($A170="","",X170+'Beállítások'!$E$28/1000)</f>
        <v/>
      </c>
      <c r="CH170">
        <f>IF($A170="","",Y170+'Beállítások'!$E$29/1000)</f>
        <v/>
      </c>
      <c r="CI170">
        <f>IF($A170="","",Z170+'Beállítások'!$E$30/1000)</f>
        <v/>
      </c>
      <c r="CJ170">
        <f>IF($A170="","",AA170+'Beállítások'!$E$31/1000)</f>
        <v/>
      </c>
      <c r="CK170">
        <f>IF($A170="","",AB170+'Beállítások'!$E$32/1000)</f>
        <v/>
      </c>
      <c r="CL170">
        <f>IF($A170="","",AC170+'Beállítások'!$E$33/1000)</f>
        <v/>
      </c>
      <c r="CM170">
        <f>IF($A170="","",AD170+'Beállítások'!$E$34/1000)</f>
        <v/>
      </c>
      <c r="CN170">
        <f>IF($A170="","",AE170+'Beállítások'!$E$35/1000)</f>
        <v/>
      </c>
      <c r="CO170">
        <f>IF($A170="","",AF170+'Beállítások'!$E$36/1000)</f>
        <v/>
      </c>
      <c r="CP170">
        <f>IF($A170="","",AG170+'Beállítások'!$E$37/1000)</f>
        <v/>
      </c>
      <c r="CQ170">
        <f>IF($A170="","",AH170+'Beállítások'!$E$38/1000)</f>
        <v/>
      </c>
      <c r="CR170">
        <f>IF($A170="","",'Beállítások'!$E$6*(10-B170))</f>
        <v/>
      </c>
      <c r="CS170">
        <f>IF($A170="","",'Beállítások'!$E$7*(10-C170))</f>
        <v/>
      </c>
      <c r="CT170">
        <f>IF($A170="","",'Beállítások'!$E$8*(10-D170))</f>
        <v/>
      </c>
      <c r="CU170">
        <f>IF($A170="","",'Beállítások'!$E$9*(10-E170))</f>
        <v/>
      </c>
      <c r="CV170">
        <f>IF($A170="","",'Beállítások'!$E$10*(10-F170))</f>
        <v/>
      </c>
      <c r="CW170">
        <f>IF($A170="","",'Beállítások'!$E$11*(10-G170))</f>
        <v/>
      </c>
      <c r="CX170">
        <f>IF($A170="","",'Beállítások'!$E$12*(10-H170))</f>
        <v/>
      </c>
      <c r="CY170">
        <f>IF($A170="","",'Beállítások'!$E$13*(10-I170))</f>
        <v/>
      </c>
      <c r="CZ170">
        <f>IF($A170="","",'Beállítások'!$E$14*(10-J170))</f>
        <v/>
      </c>
      <c r="DA170">
        <f>IF($A170="","",'Beállítások'!$E$15*(10-K170))</f>
        <v/>
      </c>
      <c r="DB170">
        <f>IF($A170="","",'Beállítások'!$E$16*(10-L170))</f>
        <v/>
      </c>
      <c r="DC170">
        <f>IF($A170="","",'Beállítások'!$E$17*(10-M170))</f>
        <v/>
      </c>
      <c r="DD170">
        <f>IF($A170="","",'Beállítások'!$E$18*(10-N170))</f>
        <v/>
      </c>
      <c r="DE170">
        <f>IF($A170="","",'Beállítások'!$E$19*(10-O170))</f>
        <v/>
      </c>
      <c r="DF170">
        <f>IF($A170="","",'Beállítások'!$E$20*(10-P170))</f>
        <v/>
      </c>
      <c r="DG170">
        <f>IF($A170="","",'Beállítások'!$E$21*(10-Q170))</f>
        <v/>
      </c>
      <c r="DH170">
        <f>IF($A170="","",'Beállítások'!$E$22*(10-R170))</f>
        <v/>
      </c>
      <c r="DI170">
        <f>IF($A170="","",'Beállítások'!$E$23*(10-S170))</f>
        <v/>
      </c>
      <c r="DJ170">
        <f>IF($A170="","",'Beállítások'!$E$24*(10-T170))</f>
        <v/>
      </c>
      <c r="DK170">
        <f>IF($A170="","",'Beállítások'!$E$25*(10-U170))</f>
        <v/>
      </c>
      <c r="DL170">
        <f>IF($A170="","",'Beállítások'!$E$26*(10-V170))</f>
        <v/>
      </c>
      <c r="DM170">
        <f>IF($A170="","",'Beállítások'!$E$27*(10-W170))</f>
        <v/>
      </c>
      <c r="DN170">
        <f>IF($A170="","",'Beállítások'!$E$28*(10-X170))</f>
        <v/>
      </c>
      <c r="DO170">
        <f>IF($A170="","",'Beállítások'!$E$29*(10-Y170))</f>
        <v/>
      </c>
      <c r="DP170">
        <f>IF($A170="","",'Beállítások'!$E$30*(10-Z170))</f>
        <v/>
      </c>
      <c r="DQ170">
        <f>IF($A170="","",'Beállítások'!$E$31*(10-AA170))</f>
        <v/>
      </c>
      <c r="DR170">
        <f>IF($A170="","",'Beállítások'!$E$32*(10-AB170))</f>
        <v/>
      </c>
      <c r="DS170">
        <f>IF($A170="","",'Beállítások'!$E$33*(10-AC170))</f>
        <v/>
      </c>
      <c r="DT170">
        <f>IF($A170="","",'Beállítások'!$E$34*(10-AD170))</f>
        <v/>
      </c>
      <c r="DU170">
        <f>IF($A170="","",'Beállítások'!$E$35*(10-AE170))</f>
        <v/>
      </c>
      <c r="DV170">
        <f>IF($A170="","",'Beállítások'!$E$36*(10-AF170))</f>
        <v/>
      </c>
      <c r="DW170">
        <f>IF($A170="","",'Beállítások'!$E$37*(10-AG170))</f>
        <v/>
      </c>
      <c r="DX170">
        <f>IF($A170="","",'Beállítások'!$E$38*(10-AH170))</f>
        <v/>
      </c>
      <c r="DY170">
        <f>IF($A170="","",AM170-ROW()/100000)</f>
        <v/>
      </c>
    </row>
    <row r="171">
      <c r="A171">
        <f>IF('Ügyfelek'!A171="","",'Ügyfelek'!A171)</f>
        <v/>
      </c>
      <c r="B171">
        <f>IF($A171="","",IF('Ügyfelek'!B171="",'Beállítások'!$B$84,IFERROR(VLOOKUP(TRIM('Ügyfelek'!B171),'Beállítások'!$A$51:$B$59,2,FALSE),'Beállítások'!$B$84)))</f>
        <v/>
      </c>
      <c r="C171">
        <f>IF($A171="","",IF('Ügyfelek'!C171="",'Beállítások'!$B$84,MIN(10,MAX(1,ROUND('Ügyfelek'!C171,0)))))</f>
        <v/>
      </c>
      <c r="D171">
        <f>IF($A171="","",IF('Ügyfelek'!D171="",'Beállítások'!$B$84,MIN(10,MAX(1,ROUND('Ügyfelek'!D171,0)))))</f>
        <v/>
      </c>
      <c r="E171">
        <f>IF($A171="","",IF('Ügyfelek'!E171="",'Beállítások'!$B$84,MIN(10,MAX(1,ROUND('Ügyfelek'!E171,0)))))</f>
        <v/>
      </c>
      <c r="F171">
        <f>IF($A171="","",IF('Ügyfelek'!F171="",'Beállítások'!$B$84,MIN(10,MAX(1,ROUND('Ügyfelek'!F171,0)))))</f>
        <v/>
      </c>
      <c r="G171">
        <f>IF($A171="","",IF('Ügyfelek'!G171="",'Beállítások'!$B$84,MIN(10,MAX(1,ROUND('Ügyfelek'!G171,0)))))</f>
        <v/>
      </c>
      <c r="H171">
        <f>IF($A171="","",IF('Ügyfelek'!H171="",'Beállítások'!$B$84,MIN(10,MAX(1,ROUND('Ügyfelek'!H171,0)))))</f>
        <v/>
      </c>
      <c r="I171">
        <f>IF($A171="","",IF('Ügyfelek'!I171="",'Beállítások'!$B$84,MIN(10,MAX(1,ROUND('Ügyfelek'!I171,0)))))</f>
        <v/>
      </c>
      <c r="J171">
        <f>IF($A171="","",IF('Ügyfelek'!J171="",'Beállítások'!$B$84,MIN(10,MAX(1,ROUND('Ügyfelek'!J171,0)))))</f>
        <v/>
      </c>
      <c r="K171">
        <f>IF($A171="","",IF('Ügyfelek'!K171="",'Beállítások'!$B$84,MIN(10,MAX(1,ROUND('Ügyfelek'!K171,0)))))</f>
        <v/>
      </c>
      <c r="L171">
        <f>IF($A171="","",IF('Ügyfelek'!L171="",'Beállítások'!$B$84,MIN(10,MAX(1,ROUND('Ügyfelek'!L171,0)))))</f>
        <v/>
      </c>
      <c r="M171">
        <f>IF($A171="","",IF('Ügyfelek'!M171="",'Beállítások'!$B$84,MIN(10,MAX(1,ROUND('Ügyfelek'!M171,0)))))</f>
        <v/>
      </c>
      <c r="N171">
        <f>IF($A171="","",IF('Ügyfelek'!N171="",'Beállítások'!$B$84,MIN(10,MAX(1,ROUND('Ügyfelek'!N171,0)))))</f>
        <v/>
      </c>
      <c r="O171">
        <f>IF($A171="","",IF('Ügyfelek'!O171="",'Beállítások'!$B$84,MIN(10,MAX(1,ROUND('Ügyfelek'!O171,0)))))</f>
        <v/>
      </c>
      <c r="P171">
        <f>IF($A171="","",IF('Ügyfelek'!P171="",'Beállítások'!$B$84,MIN(10,MAX(1,ROUND('Ügyfelek'!P171,0)))))</f>
        <v/>
      </c>
      <c r="Q171">
        <f>IF($A171="","",IF('Ügyfelek'!Q171="",'Beállítások'!$B$84,MIN(10,MAX(1,ROUND('Ügyfelek'!Q171,0)))))</f>
        <v/>
      </c>
      <c r="R171">
        <f>IF($A171="","",IF('Ügyfelek'!R171="",'Beállítások'!$B$84,MIN(10,MAX(1,ROUND('Ügyfelek'!R171,0)))))</f>
        <v/>
      </c>
      <c r="S171">
        <f>IF($A171="","",IF('Ügyfelek'!S171="",'Beállítások'!$B$84,MIN(10,MAX(1,ROUND('Ügyfelek'!S171,0)))))</f>
        <v/>
      </c>
      <c r="T171">
        <f>IF($A171="","",IF('Ügyfelek'!T171="",'Beállítások'!$B$84,VLOOKUP(MAX('Ügyfelek'!T171,'Beállítások'!$H$7),'Beállítások'!$H$7:$I$12,2,TRUE)))</f>
        <v/>
      </c>
      <c r="U171">
        <f>IF($A171="","",IF('Ügyfelek'!U171="",'Beállítások'!$B$84,VLOOKUP(MAX('Ügyfelek'!U171,'Beállítások'!$K$7),'Beállítások'!$K$7:$L$12,2,TRUE)))</f>
        <v/>
      </c>
      <c r="V171">
        <f>IF($A171="","",IF('Ügyfelek'!V171="",'Beállítások'!$B$84,MIN(10,MAX(1,ROUND('Ügyfelek'!V171,0)))))</f>
        <v/>
      </c>
      <c r="W171">
        <f>IF($A171="","",IF('Ügyfelek'!W171="",'Beállítások'!$B$84,VLOOKUP(MAX('Ügyfelek'!W171,'Beállítások'!$N$7),'Beállítások'!$N$7:$O$12,2,TRUE)))</f>
        <v/>
      </c>
      <c r="X171">
        <f>IF($A171="","",IF('Ügyfelek'!X171="",'Beállítások'!$B$84,MIN(10,MAX(1,ROUND('Ügyfelek'!X171,0)))))</f>
        <v/>
      </c>
      <c r="Y171">
        <f>IF($A171="","",IF('Ügyfelek'!Y171="",'Beállítások'!$B$84,IFERROR(VLOOKUP(TRIM('Ügyfelek'!Y171),'Beállítások'!$A$63:$B$69,2,FALSE),'Beállítások'!$B$84)))</f>
        <v/>
      </c>
      <c r="Z171">
        <f>IF($A171="","",IF('Ügyfelek'!Z171="",'Beállítások'!$B$84,VLOOKUP(MAX('Ügyfelek'!Z171,'Beállítások'!$Q$7),'Beállítások'!$Q$7:$R$12,2,TRUE)))</f>
        <v/>
      </c>
      <c r="AA171">
        <f>IF($A171="","",IF('Ügyfelek'!AA171="",'Beállítások'!$B$84,VLOOKUP(MAX('Ügyfelek'!AA171,'Beállítások'!$T$7),'Beállítások'!$T$7:$U$12,2,TRUE)))</f>
        <v/>
      </c>
      <c r="AB171">
        <f>IF($A171="","",IF('Ügyfelek'!AB171="",'Beállítások'!$B$84,MIN(10,MAX(1,ROUND('Ügyfelek'!AB171,0)))))</f>
        <v/>
      </c>
      <c r="AC171">
        <f>IF($A171="","",IF('Ügyfelek'!AC171="",'Beállítások'!$B$84,MIN(10,MAX(1,ROUND('Ügyfelek'!AC171,0)))))</f>
        <v/>
      </c>
      <c r="AD171">
        <f>IF($A171="","",IF('Ügyfelek'!AD171="",'Beállítások'!$B$84,MIN(10,MAX(1,ROUND('Ügyfelek'!AD171,0)))))</f>
        <v/>
      </c>
      <c r="AE171">
        <f>IF($A171="","",IF('Ügyfelek'!AE171="",'Beállítások'!$B$84,MIN(10,MAX(1,ROUND('Ügyfelek'!AE171,0)))))</f>
        <v/>
      </c>
      <c r="AF171">
        <f>IF($A171="","",IF('Ügyfelek'!AF171="",'Beállítások'!$B$84,MIN(10,MAX(1,ROUND('Ügyfelek'!AF171,0)))))</f>
        <v/>
      </c>
      <c r="AG171">
        <f>IF($A171="","",IF('Ügyfelek'!AG171="",'Beállítások'!$B$84,MIN(10,MAX(1,ROUND('Ügyfelek'!AG171,0)))))</f>
        <v/>
      </c>
      <c r="AH171">
        <f>IF($A171="","",IF('Ügyfelek'!AH171="",'Beállítások'!$B$84,IFERROR(VLOOKUP(TRIM('Ügyfelek'!AH171),'Beállítások'!$A$73:$B$79,2,FALSE),'Beállítások'!$B$84)))</f>
        <v/>
      </c>
      <c r="AI171" s="23">
        <f>IF($A171="","",ROUND(100*('Beállítások'!$E$6*(B171-1)+'Beállítások'!$E$7*(C171-1))/(9*'Beállítások'!$B$43),1))</f>
        <v/>
      </c>
      <c r="AJ171" s="23">
        <f>IF($A171="","",ROUND(100*('Beállítások'!$E$8*(D171-1)+'Beállítások'!$E$9*(E171-1)+'Beállítások'!$E$10*(F171-1)+'Beállítások'!$E$11*(G171-1)+'Beállítások'!$E$12*(H171-1)+'Beállítások'!$E$13*(I171-1)+'Beállítások'!$E$14*(J171-1)+'Beállítások'!$E$15*(K171-1)+'Beállítások'!$E$16*(L171-1)+'Beállítások'!$E$17*(M171-1)+'Beállítások'!$E$18*(N171-1)+'Beállítások'!$E$19*(O171-1)+'Beállítások'!$E$20*(P171-1)+'Beállítások'!$E$21*(Q171-1)+'Beállítások'!$E$22*(R171-1))/(9*'Beállítások'!$B$44),1))</f>
        <v/>
      </c>
      <c r="AK171" s="23">
        <f>IF($A171="","",ROUND(100*('Beállítások'!$E$23*(S171-1)+'Beállítások'!$E$24*(T171-1)+'Beállítások'!$E$25*(U171-1)+'Beállítások'!$E$26*(V171-1)+'Beállítások'!$E$27*(W171-1)+'Beállítások'!$E$28*(X171-1)+'Beállítások'!$E$29*(Y171-1))/(9*'Beállítások'!$B$45),1))</f>
        <v/>
      </c>
      <c r="AL171" s="23">
        <f>IF($A171="","",ROUND(100*('Beállítások'!$E$30*(Z171-1)+'Beállítások'!$E$31*(AA171-1)+'Beállítások'!$E$32*(AB171-1)+'Beállítások'!$E$33*(AC171-1)+'Beállítások'!$E$34*(AD171-1)+'Beállítások'!$E$35*(AE171-1)+'Beállítások'!$E$36*(AF171-1)+'Beállítások'!$E$37*(AG171-1)+'Beállítások'!$E$38*(AH171-1))/(9*'Beállítások'!$B$46),1))</f>
        <v/>
      </c>
      <c r="AM171" s="23">
        <f>IF($A171="","",ROUND(100*('Beállítások'!$E$6*(B171-1)+'Beállítások'!$E$7*(C171-1)+'Beállítások'!$E$8*(D171-1)+'Beállítások'!$E$9*(E171-1)+'Beállítások'!$E$10*(F171-1)+'Beállítások'!$E$11*(G171-1)+'Beállítások'!$E$12*(H171-1)+'Beállítások'!$E$13*(I171-1)+'Beállítások'!$E$14*(J171-1)+'Beállítások'!$E$15*(K171-1)+'Beállítások'!$E$16*(L171-1)+'Beállítások'!$E$17*(M171-1)+'Beállítások'!$E$18*(N171-1)+'Beállítások'!$E$19*(O171-1)+'Beállítások'!$E$20*(P171-1)+'Beállítások'!$E$21*(Q171-1)+'Beállítások'!$E$22*(R171-1)+'Beállítások'!$E$23*(S171-1)+'Beállítások'!$E$24*(T171-1)+'Beállítások'!$E$25*(U171-1)+'Beállítások'!$E$26*(V171-1)+'Beállítások'!$E$27*(W171-1)+'Beállítások'!$E$28*(X171-1)+'Beállítások'!$E$29*(Y171-1)+'Beállítások'!$E$30*(Z171-1)+'Beállítások'!$E$31*(AA171-1)+'Beállítások'!$E$32*(AB171-1)+'Beállítások'!$E$33*(AC171-1)+'Beállítások'!$E$34*(AD171-1)+'Beállítások'!$E$35*(AE171-1)+'Beállítások'!$E$36*(AF171-1)+'Beállítások'!$E$37*(AG171-1)+'Beállítások'!$E$38*(AH171-1))/(9*'Beállítások'!$E$39),1))</f>
        <v/>
      </c>
      <c r="AN171" s="23">
        <f>IF($A171="","",ROUND(100*('Beállítások'!$E$8*(D171-1)+'Beállítások'!$E$9*(E171-1)+'Beállítások'!$E$10*(F171-1)+'Beállítások'!$E$11*(G171-1)+'Beállítások'!$E$12*(H171-1)+'Beállítások'!$E$13*(I171-1)+'Beállítások'!$E$14*(J171-1)+'Beállítások'!$E$15*(K171-1)+'Beállítások'!$E$16*(L171-1)+'Beállítások'!$E$17*(M171-1)+'Beállítások'!$E$18*(N171-1)+'Beállítások'!$E$19*(O171-1)+'Beállítások'!$E$20*(P171-1)+'Beállítások'!$E$21*(Q171-1)+'Beállítások'!$E$22*(R171-1)+'Beállítások'!$E$23*(S171-1)+'Beállítások'!$E$24*(T171-1)+'Beállítások'!$E$25*(U171-1)+'Beállítások'!$E$26*(V171-1)+'Beállítások'!$E$27*(W171-1)+'Beállítások'!$E$28*(X171-1)+'Beállítások'!$E$29*(Y171-1))/(9*('Beállítások'!$B$44+'Beállítások'!$B$45)),1))</f>
        <v/>
      </c>
      <c r="AO171" s="24">
        <f>IF($A171="","",RANK(AM171,$AM$2:$AM$201))</f>
        <v/>
      </c>
      <c r="AP171">
        <f>IF($A171="","",IF(OR(AND('Ügyfelek'!B171&lt;&gt;"",B171&lt;='Beállítások'!$B$85),AND('Ügyfelek'!C171&lt;&gt;"",C171&lt;='Beállítások'!$B$86)),"Igen","Nem"))</f>
        <v/>
      </c>
      <c r="AQ171" s="24">
        <f>IF($A171="","",IF(AP171="Igen",5,IF(AN171&gt;='Beállítások'!$C$108,1,IF(AN171&gt;='Beállítások'!$C$109,2,IF(AN171&gt;='Beállítások'!$C$110,3,IF(AND(AN171&gt;='Beállítások'!$B$87,AI171&gt;='Beállítások'!$B$88,AL171&gt;='Beállítások'!$B$89),4,5))))))</f>
        <v/>
      </c>
      <c r="AR171">
        <f>IF($A171="","",INDEX('Beállítások'!$B$108:$B$112,AQ171))</f>
        <v/>
      </c>
      <c r="AS171">
        <f>IF($A171="","",IF(AQ171=5,"Elutasítjuk",IF(AND(AQ171=4,COUNTIFS('Eredmény'!$AQ$2:$AQ$201,4,'Eredmény'!$DY$2:$DY$201,"&gt;"&amp;DY171)&gt;='Beállítások'!$B$90),"Várólista (a 4-es hely foglalt)","Elfogadjuk")))</f>
        <v/>
      </c>
      <c r="AT171">
        <f>IF($A171="","",INDEX('Beállítások'!$F$108:$F$112,AQ171))</f>
        <v/>
      </c>
      <c r="AU171">
        <f>IF($A171="","",INDEX('Beállítások'!$B$6:$B$38,MATCH(MAX(BK171:CQ171),BK171:CQ171,0)))</f>
        <v/>
      </c>
      <c r="AV171">
        <f>IF($A171="","",IF(MAX(CR171:DX171)=0,"—",INDEX('Beállítások'!$B$6:$B$38,MATCH(MAX(CR171:DX171),CR171:DX171,0))))</f>
        <v/>
      </c>
      <c r="AW171" s="10">
        <f>IF($A171="","",'Beállítások'!$B$94*(TRIM('Ügyfelek'!AI171)="igen")+'Beállítások'!$B$95*(TRIM('Ügyfelek'!AJ171)="igen")+'Beállítások'!$B$96*N('Ügyfelek'!AK171)+'Beállítások'!$B$93*N('Ügyfelek'!AL171))</f>
        <v/>
      </c>
      <c r="AX171" s="25">
        <f>IF(OR($A171="",AQ171=5),"",INDEX('Beállítások'!$D$108:$D$112,AQ171))</f>
        <v/>
      </c>
      <c r="AY171" s="10">
        <f>IF($A171="","",N('Ügyfelek'!U171)*'Beállítások'!$B$98)</f>
        <v/>
      </c>
      <c r="AZ171" s="10">
        <f>IF(OR($A171="",AQ171=5),"",CEILING(ROUND(MAX('Beállítások'!$B$97,AW171*AX171,AY171),2),'Beállítások'!$B$99))</f>
        <v/>
      </c>
      <c r="BA171">
        <f>IF($A171="","",IF(AQ171=5,"Elutasítva",IF(MAX('Beállítások'!$B$97,AW171*AX171,AY171)=AW171*AX171,"Munkaigény × státuszszorzó",IF(MAX('Beállítások'!$B$97,AW171*AX171,AY171)=AY171,"Hirdetési keret arányában","Minimumdíj"))))</f>
        <v/>
      </c>
      <c r="BB171" s="10">
        <f>IF(OR($A171="",'Ügyfelek'!AM171=""),"",'Ügyfelek'!AM171)</f>
        <v/>
      </c>
      <c r="BC171" s="10">
        <f>IF(OR(BB171="",AZ171=""),"",AZ171-BB171)</f>
        <v/>
      </c>
      <c r="BD171" s="18">
        <f>IF(OR(BB171="",AZ171="",BB171=0),"",BC171/BB171)</f>
        <v/>
      </c>
      <c r="BE171">
        <f>IF(OR($A171="",AQ171=5),"",IF(AND(INDEX('Beállítások'!$E$108:$E$112,AQ171)&gt;0,Y171&gt;='Beállítások'!$B$91),"Igen","Nem"))</f>
        <v/>
      </c>
      <c r="BF171" s="10">
        <f>IF(BE171="Igen",CEILING(ROUND(AZ171*(1-'Beállítások'!$B$92),2),'Beállítások'!$B$99),"")</f>
        <v/>
      </c>
      <c r="BG171" s="20">
        <f>IF(BE171="Igen",INDEX('Beállítások'!$E$108:$E$112,AQ171),"")</f>
        <v/>
      </c>
      <c r="BH171" s="10">
        <f>IF(OR(BE171&lt;&gt;"Igen",'Ügyfelek'!AN171=""),"",'Ügyfelek'!AN171*BG171)</f>
        <v/>
      </c>
      <c r="BI171" s="24">
        <f>IF($A171="","",('Ügyfelek'!B171="")+('Ügyfelek'!C171="")+('Ügyfelek'!D171="")+('Ügyfelek'!E171="")+('Ügyfelek'!F171="")+('Ügyfelek'!G171="")+('Ügyfelek'!H171="")+('Ügyfelek'!I171="")+('Ügyfelek'!J171="")+('Ügyfelek'!K171="")+('Ügyfelek'!L171="")+('Ügyfelek'!M171="")+('Ügyfelek'!N171="")+('Ügyfelek'!O171="")+('Ügyfelek'!P171="")+('Ügyfelek'!Q171="")+('Ügyfelek'!R171="")+('Ügyfelek'!S171="")+('Ügyfelek'!T171="")+('Ügyfelek'!U171="")+('Ügyfelek'!V171="")+('Ügyfelek'!W171="")+('Ügyfelek'!X171="")+('Ügyfelek'!Y171="")+('Ügyfelek'!Z171="")+('Ügyfelek'!AA171="")+('Ügyfelek'!AB171="")+('Ügyfelek'!AC171="")+('Ügyfelek'!AD171="")+('Ügyfelek'!AE171="")+('Ügyfelek'!AF171="")+('Ügyfelek'!AG171="")+('Ügyfelek'!AH171=""))</f>
        <v/>
      </c>
      <c r="BK171">
        <f>IF($A171="","",B171+'Beállítások'!$E$6/1000)</f>
        <v/>
      </c>
      <c r="BL171">
        <f>IF($A171="","",C171+'Beállítások'!$E$7/1000)</f>
        <v/>
      </c>
      <c r="BM171">
        <f>IF($A171="","",D171+'Beállítások'!$E$8/1000)</f>
        <v/>
      </c>
      <c r="BN171">
        <f>IF($A171="","",E171+'Beállítások'!$E$9/1000)</f>
        <v/>
      </c>
      <c r="BO171">
        <f>IF($A171="","",F171+'Beállítások'!$E$10/1000)</f>
        <v/>
      </c>
      <c r="BP171">
        <f>IF($A171="","",G171+'Beállítások'!$E$11/1000)</f>
        <v/>
      </c>
      <c r="BQ171">
        <f>IF($A171="","",H171+'Beállítások'!$E$12/1000)</f>
        <v/>
      </c>
      <c r="BR171">
        <f>IF($A171="","",I171+'Beállítások'!$E$13/1000)</f>
        <v/>
      </c>
      <c r="BS171">
        <f>IF($A171="","",J171+'Beállítások'!$E$14/1000)</f>
        <v/>
      </c>
      <c r="BT171">
        <f>IF($A171="","",K171+'Beállítások'!$E$15/1000)</f>
        <v/>
      </c>
      <c r="BU171">
        <f>IF($A171="","",L171+'Beállítások'!$E$16/1000)</f>
        <v/>
      </c>
      <c r="BV171">
        <f>IF($A171="","",M171+'Beállítások'!$E$17/1000)</f>
        <v/>
      </c>
      <c r="BW171">
        <f>IF($A171="","",N171+'Beállítások'!$E$18/1000)</f>
        <v/>
      </c>
      <c r="BX171">
        <f>IF($A171="","",O171+'Beállítások'!$E$19/1000)</f>
        <v/>
      </c>
      <c r="BY171">
        <f>IF($A171="","",P171+'Beállítások'!$E$20/1000)</f>
        <v/>
      </c>
      <c r="BZ171">
        <f>IF($A171="","",Q171+'Beállítások'!$E$21/1000)</f>
        <v/>
      </c>
      <c r="CA171">
        <f>IF($A171="","",R171+'Beállítások'!$E$22/1000)</f>
        <v/>
      </c>
      <c r="CB171">
        <f>IF($A171="","",S171+'Beállítások'!$E$23/1000)</f>
        <v/>
      </c>
      <c r="CC171">
        <f>IF($A171="","",T171+'Beállítások'!$E$24/1000)</f>
        <v/>
      </c>
      <c r="CD171">
        <f>IF($A171="","",U171+'Beállítások'!$E$25/1000)</f>
        <v/>
      </c>
      <c r="CE171">
        <f>IF($A171="","",V171+'Beállítások'!$E$26/1000)</f>
        <v/>
      </c>
      <c r="CF171">
        <f>IF($A171="","",W171+'Beállítások'!$E$27/1000)</f>
        <v/>
      </c>
      <c r="CG171">
        <f>IF($A171="","",X171+'Beállítások'!$E$28/1000)</f>
        <v/>
      </c>
      <c r="CH171">
        <f>IF($A171="","",Y171+'Beállítások'!$E$29/1000)</f>
        <v/>
      </c>
      <c r="CI171">
        <f>IF($A171="","",Z171+'Beállítások'!$E$30/1000)</f>
        <v/>
      </c>
      <c r="CJ171">
        <f>IF($A171="","",AA171+'Beállítások'!$E$31/1000)</f>
        <v/>
      </c>
      <c r="CK171">
        <f>IF($A171="","",AB171+'Beállítások'!$E$32/1000)</f>
        <v/>
      </c>
      <c r="CL171">
        <f>IF($A171="","",AC171+'Beállítások'!$E$33/1000)</f>
        <v/>
      </c>
      <c r="CM171">
        <f>IF($A171="","",AD171+'Beállítások'!$E$34/1000)</f>
        <v/>
      </c>
      <c r="CN171">
        <f>IF($A171="","",AE171+'Beállítások'!$E$35/1000)</f>
        <v/>
      </c>
      <c r="CO171">
        <f>IF($A171="","",AF171+'Beállítások'!$E$36/1000)</f>
        <v/>
      </c>
      <c r="CP171">
        <f>IF($A171="","",AG171+'Beállítások'!$E$37/1000)</f>
        <v/>
      </c>
      <c r="CQ171">
        <f>IF($A171="","",AH171+'Beállítások'!$E$38/1000)</f>
        <v/>
      </c>
      <c r="CR171">
        <f>IF($A171="","",'Beállítások'!$E$6*(10-B171))</f>
        <v/>
      </c>
      <c r="CS171">
        <f>IF($A171="","",'Beállítások'!$E$7*(10-C171))</f>
        <v/>
      </c>
      <c r="CT171">
        <f>IF($A171="","",'Beállítások'!$E$8*(10-D171))</f>
        <v/>
      </c>
      <c r="CU171">
        <f>IF($A171="","",'Beállítások'!$E$9*(10-E171))</f>
        <v/>
      </c>
      <c r="CV171">
        <f>IF($A171="","",'Beállítások'!$E$10*(10-F171))</f>
        <v/>
      </c>
      <c r="CW171">
        <f>IF($A171="","",'Beállítások'!$E$11*(10-G171))</f>
        <v/>
      </c>
      <c r="CX171">
        <f>IF($A171="","",'Beállítások'!$E$12*(10-H171))</f>
        <v/>
      </c>
      <c r="CY171">
        <f>IF($A171="","",'Beállítások'!$E$13*(10-I171))</f>
        <v/>
      </c>
      <c r="CZ171">
        <f>IF($A171="","",'Beállítások'!$E$14*(10-J171))</f>
        <v/>
      </c>
      <c r="DA171">
        <f>IF($A171="","",'Beállítások'!$E$15*(10-K171))</f>
        <v/>
      </c>
      <c r="DB171">
        <f>IF($A171="","",'Beállítások'!$E$16*(10-L171))</f>
        <v/>
      </c>
      <c r="DC171">
        <f>IF($A171="","",'Beállítások'!$E$17*(10-M171))</f>
        <v/>
      </c>
      <c r="DD171">
        <f>IF($A171="","",'Beállítások'!$E$18*(10-N171))</f>
        <v/>
      </c>
      <c r="DE171">
        <f>IF($A171="","",'Beállítások'!$E$19*(10-O171))</f>
        <v/>
      </c>
      <c r="DF171">
        <f>IF($A171="","",'Beállítások'!$E$20*(10-P171))</f>
        <v/>
      </c>
      <c r="DG171">
        <f>IF($A171="","",'Beállítások'!$E$21*(10-Q171))</f>
        <v/>
      </c>
      <c r="DH171">
        <f>IF($A171="","",'Beállítások'!$E$22*(10-R171))</f>
        <v/>
      </c>
      <c r="DI171">
        <f>IF($A171="","",'Beállítások'!$E$23*(10-S171))</f>
        <v/>
      </c>
      <c r="DJ171">
        <f>IF($A171="","",'Beállítások'!$E$24*(10-T171))</f>
        <v/>
      </c>
      <c r="DK171">
        <f>IF($A171="","",'Beállítások'!$E$25*(10-U171))</f>
        <v/>
      </c>
      <c r="DL171">
        <f>IF($A171="","",'Beállítások'!$E$26*(10-V171))</f>
        <v/>
      </c>
      <c r="DM171">
        <f>IF($A171="","",'Beállítások'!$E$27*(10-W171))</f>
        <v/>
      </c>
      <c r="DN171">
        <f>IF($A171="","",'Beállítások'!$E$28*(10-X171))</f>
        <v/>
      </c>
      <c r="DO171">
        <f>IF($A171="","",'Beállítások'!$E$29*(10-Y171))</f>
        <v/>
      </c>
      <c r="DP171">
        <f>IF($A171="","",'Beállítások'!$E$30*(10-Z171))</f>
        <v/>
      </c>
      <c r="DQ171">
        <f>IF($A171="","",'Beállítások'!$E$31*(10-AA171))</f>
        <v/>
      </c>
      <c r="DR171">
        <f>IF($A171="","",'Beállítások'!$E$32*(10-AB171))</f>
        <v/>
      </c>
      <c r="DS171">
        <f>IF($A171="","",'Beállítások'!$E$33*(10-AC171))</f>
        <v/>
      </c>
      <c r="DT171">
        <f>IF($A171="","",'Beállítások'!$E$34*(10-AD171))</f>
        <v/>
      </c>
      <c r="DU171">
        <f>IF($A171="","",'Beállítások'!$E$35*(10-AE171))</f>
        <v/>
      </c>
      <c r="DV171">
        <f>IF($A171="","",'Beállítások'!$E$36*(10-AF171))</f>
        <v/>
      </c>
      <c r="DW171">
        <f>IF($A171="","",'Beállítások'!$E$37*(10-AG171))</f>
        <v/>
      </c>
      <c r="DX171">
        <f>IF($A171="","",'Beállítások'!$E$38*(10-AH171))</f>
        <v/>
      </c>
      <c r="DY171">
        <f>IF($A171="","",AM171-ROW()/100000)</f>
        <v/>
      </c>
    </row>
    <row r="172">
      <c r="A172">
        <f>IF('Ügyfelek'!A172="","",'Ügyfelek'!A172)</f>
        <v/>
      </c>
      <c r="B172">
        <f>IF($A172="","",IF('Ügyfelek'!B172="",'Beállítások'!$B$84,IFERROR(VLOOKUP(TRIM('Ügyfelek'!B172),'Beállítások'!$A$51:$B$59,2,FALSE),'Beállítások'!$B$84)))</f>
        <v/>
      </c>
      <c r="C172">
        <f>IF($A172="","",IF('Ügyfelek'!C172="",'Beállítások'!$B$84,MIN(10,MAX(1,ROUND('Ügyfelek'!C172,0)))))</f>
        <v/>
      </c>
      <c r="D172">
        <f>IF($A172="","",IF('Ügyfelek'!D172="",'Beállítások'!$B$84,MIN(10,MAX(1,ROUND('Ügyfelek'!D172,0)))))</f>
        <v/>
      </c>
      <c r="E172">
        <f>IF($A172="","",IF('Ügyfelek'!E172="",'Beállítások'!$B$84,MIN(10,MAX(1,ROUND('Ügyfelek'!E172,0)))))</f>
        <v/>
      </c>
      <c r="F172">
        <f>IF($A172="","",IF('Ügyfelek'!F172="",'Beállítások'!$B$84,MIN(10,MAX(1,ROUND('Ügyfelek'!F172,0)))))</f>
        <v/>
      </c>
      <c r="G172">
        <f>IF($A172="","",IF('Ügyfelek'!G172="",'Beállítások'!$B$84,MIN(10,MAX(1,ROUND('Ügyfelek'!G172,0)))))</f>
        <v/>
      </c>
      <c r="H172">
        <f>IF($A172="","",IF('Ügyfelek'!H172="",'Beállítások'!$B$84,MIN(10,MAX(1,ROUND('Ügyfelek'!H172,0)))))</f>
        <v/>
      </c>
      <c r="I172">
        <f>IF($A172="","",IF('Ügyfelek'!I172="",'Beállítások'!$B$84,MIN(10,MAX(1,ROUND('Ügyfelek'!I172,0)))))</f>
        <v/>
      </c>
      <c r="J172">
        <f>IF($A172="","",IF('Ügyfelek'!J172="",'Beállítások'!$B$84,MIN(10,MAX(1,ROUND('Ügyfelek'!J172,0)))))</f>
        <v/>
      </c>
      <c r="K172">
        <f>IF($A172="","",IF('Ügyfelek'!K172="",'Beállítások'!$B$84,MIN(10,MAX(1,ROUND('Ügyfelek'!K172,0)))))</f>
        <v/>
      </c>
      <c r="L172">
        <f>IF($A172="","",IF('Ügyfelek'!L172="",'Beállítások'!$B$84,MIN(10,MAX(1,ROUND('Ügyfelek'!L172,0)))))</f>
        <v/>
      </c>
      <c r="M172">
        <f>IF($A172="","",IF('Ügyfelek'!M172="",'Beállítások'!$B$84,MIN(10,MAX(1,ROUND('Ügyfelek'!M172,0)))))</f>
        <v/>
      </c>
      <c r="N172">
        <f>IF($A172="","",IF('Ügyfelek'!N172="",'Beállítások'!$B$84,MIN(10,MAX(1,ROUND('Ügyfelek'!N172,0)))))</f>
        <v/>
      </c>
      <c r="O172">
        <f>IF($A172="","",IF('Ügyfelek'!O172="",'Beállítások'!$B$84,MIN(10,MAX(1,ROUND('Ügyfelek'!O172,0)))))</f>
        <v/>
      </c>
      <c r="P172">
        <f>IF($A172="","",IF('Ügyfelek'!P172="",'Beállítások'!$B$84,MIN(10,MAX(1,ROUND('Ügyfelek'!P172,0)))))</f>
        <v/>
      </c>
      <c r="Q172">
        <f>IF($A172="","",IF('Ügyfelek'!Q172="",'Beállítások'!$B$84,MIN(10,MAX(1,ROUND('Ügyfelek'!Q172,0)))))</f>
        <v/>
      </c>
      <c r="R172">
        <f>IF($A172="","",IF('Ügyfelek'!R172="",'Beállítások'!$B$84,MIN(10,MAX(1,ROUND('Ügyfelek'!R172,0)))))</f>
        <v/>
      </c>
      <c r="S172">
        <f>IF($A172="","",IF('Ügyfelek'!S172="",'Beállítások'!$B$84,MIN(10,MAX(1,ROUND('Ügyfelek'!S172,0)))))</f>
        <v/>
      </c>
      <c r="T172">
        <f>IF($A172="","",IF('Ügyfelek'!T172="",'Beállítások'!$B$84,VLOOKUP(MAX('Ügyfelek'!T172,'Beállítások'!$H$7),'Beállítások'!$H$7:$I$12,2,TRUE)))</f>
        <v/>
      </c>
      <c r="U172">
        <f>IF($A172="","",IF('Ügyfelek'!U172="",'Beállítások'!$B$84,VLOOKUP(MAX('Ügyfelek'!U172,'Beállítások'!$K$7),'Beállítások'!$K$7:$L$12,2,TRUE)))</f>
        <v/>
      </c>
      <c r="V172">
        <f>IF($A172="","",IF('Ügyfelek'!V172="",'Beállítások'!$B$84,MIN(10,MAX(1,ROUND('Ügyfelek'!V172,0)))))</f>
        <v/>
      </c>
      <c r="W172">
        <f>IF($A172="","",IF('Ügyfelek'!W172="",'Beállítások'!$B$84,VLOOKUP(MAX('Ügyfelek'!W172,'Beállítások'!$N$7),'Beállítások'!$N$7:$O$12,2,TRUE)))</f>
        <v/>
      </c>
      <c r="X172">
        <f>IF($A172="","",IF('Ügyfelek'!X172="",'Beállítások'!$B$84,MIN(10,MAX(1,ROUND('Ügyfelek'!X172,0)))))</f>
        <v/>
      </c>
      <c r="Y172">
        <f>IF($A172="","",IF('Ügyfelek'!Y172="",'Beállítások'!$B$84,IFERROR(VLOOKUP(TRIM('Ügyfelek'!Y172),'Beállítások'!$A$63:$B$69,2,FALSE),'Beállítások'!$B$84)))</f>
        <v/>
      </c>
      <c r="Z172">
        <f>IF($A172="","",IF('Ügyfelek'!Z172="",'Beállítások'!$B$84,VLOOKUP(MAX('Ügyfelek'!Z172,'Beállítások'!$Q$7),'Beállítások'!$Q$7:$R$12,2,TRUE)))</f>
        <v/>
      </c>
      <c r="AA172">
        <f>IF($A172="","",IF('Ügyfelek'!AA172="",'Beállítások'!$B$84,VLOOKUP(MAX('Ügyfelek'!AA172,'Beállítások'!$T$7),'Beállítások'!$T$7:$U$12,2,TRUE)))</f>
        <v/>
      </c>
      <c r="AB172">
        <f>IF($A172="","",IF('Ügyfelek'!AB172="",'Beállítások'!$B$84,MIN(10,MAX(1,ROUND('Ügyfelek'!AB172,0)))))</f>
        <v/>
      </c>
      <c r="AC172">
        <f>IF($A172="","",IF('Ügyfelek'!AC172="",'Beállítások'!$B$84,MIN(10,MAX(1,ROUND('Ügyfelek'!AC172,0)))))</f>
        <v/>
      </c>
      <c r="AD172">
        <f>IF($A172="","",IF('Ügyfelek'!AD172="",'Beállítások'!$B$84,MIN(10,MAX(1,ROUND('Ügyfelek'!AD172,0)))))</f>
        <v/>
      </c>
      <c r="AE172">
        <f>IF($A172="","",IF('Ügyfelek'!AE172="",'Beállítások'!$B$84,MIN(10,MAX(1,ROUND('Ügyfelek'!AE172,0)))))</f>
        <v/>
      </c>
      <c r="AF172">
        <f>IF($A172="","",IF('Ügyfelek'!AF172="",'Beállítások'!$B$84,MIN(10,MAX(1,ROUND('Ügyfelek'!AF172,0)))))</f>
        <v/>
      </c>
      <c r="AG172">
        <f>IF($A172="","",IF('Ügyfelek'!AG172="",'Beállítások'!$B$84,MIN(10,MAX(1,ROUND('Ügyfelek'!AG172,0)))))</f>
        <v/>
      </c>
      <c r="AH172">
        <f>IF($A172="","",IF('Ügyfelek'!AH172="",'Beállítások'!$B$84,IFERROR(VLOOKUP(TRIM('Ügyfelek'!AH172),'Beállítások'!$A$73:$B$79,2,FALSE),'Beállítások'!$B$84)))</f>
        <v/>
      </c>
      <c r="AI172" s="23">
        <f>IF($A172="","",ROUND(100*('Beállítások'!$E$6*(B172-1)+'Beállítások'!$E$7*(C172-1))/(9*'Beállítások'!$B$43),1))</f>
        <v/>
      </c>
      <c r="AJ172" s="23">
        <f>IF($A172="","",ROUND(100*('Beállítások'!$E$8*(D172-1)+'Beállítások'!$E$9*(E172-1)+'Beállítások'!$E$10*(F172-1)+'Beállítások'!$E$11*(G172-1)+'Beállítások'!$E$12*(H172-1)+'Beállítások'!$E$13*(I172-1)+'Beállítások'!$E$14*(J172-1)+'Beállítások'!$E$15*(K172-1)+'Beállítások'!$E$16*(L172-1)+'Beállítások'!$E$17*(M172-1)+'Beállítások'!$E$18*(N172-1)+'Beállítások'!$E$19*(O172-1)+'Beállítások'!$E$20*(P172-1)+'Beállítások'!$E$21*(Q172-1)+'Beállítások'!$E$22*(R172-1))/(9*'Beállítások'!$B$44),1))</f>
        <v/>
      </c>
      <c r="AK172" s="23">
        <f>IF($A172="","",ROUND(100*('Beállítások'!$E$23*(S172-1)+'Beállítások'!$E$24*(T172-1)+'Beállítások'!$E$25*(U172-1)+'Beállítások'!$E$26*(V172-1)+'Beállítások'!$E$27*(W172-1)+'Beállítások'!$E$28*(X172-1)+'Beállítások'!$E$29*(Y172-1))/(9*'Beállítások'!$B$45),1))</f>
        <v/>
      </c>
      <c r="AL172" s="23">
        <f>IF($A172="","",ROUND(100*('Beállítások'!$E$30*(Z172-1)+'Beállítások'!$E$31*(AA172-1)+'Beállítások'!$E$32*(AB172-1)+'Beállítások'!$E$33*(AC172-1)+'Beállítások'!$E$34*(AD172-1)+'Beállítások'!$E$35*(AE172-1)+'Beállítások'!$E$36*(AF172-1)+'Beállítások'!$E$37*(AG172-1)+'Beállítások'!$E$38*(AH172-1))/(9*'Beállítások'!$B$46),1))</f>
        <v/>
      </c>
      <c r="AM172" s="23">
        <f>IF($A172="","",ROUND(100*('Beállítások'!$E$6*(B172-1)+'Beállítások'!$E$7*(C172-1)+'Beállítások'!$E$8*(D172-1)+'Beállítások'!$E$9*(E172-1)+'Beállítások'!$E$10*(F172-1)+'Beállítások'!$E$11*(G172-1)+'Beállítások'!$E$12*(H172-1)+'Beállítások'!$E$13*(I172-1)+'Beállítások'!$E$14*(J172-1)+'Beállítások'!$E$15*(K172-1)+'Beállítások'!$E$16*(L172-1)+'Beállítások'!$E$17*(M172-1)+'Beállítások'!$E$18*(N172-1)+'Beállítások'!$E$19*(O172-1)+'Beállítások'!$E$20*(P172-1)+'Beállítások'!$E$21*(Q172-1)+'Beállítások'!$E$22*(R172-1)+'Beállítások'!$E$23*(S172-1)+'Beállítások'!$E$24*(T172-1)+'Beállítások'!$E$25*(U172-1)+'Beállítások'!$E$26*(V172-1)+'Beállítások'!$E$27*(W172-1)+'Beállítások'!$E$28*(X172-1)+'Beállítások'!$E$29*(Y172-1)+'Beállítások'!$E$30*(Z172-1)+'Beállítások'!$E$31*(AA172-1)+'Beállítások'!$E$32*(AB172-1)+'Beállítások'!$E$33*(AC172-1)+'Beállítások'!$E$34*(AD172-1)+'Beállítások'!$E$35*(AE172-1)+'Beállítások'!$E$36*(AF172-1)+'Beállítások'!$E$37*(AG172-1)+'Beállítások'!$E$38*(AH172-1))/(9*'Beállítások'!$E$39),1))</f>
        <v/>
      </c>
      <c r="AN172" s="23">
        <f>IF($A172="","",ROUND(100*('Beállítások'!$E$8*(D172-1)+'Beállítások'!$E$9*(E172-1)+'Beállítások'!$E$10*(F172-1)+'Beállítások'!$E$11*(G172-1)+'Beállítások'!$E$12*(H172-1)+'Beállítások'!$E$13*(I172-1)+'Beállítások'!$E$14*(J172-1)+'Beállítások'!$E$15*(K172-1)+'Beállítások'!$E$16*(L172-1)+'Beállítások'!$E$17*(M172-1)+'Beállítások'!$E$18*(N172-1)+'Beállítások'!$E$19*(O172-1)+'Beállítások'!$E$20*(P172-1)+'Beállítások'!$E$21*(Q172-1)+'Beállítások'!$E$22*(R172-1)+'Beállítások'!$E$23*(S172-1)+'Beállítások'!$E$24*(T172-1)+'Beállítások'!$E$25*(U172-1)+'Beállítások'!$E$26*(V172-1)+'Beállítások'!$E$27*(W172-1)+'Beállítások'!$E$28*(X172-1)+'Beállítások'!$E$29*(Y172-1))/(9*('Beállítások'!$B$44+'Beállítások'!$B$45)),1))</f>
        <v/>
      </c>
      <c r="AO172" s="24">
        <f>IF($A172="","",RANK(AM172,$AM$2:$AM$201))</f>
        <v/>
      </c>
      <c r="AP172">
        <f>IF($A172="","",IF(OR(AND('Ügyfelek'!B172&lt;&gt;"",B172&lt;='Beállítások'!$B$85),AND('Ügyfelek'!C172&lt;&gt;"",C172&lt;='Beállítások'!$B$86)),"Igen","Nem"))</f>
        <v/>
      </c>
      <c r="AQ172" s="24">
        <f>IF($A172="","",IF(AP172="Igen",5,IF(AN172&gt;='Beállítások'!$C$108,1,IF(AN172&gt;='Beállítások'!$C$109,2,IF(AN172&gt;='Beállítások'!$C$110,3,IF(AND(AN172&gt;='Beállítások'!$B$87,AI172&gt;='Beállítások'!$B$88,AL172&gt;='Beállítások'!$B$89),4,5))))))</f>
        <v/>
      </c>
      <c r="AR172">
        <f>IF($A172="","",INDEX('Beállítások'!$B$108:$B$112,AQ172))</f>
        <v/>
      </c>
      <c r="AS172">
        <f>IF($A172="","",IF(AQ172=5,"Elutasítjuk",IF(AND(AQ172=4,COUNTIFS('Eredmény'!$AQ$2:$AQ$201,4,'Eredmény'!$DY$2:$DY$201,"&gt;"&amp;DY172)&gt;='Beállítások'!$B$90),"Várólista (a 4-es hely foglalt)","Elfogadjuk")))</f>
        <v/>
      </c>
      <c r="AT172">
        <f>IF($A172="","",INDEX('Beállítások'!$F$108:$F$112,AQ172))</f>
        <v/>
      </c>
      <c r="AU172">
        <f>IF($A172="","",INDEX('Beállítások'!$B$6:$B$38,MATCH(MAX(BK172:CQ172),BK172:CQ172,0)))</f>
        <v/>
      </c>
      <c r="AV172">
        <f>IF($A172="","",IF(MAX(CR172:DX172)=0,"—",INDEX('Beállítások'!$B$6:$B$38,MATCH(MAX(CR172:DX172),CR172:DX172,0))))</f>
        <v/>
      </c>
      <c r="AW172" s="10">
        <f>IF($A172="","",'Beállítások'!$B$94*(TRIM('Ügyfelek'!AI172)="igen")+'Beállítások'!$B$95*(TRIM('Ügyfelek'!AJ172)="igen")+'Beállítások'!$B$96*N('Ügyfelek'!AK172)+'Beállítások'!$B$93*N('Ügyfelek'!AL172))</f>
        <v/>
      </c>
      <c r="AX172" s="25">
        <f>IF(OR($A172="",AQ172=5),"",INDEX('Beállítások'!$D$108:$D$112,AQ172))</f>
        <v/>
      </c>
      <c r="AY172" s="10">
        <f>IF($A172="","",N('Ügyfelek'!U172)*'Beállítások'!$B$98)</f>
        <v/>
      </c>
      <c r="AZ172" s="10">
        <f>IF(OR($A172="",AQ172=5),"",CEILING(ROUND(MAX('Beállítások'!$B$97,AW172*AX172,AY172),2),'Beállítások'!$B$99))</f>
        <v/>
      </c>
      <c r="BA172">
        <f>IF($A172="","",IF(AQ172=5,"Elutasítva",IF(MAX('Beállítások'!$B$97,AW172*AX172,AY172)=AW172*AX172,"Munkaigény × státuszszorzó",IF(MAX('Beállítások'!$B$97,AW172*AX172,AY172)=AY172,"Hirdetési keret arányában","Minimumdíj"))))</f>
        <v/>
      </c>
      <c r="BB172" s="10">
        <f>IF(OR($A172="",'Ügyfelek'!AM172=""),"",'Ügyfelek'!AM172)</f>
        <v/>
      </c>
      <c r="BC172" s="10">
        <f>IF(OR(BB172="",AZ172=""),"",AZ172-BB172)</f>
        <v/>
      </c>
      <c r="BD172" s="18">
        <f>IF(OR(BB172="",AZ172="",BB172=0),"",BC172/BB172)</f>
        <v/>
      </c>
      <c r="BE172">
        <f>IF(OR($A172="",AQ172=5),"",IF(AND(INDEX('Beállítások'!$E$108:$E$112,AQ172)&gt;0,Y172&gt;='Beállítások'!$B$91),"Igen","Nem"))</f>
        <v/>
      </c>
      <c r="BF172" s="10">
        <f>IF(BE172="Igen",CEILING(ROUND(AZ172*(1-'Beállítások'!$B$92),2),'Beállítások'!$B$99),"")</f>
        <v/>
      </c>
      <c r="BG172" s="20">
        <f>IF(BE172="Igen",INDEX('Beállítások'!$E$108:$E$112,AQ172),"")</f>
        <v/>
      </c>
      <c r="BH172" s="10">
        <f>IF(OR(BE172&lt;&gt;"Igen",'Ügyfelek'!AN172=""),"",'Ügyfelek'!AN172*BG172)</f>
        <v/>
      </c>
      <c r="BI172" s="24">
        <f>IF($A172="","",('Ügyfelek'!B172="")+('Ügyfelek'!C172="")+('Ügyfelek'!D172="")+('Ügyfelek'!E172="")+('Ügyfelek'!F172="")+('Ügyfelek'!G172="")+('Ügyfelek'!H172="")+('Ügyfelek'!I172="")+('Ügyfelek'!J172="")+('Ügyfelek'!K172="")+('Ügyfelek'!L172="")+('Ügyfelek'!M172="")+('Ügyfelek'!N172="")+('Ügyfelek'!O172="")+('Ügyfelek'!P172="")+('Ügyfelek'!Q172="")+('Ügyfelek'!R172="")+('Ügyfelek'!S172="")+('Ügyfelek'!T172="")+('Ügyfelek'!U172="")+('Ügyfelek'!V172="")+('Ügyfelek'!W172="")+('Ügyfelek'!X172="")+('Ügyfelek'!Y172="")+('Ügyfelek'!Z172="")+('Ügyfelek'!AA172="")+('Ügyfelek'!AB172="")+('Ügyfelek'!AC172="")+('Ügyfelek'!AD172="")+('Ügyfelek'!AE172="")+('Ügyfelek'!AF172="")+('Ügyfelek'!AG172="")+('Ügyfelek'!AH172=""))</f>
        <v/>
      </c>
      <c r="BK172">
        <f>IF($A172="","",B172+'Beállítások'!$E$6/1000)</f>
        <v/>
      </c>
      <c r="BL172">
        <f>IF($A172="","",C172+'Beállítások'!$E$7/1000)</f>
        <v/>
      </c>
      <c r="BM172">
        <f>IF($A172="","",D172+'Beállítások'!$E$8/1000)</f>
        <v/>
      </c>
      <c r="BN172">
        <f>IF($A172="","",E172+'Beállítások'!$E$9/1000)</f>
        <v/>
      </c>
      <c r="BO172">
        <f>IF($A172="","",F172+'Beállítások'!$E$10/1000)</f>
        <v/>
      </c>
      <c r="BP172">
        <f>IF($A172="","",G172+'Beállítások'!$E$11/1000)</f>
        <v/>
      </c>
      <c r="BQ172">
        <f>IF($A172="","",H172+'Beállítások'!$E$12/1000)</f>
        <v/>
      </c>
      <c r="BR172">
        <f>IF($A172="","",I172+'Beállítások'!$E$13/1000)</f>
        <v/>
      </c>
      <c r="BS172">
        <f>IF($A172="","",J172+'Beállítások'!$E$14/1000)</f>
        <v/>
      </c>
      <c r="BT172">
        <f>IF($A172="","",K172+'Beállítások'!$E$15/1000)</f>
        <v/>
      </c>
      <c r="BU172">
        <f>IF($A172="","",L172+'Beállítások'!$E$16/1000)</f>
        <v/>
      </c>
      <c r="BV172">
        <f>IF($A172="","",M172+'Beállítások'!$E$17/1000)</f>
        <v/>
      </c>
      <c r="BW172">
        <f>IF($A172="","",N172+'Beállítások'!$E$18/1000)</f>
        <v/>
      </c>
      <c r="BX172">
        <f>IF($A172="","",O172+'Beállítások'!$E$19/1000)</f>
        <v/>
      </c>
      <c r="BY172">
        <f>IF($A172="","",P172+'Beállítások'!$E$20/1000)</f>
        <v/>
      </c>
      <c r="BZ172">
        <f>IF($A172="","",Q172+'Beállítások'!$E$21/1000)</f>
        <v/>
      </c>
      <c r="CA172">
        <f>IF($A172="","",R172+'Beállítások'!$E$22/1000)</f>
        <v/>
      </c>
      <c r="CB172">
        <f>IF($A172="","",S172+'Beállítások'!$E$23/1000)</f>
        <v/>
      </c>
      <c r="CC172">
        <f>IF($A172="","",T172+'Beállítások'!$E$24/1000)</f>
        <v/>
      </c>
      <c r="CD172">
        <f>IF($A172="","",U172+'Beállítások'!$E$25/1000)</f>
        <v/>
      </c>
      <c r="CE172">
        <f>IF($A172="","",V172+'Beállítások'!$E$26/1000)</f>
        <v/>
      </c>
      <c r="CF172">
        <f>IF($A172="","",W172+'Beállítások'!$E$27/1000)</f>
        <v/>
      </c>
      <c r="CG172">
        <f>IF($A172="","",X172+'Beállítások'!$E$28/1000)</f>
        <v/>
      </c>
      <c r="CH172">
        <f>IF($A172="","",Y172+'Beállítások'!$E$29/1000)</f>
        <v/>
      </c>
      <c r="CI172">
        <f>IF($A172="","",Z172+'Beállítások'!$E$30/1000)</f>
        <v/>
      </c>
      <c r="CJ172">
        <f>IF($A172="","",AA172+'Beállítások'!$E$31/1000)</f>
        <v/>
      </c>
      <c r="CK172">
        <f>IF($A172="","",AB172+'Beállítások'!$E$32/1000)</f>
        <v/>
      </c>
      <c r="CL172">
        <f>IF($A172="","",AC172+'Beállítások'!$E$33/1000)</f>
        <v/>
      </c>
      <c r="CM172">
        <f>IF($A172="","",AD172+'Beállítások'!$E$34/1000)</f>
        <v/>
      </c>
      <c r="CN172">
        <f>IF($A172="","",AE172+'Beállítások'!$E$35/1000)</f>
        <v/>
      </c>
      <c r="CO172">
        <f>IF($A172="","",AF172+'Beállítások'!$E$36/1000)</f>
        <v/>
      </c>
      <c r="CP172">
        <f>IF($A172="","",AG172+'Beállítások'!$E$37/1000)</f>
        <v/>
      </c>
      <c r="CQ172">
        <f>IF($A172="","",AH172+'Beállítások'!$E$38/1000)</f>
        <v/>
      </c>
      <c r="CR172">
        <f>IF($A172="","",'Beállítások'!$E$6*(10-B172))</f>
        <v/>
      </c>
      <c r="CS172">
        <f>IF($A172="","",'Beállítások'!$E$7*(10-C172))</f>
        <v/>
      </c>
      <c r="CT172">
        <f>IF($A172="","",'Beállítások'!$E$8*(10-D172))</f>
        <v/>
      </c>
      <c r="CU172">
        <f>IF($A172="","",'Beállítások'!$E$9*(10-E172))</f>
        <v/>
      </c>
      <c r="CV172">
        <f>IF($A172="","",'Beállítások'!$E$10*(10-F172))</f>
        <v/>
      </c>
      <c r="CW172">
        <f>IF($A172="","",'Beállítások'!$E$11*(10-G172))</f>
        <v/>
      </c>
      <c r="CX172">
        <f>IF($A172="","",'Beállítások'!$E$12*(10-H172))</f>
        <v/>
      </c>
      <c r="CY172">
        <f>IF($A172="","",'Beállítások'!$E$13*(10-I172))</f>
        <v/>
      </c>
      <c r="CZ172">
        <f>IF($A172="","",'Beállítások'!$E$14*(10-J172))</f>
        <v/>
      </c>
      <c r="DA172">
        <f>IF($A172="","",'Beállítások'!$E$15*(10-K172))</f>
        <v/>
      </c>
      <c r="DB172">
        <f>IF($A172="","",'Beállítások'!$E$16*(10-L172))</f>
        <v/>
      </c>
      <c r="DC172">
        <f>IF($A172="","",'Beállítások'!$E$17*(10-M172))</f>
        <v/>
      </c>
      <c r="DD172">
        <f>IF($A172="","",'Beállítások'!$E$18*(10-N172))</f>
        <v/>
      </c>
      <c r="DE172">
        <f>IF($A172="","",'Beállítások'!$E$19*(10-O172))</f>
        <v/>
      </c>
      <c r="DF172">
        <f>IF($A172="","",'Beállítások'!$E$20*(10-P172))</f>
        <v/>
      </c>
      <c r="DG172">
        <f>IF($A172="","",'Beállítások'!$E$21*(10-Q172))</f>
        <v/>
      </c>
      <c r="DH172">
        <f>IF($A172="","",'Beállítások'!$E$22*(10-R172))</f>
        <v/>
      </c>
      <c r="DI172">
        <f>IF($A172="","",'Beállítások'!$E$23*(10-S172))</f>
        <v/>
      </c>
      <c r="DJ172">
        <f>IF($A172="","",'Beállítások'!$E$24*(10-T172))</f>
        <v/>
      </c>
      <c r="DK172">
        <f>IF($A172="","",'Beállítások'!$E$25*(10-U172))</f>
        <v/>
      </c>
      <c r="DL172">
        <f>IF($A172="","",'Beállítások'!$E$26*(10-V172))</f>
        <v/>
      </c>
      <c r="DM172">
        <f>IF($A172="","",'Beállítások'!$E$27*(10-W172))</f>
        <v/>
      </c>
      <c r="DN172">
        <f>IF($A172="","",'Beállítások'!$E$28*(10-X172))</f>
        <v/>
      </c>
      <c r="DO172">
        <f>IF($A172="","",'Beállítások'!$E$29*(10-Y172))</f>
        <v/>
      </c>
      <c r="DP172">
        <f>IF($A172="","",'Beállítások'!$E$30*(10-Z172))</f>
        <v/>
      </c>
      <c r="DQ172">
        <f>IF($A172="","",'Beállítások'!$E$31*(10-AA172))</f>
        <v/>
      </c>
      <c r="DR172">
        <f>IF($A172="","",'Beállítások'!$E$32*(10-AB172))</f>
        <v/>
      </c>
      <c r="DS172">
        <f>IF($A172="","",'Beállítások'!$E$33*(10-AC172))</f>
        <v/>
      </c>
      <c r="DT172">
        <f>IF($A172="","",'Beállítások'!$E$34*(10-AD172))</f>
        <v/>
      </c>
      <c r="DU172">
        <f>IF($A172="","",'Beállítások'!$E$35*(10-AE172))</f>
        <v/>
      </c>
      <c r="DV172">
        <f>IF($A172="","",'Beállítások'!$E$36*(10-AF172))</f>
        <v/>
      </c>
      <c r="DW172">
        <f>IF($A172="","",'Beállítások'!$E$37*(10-AG172))</f>
        <v/>
      </c>
      <c r="DX172">
        <f>IF($A172="","",'Beállítások'!$E$38*(10-AH172))</f>
        <v/>
      </c>
      <c r="DY172">
        <f>IF($A172="","",AM172-ROW()/100000)</f>
        <v/>
      </c>
    </row>
    <row r="173">
      <c r="A173">
        <f>IF('Ügyfelek'!A173="","",'Ügyfelek'!A173)</f>
        <v/>
      </c>
      <c r="B173">
        <f>IF($A173="","",IF('Ügyfelek'!B173="",'Beállítások'!$B$84,IFERROR(VLOOKUP(TRIM('Ügyfelek'!B173),'Beállítások'!$A$51:$B$59,2,FALSE),'Beállítások'!$B$84)))</f>
        <v/>
      </c>
      <c r="C173">
        <f>IF($A173="","",IF('Ügyfelek'!C173="",'Beállítások'!$B$84,MIN(10,MAX(1,ROUND('Ügyfelek'!C173,0)))))</f>
        <v/>
      </c>
      <c r="D173">
        <f>IF($A173="","",IF('Ügyfelek'!D173="",'Beállítások'!$B$84,MIN(10,MAX(1,ROUND('Ügyfelek'!D173,0)))))</f>
        <v/>
      </c>
      <c r="E173">
        <f>IF($A173="","",IF('Ügyfelek'!E173="",'Beállítások'!$B$84,MIN(10,MAX(1,ROUND('Ügyfelek'!E173,0)))))</f>
        <v/>
      </c>
      <c r="F173">
        <f>IF($A173="","",IF('Ügyfelek'!F173="",'Beállítások'!$B$84,MIN(10,MAX(1,ROUND('Ügyfelek'!F173,0)))))</f>
        <v/>
      </c>
      <c r="G173">
        <f>IF($A173="","",IF('Ügyfelek'!G173="",'Beállítások'!$B$84,MIN(10,MAX(1,ROUND('Ügyfelek'!G173,0)))))</f>
        <v/>
      </c>
      <c r="H173">
        <f>IF($A173="","",IF('Ügyfelek'!H173="",'Beállítások'!$B$84,MIN(10,MAX(1,ROUND('Ügyfelek'!H173,0)))))</f>
        <v/>
      </c>
      <c r="I173">
        <f>IF($A173="","",IF('Ügyfelek'!I173="",'Beállítások'!$B$84,MIN(10,MAX(1,ROUND('Ügyfelek'!I173,0)))))</f>
        <v/>
      </c>
      <c r="J173">
        <f>IF($A173="","",IF('Ügyfelek'!J173="",'Beállítások'!$B$84,MIN(10,MAX(1,ROUND('Ügyfelek'!J173,0)))))</f>
        <v/>
      </c>
      <c r="K173">
        <f>IF($A173="","",IF('Ügyfelek'!K173="",'Beállítások'!$B$84,MIN(10,MAX(1,ROUND('Ügyfelek'!K173,0)))))</f>
        <v/>
      </c>
      <c r="L173">
        <f>IF($A173="","",IF('Ügyfelek'!L173="",'Beállítások'!$B$84,MIN(10,MAX(1,ROUND('Ügyfelek'!L173,0)))))</f>
        <v/>
      </c>
      <c r="M173">
        <f>IF($A173="","",IF('Ügyfelek'!M173="",'Beállítások'!$B$84,MIN(10,MAX(1,ROUND('Ügyfelek'!M173,0)))))</f>
        <v/>
      </c>
      <c r="N173">
        <f>IF($A173="","",IF('Ügyfelek'!N173="",'Beállítások'!$B$84,MIN(10,MAX(1,ROUND('Ügyfelek'!N173,0)))))</f>
        <v/>
      </c>
      <c r="O173">
        <f>IF($A173="","",IF('Ügyfelek'!O173="",'Beállítások'!$B$84,MIN(10,MAX(1,ROUND('Ügyfelek'!O173,0)))))</f>
        <v/>
      </c>
      <c r="P173">
        <f>IF($A173="","",IF('Ügyfelek'!P173="",'Beállítások'!$B$84,MIN(10,MAX(1,ROUND('Ügyfelek'!P173,0)))))</f>
        <v/>
      </c>
      <c r="Q173">
        <f>IF($A173="","",IF('Ügyfelek'!Q173="",'Beállítások'!$B$84,MIN(10,MAX(1,ROUND('Ügyfelek'!Q173,0)))))</f>
        <v/>
      </c>
      <c r="R173">
        <f>IF($A173="","",IF('Ügyfelek'!R173="",'Beállítások'!$B$84,MIN(10,MAX(1,ROUND('Ügyfelek'!R173,0)))))</f>
        <v/>
      </c>
      <c r="S173">
        <f>IF($A173="","",IF('Ügyfelek'!S173="",'Beállítások'!$B$84,MIN(10,MAX(1,ROUND('Ügyfelek'!S173,0)))))</f>
        <v/>
      </c>
      <c r="T173">
        <f>IF($A173="","",IF('Ügyfelek'!T173="",'Beállítások'!$B$84,VLOOKUP(MAX('Ügyfelek'!T173,'Beállítások'!$H$7),'Beállítások'!$H$7:$I$12,2,TRUE)))</f>
        <v/>
      </c>
      <c r="U173">
        <f>IF($A173="","",IF('Ügyfelek'!U173="",'Beállítások'!$B$84,VLOOKUP(MAX('Ügyfelek'!U173,'Beállítások'!$K$7),'Beállítások'!$K$7:$L$12,2,TRUE)))</f>
        <v/>
      </c>
      <c r="V173">
        <f>IF($A173="","",IF('Ügyfelek'!V173="",'Beállítások'!$B$84,MIN(10,MAX(1,ROUND('Ügyfelek'!V173,0)))))</f>
        <v/>
      </c>
      <c r="W173">
        <f>IF($A173="","",IF('Ügyfelek'!W173="",'Beállítások'!$B$84,VLOOKUP(MAX('Ügyfelek'!W173,'Beállítások'!$N$7),'Beállítások'!$N$7:$O$12,2,TRUE)))</f>
        <v/>
      </c>
      <c r="X173">
        <f>IF($A173="","",IF('Ügyfelek'!X173="",'Beállítások'!$B$84,MIN(10,MAX(1,ROUND('Ügyfelek'!X173,0)))))</f>
        <v/>
      </c>
      <c r="Y173">
        <f>IF($A173="","",IF('Ügyfelek'!Y173="",'Beállítások'!$B$84,IFERROR(VLOOKUP(TRIM('Ügyfelek'!Y173),'Beállítások'!$A$63:$B$69,2,FALSE),'Beállítások'!$B$84)))</f>
        <v/>
      </c>
      <c r="Z173">
        <f>IF($A173="","",IF('Ügyfelek'!Z173="",'Beállítások'!$B$84,VLOOKUP(MAX('Ügyfelek'!Z173,'Beállítások'!$Q$7),'Beállítások'!$Q$7:$R$12,2,TRUE)))</f>
        <v/>
      </c>
      <c r="AA173">
        <f>IF($A173="","",IF('Ügyfelek'!AA173="",'Beállítások'!$B$84,VLOOKUP(MAX('Ügyfelek'!AA173,'Beállítások'!$T$7),'Beállítások'!$T$7:$U$12,2,TRUE)))</f>
        <v/>
      </c>
      <c r="AB173">
        <f>IF($A173="","",IF('Ügyfelek'!AB173="",'Beállítások'!$B$84,MIN(10,MAX(1,ROUND('Ügyfelek'!AB173,0)))))</f>
        <v/>
      </c>
      <c r="AC173">
        <f>IF($A173="","",IF('Ügyfelek'!AC173="",'Beállítások'!$B$84,MIN(10,MAX(1,ROUND('Ügyfelek'!AC173,0)))))</f>
        <v/>
      </c>
      <c r="AD173">
        <f>IF($A173="","",IF('Ügyfelek'!AD173="",'Beállítások'!$B$84,MIN(10,MAX(1,ROUND('Ügyfelek'!AD173,0)))))</f>
        <v/>
      </c>
      <c r="AE173">
        <f>IF($A173="","",IF('Ügyfelek'!AE173="",'Beállítások'!$B$84,MIN(10,MAX(1,ROUND('Ügyfelek'!AE173,0)))))</f>
        <v/>
      </c>
      <c r="AF173">
        <f>IF($A173="","",IF('Ügyfelek'!AF173="",'Beállítások'!$B$84,MIN(10,MAX(1,ROUND('Ügyfelek'!AF173,0)))))</f>
        <v/>
      </c>
      <c r="AG173">
        <f>IF($A173="","",IF('Ügyfelek'!AG173="",'Beállítások'!$B$84,MIN(10,MAX(1,ROUND('Ügyfelek'!AG173,0)))))</f>
        <v/>
      </c>
      <c r="AH173">
        <f>IF($A173="","",IF('Ügyfelek'!AH173="",'Beállítások'!$B$84,IFERROR(VLOOKUP(TRIM('Ügyfelek'!AH173),'Beállítások'!$A$73:$B$79,2,FALSE),'Beállítások'!$B$84)))</f>
        <v/>
      </c>
      <c r="AI173" s="23">
        <f>IF($A173="","",ROUND(100*('Beállítások'!$E$6*(B173-1)+'Beállítások'!$E$7*(C173-1))/(9*'Beállítások'!$B$43),1))</f>
        <v/>
      </c>
      <c r="AJ173" s="23">
        <f>IF($A173="","",ROUND(100*('Beállítások'!$E$8*(D173-1)+'Beállítások'!$E$9*(E173-1)+'Beállítások'!$E$10*(F173-1)+'Beállítások'!$E$11*(G173-1)+'Beállítások'!$E$12*(H173-1)+'Beállítások'!$E$13*(I173-1)+'Beállítások'!$E$14*(J173-1)+'Beállítások'!$E$15*(K173-1)+'Beállítások'!$E$16*(L173-1)+'Beállítások'!$E$17*(M173-1)+'Beállítások'!$E$18*(N173-1)+'Beállítások'!$E$19*(O173-1)+'Beállítások'!$E$20*(P173-1)+'Beállítások'!$E$21*(Q173-1)+'Beállítások'!$E$22*(R173-1))/(9*'Beállítások'!$B$44),1))</f>
        <v/>
      </c>
      <c r="AK173" s="23">
        <f>IF($A173="","",ROUND(100*('Beállítások'!$E$23*(S173-1)+'Beállítások'!$E$24*(T173-1)+'Beállítások'!$E$25*(U173-1)+'Beállítások'!$E$26*(V173-1)+'Beállítások'!$E$27*(W173-1)+'Beállítások'!$E$28*(X173-1)+'Beállítások'!$E$29*(Y173-1))/(9*'Beállítások'!$B$45),1))</f>
        <v/>
      </c>
      <c r="AL173" s="23">
        <f>IF($A173="","",ROUND(100*('Beállítások'!$E$30*(Z173-1)+'Beállítások'!$E$31*(AA173-1)+'Beállítások'!$E$32*(AB173-1)+'Beállítások'!$E$33*(AC173-1)+'Beállítások'!$E$34*(AD173-1)+'Beállítások'!$E$35*(AE173-1)+'Beállítások'!$E$36*(AF173-1)+'Beállítások'!$E$37*(AG173-1)+'Beállítások'!$E$38*(AH173-1))/(9*'Beállítások'!$B$46),1))</f>
        <v/>
      </c>
      <c r="AM173" s="23">
        <f>IF($A173="","",ROUND(100*('Beállítások'!$E$6*(B173-1)+'Beállítások'!$E$7*(C173-1)+'Beállítások'!$E$8*(D173-1)+'Beállítások'!$E$9*(E173-1)+'Beállítások'!$E$10*(F173-1)+'Beállítások'!$E$11*(G173-1)+'Beállítások'!$E$12*(H173-1)+'Beállítások'!$E$13*(I173-1)+'Beállítások'!$E$14*(J173-1)+'Beállítások'!$E$15*(K173-1)+'Beállítások'!$E$16*(L173-1)+'Beállítások'!$E$17*(M173-1)+'Beállítások'!$E$18*(N173-1)+'Beállítások'!$E$19*(O173-1)+'Beállítások'!$E$20*(P173-1)+'Beállítások'!$E$21*(Q173-1)+'Beállítások'!$E$22*(R173-1)+'Beállítások'!$E$23*(S173-1)+'Beállítások'!$E$24*(T173-1)+'Beállítások'!$E$25*(U173-1)+'Beállítások'!$E$26*(V173-1)+'Beállítások'!$E$27*(W173-1)+'Beállítások'!$E$28*(X173-1)+'Beállítások'!$E$29*(Y173-1)+'Beállítások'!$E$30*(Z173-1)+'Beállítások'!$E$31*(AA173-1)+'Beállítások'!$E$32*(AB173-1)+'Beállítások'!$E$33*(AC173-1)+'Beállítások'!$E$34*(AD173-1)+'Beállítások'!$E$35*(AE173-1)+'Beállítások'!$E$36*(AF173-1)+'Beállítások'!$E$37*(AG173-1)+'Beállítások'!$E$38*(AH173-1))/(9*'Beállítások'!$E$39),1))</f>
        <v/>
      </c>
      <c r="AN173" s="23">
        <f>IF($A173="","",ROUND(100*('Beállítások'!$E$8*(D173-1)+'Beállítások'!$E$9*(E173-1)+'Beállítások'!$E$10*(F173-1)+'Beállítások'!$E$11*(G173-1)+'Beállítások'!$E$12*(H173-1)+'Beállítások'!$E$13*(I173-1)+'Beállítások'!$E$14*(J173-1)+'Beállítások'!$E$15*(K173-1)+'Beállítások'!$E$16*(L173-1)+'Beállítások'!$E$17*(M173-1)+'Beállítások'!$E$18*(N173-1)+'Beállítások'!$E$19*(O173-1)+'Beállítások'!$E$20*(P173-1)+'Beállítások'!$E$21*(Q173-1)+'Beállítások'!$E$22*(R173-1)+'Beállítások'!$E$23*(S173-1)+'Beállítások'!$E$24*(T173-1)+'Beállítások'!$E$25*(U173-1)+'Beállítások'!$E$26*(V173-1)+'Beállítások'!$E$27*(W173-1)+'Beállítások'!$E$28*(X173-1)+'Beállítások'!$E$29*(Y173-1))/(9*('Beállítások'!$B$44+'Beállítások'!$B$45)),1))</f>
        <v/>
      </c>
      <c r="AO173" s="24">
        <f>IF($A173="","",RANK(AM173,$AM$2:$AM$201))</f>
        <v/>
      </c>
      <c r="AP173">
        <f>IF($A173="","",IF(OR(AND('Ügyfelek'!B173&lt;&gt;"",B173&lt;='Beállítások'!$B$85),AND('Ügyfelek'!C173&lt;&gt;"",C173&lt;='Beállítások'!$B$86)),"Igen","Nem"))</f>
        <v/>
      </c>
      <c r="AQ173" s="24">
        <f>IF($A173="","",IF(AP173="Igen",5,IF(AN173&gt;='Beállítások'!$C$108,1,IF(AN173&gt;='Beállítások'!$C$109,2,IF(AN173&gt;='Beállítások'!$C$110,3,IF(AND(AN173&gt;='Beállítások'!$B$87,AI173&gt;='Beállítások'!$B$88,AL173&gt;='Beállítások'!$B$89),4,5))))))</f>
        <v/>
      </c>
      <c r="AR173">
        <f>IF($A173="","",INDEX('Beállítások'!$B$108:$B$112,AQ173))</f>
        <v/>
      </c>
      <c r="AS173">
        <f>IF($A173="","",IF(AQ173=5,"Elutasítjuk",IF(AND(AQ173=4,COUNTIFS('Eredmény'!$AQ$2:$AQ$201,4,'Eredmény'!$DY$2:$DY$201,"&gt;"&amp;DY173)&gt;='Beállítások'!$B$90),"Várólista (a 4-es hely foglalt)","Elfogadjuk")))</f>
        <v/>
      </c>
      <c r="AT173">
        <f>IF($A173="","",INDEX('Beállítások'!$F$108:$F$112,AQ173))</f>
        <v/>
      </c>
      <c r="AU173">
        <f>IF($A173="","",INDEX('Beállítások'!$B$6:$B$38,MATCH(MAX(BK173:CQ173),BK173:CQ173,0)))</f>
        <v/>
      </c>
      <c r="AV173">
        <f>IF($A173="","",IF(MAX(CR173:DX173)=0,"—",INDEX('Beállítások'!$B$6:$B$38,MATCH(MAX(CR173:DX173),CR173:DX173,0))))</f>
        <v/>
      </c>
      <c r="AW173" s="10">
        <f>IF($A173="","",'Beállítások'!$B$94*(TRIM('Ügyfelek'!AI173)="igen")+'Beállítások'!$B$95*(TRIM('Ügyfelek'!AJ173)="igen")+'Beállítások'!$B$96*N('Ügyfelek'!AK173)+'Beállítások'!$B$93*N('Ügyfelek'!AL173))</f>
        <v/>
      </c>
      <c r="AX173" s="25">
        <f>IF(OR($A173="",AQ173=5),"",INDEX('Beállítások'!$D$108:$D$112,AQ173))</f>
        <v/>
      </c>
      <c r="AY173" s="10">
        <f>IF($A173="","",N('Ügyfelek'!U173)*'Beállítások'!$B$98)</f>
        <v/>
      </c>
      <c r="AZ173" s="10">
        <f>IF(OR($A173="",AQ173=5),"",CEILING(ROUND(MAX('Beállítások'!$B$97,AW173*AX173,AY173),2),'Beállítások'!$B$99))</f>
        <v/>
      </c>
      <c r="BA173">
        <f>IF($A173="","",IF(AQ173=5,"Elutasítva",IF(MAX('Beállítások'!$B$97,AW173*AX173,AY173)=AW173*AX173,"Munkaigény × státuszszorzó",IF(MAX('Beállítások'!$B$97,AW173*AX173,AY173)=AY173,"Hirdetési keret arányában","Minimumdíj"))))</f>
        <v/>
      </c>
      <c r="BB173" s="10">
        <f>IF(OR($A173="",'Ügyfelek'!AM173=""),"",'Ügyfelek'!AM173)</f>
        <v/>
      </c>
      <c r="BC173" s="10">
        <f>IF(OR(BB173="",AZ173=""),"",AZ173-BB173)</f>
        <v/>
      </c>
      <c r="BD173" s="18">
        <f>IF(OR(BB173="",AZ173="",BB173=0),"",BC173/BB173)</f>
        <v/>
      </c>
      <c r="BE173">
        <f>IF(OR($A173="",AQ173=5),"",IF(AND(INDEX('Beállítások'!$E$108:$E$112,AQ173)&gt;0,Y173&gt;='Beállítások'!$B$91),"Igen","Nem"))</f>
        <v/>
      </c>
      <c r="BF173" s="10">
        <f>IF(BE173="Igen",CEILING(ROUND(AZ173*(1-'Beállítások'!$B$92),2),'Beállítások'!$B$99),"")</f>
        <v/>
      </c>
      <c r="BG173" s="20">
        <f>IF(BE173="Igen",INDEX('Beállítások'!$E$108:$E$112,AQ173),"")</f>
        <v/>
      </c>
      <c r="BH173" s="10">
        <f>IF(OR(BE173&lt;&gt;"Igen",'Ügyfelek'!AN173=""),"",'Ügyfelek'!AN173*BG173)</f>
        <v/>
      </c>
      <c r="BI173" s="24">
        <f>IF($A173="","",('Ügyfelek'!B173="")+('Ügyfelek'!C173="")+('Ügyfelek'!D173="")+('Ügyfelek'!E173="")+('Ügyfelek'!F173="")+('Ügyfelek'!G173="")+('Ügyfelek'!H173="")+('Ügyfelek'!I173="")+('Ügyfelek'!J173="")+('Ügyfelek'!K173="")+('Ügyfelek'!L173="")+('Ügyfelek'!M173="")+('Ügyfelek'!N173="")+('Ügyfelek'!O173="")+('Ügyfelek'!P173="")+('Ügyfelek'!Q173="")+('Ügyfelek'!R173="")+('Ügyfelek'!S173="")+('Ügyfelek'!T173="")+('Ügyfelek'!U173="")+('Ügyfelek'!V173="")+('Ügyfelek'!W173="")+('Ügyfelek'!X173="")+('Ügyfelek'!Y173="")+('Ügyfelek'!Z173="")+('Ügyfelek'!AA173="")+('Ügyfelek'!AB173="")+('Ügyfelek'!AC173="")+('Ügyfelek'!AD173="")+('Ügyfelek'!AE173="")+('Ügyfelek'!AF173="")+('Ügyfelek'!AG173="")+('Ügyfelek'!AH173=""))</f>
        <v/>
      </c>
      <c r="BK173">
        <f>IF($A173="","",B173+'Beállítások'!$E$6/1000)</f>
        <v/>
      </c>
      <c r="BL173">
        <f>IF($A173="","",C173+'Beállítások'!$E$7/1000)</f>
        <v/>
      </c>
      <c r="BM173">
        <f>IF($A173="","",D173+'Beállítások'!$E$8/1000)</f>
        <v/>
      </c>
      <c r="BN173">
        <f>IF($A173="","",E173+'Beállítások'!$E$9/1000)</f>
        <v/>
      </c>
      <c r="BO173">
        <f>IF($A173="","",F173+'Beállítások'!$E$10/1000)</f>
        <v/>
      </c>
      <c r="BP173">
        <f>IF($A173="","",G173+'Beállítások'!$E$11/1000)</f>
        <v/>
      </c>
      <c r="BQ173">
        <f>IF($A173="","",H173+'Beállítások'!$E$12/1000)</f>
        <v/>
      </c>
      <c r="BR173">
        <f>IF($A173="","",I173+'Beállítások'!$E$13/1000)</f>
        <v/>
      </c>
      <c r="BS173">
        <f>IF($A173="","",J173+'Beállítások'!$E$14/1000)</f>
        <v/>
      </c>
      <c r="BT173">
        <f>IF($A173="","",K173+'Beállítások'!$E$15/1000)</f>
        <v/>
      </c>
      <c r="BU173">
        <f>IF($A173="","",L173+'Beállítások'!$E$16/1000)</f>
        <v/>
      </c>
      <c r="BV173">
        <f>IF($A173="","",M173+'Beállítások'!$E$17/1000)</f>
        <v/>
      </c>
      <c r="BW173">
        <f>IF($A173="","",N173+'Beállítások'!$E$18/1000)</f>
        <v/>
      </c>
      <c r="BX173">
        <f>IF($A173="","",O173+'Beállítások'!$E$19/1000)</f>
        <v/>
      </c>
      <c r="BY173">
        <f>IF($A173="","",P173+'Beállítások'!$E$20/1000)</f>
        <v/>
      </c>
      <c r="BZ173">
        <f>IF($A173="","",Q173+'Beállítások'!$E$21/1000)</f>
        <v/>
      </c>
      <c r="CA173">
        <f>IF($A173="","",R173+'Beállítások'!$E$22/1000)</f>
        <v/>
      </c>
      <c r="CB173">
        <f>IF($A173="","",S173+'Beállítások'!$E$23/1000)</f>
        <v/>
      </c>
      <c r="CC173">
        <f>IF($A173="","",T173+'Beállítások'!$E$24/1000)</f>
        <v/>
      </c>
      <c r="CD173">
        <f>IF($A173="","",U173+'Beállítások'!$E$25/1000)</f>
        <v/>
      </c>
      <c r="CE173">
        <f>IF($A173="","",V173+'Beállítások'!$E$26/1000)</f>
        <v/>
      </c>
      <c r="CF173">
        <f>IF($A173="","",W173+'Beállítások'!$E$27/1000)</f>
        <v/>
      </c>
      <c r="CG173">
        <f>IF($A173="","",X173+'Beállítások'!$E$28/1000)</f>
        <v/>
      </c>
      <c r="CH173">
        <f>IF($A173="","",Y173+'Beállítások'!$E$29/1000)</f>
        <v/>
      </c>
      <c r="CI173">
        <f>IF($A173="","",Z173+'Beállítások'!$E$30/1000)</f>
        <v/>
      </c>
      <c r="CJ173">
        <f>IF($A173="","",AA173+'Beállítások'!$E$31/1000)</f>
        <v/>
      </c>
      <c r="CK173">
        <f>IF($A173="","",AB173+'Beállítások'!$E$32/1000)</f>
        <v/>
      </c>
      <c r="CL173">
        <f>IF($A173="","",AC173+'Beállítások'!$E$33/1000)</f>
        <v/>
      </c>
      <c r="CM173">
        <f>IF($A173="","",AD173+'Beállítások'!$E$34/1000)</f>
        <v/>
      </c>
      <c r="CN173">
        <f>IF($A173="","",AE173+'Beállítások'!$E$35/1000)</f>
        <v/>
      </c>
      <c r="CO173">
        <f>IF($A173="","",AF173+'Beállítások'!$E$36/1000)</f>
        <v/>
      </c>
      <c r="CP173">
        <f>IF($A173="","",AG173+'Beállítások'!$E$37/1000)</f>
        <v/>
      </c>
      <c r="CQ173">
        <f>IF($A173="","",AH173+'Beállítások'!$E$38/1000)</f>
        <v/>
      </c>
      <c r="CR173">
        <f>IF($A173="","",'Beállítások'!$E$6*(10-B173))</f>
        <v/>
      </c>
      <c r="CS173">
        <f>IF($A173="","",'Beállítások'!$E$7*(10-C173))</f>
        <v/>
      </c>
      <c r="CT173">
        <f>IF($A173="","",'Beállítások'!$E$8*(10-D173))</f>
        <v/>
      </c>
      <c r="CU173">
        <f>IF($A173="","",'Beállítások'!$E$9*(10-E173))</f>
        <v/>
      </c>
      <c r="CV173">
        <f>IF($A173="","",'Beállítások'!$E$10*(10-F173))</f>
        <v/>
      </c>
      <c r="CW173">
        <f>IF($A173="","",'Beállítások'!$E$11*(10-G173))</f>
        <v/>
      </c>
      <c r="CX173">
        <f>IF($A173="","",'Beállítások'!$E$12*(10-H173))</f>
        <v/>
      </c>
      <c r="CY173">
        <f>IF($A173="","",'Beállítások'!$E$13*(10-I173))</f>
        <v/>
      </c>
      <c r="CZ173">
        <f>IF($A173="","",'Beállítások'!$E$14*(10-J173))</f>
        <v/>
      </c>
      <c r="DA173">
        <f>IF($A173="","",'Beállítások'!$E$15*(10-K173))</f>
        <v/>
      </c>
      <c r="DB173">
        <f>IF($A173="","",'Beállítások'!$E$16*(10-L173))</f>
        <v/>
      </c>
      <c r="DC173">
        <f>IF($A173="","",'Beállítások'!$E$17*(10-M173))</f>
        <v/>
      </c>
      <c r="DD173">
        <f>IF($A173="","",'Beállítások'!$E$18*(10-N173))</f>
        <v/>
      </c>
      <c r="DE173">
        <f>IF($A173="","",'Beállítások'!$E$19*(10-O173))</f>
        <v/>
      </c>
      <c r="DF173">
        <f>IF($A173="","",'Beállítások'!$E$20*(10-P173))</f>
        <v/>
      </c>
      <c r="DG173">
        <f>IF($A173="","",'Beállítások'!$E$21*(10-Q173))</f>
        <v/>
      </c>
      <c r="DH173">
        <f>IF($A173="","",'Beállítások'!$E$22*(10-R173))</f>
        <v/>
      </c>
      <c r="DI173">
        <f>IF($A173="","",'Beállítások'!$E$23*(10-S173))</f>
        <v/>
      </c>
      <c r="DJ173">
        <f>IF($A173="","",'Beállítások'!$E$24*(10-T173))</f>
        <v/>
      </c>
      <c r="DK173">
        <f>IF($A173="","",'Beállítások'!$E$25*(10-U173))</f>
        <v/>
      </c>
      <c r="DL173">
        <f>IF($A173="","",'Beállítások'!$E$26*(10-V173))</f>
        <v/>
      </c>
      <c r="DM173">
        <f>IF($A173="","",'Beállítások'!$E$27*(10-W173))</f>
        <v/>
      </c>
      <c r="DN173">
        <f>IF($A173="","",'Beállítások'!$E$28*(10-X173))</f>
        <v/>
      </c>
      <c r="DO173">
        <f>IF($A173="","",'Beállítások'!$E$29*(10-Y173))</f>
        <v/>
      </c>
      <c r="DP173">
        <f>IF($A173="","",'Beállítások'!$E$30*(10-Z173))</f>
        <v/>
      </c>
      <c r="DQ173">
        <f>IF($A173="","",'Beállítások'!$E$31*(10-AA173))</f>
        <v/>
      </c>
      <c r="DR173">
        <f>IF($A173="","",'Beállítások'!$E$32*(10-AB173))</f>
        <v/>
      </c>
      <c r="DS173">
        <f>IF($A173="","",'Beállítások'!$E$33*(10-AC173))</f>
        <v/>
      </c>
      <c r="DT173">
        <f>IF($A173="","",'Beállítások'!$E$34*(10-AD173))</f>
        <v/>
      </c>
      <c r="DU173">
        <f>IF($A173="","",'Beállítások'!$E$35*(10-AE173))</f>
        <v/>
      </c>
      <c r="DV173">
        <f>IF($A173="","",'Beállítások'!$E$36*(10-AF173))</f>
        <v/>
      </c>
      <c r="DW173">
        <f>IF($A173="","",'Beállítások'!$E$37*(10-AG173))</f>
        <v/>
      </c>
      <c r="DX173">
        <f>IF($A173="","",'Beállítások'!$E$38*(10-AH173))</f>
        <v/>
      </c>
      <c r="DY173">
        <f>IF($A173="","",AM173-ROW()/100000)</f>
        <v/>
      </c>
    </row>
    <row r="174">
      <c r="A174">
        <f>IF('Ügyfelek'!A174="","",'Ügyfelek'!A174)</f>
        <v/>
      </c>
      <c r="B174">
        <f>IF($A174="","",IF('Ügyfelek'!B174="",'Beállítások'!$B$84,IFERROR(VLOOKUP(TRIM('Ügyfelek'!B174),'Beállítások'!$A$51:$B$59,2,FALSE),'Beállítások'!$B$84)))</f>
        <v/>
      </c>
      <c r="C174">
        <f>IF($A174="","",IF('Ügyfelek'!C174="",'Beállítások'!$B$84,MIN(10,MAX(1,ROUND('Ügyfelek'!C174,0)))))</f>
        <v/>
      </c>
      <c r="D174">
        <f>IF($A174="","",IF('Ügyfelek'!D174="",'Beállítások'!$B$84,MIN(10,MAX(1,ROUND('Ügyfelek'!D174,0)))))</f>
        <v/>
      </c>
      <c r="E174">
        <f>IF($A174="","",IF('Ügyfelek'!E174="",'Beállítások'!$B$84,MIN(10,MAX(1,ROUND('Ügyfelek'!E174,0)))))</f>
        <v/>
      </c>
      <c r="F174">
        <f>IF($A174="","",IF('Ügyfelek'!F174="",'Beállítások'!$B$84,MIN(10,MAX(1,ROUND('Ügyfelek'!F174,0)))))</f>
        <v/>
      </c>
      <c r="G174">
        <f>IF($A174="","",IF('Ügyfelek'!G174="",'Beállítások'!$B$84,MIN(10,MAX(1,ROUND('Ügyfelek'!G174,0)))))</f>
        <v/>
      </c>
      <c r="H174">
        <f>IF($A174="","",IF('Ügyfelek'!H174="",'Beállítások'!$B$84,MIN(10,MAX(1,ROUND('Ügyfelek'!H174,0)))))</f>
        <v/>
      </c>
      <c r="I174">
        <f>IF($A174="","",IF('Ügyfelek'!I174="",'Beállítások'!$B$84,MIN(10,MAX(1,ROUND('Ügyfelek'!I174,0)))))</f>
        <v/>
      </c>
      <c r="J174">
        <f>IF($A174="","",IF('Ügyfelek'!J174="",'Beállítások'!$B$84,MIN(10,MAX(1,ROUND('Ügyfelek'!J174,0)))))</f>
        <v/>
      </c>
      <c r="K174">
        <f>IF($A174="","",IF('Ügyfelek'!K174="",'Beállítások'!$B$84,MIN(10,MAX(1,ROUND('Ügyfelek'!K174,0)))))</f>
        <v/>
      </c>
      <c r="L174">
        <f>IF($A174="","",IF('Ügyfelek'!L174="",'Beállítások'!$B$84,MIN(10,MAX(1,ROUND('Ügyfelek'!L174,0)))))</f>
        <v/>
      </c>
      <c r="M174">
        <f>IF($A174="","",IF('Ügyfelek'!M174="",'Beállítások'!$B$84,MIN(10,MAX(1,ROUND('Ügyfelek'!M174,0)))))</f>
        <v/>
      </c>
      <c r="N174">
        <f>IF($A174="","",IF('Ügyfelek'!N174="",'Beállítások'!$B$84,MIN(10,MAX(1,ROUND('Ügyfelek'!N174,0)))))</f>
        <v/>
      </c>
      <c r="O174">
        <f>IF($A174="","",IF('Ügyfelek'!O174="",'Beállítások'!$B$84,MIN(10,MAX(1,ROUND('Ügyfelek'!O174,0)))))</f>
        <v/>
      </c>
      <c r="P174">
        <f>IF($A174="","",IF('Ügyfelek'!P174="",'Beállítások'!$B$84,MIN(10,MAX(1,ROUND('Ügyfelek'!P174,0)))))</f>
        <v/>
      </c>
      <c r="Q174">
        <f>IF($A174="","",IF('Ügyfelek'!Q174="",'Beállítások'!$B$84,MIN(10,MAX(1,ROUND('Ügyfelek'!Q174,0)))))</f>
        <v/>
      </c>
      <c r="R174">
        <f>IF($A174="","",IF('Ügyfelek'!R174="",'Beállítások'!$B$84,MIN(10,MAX(1,ROUND('Ügyfelek'!R174,0)))))</f>
        <v/>
      </c>
      <c r="S174">
        <f>IF($A174="","",IF('Ügyfelek'!S174="",'Beállítások'!$B$84,MIN(10,MAX(1,ROUND('Ügyfelek'!S174,0)))))</f>
        <v/>
      </c>
      <c r="T174">
        <f>IF($A174="","",IF('Ügyfelek'!T174="",'Beállítások'!$B$84,VLOOKUP(MAX('Ügyfelek'!T174,'Beállítások'!$H$7),'Beállítások'!$H$7:$I$12,2,TRUE)))</f>
        <v/>
      </c>
      <c r="U174">
        <f>IF($A174="","",IF('Ügyfelek'!U174="",'Beállítások'!$B$84,VLOOKUP(MAX('Ügyfelek'!U174,'Beállítások'!$K$7),'Beállítások'!$K$7:$L$12,2,TRUE)))</f>
        <v/>
      </c>
      <c r="V174">
        <f>IF($A174="","",IF('Ügyfelek'!V174="",'Beállítások'!$B$84,MIN(10,MAX(1,ROUND('Ügyfelek'!V174,0)))))</f>
        <v/>
      </c>
      <c r="W174">
        <f>IF($A174="","",IF('Ügyfelek'!W174="",'Beállítások'!$B$84,VLOOKUP(MAX('Ügyfelek'!W174,'Beállítások'!$N$7),'Beállítások'!$N$7:$O$12,2,TRUE)))</f>
        <v/>
      </c>
      <c r="X174">
        <f>IF($A174="","",IF('Ügyfelek'!X174="",'Beállítások'!$B$84,MIN(10,MAX(1,ROUND('Ügyfelek'!X174,0)))))</f>
        <v/>
      </c>
      <c r="Y174">
        <f>IF($A174="","",IF('Ügyfelek'!Y174="",'Beállítások'!$B$84,IFERROR(VLOOKUP(TRIM('Ügyfelek'!Y174),'Beállítások'!$A$63:$B$69,2,FALSE),'Beállítások'!$B$84)))</f>
        <v/>
      </c>
      <c r="Z174">
        <f>IF($A174="","",IF('Ügyfelek'!Z174="",'Beállítások'!$B$84,VLOOKUP(MAX('Ügyfelek'!Z174,'Beállítások'!$Q$7),'Beállítások'!$Q$7:$R$12,2,TRUE)))</f>
        <v/>
      </c>
      <c r="AA174">
        <f>IF($A174="","",IF('Ügyfelek'!AA174="",'Beállítások'!$B$84,VLOOKUP(MAX('Ügyfelek'!AA174,'Beállítások'!$T$7),'Beállítások'!$T$7:$U$12,2,TRUE)))</f>
        <v/>
      </c>
      <c r="AB174">
        <f>IF($A174="","",IF('Ügyfelek'!AB174="",'Beállítások'!$B$84,MIN(10,MAX(1,ROUND('Ügyfelek'!AB174,0)))))</f>
        <v/>
      </c>
      <c r="AC174">
        <f>IF($A174="","",IF('Ügyfelek'!AC174="",'Beállítások'!$B$84,MIN(10,MAX(1,ROUND('Ügyfelek'!AC174,0)))))</f>
        <v/>
      </c>
      <c r="AD174">
        <f>IF($A174="","",IF('Ügyfelek'!AD174="",'Beállítások'!$B$84,MIN(10,MAX(1,ROUND('Ügyfelek'!AD174,0)))))</f>
        <v/>
      </c>
      <c r="AE174">
        <f>IF($A174="","",IF('Ügyfelek'!AE174="",'Beállítások'!$B$84,MIN(10,MAX(1,ROUND('Ügyfelek'!AE174,0)))))</f>
        <v/>
      </c>
      <c r="AF174">
        <f>IF($A174="","",IF('Ügyfelek'!AF174="",'Beállítások'!$B$84,MIN(10,MAX(1,ROUND('Ügyfelek'!AF174,0)))))</f>
        <v/>
      </c>
      <c r="AG174">
        <f>IF($A174="","",IF('Ügyfelek'!AG174="",'Beállítások'!$B$84,MIN(10,MAX(1,ROUND('Ügyfelek'!AG174,0)))))</f>
        <v/>
      </c>
      <c r="AH174">
        <f>IF($A174="","",IF('Ügyfelek'!AH174="",'Beállítások'!$B$84,IFERROR(VLOOKUP(TRIM('Ügyfelek'!AH174),'Beállítások'!$A$73:$B$79,2,FALSE),'Beállítások'!$B$84)))</f>
        <v/>
      </c>
      <c r="AI174" s="23">
        <f>IF($A174="","",ROUND(100*('Beállítások'!$E$6*(B174-1)+'Beállítások'!$E$7*(C174-1))/(9*'Beállítások'!$B$43),1))</f>
        <v/>
      </c>
      <c r="AJ174" s="23">
        <f>IF($A174="","",ROUND(100*('Beállítások'!$E$8*(D174-1)+'Beállítások'!$E$9*(E174-1)+'Beállítások'!$E$10*(F174-1)+'Beállítások'!$E$11*(G174-1)+'Beállítások'!$E$12*(H174-1)+'Beállítások'!$E$13*(I174-1)+'Beállítások'!$E$14*(J174-1)+'Beállítások'!$E$15*(K174-1)+'Beállítások'!$E$16*(L174-1)+'Beállítások'!$E$17*(M174-1)+'Beállítások'!$E$18*(N174-1)+'Beállítások'!$E$19*(O174-1)+'Beállítások'!$E$20*(P174-1)+'Beállítások'!$E$21*(Q174-1)+'Beállítások'!$E$22*(R174-1))/(9*'Beállítások'!$B$44),1))</f>
        <v/>
      </c>
      <c r="AK174" s="23">
        <f>IF($A174="","",ROUND(100*('Beállítások'!$E$23*(S174-1)+'Beállítások'!$E$24*(T174-1)+'Beállítások'!$E$25*(U174-1)+'Beállítások'!$E$26*(V174-1)+'Beállítások'!$E$27*(W174-1)+'Beállítások'!$E$28*(X174-1)+'Beállítások'!$E$29*(Y174-1))/(9*'Beállítások'!$B$45),1))</f>
        <v/>
      </c>
      <c r="AL174" s="23">
        <f>IF($A174="","",ROUND(100*('Beállítások'!$E$30*(Z174-1)+'Beállítások'!$E$31*(AA174-1)+'Beállítások'!$E$32*(AB174-1)+'Beállítások'!$E$33*(AC174-1)+'Beállítások'!$E$34*(AD174-1)+'Beállítások'!$E$35*(AE174-1)+'Beállítások'!$E$36*(AF174-1)+'Beállítások'!$E$37*(AG174-1)+'Beállítások'!$E$38*(AH174-1))/(9*'Beállítások'!$B$46),1))</f>
        <v/>
      </c>
      <c r="AM174" s="23">
        <f>IF($A174="","",ROUND(100*('Beállítások'!$E$6*(B174-1)+'Beállítások'!$E$7*(C174-1)+'Beállítások'!$E$8*(D174-1)+'Beállítások'!$E$9*(E174-1)+'Beállítások'!$E$10*(F174-1)+'Beállítások'!$E$11*(G174-1)+'Beállítások'!$E$12*(H174-1)+'Beállítások'!$E$13*(I174-1)+'Beállítások'!$E$14*(J174-1)+'Beállítások'!$E$15*(K174-1)+'Beállítások'!$E$16*(L174-1)+'Beállítások'!$E$17*(M174-1)+'Beállítások'!$E$18*(N174-1)+'Beállítások'!$E$19*(O174-1)+'Beállítások'!$E$20*(P174-1)+'Beállítások'!$E$21*(Q174-1)+'Beállítások'!$E$22*(R174-1)+'Beállítások'!$E$23*(S174-1)+'Beállítások'!$E$24*(T174-1)+'Beállítások'!$E$25*(U174-1)+'Beállítások'!$E$26*(V174-1)+'Beállítások'!$E$27*(W174-1)+'Beállítások'!$E$28*(X174-1)+'Beállítások'!$E$29*(Y174-1)+'Beállítások'!$E$30*(Z174-1)+'Beállítások'!$E$31*(AA174-1)+'Beállítások'!$E$32*(AB174-1)+'Beállítások'!$E$33*(AC174-1)+'Beállítások'!$E$34*(AD174-1)+'Beállítások'!$E$35*(AE174-1)+'Beállítások'!$E$36*(AF174-1)+'Beállítások'!$E$37*(AG174-1)+'Beállítások'!$E$38*(AH174-1))/(9*'Beállítások'!$E$39),1))</f>
        <v/>
      </c>
      <c r="AN174" s="23">
        <f>IF($A174="","",ROUND(100*('Beállítások'!$E$8*(D174-1)+'Beállítások'!$E$9*(E174-1)+'Beállítások'!$E$10*(F174-1)+'Beállítások'!$E$11*(G174-1)+'Beállítások'!$E$12*(H174-1)+'Beállítások'!$E$13*(I174-1)+'Beállítások'!$E$14*(J174-1)+'Beállítások'!$E$15*(K174-1)+'Beállítások'!$E$16*(L174-1)+'Beállítások'!$E$17*(M174-1)+'Beállítások'!$E$18*(N174-1)+'Beállítások'!$E$19*(O174-1)+'Beállítások'!$E$20*(P174-1)+'Beállítások'!$E$21*(Q174-1)+'Beállítások'!$E$22*(R174-1)+'Beállítások'!$E$23*(S174-1)+'Beállítások'!$E$24*(T174-1)+'Beállítások'!$E$25*(U174-1)+'Beállítások'!$E$26*(V174-1)+'Beállítások'!$E$27*(W174-1)+'Beállítások'!$E$28*(X174-1)+'Beállítások'!$E$29*(Y174-1))/(9*('Beállítások'!$B$44+'Beállítások'!$B$45)),1))</f>
        <v/>
      </c>
      <c r="AO174" s="24">
        <f>IF($A174="","",RANK(AM174,$AM$2:$AM$201))</f>
        <v/>
      </c>
      <c r="AP174">
        <f>IF($A174="","",IF(OR(AND('Ügyfelek'!B174&lt;&gt;"",B174&lt;='Beállítások'!$B$85),AND('Ügyfelek'!C174&lt;&gt;"",C174&lt;='Beállítások'!$B$86)),"Igen","Nem"))</f>
        <v/>
      </c>
      <c r="AQ174" s="24">
        <f>IF($A174="","",IF(AP174="Igen",5,IF(AN174&gt;='Beállítások'!$C$108,1,IF(AN174&gt;='Beállítások'!$C$109,2,IF(AN174&gt;='Beállítások'!$C$110,3,IF(AND(AN174&gt;='Beállítások'!$B$87,AI174&gt;='Beállítások'!$B$88,AL174&gt;='Beállítások'!$B$89),4,5))))))</f>
        <v/>
      </c>
      <c r="AR174">
        <f>IF($A174="","",INDEX('Beállítások'!$B$108:$B$112,AQ174))</f>
        <v/>
      </c>
      <c r="AS174">
        <f>IF($A174="","",IF(AQ174=5,"Elutasítjuk",IF(AND(AQ174=4,COUNTIFS('Eredmény'!$AQ$2:$AQ$201,4,'Eredmény'!$DY$2:$DY$201,"&gt;"&amp;DY174)&gt;='Beállítások'!$B$90),"Várólista (a 4-es hely foglalt)","Elfogadjuk")))</f>
        <v/>
      </c>
      <c r="AT174">
        <f>IF($A174="","",INDEX('Beállítások'!$F$108:$F$112,AQ174))</f>
        <v/>
      </c>
      <c r="AU174">
        <f>IF($A174="","",INDEX('Beállítások'!$B$6:$B$38,MATCH(MAX(BK174:CQ174),BK174:CQ174,0)))</f>
        <v/>
      </c>
      <c r="AV174">
        <f>IF($A174="","",IF(MAX(CR174:DX174)=0,"—",INDEX('Beállítások'!$B$6:$B$38,MATCH(MAX(CR174:DX174),CR174:DX174,0))))</f>
        <v/>
      </c>
      <c r="AW174" s="10">
        <f>IF($A174="","",'Beállítások'!$B$94*(TRIM('Ügyfelek'!AI174)="igen")+'Beállítások'!$B$95*(TRIM('Ügyfelek'!AJ174)="igen")+'Beállítások'!$B$96*N('Ügyfelek'!AK174)+'Beállítások'!$B$93*N('Ügyfelek'!AL174))</f>
        <v/>
      </c>
      <c r="AX174" s="25">
        <f>IF(OR($A174="",AQ174=5),"",INDEX('Beállítások'!$D$108:$D$112,AQ174))</f>
        <v/>
      </c>
      <c r="AY174" s="10">
        <f>IF($A174="","",N('Ügyfelek'!U174)*'Beállítások'!$B$98)</f>
        <v/>
      </c>
      <c r="AZ174" s="10">
        <f>IF(OR($A174="",AQ174=5),"",CEILING(ROUND(MAX('Beállítások'!$B$97,AW174*AX174,AY174),2),'Beállítások'!$B$99))</f>
        <v/>
      </c>
      <c r="BA174">
        <f>IF($A174="","",IF(AQ174=5,"Elutasítva",IF(MAX('Beállítások'!$B$97,AW174*AX174,AY174)=AW174*AX174,"Munkaigény × státuszszorzó",IF(MAX('Beállítások'!$B$97,AW174*AX174,AY174)=AY174,"Hirdetési keret arányában","Minimumdíj"))))</f>
        <v/>
      </c>
      <c r="BB174" s="10">
        <f>IF(OR($A174="",'Ügyfelek'!AM174=""),"",'Ügyfelek'!AM174)</f>
        <v/>
      </c>
      <c r="BC174" s="10">
        <f>IF(OR(BB174="",AZ174=""),"",AZ174-BB174)</f>
        <v/>
      </c>
      <c r="BD174" s="18">
        <f>IF(OR(BB174="",AZ174="",BB174=0),"",BC174/BB174)</f>
        <v/>
      </c>
      <c r="BE174">
        <f>IF(OR($A174="",AQ174=5),"",IF(AND(INDEX('Beállítások'!$E$108:$E$112,AQ174)&gt;0,Y174&gt;='Beállítások'!$B$91),"Igen","Nem"))</f>
        <v/>
      </c>
      <c r="BF174" s="10">
        <f>IF(BE174="Igen",CEILING(ROUND(AZ174*(1-'Beállítások'!$B$92),2),'Beállítások'!$B$99),"")</f>
        <v/>
      </c>
      <c r="BG174" s="20">
        <f>IF(BE174="Igen",INDEX('Beállítások'!$E$108:$E$112,AQ174),"")</f>
        <v/>
      </c>
      <c r="BH174" s="10">
        <f>IF(OR(BE174&lt;&gt;"Igen",'Ügyfelek'!AN174=""),"",'Ügyfelek'!AN174*BG174)</f>
        <v/>
      </c>
      <c r="BI174" s="24">
        <f>IF($A174="","",('Ügyfelek'!B174="")+('Ügyfelek'!C174="")+('Ügyfelek'!D174="")+('Ügyfelek'!E174="")+('Ügyfelek'!F174="")+('Ügyfelek'!G174="")+('Ügyfelek'!H174="")+('Ügyfelek'!I174="")+('Ügyfelek'!J174="")+('Ügyfelek'!K174="")+('Ügyfelek'!L174="")+('Ügyfelek'!M174="")+('Ügyfelek'!N174="")+('Ügyfelek'!O174="")+('Ügyfelek'!P174="")+('Ügyfelek'!Q174="")+('Ügyfelek'!R174="")+('Ügyfelek'!S174="")+('Ügyfelek'!T174="")+('Ügyfelek'!U174="")+('Ügyfelek'!V174="")+('Ügyfelek'!W174="")+('Ügyfelek'!X174="")+('Ügyfelek'!Y174="")+('Ügyfelek'!Z174="")+('Ügyfelek'!AA174="")+('Ügyfelek'!AB174="")+('Ügyfelek'!AC174="")+('Ügyfelek'!AD174="")+('Ügyfelek'!AE174="")+('Ügyfelek'!AF174="")+('Ügyfelek'!AG174="")+('Ügyfelek'!AH174=""))</f>
        <v/>
      </c>
      <c r="BK174">
        <f>IF($A174="","",B174+'Beállítások'!$E$6/1000)</f>
        <v/>
      </c>
      <c r="BL174">
        <f>IF($A174="","",C174+'Beállítások'!$E$7/1000)</f>
        <v/>
      </c>
      <c r="BM174">
        <f>IF($A174="","",D174+'Beállítások'!$E$8/1000)</f>
        <v/>
      </c>
      <c r="BN174">
        <f>IF($A174="","",E174+'Beállítások'!$E$9/1000)</f>
        <v/>
      </c>
      <c r="BO174">
        <f>IF($A174="","",F174+'Beállítások'!$E$10/1000)</f>
        <v/>
      </c>
      <c r="BP174">
        <f>IF($A174="","",G174+'Beállítások'!$E$11/1000)</f>
        <v/>
      </c>
      <c r="BQ174">
        <f>IF($A174="","",H174+'Beállítások'!$E$12/1000)</f>
        <v/>
      </c>
      <c r="BR174">
        <f>IF($A174="","",I174+'Beállítások'!$E$13/1000)</f>
        <v/>
      </c>
      <c r="BS174">
        <f>IF($A174="","",J174+'Beállítások'!$E$14/1000)</f>
        <v/>
      </c>
      <c r="BT174">
        <f>IF($A174="","",K174+'Beállítások'!$E$15/1000)</f>
        <v/>
      </c>
      <c r="BU174">
        <f>IF($A174="","",L174+'Beállítások'!$E$16/1000)</f>
        <v/>
      </c>
      <c r="BV174">
        <f>IF($A174="","",M174+'Beállítások'!$E$17/1000)</f>
        <v/>
      </c>
      <c r="BW174">
        <f>IF($A174="","",N174+'Beállítások'!$E$18/1000)</f>
        <v/>
      </c>
      <c r="BX174">
        <f>IF($A174="","",O174+'Beállítások'!$E$19/1000)</f>
        <v/>
      </c>
      <c r="BY174">
        <f>IF($A174="","",P174+'Beállítások'!$E$20/1000)</f>
        <v/>
      </c>
      <c r="BZ174">
        <f>IF($A174="","",Q174+'Beállítások'!$E$21/1000)</f>
        <v/>
      </c>
      <c r="CA174">
        <f>IF($A174="","",R174+'Beállítások'!$E$22/1000)</f>
        <v/>
      </c>
      <c r="CB174">
        <f>IF($A174="","",S174+'Beállítások'!$E$23/1000)</f>
        <v/>
      </c>
      <c r="CC174">
        <f>IF($A174="","",T174+'Beállítások'!$E$24/1000)</f>
        <v/>
      </c>
      <c r="CD174">
        <f>IF($A174="","",U174+'Beállítások'!$E$25/1000)</f>
        <v/>
      </c>
      <c r="CE174">
        <f>IF($A174="","",V174+'Beállítások'!$E$26/1000)</f>
        <v/>
      </c>
      <c r="CF174">
        <f>IF($A174="","",W174+'Beállítások'!$E$27/1000)</f>
        <v/>
      </c>
      <c r="CG174">
        <f>IF($A174="","",X174+'Beállítások'!$E$28/1000)</f>
        <v/>
      </c>
      <c r="CH174">
        <f>IF($A174="","",Y174+'Beállítások'!$E$29/1000)</f>
        <v/>
      </c>
      <c r="CI174">
        <f>IF($A174="","",Z174+'Beállítások'!$E$30/1000)</f>
        <v/>
      </c>
      <c r="CJ174">
        <f>IF($A174="","",AA174+'Beállítások'!$E$31/1000)</f>
        <v/>
      </c>
      <c r="CK174">
        <f>IF($A174="","",AB174+'Beállítások'!$E$32/1000)</f>
        <v/>
      </c>
      <c r="CL174">
        <f>IF($A174="","",AC174+'Beállítások'!$E$33/1000)</f>
        <v/>
      </c>
      <c r="CM174">
        <f>IF($A174="","",AD174+'Beállítások'!$E$34/1000)</f>
        <v/>
      </c>
      <c r="CN174">
        <f>IF($A174="","",AE174+'Beállítások'!$E$35/1000)</f>
        <v/>
      </c>
      <c r="CO174">
        <f>IF($A174="","",AF174+'Beállítások'!$E$36/1000)</f>
        <v/>
      </c>
      <c r="CP174">
        <f>IF($A174="","",AG174+'Beállítások'!$E$37/1000)</f>
        <v/>
      </c>
      <c r="CQ174">
        <f>IF($A174="","",AH174+'Beállítások'!$E$38/1000)</f>
        <v/>
      </c>
      <c r="CR174">
        <f>IF($A174="","",'Beállítások'!$E$6*(10-B174))</f>
        <v/>
      </c>
      <c r="CS174">
        <f>IF($A174="","",'Beállítások'!$E$7*(10-C174))</f>
        <v/>
      </c>
      <c r="CT174">
        <f>IF($A174="","",'Beállítások'!$E$8*(10-D174))</f>
        <v/>
      </c>
      <c r="CU174">
        <f>IF($A174="","",'Beállítások'!$E$9*(10-E174))</f>
        <v/>
      </c>
      <c r="CV174">
        <f>IF($A174="","",'Beállítások'!$E$10*(10-F174))</f>
        <v/>
      </c>
      <c r="CW174">
        <f>IF($A174="","",'Beállítások'!$E$11*(10-G174))</f>
        <v/>
      </c>
      <c r="CX174">
        <f>IF($A174="","",'Beállítások'!$E$12*(10-H174))</f>
        <v/>
      </c>
      <c r="CY174">
        <f>IF($A174="","",'Beállítások'!$E$13*(10-I174))</f>
        <v/>
      </c>
      <c r="CZ174">
        <f>IF($A174="","",'Beállítások'!$E$14*(10-J174))</f>
        <v/>
      </c>
      <c r="DA174">
        <f>IF($A174="","",'Beállítások'!$E$15*(10-K174))</f>
        <v/>
      </c>
      <c r="DB174">
        <f>IF($A174="","",'Beállítások'!$E$16*(10-L174))</f>
        <v/>
      </c>
      <c r="DC174">
        <f>IF($A174="","",'Beállítások'!$E$17*(10-M174))</f>
        <v/>
      </c>
      <c r="DD174">
        <f>IF($A174="","",'Beállítások'!$E$18*(10-N174))</f>
        <v/>
      </c>
      <c r="DE174">
        <f>IF($A174="","",'Beállítások'!$E$19*(10-O174))</f>
        <v/>
      </c>
      <c r="DF174">
        <f>IF($A174="","",'Beállítások'!$E$20*(10-P174))</f>
        <v/>
      </c>
      <c r="DG174">
        <f>IF($A174="","",'Beállítások'!$E$21*(10-Q174))</f>
        <v/>
      </c>
      <c r="DH174">
        <f>IF($A174="","",'Beállítások'!$E$22*(10-R174))</f>
        <v/>
      </c>
      <c r="DI174">
        <f>IF($A174="","",'Beállítások'!$E$23*(10-S174))</f>
        <v/>
      </c>
      <c r="DJ174">
        <f>IF($A174="","",'Beállítások'!$E$24*(10-T174))</f>
        <v/>
      </c>
      <c r="DK174">
        <f>IF($A174="","",'Beállítások'!$E$25*(10-U174))</f>
        <v/>
      </c>
      <c r="DL174">
        <f>IF($A174="","",'Beállítások'!$E$26*(10-V174))</f>
        <v/>
      </c>
      <c r="DM174">
        <f>IF($A174="","",'Beállítások'!$E$27*(10-W174))</f>
        <v/>
      </c>
      <c r="DN174">
        <f>IF($A174="","",'Beállítások'!$E$28*(10-X174))</f>
        <v/>
      </c>
      <c r="DO174">
        <f>IF($A174="","",'Beállítások'!$E$29*(10-Y174))</f>
        <v/>
      </c>
      <c r="DP174">
        <f>IF($A174="","",'Beállítások'!$E$30*(10-Z174))</f>
        <v/>
      </c>
      <c r="DQ174">
        <f>IF($A174="","",'Beállítások'!$E$31*(10-AA174))</f>
        <v/>
      </c>
      <c r="DR174">
        <f>IF($A174="","",'Beállítások'!$E$32*(10-AB174))</f>
        <v/>
      </c>
      <c r="DS174">
        <f>IF($A174="","",'Beállítások'!$E$33*(10-AC174))</f>
        <v/>
      </c>
      <c r="DT174">
        <f>IF($A174="","",'Beállítások'!$E$34*(10-AD174))</f>
        <v/>
      </c>
      <c r="DU174">
        <f>IF($A174="","",'Beállítások'!$E$35*(10-AE174))</f>
        <v/>
      </c>
      <c r="DV174">
        <f>IF($A174="","",'Beállítások'!$E$36*(10-AF174))</f>
        <v/>
      </c>
      <c r="DW174">
        <f>IF($A174="","",'Beállítások'!$E$37*(10-AG174))</f>
        <v/>
      </c>
      <c r="DX174">
        <f>IF($A174="","",'Beállítások'!$E$38*(10-AH174))</f>
        <v/>
      </c>
      <c r="DY174">
        <f>IF($A174="","",AM174-ROW()/100000)</f>
        <v/>
      </c>
    </row>
    <row r="175">
      <c r="A175">
        <f>IF('Ügyfelek'!A175="","",'Ügyfelek'!A175)</f>
        <v/>
      </c>
      <c r="B175">
        <f>IF($A175="","",IF('Ügyfelek'!B175="",'Beállítások'!$B$84,IFERROR(VLOOKUP(TRIM('Ügyfelek'!B175),'Beállítások'!$A$51:$B$59,2,FALSE),'Beállítások'!$B$84)))</f>
        <v/>
      </c>
      <c r="C175">
        <f>IF($A175="","",IF('Ügyfelek'!C175="",'Beállítások'!$B$84,MIN(10,MAX(1,ROUND('Ügyfelek'!C175,0)))))</f>
        <v/>
      </c>
      <c r="D175">
        <f>IF($A175="","",IF('Ügyfelek'!D175="",'Beállítások'!$B$84,MIN(10,MAX(1,ROUND('Ügyfelek'!D175,0)))))</f>
        <v/>
      </c>
      <c r="E175">
        <f>IF($A175="","",IF('Ügyfelek'!E175="",'Beállítások'!$B$84,MIN(10,MAX(1,ROUND('Ügyfelek'!E175,0)))))</f>
        <v/>
      </c>
      <c r="F175">
        <f>IF($A175="","",IF('Ügyfelek'!F175="",'Beállítások'!$B$84,MIN(10,MAX(1,ROUND('Ügyfelek'!F175,0)))))</f>
        <v/>
      </c>
      <c r="G175">
        <f>IF($A175="","",IF('Ügyfelek'!G175="",'Beállítások'!$B$84,MIN(10,MAX(1,ROUND('Ügyfelek'!G175,0)))))</f>
        <v/>
      </c>
      <c r="H175">
        <f>IF($A175="","",IF('Ügyfelek'!H175="",'Beállítások'!$B$84,MIN(10,MAX(1,ROUND('Ügyfelek'!H175,0)))))</f>
        <v/>
      </c>
      <c r="I175">
        <f>IF($A175="","",IF('Ügyfelek'!I175="",'Beállítások'!$B$84,MIN(10,MAX(1,ROUND('Ügyfelek'!I175,0)))))</f>
        <v/>
      </c>
      <c r="J175">
        <f>IF($A175="","",IF('Ügyfelek'!J175="",'Beállítások'!$B$84,MIN(10,MAX(1,ROUND('Ügyfelek'!J175,0)))))</f>
        <v/>
      </c>
      <c r="K175">
        <f>IF($A175="","",IF('Ügyfelek'!K175="",'Beállítások'!$B$84,MIN(10,MAX(1,ROUND('Ügyfelek'!K175,0)))))</f>
        <v/>
      </c>
      <c r="L175">
        <f>IF($A175="","",IF('Ügyfelek'!L175="",'Beállítások'!$B$84,MIN(10,MAX(1,ROUND('Ügyfelek'!L175,0)))))</f>
        <v/>
      </c>
      <c r="M175">
        <f>IF($A175="","",IF('Ügyfelek'!M175="",'Beállítások'!$B$84,MIN(10,MAX(1,ROUND('Ügyfelek'!M175,0)))))</f>
        <v/>
      </c>
      <c r="N175">
        <f>IF($A175="","",IF('Ügyfelek'!N175="",'Beállítások'!$B$84,MIN(10,MAX(1,ROUND('Ügyfelek'!N175,0)))))</f>
        <v/>
      </c>
      <c r="O175">
        <f>IF($A175="","",IF('Ügyfelek'!O175="",'Beállítások'!$B$84,MIN(10,MAX(1,ROUND('Ügyfelek'!O175,0)))))</f>
        <v/>
      </c>
      <c r="P175">
        <f>IF($A175="","",IF('Ügyfelek'!P175="",'Beállítások'!$B$84,MIN(10,MAX(1,ROUND('Ügyfelek'!P175,0)))))</f>
        <v/>
      </c>
      <c r="Q175">
        <f>IF($A175="","",IF('Ügyfelek'!Q175="",'Beállítások'!$B$84,MIN(10,MAX(1,ROUND('Ügyfelek'!Q175,0)))))</f>
        <v/>
      </c>
      <c r="R175">
        <f>IF($A175="","",IF('Ügyfelek'!R175="",'Beállítások'!$B$84,MIN(10,MAX(1,ROUND('Ügyfelek'!R175,0)))))</f>
        <v/>
      </c>
      <c r="S175">
        <f>IF($A175="","",IF('Ügyfelek'!S175="",'Beállítások'!$B$84,MIN(10,MAX(1,ROUND('Ügyfelek'!S175,0)))))</f>
        <v/>
      </c>
      <c r="T175">
        <f>IF($A175="","",IF('Ügyfelek'!T175="",'Beállítások'!$B$84,VLOOKUP(MAX('Ügyfelek'!T175,'Beállítások'!$H$7),'Beállítások'!$H$7:$I$12,2,TRUE)))</f>
        <v/>
      </c>
      <c r="U175">
        <f>IF($A175="","",IF('Ügyfelek'!U175="",'Beállítások'!$B$84,VLOOKUP(MAX('Ügyfelek'!U175,'Beállítások'!$K$7),'Beállítások'!$K$7:$L$12,2,TRUE)))</f>
        <v/>
      </c>
      <c r="V175">
        <f>IF($A175="","",IF('Ügyfelek'!V175="",'Beállítások'!$B$84,MIN(10,MAX(1,ROUND('Ügyfelek'!V175,0)))))</f>
        <v/>
      </c>
      <c r="W175">
        <f>IF($A175="","",IF('Ügyfelek'!W175="",'Beállítások'!$B$84,VLOOKUP(MAX('Ügyfelek'!W175,'Beállítások'!$N$7),'Beállítások'!$N$7:$O$12,2,TRUE)))</f>
        <v/>
      </c>
      <c r="X175">
        <f>IF($A175="","",IF('Ügyfelek'!X175="",'Beállítások'!$B$84,MIN(10,MAX(1,ROUND('Ügyfelek'!X175,0)))))</f>
        <v/>
      </c>
      <c r="Y175">
        <f>IF($A175="","",IF('Ügyfelek'!Y175="",'Beállítások'!$B$84,IFERROR(VLOOKUP(TRIM('Ügyfelek'!Y175),'Beállítások'!$A$63:$B$69,2,FALSE),'Beállítások'!$B$84)))</f>
        <v/>
      </c>
      <c r="Z175">
        <f>IF($A175="","",IF('Ügyfelek'!Z175="",'Beállítások'!$B$84,VLOOKUP(MAX('Ügyfelek'!Z175,'Beállítások'!$Q$7),'Beállítások'!$Q$7:$R$12,2,TRUE)))</f>
        <v/>
      </c>
      <c r="AA175">
        <f>IF($A175="","",IF('Ügyfelek'!AA175="",'Beállítások'!$B$84,VLOOKUP(MAX('Ügyfelek'!AA175,'Beállítások'!$T$7),'Beállítások'!$T$7:$U$12,2,TRUE)))</f>
        <v/>
      </c>
      <c r="AB175">
        <f>IF($A175="","",IF('Ügyfelek'!AB175="",'Beállítások'!$B$84,MIN(10,MAX(1,ROUND('Ügyfelek'!AB175,0)))))</f>
        <v/>
      </c>
      <c r="AC175">
        <f>IF($A175="","",IF('Ügyfelek'!AC175="",'Beállítások'!$B$84,MIN(10,MAX(1,ROUND('Ügyfelek'!AC175,0)))))</f>
        <v/>
      </c>
      <c r="AD175">
        <f>IF($A175="","",IF('Ügyfelek'!AD175="",'Beállítások'!$B$84,MIN(10,MAX(1,ROUND('Ügyfelek'!AD175,0)))))</f>
        <v/>
      </c>
      <c r="AE175">
        <f>IF($A175="","",IF('Ügyfelek'!AE175="",'Beállítások'!$B$84,MIN(10,MAX(1,ROUND('Ügyfelek'!AE175,0)))))</f>
        <v/>
      </c>
      <c r="AF175">
        <f>IF($A175="","",IF('Ügyfelek'!AF175="",'Beállítások'!$B$84,MIN(10,MAX(1,ROUND('Ügyfelek'!AF175,0)))))</f>
        <v/>
      </c>
      <c r="AG175">
        <f>IF($A175="","",IF('Ügyfelek'!AG175="",'Beállítások'!$B$84,MIN(10,MAX(1,ROUND('Ügyfelek'!AG175,0)))))</f>
        <v/>
      </c>
      <c r="AH175">
        <f>IF($A175="","",IF('Ügyfelek'!AH175="",'Beállítások'!$B$84,IFERROR(VLOOKUP(TRIM('Ügyfelek'!AH175),'Beállítások'!$A$73:$B$79,2,FALSE),'Beállítások'!$B$84)))</f>
        <v/>
      </c>
      <c r="AI175" s="23">
        <f>IF($A175="","",ROUND(100*('Beállítások'!$E$6*(B175-1)+'Beállítások'!$E$7*(C175-1))/(9*'Beállítások'!$B$43),1))</f>
        <v/>
      </c>
      <c r="AJ175" s="23">
        <f>IF($A175="","",ROUND(100*('Beállítások'!$E$8*(D175-1)+'Beállítások'!$E$9*(E175-1)+'Beállítások'!$E$10*(F175-1)+'Beállítások'!$E$11*(G175-1)+'Beállítások'!$E$12*(H175-1)+'Beállítások'!$E$13*(I175-1)+'Beállítások'!$E$14*(J175-1)+'Beállítások'!$E$15*(K175-1)+'Beállítások'!$E$16*(L175-1)+'Beállítások'!$E$17*(M175-1)+'Beállítások'!$E$18*(N175-1)+'Beállítások'!$E$19*(O175-1)+'Beállítások'!$E$20*(P175-1)+'Beállítások'!$E$21*(Q175-1)+'Beállítások'!$E$22*(R175-1))/(9*'Beállítások'!$B$44),1))</f>
        <v/>
      </c>
      <c r="AK175" s="23">
        <f>IF($A175="","",ROUND(100*('Beállítások'!$E$23*(S175-1)+'Beállítások'!$E$24*(T175-1)+'Beállítások'!$E$25*(U175-1)+'Beállítások'!$E$26*(V175-1)+'Beállítások'!$E$27*(W175-1)+'Beállítások'!$E$28*(X175-1)+'Beállítások'!$E$29*(Y175-1))/(9*'Beállítások'!$B$45),1))</f>
        <v/>
      </c>
      <c r="AL175" s="23">
        <f>IF($A175="","",ROUND(100*('Beállítások'!$E$30*(Z175-1)+'Beállítások'!$E$31*(AA175-1)+'Beállítások'!$E$32*(AB175-1)+'Beállítások'!$E$33*(AC175-1)+'Beállítások'!$E$34*(AD175-1)+'Beállítások'!$E$35*(AE175-1)+'Beállítások'!$E$36*(AF175-1)+'Beállítások'!$E$37*(AG175-1)+'Beállítások'!$E$38*(AH175-1))/(9*'Beállítások'!$B$46),1))</f>
        <v/>
      </c>
      <c r="AM175" s="23">
        <f>IF($A175="","",ROUND(100*('Beállítások'!$E$6*(B175-1)+'Beállítások'!$E$7*(C175-1)+'Beállítások'!$E$8*(D175-1)+'Beállítások'!$E$9*(E175-1)+'Beállítások'!$E$10*(F175-1)+'Beállítások'!$E$11*(G175-1)+'Beállítások'!$E$12*(H175-1)+'Beállítások'!$E$13*(I175-1)+'Beállítások'!$E$14*(J175-1)+'Beállítások'!$E$15*(K175-1)+'Beállítások'!$E$16*(L175-1)+'Beállítások'!$E$17*(M175-1)+'Beállítások'!$E$18*(N175-1)+'Beállítások'!$E$19*(O175-1)+'Beállítások'!$E$20*(P175-1)+'Beállítások'!$E$21*(Q175-1)+'Beállítások'!$E$22*(R175-1)+'Beállítások'!$E$23*(S175-1)+'Beállítások'!$E$24*(T175-1)+'Beállítások'!$E$25*(U175-1)+'Beállítások'!$E$26*(V175-1)+'Beállítások'!$E$27*(W175-1)+'Beállítások'!$E$28*(X175-1)+'Beállítások'!$E$29*(Y175-1)+'Beállítások'!$E$30*(Z175-1)+'Beállítások'!$E$31*(AA175-1)+'Beállítások'!$E$32*(AB175-1)+'Beállítások'!$E$33*(AC175-1)+'Beállítások'!$E$34*(AD175-1)+'Beállítások'!$E$35*(AE175-1)+'Beállítások'!$E$36*(AF175-1)+'Beállítások'!$E$37*(AG175-1)+'Beállítások'!$E$38*(AH175-1))/(9*'Beállítások'!$E$39),1))</f>
        <v/>
      </c>
      <c r="AN175" s="23">
        <f>IF($A175="","",ROUND(100*('Beállítások'!$E$8*(D175-1)+'Beállítások'!$E$9*(E175-1)+'Beállítások'!$E$10*(F175-1)+'Beállítások'!$E$11*(G175-1)+'Beállítások'!$E$12*(H175-1)+'Beállítások'!$E$13*(I175-1)+'Beállítások'!$E$14*(J175-1)+'Beállítások'!$E$15*(K175-1)+'Beállítások'!$E$16*(L175-1)+'Beállítások'!$E$17*(M175-1)+'Beállítások'!$E$18*(N175-1)+'Beállítások'!$E$19*(O175-1)+'Beállítások'!$E$20*(P175-1)+'Beállítások'!$E$21*(Q175-1)+'Beállítások'!$E$22*(R175-1)+'Beállítások'!$E$23*(S175-1)+'Beállítások'!$E$24*(T175-1)+'Beállítások'!$E$25*(U175-1)+'Beállítások'!$E$26*(V175-1)+'Beállítások'!$E$27*(W175-1)+'Beállítások'!$E$28*(X175-1)+'Beállítások'!$E$29*(Y175-1))/(9*('Beállítások'!$B$44+'Beállítások'!$B$45)),1))</f>
        <v/>
      </c>
      <c r="AO175" s="24">
        <f>IF($A175="","",RANK(AM175,$AM$2:$AM$201))</f>
        <v/>
      </c>
      <c r="AP175">
        <f>IF($A175="","",IF(OR(AND('Ügyfelek'!B175&lt;&gt;"",B175&lt;='Beállítások'!$B$85),AND('Ügyfelek'!C175&lt;&gt;"",C175&lt;='Beállítások'!$B$86)),"Igen","Nem"))</f>
        <v/>
      </c>
      <c r="AQ175" s="24">
        <f>IF($A175="","",IF(AP175="Igen",5,IF(AN175&gt;='Beállítások'!$C$108,1,IF(AN175&gt;='Beállítások'!$C$109,2,IF(AN175&gt;='Beállítások'!$C$110,3,IF(AND(AN175&gt;='Beállítások'!$B$87,AI175&gt;='Beállítások'!$B$88,AL175&gt;='Beállítások'!$B$89),4,5))))))</f>
        <v/>
      </c>
      <c r="AR175">
        <f>IF($A175="","",INDEX('Beállítások'!$B$108:$B$112,AQ175))</f>
        <v/>
      </c>
      <c r="AS175">
        <f>IF($A175="","",IF(AQ175=5,"Elutasítjuk",IF(AND(AQ175=4,COUNTIFS('Eredmény'!$AQ$2:$AQ$201,4,'Eredmény'!$DY$2:$DY$201,"&gt;"&amp;DY175)&gt;='Beállítások'!$B$90),"Várólista (a 4-es hely foglalt)","Elfogadjuk")))</f>
        <v/>
      </c>
      <c r="AT175">
        <f>IF($A175="","",INDEX('Beállítások'!$F$108:$F$112,AQ175))</f>
        <v/>
      </c>
      <c r="AU175">
        <f>IF($A175="","",INDEX('Beállítások'!$B$6:$B$38,MATCH(MAX(BK175:CQ175),BK175:CQ175,0)))</f>
        <v/>
      </c>
      <c r="AV175">
        <f>IF($A175="","",IF(MAX(CR175:DX175)=0,"—",INDEX('Beállítások'!$B$6:$B$38,MATCH(MAX(CR175:DX175),CR175:DX175,0))))</f>
        <v/>
      </c>
      <c r="AW175" s="10">
        <f>IF($A175="","",'Beállítások'!$B$94*(TRIM('Ügyfelek'!AI175)="igen")+'Beállítások'!$B$95*(TRIM('Ügyfelek'!AJ175)="igen")+'Beállítások'!$B$96*N('Ügyfelek'!AK175)+'Beállítások'!$B$93*N('Ügyfelek'!AL175))</f>
        <v/>
      </c>
      <c r="AX175" s="25">
        <f>IF(OR($A175="",AQ175=5),"",INDEX('Beállítások'!$D$108:$D$112,AQ175))</f>
        <v/>
      </c>
      <c r="AY175" s="10">
        <f>IF($A175="","",N('Ügyfelek'!U175)*'Beállítások'!$B$98)</f>
        <v/>
      </c>
      <c r="AZ175" s="10">
        <f>IF(OR($A175="",AQ175=5),"",CEILING(ROUND(MAX('Beállítások'!$B$97,AW175*AX175,AY175),2),'Beállítások'!$B$99))</f>
        <v/>
      </c>
      <c r="BA175">
        <f>IF($A175="","",IF(AQ175=5,"Elutasítva",IF(MAX('Beállítások'!$B$97,AW175*AX175,AY175)=AW175*AX175,"Munkaigény × státuszszorzó",IF(MAX('Beállítások'!$B$97,AW175*AX175,AY175)=AY175,"Hirdetési keret arányában","Minimumdíj"))))</f>
        <v/>
      </c>
      <c r="BB175" s="10">
        <f>IF(OR($A175="",'Ügyfelek'!AM175=""),"",'Ügyfelek'!AM175)</f>
        <v/>
      </c>
      <c r="BC175" s="10">
        <f>IF(OR(BB175="",AZ175=""),"",AZ175-BB175)</f>
        <v/>
      </c>
      <c r="BD175" s="18">
        <f>IF(OR(BB175="",AZ175="",BB175=0),"",BC175/BB175)</f>
        <v/>
      </c>
      <c r="BE175">
        <f>IF(OR($A175="",AQ175=5),"",IF(AND(INDEX('Beállítások'!$E$108:$E$112,AQ175)&gt;0,Y175&gt;='Beállítások'!$B$91),"Igen","Nem"))</f>
        <v/>
      </c>
      <c r="BF175" s="10">
        <f>IF(BE175="Igen",CEILING(ROUND(AZ175*(1-'Beállítások'!$B$92),2),'Beállítások'!$B$99),"")</f>
        <v/>
      </c>
      <c r="BG175" s="20">
        <f>IF(BE175="Igen",INDEX('Beállítások'!$E$108:$E$112,AQ175),"")</f>
        <v/>
      </c>
      <c r="BH175" s="10">
        <f>IF(OR(BE175&lt;&gt;"Igen",'Ügyfelek'!AN175=""),"",'Ügyfelek'!AN175*BG175)</f>
        <v/>
      </c>
      <c r="BI175" s="24">
        <f>IF($A175="","",('Ügyfelek'!B175="")+('Ügyfelek'!C175="")+('Ügyfelek'!D175="")+('Ügyfelek'!E175="")+('Ügyfelek'!F175="")+('Ügyfelek'!G175="")+('Ügyfelek'!H175="")+('Ügyfelek'!I175="")+('Ügyfelek'!J175="")+('Ügyfelek'!K175="")+('Ügyfelek'!L175="")+('Ügyfelek'!M175="")+('Ügyfelek'!N175="")+('Ügyfelek'!O175="")+('Ügyfelek'!P175="")+('Ügyfelek'!Q175="")+('Ügyfelek'!R175="")+('Ügyfelek'!S175="")+('Ügyfelek'!T175="")+('Ügyfelek'!U175="")+('Ügyfelek'!V175="")+('Ügyfelek'!W175="")+('Ügyfelek'!X175="")+('Ügyfelek'!Y175="")+('Ügyfelek'!Z175="")+('Ügyfelek'!AA175="")+('Ügyfelek'!AB175="")+('Ügyfelek'!AC175="")+('Ügyfelek'!AD175="")+('Ügyfelek'!AE175="")+('Ügyfelek'!AF175="")+('Ügyfelek'!AG175="")+('Ügyfelek'!AH175=""))</f>
        <v/>
      </c>
      <c r="BK175">
        <f>IF($A175="","",B175+'Beállítások'!$E$6/1000)</f>
        <v/>
      </c>
      <c r="BL175">
        <f>IF($A175="","",C175+'Beállítások'!$E$7/1000)</f>
        <v/>
      </c>
      <c r="BM175">
        <f>IF($A175="","",D175+'Beállítások'!$E$8/1000)</f>
        <v/>
      </c>
      <c r="BN175">
        <f>IF($A175="","",E175+'Beállítások'!$E$9/1000)</f>
        <v/>
      </c>
      <c r="BO175">
        <f>IF($A175="","",F175+'Beállítások'!$E$10/1000)</f>
        <v/>
      </c>
      <c r="BP175">
        <f>IF($A175="","",G175+'Beállítások'!$E$11/1000)</f>
        <v/>
      </c>
      <c r="BQ175">
        <f>IF($A175="","",H175+'Beállítások'!$E$12/1000)</f>
        <v/>
      </c>
      <c r="BR175">
        <f>IF($A175="","",I175+'Beállítások'!$E$13/1000)</f>
        <v/>
      </c>
      <c r="BS175">
        <f>IF($A175="","",J175+'Beállítások'!$E$14/1000)</f>
        <v/>
      </c>
      <c r="BT175">
        <f>IF($A175="","",K175+'Beállítások'!$E$15/1000)</f>
        <v/>
      </c>
      <c r="BU175">
        <f>IF($A175="","",L175+'Beállítások'!$E$16/1000)</f>
        <v/>
      </c>
      <c r="BV175">
        <f>IF($A175="","",M175+'Beállítások'!$E$17/1000)</f>
        <v/>
      </c>
      <c r="BW175">
        <f>IF($A175="","",N175+'Beállítások'!$E$18/1000)</f>
        <v/>
      </c>
      <c r="BX175">
        <f>IF($A175="","",O175+'Beállítások'!$E$19/1000)</f>
        <v/>
      </c>
      <c r="BY175">
        <f>IF($A175="","",P175+'Beállítások'!$E$20/1000)</f>
        <v/>
      </c>
      <c r="BZ175">
        <f>IF($A175="","",Q175+'Beállítások'!$E$21/1000)</f>
        <v/>
      </c>
      <c r="CA175">
        <f>IF($A175="","",R175+'Beállítások'!$E$22/1000)</f>
        <v/>
      </c>
      <c r="CB175">
        <f>IF($A175="","",S175+'Beállítások'!$E$23/1000)</f>
        <v/>
      </c>
      <c r="CC175">
        <f>IF($A175="","",T175+'Beállítások'!$E$24/1000)</f>
        <v/>
      </c>
      <c r="CD175">
        <f>IF($A175="","",U175+'Beállítások'!$E$25/1000)</f>
        <v/>
      </c>
      <c r="CE175">
        <f>IF($A175="","",V175+'Beállítások'!$E$26/1000)</f>
        <v/>
      </c>
      <c r="CF175">
        <f>IF($A175="","",W175+'Beállítások'!$E$27/1000)</f>
        <v/>
      </c>
      <c r="CG175">
        <f>IF($A175="","",X175+'Beállítások'!$E$28/1000)</f>
        <v/>
      </c>
      <c r="CH175">
        <f>IF($A175="","",Y175+'Beállítások'!$E$29/1000)</f>
        <v/>
      </c>
      <c r="CI175">
        <f>IF($A175="","",Z175+'Beállítások'!$E$30/1000)</f>
        <v/>
      </c>
      <c r="CJ175">
        <f>IF($A175="","",AA175+'Beállítások'!$E$31/1000)</f>
        <v/>
      </c>
      <c r="CK175">
        <f>IF($A175="","",AB175+'Beállítások'!$E$32/1000)</f>
        <v/>
      </c>
      <c r="CL175">
        <f>IF($A175="","",AC175+'Beállítások'!$E$33/1000)</f>
        <v/>
      </c>
      <c r="CM175">
        <f>IF($A175="","",AD175+'Beállítások'!$E$34/1000)</f>
        <v/>
      </c>
      <c r="CN175">
        <f>IF($A175="","",AE175+'Beállítások'!$E$35/1000)</f>
        <v/>
      </c>
      <c r="CO175">
        <f>IF($A175="","",AF175+'Beállítások'!$E$36/1000)</f>
        <v/>
      </c>
      <c r="CP175">
        <f>IF($A175="","",AG175+'Beállítások'!$E$37/1000)</f>
        <v/>
      </c>
      <c r="CQ175">
        <f>IF($A175="","",AH175+'Beállítások'!$E$38/1000)</f>
        <v/>
      </c>
      <c r="CR175">
        <f>IF($A175="","",'Beállítások'!$E$6*(10-B175))</f>
        <v/>
      </c>
      <c r="CS175">
        <f>IF($A175="","",'Beállítások'!$E$7*(10-C175))</f>
        <v/>
      </c>
      <c r="CT175">
        <f>IF($A175="","",'Beállítások'!$E$8*(10-D175))</f>
        <v/>
      </c>
      <c r="CU175">
        <f>IF($A175="","",'Beállítások'!$E$9*(10-E175))</f>
        <v/>
      </c>
      <c r="CV175">
        <f>IF($A175="","",'Beállítások'!$E$10*(10-F175))</f>
        <v/>
      </c>
      <c r="CW175">
        <f>IF($A175="","",'Beállítások'!$E$11*(10-G175))</f>
        <v/>
      </c>
      <c r="CX175">
        <f>IF($A175="","",'Beállítások'!$E$12*(10-H175))</f>
        <v/>
      </c>
      <c r="CY175">
        <f>IF($A175="","",'Beállítások'!$E$13*(10-I175))</f>
        <v/>
      </c>
      <c r="CZ175">
        <f>IF($A175="","",'Beállítások'!$E$14*(10-J175))</f>
        <v/>
      </c>
      <c r="DA175">
        <f>IF($A175="","",'Beállítások'!$E$15*(10-K175))</f>
        <v/>
      </c>
      <c r="DB175">
        <f>IF($A175="","",'Beállítások'!$E$16*(10-L175))</f>
        <v/>
      </c>
      <c r="DC175">
        <f>IF($A175="","",'Beállítások'!$E$17*(10-M175))</f>
        <v/>
      </c>
      <c r="DD175">
        <f>IF($A175="","",'Beállítások'!$E$18*(10-N175))</f>
        <v/>
      </c>
      <c r="DE175">
        <f>IF($A175="","",'Beállítások'!$E$19*(10-O175))</f>
        <v/>
      </c>
      <c r="DF175">
        <f>IF($A175="","",'Beállítások'!$E$20*(10-P175))</f>
        <v/>
      </c>
      <c r="DG175">
        <f>IF($A175="","",'Beállítások'!$E$21*(10-Q175))</f>
        <v/>
      </c>
      <c r="DH175">
        <f>IF($A175="","",'Beállítások'!$E$22*(10-R175))</f>
        <v/>
      </c>
      <c r="DI175">
        <f>IF($A175="","",'Beállítások'!$E$23*(10-S175))</f>
        <v/>
      </c>
      <c r="DJ175">
        <f>IF($A175="","",'Beállítások'!$E$24*(10-T175))</f>
        <v/>
      </c>
      <c r="DK175">
        <f>IF($A175="","",'Beállítások'!$E$25*(10-U175))</f>
        <v/>
      </c>
      <c r="DL175">
        <f>IF($A175="","",'Beállítások'!$E$26*(10-V175))</f>
        <v/>
      </c>
      <c r="DM175">
        <f>IF($A175="","",'Beállítások'!$E$27*(10-W175))</f>
        <v/>
      </c>
      <c r="DN175">
        <f>IF($A175="","",'Beállítások'!$E$28*(10-X175))</f>
        <v/>
      </c>
      <c r="DO175">
        <f>IF($A175="","",'Beállítások'!$E$29*(10-Y175))</f>
        <v/>
      </c>
      <c r="DP175">
        <f>IF($A175="","",'Beállítások'!$E$30*(10-Z175))</f>
        <v/>
      </c>
      <c r="DQ175">
        <f>IF($A175="","",'Beállítások'!$E$31*(10-AA175))</f>
        <v/>
      </c>
      <c r="DR175">
        <f>IF($A175="","",'Beállítások'!$E$32*(10-AB175))</f>
        <v/>
      </c>
      <c r="DS175">
        <f>IF($A175="","",'Beállítások'!$E$33*(10-AC175))</f>
        <v/>
      </c>
      <c r="DT175">
        <f>IF($A175="","",'Beállítások'!$E$34*(10-AD175))</f>
        <v/>
      </c>
      <c r="DU175">
        <f>IF($A175="","",'Beállítások'!$E$35*(10-AE175))</f>
        <v/>
      </c>
      <c r="DV175">
        <f>IF($A175="","",'Beállítások'!$E$36*(10-AF175))</f>
        <v/>
      </c>
      <c r="DW175">
        <f>IF($A175="","",'Beállítások'!$E$37*(10-AG175))</f>
        <v/>
      </c>
      <c r="DX175">
        <f>IF($A175="","",'Beállítások'!$E$38*(10-AH175))</f>
        <v/>
      </c>
      <c r="DY175">
        <f>IF($A175="","",AM175-ROW()/100000)</f>
        <v/>
      </c>
    </row>
    <row r="176">
      <c r="A176">
        <f>IF('Ügyfelek'!A176="","",'Ügyfelek'!A176)</f>
        <v/>
      </c>
      <c r="B176">
        <f>IF($A176="","",IF('Ügyfelek'!B176="",'Beállítások'!$B$84,IFERROR(VLOOKUP(TRIM('Ügyfelek'!B176),'Beállítások'!$A$51:$B$59,2,FALSE),'Beállítások'!$B$84)))</f>
        <v/>
      </c>
      <c r="C176">
        <f>IF($A176="","",IF('Ügyfelek'!C176="",'Beállítások'!$B$84,MIN(10,MAX(1,ROUND('Ügyfelek'!C176,0)))))</f>
        <v/>
      </c>
      <c r="D176">
        <f>IF($A176="","",IF('Ügyfelek'!D176="",'Beállítások'!$B$84,MIN(10,MAX(1,ROUND('Ügyfelek'!D176,0)))))</f>
        <v/>
      </c>
      <c r="E176">
        <f>IF($A176="","",IF('Ügyfelek'!E176="",'Beállítások'!$B$84,MIN(10,MAX(1,ROUND('Ügyfelek'!E176,0)))))</f>
        <v/>
      </c>
      <c r="F176">
        <f>IF($A176="","",IF('Ügyfelek'!F176="",'Beállítások'!$B$84,MIN(10,MAX(1,ROUND('Ügyfelek'!F176,0)))))</f>
        <v/>
      </c>
      <c r="G176">
        <f>IF($A176="","",IF('Ügyfelek'!G176="",'Beállítások'!$B$84,MIN(10,MAX(1,ROUND('Ügyfelek'!G176,0)))))</f>
        <v/>
      </c>
      <c r="H176">
        <f>IF($A176="","",IF('Ügyfelek'!H176="",'Beállítások'!$B$84,MIN(10,MAX(1,ROUND('Ügyfelek'!H176,0)))))</f>
        <v/>
      </c>
      <c r="I176">
        <f>IF($A176="","",IF('Ügyfelek'!I176="",'Beállítások'!$B$84,MIN(10,MAX(1,ROUND('Ügyfelek'!I176,0)))))</f>
        <v/>
      </c>
      <c r="J176">
        <f>IF($A176="","",IF('Ügyfelek'!J176="",'Beállítások'!$B$84,MIN(10,MAX(1,ROUND('Ügyfelek'!J176,0)))))</f>
        <v/>
      </c>
      <c r="K176">
        <f>IF($A176="","",IF('Ügyfelek'!K176="",'Beállítások'!$B$84,MIN(10,MAX(1,ROUND('Ügyfelek'!K176,0)))))</f>
        <v/>
      </c>
      <c r="L176">
        <f>IF($A176="","",IF('Ügyfelek'!L176="",'Beállítások'!$B$84,MIN(10,MAX(1,ROUND('Ügyfelek'!L176,0)))))</f>
        <v/>
      </c>
      <c r="M176">
        <f>IF($A176="","",IF('Ügyfelek'!M176="",'Beállítások'!$B$84,MIN(10,MAX(1,ROUND('Ügyfelek'!M176,0)))))</f>
        <v/>
      </c>
      <c r="N176">
        <f>IF($A176="","",IF('Ügyfelek'!N176="",'Beállítások'!$B$84,MIN(10,MAX(1,ROUND('Ügyfelek'!N176,0)))))</f>
        <v/>
      </c>
      <c r="O176">
        <f>IF($A176="","",IF('Ügyfelek'!O176="",'Beállítások'!$B$84,MIN(10,MAX(1,ROUND('Ügyfelek'!O176,0)))))</f>
        <v/>
      </c>
      <c r="P176">
        <f>IF($A176="","",IF('Ügyfelek'!P176="",'Beállítások'!$B$84,MIN(10,MAX(1,ROUND('Ügyfelek'!P176,0)))))</f>
        <v/>
      </c>
      <c r="Q176">
        <f>IF($A176="","",IF('Ügyfelek'!Q176="",'Beállítások'!$B$84,MIN(10,MAX(1,ROUND('Ügyfelek'!Q176,0)))))</f>
        <v/>
      </c>
      <c r="R176">
        <f>IF($A176="","",IF('Ügyfelek'!R176="",'Beállítások'!$B$84,MIN(10,MAX(1,ROUND('Ügyfelek'!R176,0)))))</f>
        <v/>
      </c>
      <c r="S176">
        <f>IF($A176="","",IF('Ügyfelek'!S176="",'Beállítások'!$B$84,MIN(10,MAX(1,ROUND('Ügyfelek'!S176,0)))))</f>
        <v/>
      </c>
      <c r="T176">
        <f>IF($A176="","",IF('Ügyfelek'!T176="",'Beállítások'!$B$84,VLOOKUP(MAX('Ügyfelek'!T176,'Beállítások'!$H$7),'Beállítások'!$H$7:$I$12,2,TRUE)))</f>
        <v/>
      </c>
      <c r="U176">
        <f>IF($A176="","",IF('Ügyfelek'!U176="",'Beállítások'!$B$84,VLOOKUP(MAX('Ügyfelek'!U176,'Beállítások'!$K$7),'Beállítások'!$K$7:$L$12,2,TRUE)))</f>
        <v/>
      </c>
      <c r="V176">
        <f>IF($A176="","",IF('Ügyfelek'!V176="",'Beállítások'!$B$84,MIN(10,MAX(1,ROUND('Ügyfelek'!V176,0)))))</f>
        <v/>
      </c>
      <c r="W176">
        <f>IF($A176="","",IF('Ügyfelek'!W176="",'Beállítások'!$B$84,VLOOKUP(MAX('Ügyfelek'!W176,'Beállítások'!$N$7),'Beállítások'!$N$7:$O$12,2,TRUE)))</f>
        <v/>
      </c>
      <c r="X176">
        <f>IF($A176="","",IF('Ügyfelek'!X176="",'Beállítások'!$B$84,MIN(10,MAX(1,ROUND('Ügyfelek'!X176,0)))))</f>
        <v/>
      </c>
      <c r="Y176">
        <f>IF($A176="","",IF('Ügyfelek'!Y176="",'Beállítások'!$B$84,IFERROR(VLOOKUP(TRIM('Ügyfelek'!Y176),'Beállítások'!$A$63:$B$69,2,FALSE),'Beállítások'!$B$84)))</f>
        <v/>
      </c>
      <c r="Z176">
        <f>IF($A176="","",IF('Ügyfelek'!Z176="",'Beállítások'!$B$84,VLOOKUP(MAX('Ügyfelek'!Z176,'Beállítások'!$Q$7),'Beállítások'!$Q$7:$R$12,2,TRUE)))</f>
        <v/>
      </c>
      <c r="AA176">
        <f>IF($A176="","",IF('Ügyfelek'!AA176="",'Beállítások'!$B$84,VLOOKUP(MAX('Ügyfelek'!AA176,'Beállítások'!$T$7),'Beállítások'!$T$7:$U$12,2,TRUE)))</f>
        <v/>
      </c>
      <c r="AB176">
        <f>IF($A176="","",IF('Ügyfelek'!AB176="",'Beállítások'!$B$84,MIN(10,MAX(1,ROUND('Ügyfelek'!AB176,0)))))</f>
        <v/>
      </c>
      <c r="AC176">
        <f>IF($A176="","",IF('Ügyfelek'!AC176="",'Beállítások'!$B$84,MIN(10,MAX(1,ROUND('Ügyfelek'!AC176,0)))))</f>
        <v/>
      </c>
      <c r="AD176">
        <f>IF($A176="","",IF('Ügyfelek'!AD176="",'Beállítások'!$B$84,MIN(10,MAX(1,ROUND('Ügyfelek'!AD176,0)))))</f>
        <v/>
      </c>
      <c r="AE176">
        <f>IF($A176="","",IF('Ügyfelek'!AE176="",'Beállítások'!$B$84,MIN(10,MAX(1,ROUND('Ügyfelek'!AE176,0)))))</f>
        <v/>
      </c>
      <c r="AF176">
        <f>IF($A176="","",IF('Ügyfelek'!AF176="",'Beállítások'!$B$84,MIN(10,MAX(1,ROUND('Ügyfelek'!AF176,0)))))</f>
        <v/>
      </c>
      <c r="AG176">
        <f>IF($A176="","",IF('Ügyfelek'!AG176="",'Beállítások'!$B$84,MIN(10,MAX(1,ROUND('Ügyfelek'!AG176,0)))))</f>
        <v/>
      </c>
      <c r="AH176">
        <f>IF($A176="","",IF('Ügyfelek'!AH176="",'Beállítások'!$B$84,IFERROR(VLOOKUP(TRIM('Ügyfelek'!AH176),'Beállítások'!$A$73:$B$79,2,FALSE),'Beállítások'!$B$84)))</f>
        <v/>
      </c>
      <c r="AI176" s="23">
        <f>IF($A176="","",ROUND(100*('Beállítások'!$E$6*(B176-1)+'Beállítások'!$E$7*(C176-1))/(9*'Beállítások'!$B$43),1))</f>
        <v/>
      </c>
      <c r="AJ176" s="23">
        <f>IF($A176="","",ROUND(100*('Beállítások'!$E$8*(D176-1)+'Beállítások'!$E$9*(E176-1)+'Beállítások'!$E$10*(F176-1)+'Beállítások'!$E$11*(G176-1)+'Beállítások'!$E$12*(H176-1)+'Beállítások'!$E$13*(I176-1)+'Beállítások'!$E$14*(J176-1)+'Beállítások'!$E$15*(K176-1)+'Beállítások'!$E$16*(L176-1)+'Beállítások'!$E$17*(M176-1)+'Beállítások'!$E$18*(N176-1)+'Beállítások'!$E$19*(O176-1)+'Beállítások'!$E$20*(P176-1)+'Beállítások'!$E$21*(Q176-1)+'Beállítások'!$E$22*(R176-1))/(9*'Beállítások'!$B$44),1))</f>
        <v/>
      </c>
      <c r="AK176" s="23">
        <f>IF($A176="","",ROUND(100*('Beállítások'!$E$23*(S176-1)+'Beállítások'!$E$24*(T176-1)+'Beállítások'!$E$25*(U176-1)+'Beállítások'!$E$26*(V176-1)+'Beállítások'!$E$27*(W176-1)+'Beállítások'!$E$28*(X176-1)+'Beállítások'!$E$29*(Y176-1))/(9*'Beállítások'!$B$45),1))</f>
        <v/>
      </c>
      <c r="AL176" s="23">
        <f>IF($A176="","",ROUND(100*('Beállítások'!$E$30*(Z176-1)+'Beállítások'!$E$31*(AA176-1)+'Beállítások'!$E$32*(AB176-1)+'Beállítások'!$E$33*(AC176-1)+'Beállítások'!$E$34*(AD176-1)+'Beállítások'!$E$35*(AE176-1)+'Beállítások'!$E$36*(AF176-1)+'Beállítások'!$E$37*(AG176-1)+'Beállítások'!$E$38*(AH176-1))/(9*'Beállítások'!$B$46),1))</f>
        <v/>
      </c>
      <c r="AM176" s="23">
        <f>IF($A176="","",ROUND(100*('Beállítások'!$E$6*(B176-1)+'Beállítások'!$E$7*(C176-1)+'Beállítások'!$E$8*(D176-1)+'Beállítások'!$E$9*(E176-1)+'Beállítások'!$E$10*(F176-1)+'Beállítások'!$E$11*(G176-1)+'Beállítások'!$E$12*(H176-1)+'Beállítások'!$E$13*(I176-1)+'Beállítások'!$E$14*(J176-1)+'Beállítások'!$E$15*(K176-1)+'Beállítások'!$E$16*(L176-1)+'Beállítások'!$E$17*(M176-1)+'Beállítások'!$E$18*(N176-1)+'Beállítások'!$E$19*(O176-1)+'Beállítások'!$E$20*(P176-1)+'Beállítások'!$E$21*(Q176-1)+'Beállítások'!$E$22*(R176-1)+'Beállítások'!$E$23*(S176-1)+'Beállítások'!$E$24*(T176-1)+'Beállítások'!$E$25*(U176-1)+'Beállítások'!$E$26*(V176-1)+'Beállítások'!$E$27*(W176-1)+'Beállítások'!$E$28*(X176-1)+'Beállítások'!$E$29*(Y176-1)+'Beállítások'!$E$30*(Z176-1)+'Beállítások'!$E$31*(AA176-1)+'Beállítások'!$E$32*(AB176-1)+'Beállítások'!$E$33*(AC176-1)+'Beállítások'!$E$34*(AD176-1)+'Beállítások'!$E$35*(AE176-1)+'Beállítások'!$E$36*(AF176-1)+'Beállítások'!$E$37*(AG176-1)+'Beállítások'!$E$38*(AH176-1))/(9*'Beállítások'!$E$39),1))</f>
        <v/>
      </c>
      <c r="AN176" s="23">
        <f>IF($A176="","",ROUND(100*('Beállítások'!$E$8*(D176-1)+'Beállítások'!$E$9*(E176-1)+'Beállítások'!$E$10*(F176-1)+'Beállítások'!$E$11*(G176-1)+'Beállítások'!$E$12*(H176-1)+'Beállítások'!$E$13*(I176-1)+'Beállítások'!$E$14*(J176-1)+'Beállítások'!$E$15*(K176-1)+'Beállítások'!$E$16*(L176-1)+'Beállítások'!$E$17*(M176-1)+'Beállítások'!$E$18*(N176-1)+'Beállítások'!$E$19*(O176-1)+'Beállítások'!$E$20*(P176-1)+'Beállítások'!$E$21*(Q176-1)+'Beállítások'!$E$22*(R176-1)+'Beállítások'!$E$23*(S176-1)+'Beállítások'!$E$24*(T176-1)+'Beállítások'!$E$25*(U176-1)+'Beállítások'!$E$26*(V176-1)+'Beállítások'!$E$27*(W176-1)+'Beállítások'!$E$28*(X176-1)+'Beállítások'!$E$29*(Y176-1))/(9*('Beállítások'!$B$44+'Beállítások'!$B$45)),1))</f>
        <v/>
      </c>
      <c r="AO176" s="24">
        <f>IF($A176="","",RANK(AM176,$AM$2:$AM$201))</f>
        <v/>
      </c>
      <c r="AP176">
        <f>IF($A176="","",IF(OR(AND('Ügyfelek'!B176&lt;&gt;"",B176&lt;='Beállítások'!$B$85),AND('Ügyfelek'!C176&lt;&gt;"",C176&lt;='Beállítások'!$B$86)),"Igen","Nem"))</f>
        <v/>
      </c>
      <c r="AQ176" s="24">
        <f>IF($A176="","",IF(AP176="Igen",5,IF(AN176&gt;='Beállítások'!$C$108,1,IF(AN176&gt;='Beállítások'!$C$109,2,IF(AN176&gt;='Beállítások'!$C$110,3,IF(AND(AN176&gt;='Beállítások'!$B$87,AI176&gt;='Beállítások'!$B$88,AL176&gt;='Beállítások'!$B$89),4,5))))))</f>
        <v/>
      </c>
      <c r="AR176">
        <f>IF($A176="","",INDEX('Beállítások'!$B$108:$B$112,AQ176))</f>
        <v/>
      </c>
      <c r="AS176">
        <f>IF($A176="","",IF(AQ176=5,"Elutasítjuk",IF(AND(AQ176=4,COUNTIFS('Eredmény'!$AQ$2:$AQ$201,4,'Eredmény'!$DY$2:$DY$201,"&gt;"&amp;DY176)&gt;='Beállítások'!$B$90),"Várólista (a 4-es hely foglalt)","Elfogadjuk")))</f>
        <v/>
      </c>
      <c r="AT176">
        <f>IF($A176="","",INDEX('Beállítások'!$F$108:$F$112,AQ176))</f>
        <v/>
      </c>
      <c r="AU176">
        <f>IF($A176="","",INDEX('Beállítások'!$B$6:$B$38,MATCH(MAX(BK176:CQ176),BK176:CQ176,0)))</f>
        <v/>
      </c>
      <c r="AV176">
        <f>IF($A176="","",IF(MAX(CR176:DX176)=0,"—",INDEX('Beállítások'!$B$6:$B$38,MATCH(MAX(CR176:DX176),CR176:DX176,0))))</f>
        <v/>
      </c>
      <c r="AW176" s="10">
        <f>IF($A176="","",'Beállítások'!$B$94*(TRIM('Ügyfelek'!AI176)="igen")+'Beállítások'!$B$95*(TRIM('Ügyfelek'!AJ176)="igen")+'Beállítások'!$B$96*N('Ügyfelek'!AK176)+'Beállítások'!$B$93*N('Ügyfelek'!AL176))</f>
        <v/>
      </c>
      <c r="AX176" s="25">
        <f>IF(OR($A176="",AQ176=5),"",INDEX('Beállítások'!$D$108:$D$112,AQ176))</f>
        <v/>
      </c>
      <c r="AY176" s="10">
        <f>IF($A176="","",N('Ügyfelek'!U176)*'Beállítások'!$B$98)</f>
        <v/>
      </c>
      <c r="AZ176" s="10">
        <f>IF(OR($A176="",AQ176=5),"",CEILING(ROUND(MAX('Beállítások'!$B$97,AW176*AX176,AY176),2),'Beállítások'!$B$99))</f>
        <v/>
      </c>
      <c r="BA176">
        <f>IF($A176="","",IF(AQ176=5,"Elutasítva",IF(MAX('Beállítások'!$B$97,AW176*AX176,AY176)=AW176*AX176,"Munkaigény × státuszszorzó",IF(MAX('Beállítások'!$B$97,AW176*AX176,AY176)=AY176,"Hirdetési keret arányában","Minimumdíj"))))</f>
        <v/>
      </c>
      <c r="BB176" s="10">
        <f>IF(OR($A176="",'Ügyfelek'!AM176=""),"",'Ügyfelek'!AM176)</f>
        <v/>
      </c>
      <c r="BC176" s="10">
        <f>IF(OR(BB176="",AZ176=""),"",AZ176-BB176)</f>
        <v/>
      </c>
      <c r="BD176" s="18">
        <f>IF(OR(BB176="",AZ176="",BB176=0),"",BC176/BB176)</f>
        <v/>
      </c>
      <c r="BE176">
        <f>IF(OR($A176="",AQ176=5),"",IF(AND(INDEX('Beállítások'!$E$108:$E$112,AQ176)&gt;0,Y176&gt;='Beállítások'!$B$91),"Igen","Nem"))</f>
        <v/>
      </c>
      <c r="BF176" s="10">
        <f>IF(BE176="Igen",CEILING(ROUND(AZ176*(1-'Beállítások'!$B$92),2),'Beállítások'!$B$99),"")</f>
        <v/>
      </c>
      <c r="BG176" s="20">
        <f>IF(BE176="Igen",INDEX('Beállítások'!$E$108:$E$112,AQ176),"")</f>
        <v/>
      </c>
      <c r="BH176" s="10">
        <f>IF(OR(BE176&lt;&gt;"Igen",'Ügyfelek'!AN176=""),"",'Ügyfelek'!AN176*BG176)</f>
        <v/>
      </c>
      <c r="BI176" s="24">
        <f>IF($A176="","",('Ügyfelek'!B176="")+('Ügyfelek'!C176="")+('Ügyfelek'!D176="")+('Ügyfelek'!E176="")+('Ügyfelek'!F176="")+('Ügyfelek'!G176="")+('Ügyfelek'!H176="")+('Ügyfelek'!I176="")+('Ügyfelek'!J176="")+('Ügyfelek'!K176="")+('Ügyfelek'!L176="")+('Ügyfelek'!M176="")+('Ügyfelek'!N176="")+('Ügyfelek'!O176="")+('Ügyfelek'!P176="")+('Ügyfelek'!Q176="")+('Ügyfelek'!R176="")+('Ügyfelek'!S176="")+('Ügyfelek'!T176="")+('Ügyfelek'!U176="")+('Ügyfelek'!V176="")+('Ügyfelek'!W176="")+('Ügyfelek'!X176="")+('Ügyfelek'!Y176="")+('Ügyfelek'!Z176="")+('Ügyfelek'!AA176="")+('Ügyfelek'!AB176="")+('Ügyfelek'!AC176="")+('Ügyfelek'!AD176="")+('Ügyfelek'!AE176="")+('Ügyfelek'!AF176="")+('Ügyfelek'!AG176="")+('Ügyfelek'!AH176=""))</f>
        <v/>
      </c>
      <c r="BK176">
        <f>IF($A176="","",B176+'Beállítások'!$E$6/1000)</f>
        <v/>
      </c>
      <c r="BL176">
        <f>IF($A176="","",C176+'Beállítások'!$E$7/1000)</f>
        <v/>
      </c>
      <c r="BM176">
        <f>IF($A176="","",D176+'Beállítások'!$E$8/1000)</f>
        <v/>
      </c>
      <c r="BN176">
        <f>IF($A176="","",E176+'Beállítások'!$E$9/1000)</f>
        <v/>
      </c>
      <c r="BO176">
        <f>IF($A176="","",F176+'Beállítások'!$E$10/1000)</f>
        <v/>
      </c>
      <c r="BP176">
        <f>IF($A176="","",G176+'Beállítások'!$E$11/1000)</f>
        <v/>
      </c>
      <c r="BQ176">
        <f>IF($A176="","",H176+'Beállítások'!$E$12/1000)</f>
        <v/>
      </c>
      <c r="BR176">
        <f>IF($A176="","",I176+'Beállítások'!$E$13/1000)</f>
        <v/>
      </c>
      <c r="BS176">
        <f>IF($A176="","",J176+'Beállítások'!$E$14/1000)</f>
        <v/>
      </c>
      <c r="BT176">
        <f>IF($A176="","",K176+'Beállítások'!$E$15/1000)</f>
        <v/>
      </c>
      <c r="BU176">
        <f>IF($A176="","",L176+'Beállítások'!$E$16/1000)</f>
        <v/>
      </c>
      <c r="BV176">
        <f>IF($A176="","",M176+'Beállítások'!$E$17/1000)</f>
        <v/>
      </c>
      <c r="BW176">
        <f>IF($A176="","",N176+'Beállítások'!$E$18/1000)</f>
        <v/>
      </c>
      <c r="BX176">
        <f>IF($A176="","",O176+'Beállítások'!$E$19/1000)</f>
        <v/>
      </c>
      <c r="BY176">
        <f>IF($A176="","",P176+'Beállítások'!$E$20/1000)</f>
        <v/>
      </c>
      <c r="BZ176">
        <f>IF($A176="","",Q176+'Beállítások'!$E$21/1000)</f>
        <v/>
      </c>
      <c r="CA176">
        <f>IF($A176="","",R176+'Beállítások'!$E$22/1000)</f>
        <v/>
      </c>
      <c r="CB176">
        <f>IF($A176="","",S176+'Beállítások'!$E$23/1000)</f>
        <v/>
      </c>
      <c r="CC176">
        <f>IF($A176="","",T176+'Beállítások'!$E$24/1000)</f>
        <v/>
      </c>
      <c r="CD176">
        <f>IF($A176="","",U176+'Beállítások'!$E$25/1000)</f>
        <v/>
      </c>
      <c r="CE176">
        <f>IF($A176="","",V176+'Beállítások'!$E$26/1000)</f>
        <v/>
      </c>
      <c r="CF176">
        <f>IF($A176="","",W176+'Beállítások'!$E$27/1000)</f>
        <v/>
      </c>
      <c r="CG176">
        <f>IF($A176="","",X176+'Beállítások'!$E$28/1000)</f>
        <v/>
      </c>
      <c r="CH176">
        <f>IF($A176="","",Y176+'Beállítások'!$E$29/1000)</f>
        <v/>
      </c>
      <c r="CI176">
        <f>IF($A176="","",Z176+'Beállítások'!$E$30/1000)</f>
        <v/>
      </c>
      <c r="CJ176">
        <f>IF($A176="","",AA176+'Beállítások'!$E$31/1000)</f>
        <v/>
      </c>
      <c r="CK176">
        <f>IF($A176="","",AB176+'Beállítások'!$E$32/1000)</f>
        <v/>
      </c>
      <c r="CL176">
        <f>IF($A176="","",AC176+'Beállítások'!$E$33/1000)</f>
        <v/>
      </c>
      <c r="CM176">
        <f>IF($A176="","",AD176+'Beállítások'!$E$34/1000)</f>
        <v/>
      </c>
      <c r="CN176">
        <f>IF($A176="","",AE176+'Beállítások'!$E$35/1000)</f>
        <v/>
      </c>
      <c r="CO176">
        <f>IF($A176="","",AF176+'Beállítások'!$E$36/1000)</f>
        <v/>
      </c>
      <c r="CP176">
        <f>IF($A176="","",AG176+'Beállítások'!$E$37/1000)</f>
        <v/>
      </c>
      <c r="CQ176">
        <f>IF($A176="","",AH176+'Beállítások'!$E$38/1000)</f>
        <v/>
      </c>
      <c r="CR176">
        <f>IF($A176="","",'Beállítások'!$E$6*(10-B176))</f>
        <v/>
      </c>
      <c r="CS176">
        <f>IF($A176="","",'Beállítások'!$E$7*(10-C176))</f>
        <v/>
      </c>
      <c r="CT176">
        <f>IF($A176="","",'Beállítások'!$E$8*(10-D176))</f>
        <v/>
      </c>
      <c r="CU176">
        <f>IF($A176="","",'Beállítások'!$E$9*(10-E176))</f>
        <v/>
      </c>
      <c r="CV176">
        <f>IF($A176="","",'Beállítások'!$E$10*(10-F176))</f>
        <v/>
      </c>
      <c r="CW176">
        <f>IF($A176="","",'Beállítások'!$E$11*(10-G176))</f>
        <v/>
      </c>
      <c r="CX176">
        <f>IF($A176="","",'Beállítások'!$E$12*(10-H176))</f>
        <v/>
      </c>
      <c r="CY176">
        <f>IF($A176="","",'Beállítások'!$E$13*(10-I176))</f>
        <v/>
      </c>
      <c r="CZ176">
        <f>IF($A176="","",'Beállítások'!$E$14*(10-J176))</f>
        <v/>
      </c>
      <c r="DA176">
        <f>IF($A176="","",'Beállítások'!$E$15*(10-K176))</f>
        <v/>
      </c>
      <c r="DB176">
        <f>IF($A176="","",'Beállítások'!$E$16*(10-L176))</f>
        <v/>
      </c>
      <c r="DC176">
        <f>IF($A176="","",'Beállítások'!$E$17*(10-M176))</f>
        <v/>
      </c>
      <c r="DD176">
        <f>IF($A176="","",'Beállítások'!$E$18*(10-N176))</f>
        <v/>
      </c>
      <c r="DE176">
        <f>IF($A176="","",'Beállítások'!$E$19*(10-O176))</f>
        <v/>
      </c>
      <c r="DF176">
        <f>IF($A176="","",'Beállítások'!$E$20*(10-P176))</f>
        <v/>
      </c>
      <c r="DG176">
        <f>IF($A176="","",'Beállítások'!$E$21*(10-Q176))</f>
        <v/>
      </c>
      <c r="DH176">
        <f>IF($A176="","",'Beállítások'!$E$22*(10-R176))</f>
        <v/>
      </c>
      <c r="DI176">
        <f>IF($A176="","",'Beállítások'!$E$23*(10-S176))</f>
        <v/>
      </c>
      <c r="DJ176">
        <f>IF($A176="","",'Beállítások'!$E$24*(10-T176))</f>
        <v/>
      </c>
      <c r="DK176">
        <f>IF($A176="","",'Beállítások'!$E$25*(10-U176))</f>
        <v/>
      </c>
      <c r="DL176">
        <f>IF($A176="","",'Beállítások'!$E$26*(10-V176))</f>
        <v/>
      </c>
      <c r="DM176">
        <f>IF($A176="","",'Beállítások'!$E$27*(10-W176))</f>
        <v/>
      </c>
      <c r="DN176">
        <f>IF($A176="","",'Beállítások'!$E$28*(10-X176))</f>
        <v/>
      </c>
      <c r="DO176">
        <f>IF($A176="","",'Beállítások'!$E$29*(10-Y176))</f>
        <v/>
      </c>
      <c r="DP176">
        <f>IF($A176="","",'Beállítások'!$E$30*(10-Z176))</f>
        <v/>
      </c>
      <c r="DQ176">
        <f>IF($A176="","",'Beállítások'!$E$31*(10-AA176))</f>
        <v/>
      </c>
      <c r="DR176">
        <f>IF($A176="","",'Beállítások'!$E$32*(10-AB176))</f>
        <v/>
      </c>
      <c r="DS176">
        <f>IF($A176="","",'Beállítások'!$E$33*(10-AC176))</f>
        <v/>
      </c>
      <c r="DT176">
        <f>IF($A176="","",'Beállítások'!$E$34*(10-AD176))</f>
        <v/>
      </c>
      <c r="DU176">
        <f>IF($A176="","",'Beállítások'!$E$35*(10-AE176))</f>
        <v/>
      </c>
      <c r="DV176">
        <f>IF($A176="","",'Beállítások'!$E$36*(10-AF176))</f>
        <v/>
      </c>
      <c r="DW176">
        <f>IF($A176="","",'Beállítások'!$E$37*(10-AG176))</f>
        <v/>
      </c>
      <c r="DX176">
        <f>IF($A176="","",'Beállítások'!$E$38*(10-AH176))</f>
        <v/>
      </c>
      <c r="DY176">
        <f>IF($A176="","",AM176-ROW()/100000)</f>
        <v/>
      </c>
    </row>
    <row r="177">
      <c r="A177">
        <f>IF('Ügyfelek'!A177="","",'Ügyfelek'!A177)</f>
        <v/>
      </c>
      <c r="B177">
        <f>IF($A177="","",IF('Ügyfelek'!B177="",'Beállítások'!$B$84,IFERROR(VLOOKUP(TRIM('Ügyfelek'!B177),'Beállítások'!$A$51:$B$59,2,FALSE),'Beállítások'!$B$84)))</f>
        <v/>
      </c>
      <c r="C177">
        <f>IF($A177="","",IF('Ügyfelek'!C177="",'Beállítások'!$B$84,MIN(10,MAX(1,ROUND('Ügyfelek'!C177,0)))))</f>
        <v/>
      </c>
      <c r="D177">
        <f>IF($A177="","",IF('Ügyfelek'!D177="",'Beállítások'!$B$84,MIN(10,MAX(1,ROUND('Ügyfelek'!D177,0)))))</f>
        <v/>
      </c>
      <c r="E177">
        <f>IF($A177="","",IF('Ügyfelek'!E177="",'Beállítások'!$B$84,MIN(10,MAX(1,ROUND('Ügyfelek'!E177,0)))))</f>
        <v/>
      </c>
      <c r="F177">
        <f>IF($A177="","",IF('Ügyfelek'!F177="",'Beállítások'!$B$84,MIN(10,MAX(1,ROUND('Ügyfelek'!F177,0)))))</f>
        <v/>
      </c>
      <c r="G177">
        <f>IF($A177="","",IF('Ügyfelek'!G177="",'Beállítások'!$B$84,MIN(10,MAX(1,ROUND('Ügyfelek'!G177,0)))))</f>
        <v/>
      </c>
      <c r="H177">
        <f>IF($A177="","",IF('Ügyfelek'!H177="",'Beállítások'!$B$84,MIN(10,MAX(1,ROUND('Ügyfelek'!H177,0)))))</f>
        <v/>
      </c>
      <c r="I177">
        <f>IF($A177="","",IF('Ügyfelek'!I177="",'Beállítások'!$B$84,MIN(10,MAX(1,ROUND('Ügyfelek'!I177,0)))))</f>
        <v/>
      </c>
      <c r="J177">
        <f>IF($A177="","",IF('Ügyfelek'!J177="",'Beállítások'!$B$84,MIN(10,MAX(1,ROUND('Ügyfelek'!J177,0)))))</f>
        <v/>
      </c>
      <c r="K177">
        <f>IF($A177="","",IF('Ügyfelek'!K177="",'Beállítások'!$B$84,MIN(10,MAX(1,ROUND('Ügyfelek'!K177,0)))))</f>
        <v/>
      </c>
      <c r="L177">
        <f>IF($A177="","",IF('Ügyfelek'!L177="",'Beállítások'!$B$84,MIN(10,MAX(1,ROUND('Ügyfelek'!L177,0)))))</f>
        <v/>
      </c>
      <c r="M177">
        <f>IF($A177="","",IF('Ügyfelek'!M177="",'Beállítások'!$B$84,MIN(10,MAX(1,ROUND('Ügyfelek'!M177,0)))))</f>
        <v/>
      </c>
      <c r="N177">
        <f>IF($A177="","",IF('Ügyfelek'!N177="",'Beállítások'!$B$84,MIN(10,MAX(1,ROUND('Ügyfelek'!N177,0)))))</f>
        <v/>
      </c>
      <c r="O177">
        <f>IF($A177="","",IF('Ügyfelek'!O177="",'Beállítások'!$B$84,MIN(10,MAX(1,ROUND('Ügyfelek'!O177,0)))))</f>
        <v/>
      </c>
      <c r="P177">
        <f>IF($A177="","",IF('Ügyfelek'!P177="",'Beállítások'!$B$84,MIN(10,MAX(1,ROUND('Ügyfelek'!P177,0)))))</f>
        <v/>
      </c>
      <c r="Q177">
        <f>IF($A177="","",IF('Ügyfelek'!Q177="",'Beállítások'!$B$84,MIN(10,MAX(1,ROUND('Ügyfelek'!Q177,0)))))</f>
        <v/>
      </c>
      <c r="R177">
        <f>IF($A177="","",IF('Ügyfelek'!R177="",'Beállítások'!$B$84,MIN(10,MAX(1,ROUND('Ügyfelek'!R177,0)))))</f>
        <v/>
      </c>
      <c r="S177">
        <f>IF($A177="","",IF('Ügyfelek'!S177="",'Beállítások'!$B$84,MIN(10,MAX(1,ROUND('Ügyfelek'!S177,0)))))</f>
        <v/>
      </c>
      <c r="T177">
        <f>IF($A177="","",IF('Ügyfelek'!T177="",'Beállítások'!$B$84,VLOOKUP(MAX('Ügyfelek'!T177,'Beállítások'!$H$7),'Beállítások'!$H$7:$I$12,2,TRUE)))</f>
        <v/>
      </c>
      <c r="U177">
        <f>IF($A177="","",IF('Ügyfelek'!U177="",'Beállítások'!$B$84,VLOOKUP(MAX('Ügyfelek'!U177,'Beállítások'!$K$7),'Beállítások'!$K$7:$L$12,2,TRUE)))</f>
        <v/>
      </c>
      <c r="V177">
        <f>IF($A177="","",IF('Ügyfelek'!V177="",'Beállítások'!$B$84,MIN(10,MAX(1,ROUND('Ügyfelek'!V177,0)))))</f>
        <v/>
      </c>
      <c r="W177">
        <f>IF($A177="","",IF('Ügyfelek'!W177="",'Beállítások'!$B$84,VLOOKUP(MAX('Ügyfelek'!W177,'Beállítások'!$N$7),'Beállítások'!$N$7:$O$12,2,TRUE)))</f>
        <v/>
      </c>
      <c r="X177">
        <f>IF($A177="","",IF('Ügyfelek'!X177="",'Beállítások'!$B$84,MIN(10,MAX(1,ROUND('Ügyfelek'!X177,0)))))</f>
        <v/>
      </c>
      <c r="Y177">
        <f>IF($A177="","",IF('Ügyfelek'!Y177="",'Beállítások'!$B$84,IFERROR(VLOOKUP(TRIM('Ügyfelek'!Y177),'Beállítások'!$A$63:$B$69,2,FALSE),'Beállítások'!$B$84)))</f>
        <v/>
      </c>
      <c r="Z177">
        <f>IF($A177="","",IF('Ügyfelek'!Z177="",'Beállítások'!$B$84,VLOOKUP(MAX('Ügyfelek'!Z177,'Beállítások'!$Q$7),'Beállítások'!$Q$7:$R$12,2,TRUE)))</f>
        <v/>
      </c>
      <c r="AA177">
        <f>IF($A177="","",IF('Ügyfelek'!AA177="",'Beállítások'!$B$84,VLOOKUP(MAX('Ügyfelek'!AA177,'Beállítások'!$T$7),'Beállítások'!$T$7:$U$12,2,TRUE)))</f>
        <v/>
      </c>
      <c r="AB177">
        <f>IF($A177="","",IF('Ügyfelek'!AB177="",'Beállítások'!$B$84,MIN(10,MAX(1,ROUND('Ügyfelek'!AB177,0)))))</f>
        <v/>
      </c>
      <c r="AC177">
        <f>IF($A177="","",IF('Ügyfelek'!AC177="",'Beállítások'!$B$84,MIN(10,MAX(1,ROUND('Ügyfelek'!AC177,0)))))</f>
        <v/>
      </c>
      <c r="AD177">
        <f>IF($A177="","",IF('Ügyfelek'!AD177="",'Beállítások'!$B$84,MIN(10,MAX(1,ROUND('Ügyfelek'!AD177,0)))))</f>
        <v/>
      </c>
      <c r="AE177">
        <f>IF($A177="","",IF('Ügyfelek'!AE177="",'Beállítások'!$B$84,MIN(10,MAX(1,ROUND('Ügyfelek'!AE177,0)))))</f>
        <v/>
      </c>
      <c r="AF177">
        <f>IF($A177="","",IF('Ügyfelek'!AF177="",'Beállítások'!$B$84,MIN(10,MAX(1,ROUND('Ügyfelek'!AF177,0)))))</f>
        <v/>
      </c>
      <c r="AG177">
        <f>IF($A177="","",IF('Ügyfelek'!AG177="",'Beállítások'!$B$84,MIN(10,MAX(1,ROUND('Ügyfelek'!AG177,0)))))</f>
        <v/>
      </c>
      <c r="AH177">
        <f>IF($A177="","",IF('Ügyfelek'!AH177="",'Beállítások'!$B$84,IFERROR(VLOOKUP(TRIM('Ügyfelek'!AH177),'Beállítások'!$A$73:$B$79,2,FALSE),'Beállítások'!$B$84)))</f>
        <v/>
      </c>
      <c r="AI177" s="23">
        <f>IF($A177="","",ROUND(100*('Beállítások'!$E$6*(B177-1)+'Beállítások'!$E$7*(C177-1))/(9*'Beállítások'!$B$43),1))</f>
        <v/>
      </c>
      <c r="AJ177" s="23">
        <f>IF($A177="","",ROUND(100*('Beállítások'!$E$8*(D177-1)+'Beállítások'!$E$9*(E177-1)+'Beállítások'!$E$10*(F177-1)+'Beállítások'!$E$11*(G177-1)+'Beállítások'!$E$12*(H177-1)+'Beállítások'!$E$13*(I177-1)+'Beállítások'!$E$14*(J177-1)+'Beállítások'!$E$15*(K177-1)+'Beállítások'!$E$16*(L177-1)+'Beállítások'!$E$17*(M177-1)+'Beállítások'!$E$18*(N177-1)+'Beállítások'!$E$19*(O177-1)+'Beállítások'!$E$20*(P177-1)+'Beállítások'!$E$21*(Q177-1)+'Beállítások'!$E$22*(R177-1))/(9*'Beállítások'!$B$44),1))</f>
        <v/>
      </c>
      <c r="AK177" s="23">
        <f>IF($A177="","",ROUND(100*('Beállítások'!$E$23*(S177-1)+'Beállítások'!$E$24*(T177-1)+'Beállítások'!$E$25*(U177-1)+'Beállítások'!$E$26*(V177-1)+'Beállítások'!$E$27*(W177-1)+'Beállítások'!$E$28*(X177-1)+'Beállítások'!$E$29*(Y177-1))/(9*'Beállítások'!$B$45),1))</f>
        <v/>
      </c>
      <c r="AL177" s="23">
        <f>IF($A177="","",ROUND(100*('Beállítások'!$E$30*(Z177-1)+'Beállítások'!$E$31*(AA177-1)+'Beállítások'!$E$32*(AB177-1)+'Beállítások'!$E$33*(AC177-1)+'Beállítások'!$E$34*(AD177-1)+'Beállítások'!$E$35*(AE177-1)+'Beállítások'!$E$36*(AF177-1)+'Beállítások'!$E$37*(AG177-1)+'Beállítások'!$E$38*(AH177-1))/(9*'Beállítások'!$B$46),1))</f>
        <v/>
      </c>
      <c r="AM177" s="23">
        <f>IF($A177="","",ROUND(100*('Beállítások'!$E$6*(B177-1)+'Beállítások'!$E$7*(C177-1)+'Beállítások'!$E$8*(D177-1)+'Beállítások'!$E$9*(E177-1)+'Beállítások'!$E$10*(F177-1)+'Beállítások'!$E$11*(G177-1)+'Beállítások'!$E$12*(H177-1)+'Beállítások'!$E$13*(I177-1)+'Beállítások'!$E$14*(J177-1)+'Beállítások'!$E$15*(K177-1)+'Beállítások'!$E$16*(L177-1)+'Beállítások'!$E$17*(M177-1)+'Beállítások'!$E$18*(N177-1)+'Beállítások'!$E$19*(O177-1)+'Beállítások'!$E$20*(P177-1)+'Beállítások'!$E$21*(Q177-1)+'Beállítások'!$E$22*(R177-1)+'Beállítások'!$E$23*(S177-1)+'Beállítások'!$E$24*(T177-1)+'Beállítások'!$E$25*(U177-1)+'Beállítások'!$E$26*(V177-1)+'Beállítások'!$E$27*(W177-1)+'Beállítások'!$E$28*(X177-1)+'Beállítások'!$E$29*(Y177-1)+'Beállítások'!$E$30*(Z177-1)+'Beállítások'!$E$31*(AA177-1)+'Beállítások'!$E$32*(AB177-1)+'Beállítások'!$E$33*(AC177-1)+'Beállítások'!$E$34*(AD177-1)+'Beállítások'!$E$35*(AE177-1)+'Beállítások'!$E$36*(AF177-1)+'Beállítások'!$E$37*(AG177-1)+'Beállítások'!$E$38*(AH177-1))/(9*'Beállítások'!$E$39),1))</f>
        <v/>
      </c>
      <c r="AN177" s="23">
        <f>IF($A177="","",ROUND(100*('Beállítások'!$E$8*(D177-1)+'Beállítások'!$E$9*(E177-1)+'Beállítások'!$E$10*(F177-1)+'Beállítások'!$E$11*(G177-1)+'Beállítások'!$E$12*(H177-1)+'Beállítások'!$E$13*(I177-1)+'Beállítások'!$E$14*(J177-1)+'Beállítások'!$E$15*(K177-1)+'Beállítások'!$E$16*(L177-1)+'Beállítások'!$E$17*(M177-1)+'Beállítások'!$E$18*(N177-1)+'Beállítások'!$E$19*(O177-1)+'Beállítások'!$E$20*(P177-1)+'Beállítások'!$E$21*(Q177-1)+'Beállítások'!$E$22*(R177-1)+'Beállítások'!$E$23*(S177-1)+'Beállítások'!$E$24*(T177-1)+'Beállítások'!$E$25*(U177-1)+'Beállítások'!$E$26*(V177-1)+'Beállítások'!$E$27*(W177-1)+'Beállítások'!$E$28*(X177-1)+'Beállítások'!$E$29*(Y177-1))/(9*('Beállítások'!$B$44+'Beállítások'!$B$45)),1))</f>
        <v/>
      </c>
      <c r="AO177" s="24">
        <f>IF($A177="","",RANK(AM177,$AM$2:$AM$201))</f>
        <v/>
      </c>
      <c r="AP177">
        <f>IF($A177="","",IF(OR(AND('Ügyfelek'!B177&lt;&gt;"",B177&lt;='Beállítások'!$B$85),AND('Ügyfelek'!C177&lt;&gt;"",C177&lt;='Beállítások'!$B$86)),"Igen","Nem"))</f>
        <v/>
      </c>
      <c r="AQ177" s="24">
        <f>IF($A177="","",IF(AP177="Igen",5,IF(AN177&gt;='Beállítások'!$C$108,1,IF(AN177&gt;='Beállítások'!$C$109,2,IF(AN177&gt;='Beállítások'!$C$110,3,IF(AND(AN177&gt;='Beállítások'!$B$87,AI177&gt;='Beállítások'!$B$88,AL177&gt;='Beállítások'!$B$89),4,5))))))</f>
        <v/>
      </c>
      <c r="AR177">
        <f>IF($A177="","",INDEX('Beállítások'!$B$108:$B$112,AQ177))</f>
        <v/>
      </c>
      <c r="AS177">
        <f>IF($A177="","",IF(AQ177=5,"Elutasítjuk",IF(AND(AQ177=4,COUNTIFS('Eredmény'!$AQ$2:$AQ$201,4,'Eredmény'!$DY$2:$DY$201,"&gt;"&amp;DY177)&gt;='Beállítások'!$B$90),"Várólista (a 4-es hely foglalt)","Elfogadjuk")))</f>
        <v/>
      </c>
      <c r="AT177">
        <f>IF($A177="","",INDEX('Beállítások'!$F$108:$F$112,AQ177))</f>
        <v/>
      </c>
      <c r="AU177">
        <f>IF($A177="","",INDEX('Beállítások'!$B$6:$B$38,MATCH(MAX(BK177:CQ177),BK177:CQ177,0)))</f>
        <v/>
      </c>
      <c r="AV177">
        <f>IF($A177="","",IF(MAX(CR177:DX177)=0,"—",INDEX('Beállítások'!$B$6:$B$38,MATCH(MAX(CR177:DX177),CR177:DX177,0))))</f>
        <v/>
      </c>
      <c r="AW177" s="10">
        <f>IF($A177="","",'Beállítások'!$B$94*(TRIM('Ügyfelek'!AI177)="igen")+'Beállítások'!$B$95*(TRIM('Ügyfelek'!AJ177)="igen")+'Beállítások'!$B$96*N('Ügyfelek'!AK177)+'Beállítások'!$B$93*N('Ügyfelek'!AL177))</f>
        <v/>
      </c>
      <c r="AX177" s="25">
        <f>IF(OR($A177="",AQ177=5),"",INDEX('Beállítások'!$D$108:$D$112,AQ177))</f>
        <v/>
      </c>
      <c r="AY177" s="10">
        <f>IF($A177="","",N('Ügyfelek'!U177)*'Beállítások'!$B$98)</f>
        <v/>
      </c>
      <c r="AZ177" s="10">
        <f>IF(OR($A177="",AQ177=5),"",CEILING(ROUND(MAX('Beállítások'!$B$97,AW177*AX177,AY177),2),'Beállítások'!$B$99))</f>
        <v/>
      </c>
      <c r="BA177">
        <f>IF($A177="","",IF(AQ177=5,"Elutasítva",IF(MAX('Beállítások'!$B$97,AW177*AX177,AY177)=AW177*AX177,"Munkaigény × státuszszorzó",IF(MAX('Beállítások'!$B$97,AW177*AX177,AY177)=AY177,"Hirdetési keret arányában","Minimumdíj"))))</f>
        <v/>
      </c>
      <c r="BB177" s="10">
        <f>IF(OR($A177="",'Ügyfelek'!AM177=""),"",'Ügyfelek'!AM177)</f>
        <v/>
      </c>
      <c r="BC177" s="10">
        <f>IF(OR(BB177="",AZ177=""),"",AZ177-BB177)</f>
        <v/>
      </c>
      <c r="BD177" s="18">
        <f>IF(OR(BB177="",AZ177="",BB177=0),"",BC177/BB177)</f>
        <v/>
      </c>
      <c r="BE177">
        <f>IF(OR($A177="",AQ177=5),"",IF(AND(INDEX('Beállítások'!$E$108:$E$112,AQ177)&gt;0,Y177&gt;='Beállítások'!$B$91),"Igen","Nem"))</f>
        <v/>
      </c>
      <c r="BF177" s="10">
        <f>IF(BE177="Igen",CEILING(ROUND(AZ177*(1-'Beállítások'!$B$92),2),'Beállítások'!$B$99),"")</f>
        <v/>
      </c>
      <c r="BG177" s="20">
        <f>IF(BE177="Igen",INDEX('Beállítások'!$E$108:$E$112,AQ177),"")</f>
        <v/>
      </c>
      <c r="BH177" s="10">
        <f>IF(OR(BE177&lt;&gt;"Igen",'Ügyfelek'!AN177=""),"",'Ügyfelek'!AN177*BG177)</f>
        <v/>
      </c>
      <c r="BI177" s="24">
        <f>IF($A177="","",('Ügyfelek'!B177="")+('Ügyfelek'!C177="")+('Ügyfelek'!D177="")+('Ügyfelek'!E177="")+('Ügyfelek'!F177="")+('Ügyfelek'!G177="")+('Ügyfelek'!H177="")+('Ügyfelek'!I177="")+('Ügyfelek'!J177="")+('Ügyfelek'!K177="")+('Ügyfelek'!L177="")+('Ügyfelek'!M177="")+('Ügyfelek'!N177="")+('Ügyfelek'!O177="")+('Ügyfelek'!P177="")+('Ügyfelek'!Q177="")+('Ügyfelek'!R177="")+('Ügyfelek'!S177="")+('Ügyfelek'!T177="")+('Ügyfelek'!U177="")+('Ügyfelek'!V177="")+('Ügyfelek'!W177="")+('Ügyfelek'!X177="")+('Ügyfelek'!Y177="")+('Ügyfelek'!Z177="")+('Ügyfelek'!AA177="")+('Ügyfelek'!AB177="")+('Ügyfelek'!AC177="")+('Ügyfelek'!AD177="")+('Ügyfelek'!AE177="")+('Ügyfelek'!AF177="")+('Ügyfelek'!AG177="")+('Ügyfelek'!AH177=""))</f>
        <v/>
      </c>
      <c r="BK177">
        <f>IF($A177="","",B177+'Beállítások'!$E$6/1000)</f>
        <v/>
      </c>
      <c r="BL177">
        <f>IF($A177="","",C177+'Beállítások'!$E$7/1000)</f>
        <v/>
      </c>
      <c r="BM177">
        <f>IF($A177="","",D177+'Beállítások'!$E$8/1000)</f>
        <v/>
      </c>
      <c r="BN177">
        <f>IF($A177="","",E177+'Beállítások'!$E$9/1000)</f>
        <v/>
      </c>
      <c r="BO177">
        <f>IF($A177="","",F177+'Beállítások'!$E$10/1000)</f>
        <v/>
      </c>
      <c r="BP177">
        <f>IF($A177="","",G177+'Beállítások'!$E$11/1000)</f>
        <v/>
      </c>
      <c r="BQ177">
        <f>IF($A177="","",H177+'Beállítások'!$E$12/1000)</f>
        <v/>
      </c>
      <c r="BR177">
        <f>IF($A177="","",I177+'Beállítások'!$E$13/1000)</f>
        <v/>
      </c>
      <c r="BS177">
        <f>IF($A177="","",J177+'Beállítások'!$E$14/1000)</f>
        <v/>
      </c>
      <c r="BT177">
        <f>IF($A177="","",K177+'Beállítások'!$E$15/1000)</f>
        <v/>
      </c>
      <c r="BU177">
        <f>IF($A177="","",L177+'Beállítások'!$E$16/1000)</f>
        <v/>
      </c>
      <c r="BV177">
        <f>IF($A177="","",M177+'Beállítások'!$E$17/1000)</f>
        <v/>
      </c>
      <c r="BW177">
        <f>IF($A177="","",N177+'Beállítások'!$E$18/1000)</f>
        <v/>
      </c>
      <c r="BX177">
        <f>IF($A177="","",O177+'Beállítások'!$E$19/1000)</f>
        <v/>
      </c>
      <c r="BY177">
        <f>IF($A177="","",P177+'Beállítások'!$E$20/1000)</f>
        <v/>
      </c>
      <c r="BZ177">
        <f>IF($A177="","",Q177+'Beállítások'!$E$21/1000)</f>
        <v/>
      </c>
      <c r="CA177">
        <f>IF($A177="","",R177+'Beállítások'!$E$22/1000)</f>
        <v/>
      </c>
      <c r="CB177">
        <f>IF($A177="","",S177+'Beállítások'!$E$23/1000)</f>
        <v/>
      </c>
      <c r="CC177">
        <f>IF($A177="","",T177+'Beállítások'!$E$24/1000)</f>
        <v/>
      </c>
      <c r="CD177">
        <f>IF($A177="","",U177+'Beállítások'!$E$25/1000)</f>
        <v/>
      </c>
      <c r="CE177">
        <f>IF($A177="","",V177+'Beállítások'!$E$26/1000)</f>
        <v/>
      </c>
      <c r="CF177">
        <f>IF($A177="","",W177+'Beállítások'!$E$27/1000)</f>
        <v/>
      </c>
      <c r="CG177">
        <f>IF($A177="","",X177+'Beállítások'!$E$28/1000)</f>
        <v/>
      </c>
      <c r="CH177">
        <f>IF($A177="","",Y177+'Beállítások'!$E$29/1000)</f>
        <v/>
      </c>
      <c r="CI177">
        <f>IF($A177="","",Z177+'Beállítások'!$E$30/1000)</f>
        <v/>
      </c>
      <c r="CJ177">
        <f>IF($A177="","",AA177+'Beállítások'!$E$31/1000)</f>
        <v/>
      </c>
      <c r="CK177">
        <f>IF($A177="","",AB177+'Beállítások'!$E$32/1000)</f>
        <v/>
      </c>
      <c r="CL177">
        <f>IF($A177="","",AC177+'Beállítások'!$E$33/1000)</f>
        <v/>
      </c>
      <c r="CM177">
        <f>IF($A177="","",AD177+'Beállítások'!$E$34/1000)</f>
        <v/>
      </c>
      <c r="CN177">
        <f>IF($A177="","",AE177+'Beállítások'!$E$35/1000)</f>
        <v/>
      </c>
      <c r="CO177">
        <f>IF($A177="","",AF177+'Beállítások'!$E$36/1000)</f>
        <v/>
      </c>
      <c r="CP177">
        <f>IF($A177="","",AG177+'Beállítások'!$E$37/1000)</f>
        <v/>
      </c>
      <c r="CQ177">
        <f>IF($A177="","",AH177+'Beállítások'!$E$38/1000)</f>
        <v/>
      </c>
      <c r="CR177">
        <f>IF($A177="","",'Beállítások'!$E$6*(10-B177))</f>
        <v/>
      </c>
      <c r="CS177">
        <f>IF($A177="","",'Beállítások'!$E$7*(10-C177))</f>
        <v/>
      </c>
      <c r="CT177">
        <f>IF($A177="","",'Beállítások'!$E$8*(10-D177))</f>
        <v/>
      </c>
      <c r="CU177">
        <f>IF($A177="","",'Beállítások'!$E$9*(10-E177))</f>
        <v/>
      </c>
      <c r="CV177">
        <f>IF($A177="","",'Beállítások'!$E$10*(10-F177))</f>
        <v/>
      </c>
      <c r="CW177">
        <f>IF($A177="","",'Beállítások'!$E$11*(10-G177))</f>
        <v/>
      </c>
      <c r="CX177">
        <f>IF($A177="","",'Beállítások'!$E$12*(10-H177))</f>
        <v/>
      </c>
      <c r="CY177">
        <f>IF($A177="","",'Beállítások'!$E$13*(10-I177))</f>
        <v/>
      </c>
      <c r="CZ177">
        <f>IF($A177="","",'Beállítások'!$E$14*(10-J177))</f>
        <v/>
      </c>
      <c r="DA177">
        <f>IF($A177="","",'Beállítások'!$E$15*(10-K177))</f>
        <v/>
      </c>
      <c r="DB177">
        <f>IF($A177="","",'Beállítások'!$E$16*(10-L177))</f>
        <v/>
      </c>
      <c r="DC177">
        <f>IF($A177="","",'Beállítások'!$E$17*(10-M177))</f>
        <v/>
      </c>
      <c r="DD177">
        <f>IF($A177="","",'Beállítások'!$E$18*(10-N177))</f>
        <v/>
      </c>
      <c r="DE177">
        <f>IF($A177="","",'Beállítások'!$E$19*(10-O177))</f>
        <v/>
      </c>
      <c r="DF177">
        <f>IF($A177="","",'Beállítások'!$E$20*(10-P177))</f>
        <v/>
      </c>
      <c r="DG177">
        <f>IF($A177="","",'Beállítások'!$E$21*(10-Q177))</f>
        <v/>
      </c>
      <c r="DH177">
        <f>IF($A177="","",'Beállítások'!$E$22*(10-R177))</f>
        <v/>
      </c>
      <c r="DI177">
        <f>IF($A177="","",'Beállítások'!$E$23*(10-S177))</f>
        <v/>
      </c>
      <c r="DJ177">
        <f>IF($A177="","",'Beállítások'!$E$24*(10-T177))</f>
        <v/>
      </c>
      <c r="DK177">
        <f>IF($A177="","",'Beállítások'!$E$25*(10-U177))</f>
        <v/>
      </c>
      <c r="DL177">
        <f>IF($A177="","",'Beállítások'!$E$26*(10-V177))</f>
        <v/>
      </c>
      <c r="DM177">
        <f>IF($A177="","",'Beállítások'!$E$27*(10-W177))</f>
        <v/>
      </c>
      <c r="DN177">
        <f>IF($A177="","",'Beállítások'!$E$28*(10-X177))</f>
        <v/>
      </c>
      <c r="DO177">
        <f>IF($A177="","",'Beállítások'!$E$29*(10-Y177))</f>
        <v/>
      </c>
      <c r="DP177">
        <f>IF($A177="","",'Beállítások'!$E$30*(10-Z177))</f>
        <v/>
      </c>
      <c r="DQ177">
        <f>IF($A177="","",'Beállítások'!$E$31*(10-AA177))</f>
        <v/>
      </c>
      <c r="DR177">
        <f>IF($A177="","",'Beállítások'!$E$32*(10-AB177))</f>
        <v/>
      </c>
      <c r="DS177">
        <f>IF($A177="","",'Beállítások'!$E$33*(10-AC177))</f>
        <v/>
      </c>
      <c r="DT177">
        <f>IF($A177="","",'Beállítások'!$E$34*(10-AD177))</f>
        <v/>
      </c>
      <c r="DU177">
        <f>IF($A177="","",'Beállítások'!$E$35*(10-AE177))</f>
        <v/>
      </c>
      <c r="DV177">
        <f>IF($A177="","",'Beállítások'!$E$36*(10-AF177))</f>
        <v/>
      </c>
      <c r="DW177">
        <f>IF($A177="","",'Beállítások'!$E$37*(10-AG177))</f>
        <v/>
      </c>
      <c r="DX177">
        <f>IF($A177="","",'Beállítások'!$E$38*(10-AH177))</f>
        <v/>
      </c>
      <c r="DY177">
        <f>IF($A177="","",AM177-ROW()/100000)</f>
        <v/>
      </c>
    </row>
    <row r="178">
      <c r="A178">
        <f>IF('Ügyfelek'!A178="","",'Ügyfelek'!A178)</f>
        <v/>
      </c>
      <c r="B178">
        <f>IF($A178="","",IF('Ügyfelek'!B178="",'Beállítások'!$B$84,IFERROR(VLOOKUP(TRIM('Ügyfelek'!B178),'Beállítások'!$A$51:$B$59,2,FALSE),'Beállítások'!$B$84)))</f>
        <v/>
      </c>
      <c r="C178">
        <f>IF($A178="","",IF('Ügyfelek'!C178="",'Beállítások'!$B$84,MIN(10,MAX(1,ROUND('Ügyfelek'!C178,0)))))</f>
        <v/>
      </c>
      <c r="D178">
        <f>IF($A178="","",IF('Ügyfelek'!D178="",'Beállítások'!$B$84,MIN(10,MAX(1,ROUND('Ügyfelek'!D178,0)))))</f>
        <v/>
      </c>
      <c r="E178">
        <f>IF($A178="","",IF('Ügyfelek'!E178="",'Beállítások'!$B$84,MIN(10,MAX(1,ROUND('Ügyfelek'!E178,0)))))</f>
        <v/>
      </c>
      <c r="F178">
        <f>IF($A178="","",IF('Ügyfelek'!F178="",'Beállítások'!$B$84,MIN(10,MAX(1,ROUND('Ügyfelek'!F178,0)))))</f>
        <v/>
      </c>
      <c r="G178">
        <f>IF($A178="","",IF('Ügyfelek'!G178="",'Beállítások'!$B$84,MIN(10,MAX(1,ROUND('Ügyfelek'!G178,0)))))</f>
        <v/>
      </c>
      <c r="H178">
        <f>IF($A178="","",IF('Ügyfelek'!H178="",'Beállítások'!$B$84,MIN(10,MAX(1,ROUND('Ügyfelek'!H178,0)))))</f>
        <v/>
      </c>
      <c r="I178">
        <f>IF($A178="","",IF('Ügyfelek'!I178="",'Beállítások'!$B$84,MIN(10,MAX(1,ROUND('Ügyfelek'!I178,0)))))</f>
        <v/>
      </c>
      <c r="J178">
        <f>IF($A178="","",IF('Ügyfelek'!J178="",'Beállítások'!$B$84,MIN(10,MAX(1,ROUND('Ügyfelek'!J178,0)))))</f>
        <v/>
      </c>
      <c r="K178">
        <f>IF($A178="","",IF('Ügyfelek'!K178="",'Beállítások'!$B$84,MIN(10,MAX(1,ROUND('Ügyfelek'!K178,0)))))</f>
        <v/>
      </c>
      <c r="L178">
        <f>IF($A178="","",IF('Ügyfelek'!L178="",'Beállítások'!$B$84,MIN(10,MAX(1,ROUND('Ügyfelek'!L178,0)))))</f>
        <v/>
      </c>
      <c r="M178">
        <f>IF($A178="","",IF('Ügyfelek'!M178="",'Beállítások'!$B$84,MIN(10,MAX(1,ROUND('Ügyfelek'!M178,0)))))</f>
        <v/>
      </c>
      <c r="N178">
        <f>IF($A178="","",IF('Ügyfelek'!N178="",'Beállítások'!$B$84,MIN(10,MAX(1,ROUND('Ügyfelek'!N178,0)))))</f>
        <v/>
      </c>
      <c r="O178">
        <f>IF($A178="","",IF('Ügyfelek'!O178="",'Beállítások'!$B$84,MIN(10,MAX(1,ROUND('Ügyfelek'!O178,0)))))</f>
        <v/>
      </c>
      <c r="P178">
        <f>IF($A178="","",IF('Ügyfelek'!P178="",'Beállítások'!$B$84,MIN(10,MAX(1,ROUND('Ügyfelek'!P178,0)))))</f>
        <v/>
      </c>
      <c r="Q178">
        <f>IF($A178="","",IF('Ügyfelek'!Q178="",'Beállítások'!$B$84,MIN(10,MAX(1,ROUND('Ügyfelek'!Q178,0)))))</f>
        <v/>
      </c>
      <c r="R178">
        <f>IF($A178="","",IF('Ügyfelek'!R178="",'Beállítások'!$B$84,MIN(10,MAX(1,ROUND('Ügyfelek'!R178,0)))))</f>
        <v/>
      </c>
      <c r="S178">
        <f>IF($A178="","",IF('Ügyfelek'!S178="",'Beállítások'!$B$84,MIN(10,MAX(1,ROUND('Ügyfelek'!S178,0)))))</f>
        <v/>
      </c>
      <c r="T178">
        <f>IF($A178="","",IF('Ügyfelek'!T178="",'Beállítások'!$B$84,VLOOKUP(MAX('Ügyfelek'!T178,'Beállítások'!$H$7),'Beállítások'!$H$7:$I$12,2,TRUE)))</f>
        <v/>
      </c>
      <c r="U178">
        <f>IF($A178="","",IF('Ügyfelek'!U178="",'Beállítások'!$B$84,VLOOKUP(MAX('Ügyfelek'!U178,'Beállítások'!$K$7),'Beállítások'!$K$7:$L$12,2,TRUE)))</f>
        <v/>
      </c>
      <c r="V178">
        <f>IF($A178="","",IF('Ügyfelek'!V178="",'Beállítások'!$B$84,MIN(10,MAX(1,ROUND('Ügyfelek'!V178,0)))))</f>
        <v/>
      </c>
      <c r="W178">
        <f>IF($A178="","",IF('Ügyfelek'!W178="",'Beállítások'!$B$84,VLOOKUP(MAX('Ügyfelek'!W178,'Beállítások'!$N$7),'Beállítások'!$N$7:$O$12,2,TRUE)))</f>
        <v/>
      </c>
      <c r="X178">
        <f>IF($A178="","",IF('Ügyfelek'!X178="",'Beállítások'!$B$84,MIN(10,MAX(1,ROUND('Ügyfelek'!X178,0)))))</f>
        <v/>
      </c>
      <c r="Y178">
        <f>IF($A178="","",IF('Ügyfelek'!Y178="",'Beállítások'!$B$84,IFERROR(VLOOKUP(TRIM('Ügyfelek'!Y178),'Beállítások'!$A$63:$B$69,2,FALSE),'Beállítások'!$B$84)))</f>
        <v/>
      </c>
      <c r="Z178">
        <f>IF($A178="","",IF('Ügyfelek'!Z178="",'Beállítások'!$B$84,VLOOKUP(MAX('Ügyfelek'!Z178,'Beállítások'!$Q$7),'Beállítások'!$Q$7:$R$12,2,TRUE)))</f>
        <v/>
      </c>
      <c r="AA178">
        <f>IF($A178="","",IF('Ügyfelek'!AA178="",'Beállítások'!$B$84,VLOOKUP(MAX('Ügyfelek'!AA178,'Beállítások'!$T$7),'Beállítások'!$T$7:$U$12,2,TRUE)))</f>
        <v/>
      </c>
      <c r="AB178">
        <f>IF($A178="","",IF('Ügyfelek'!AB178="",'Beállítások'!$B$84,MIN(10,MAX(1,ROUND('Ügyfelek'!AB178,0)))))</f>
        <v/>
      </c>
      <c r="AC178">
        <f>IF($A178="","",IF('Ügyfelek'!AC178="",'Beállítások'!$B$84,MIN(10,MAX(1,ROUND('Ügyfelek'!AC178,0)))))</f>
        <v/>
      </c>
      <c r="AD178">
        <f>IF($A178="","",IF('Ügyfelek'!AD178="",'Beállítások'!$B$84,MIN(10,MAX(1,ROUND('Ügyfelek'!AD178,0)))))</f>
        <v/>
      </c>
      <c r="AE178">
        <f>IF($A178="","",IF('Ügyfelek'!AE178="",'Beállítások'!$B$84,MIN(10,MAX(1,ROUND('Ügyfelek'!AE178,0)))))</f>
        <v/>
      </c>
      <c r="AF178">
        <f>IF($A178="","",IF('Ügyfelek'!AF178="",'Beállítások'!$B$84,MIN(10,MAX(1,ROUND('Ügyfelek'!AF178,0)))))</f>
        <v/>
      </c>
      <c r="AG178">
        <f>IF($A178="","",IF('Ügyfelek'!AG178="",'Beállítások'!$B$84,MIN(10,MAX(1,ROUND('Ügyfelek'!AG178,0)))))</f>
        <v/>
      </c>
      <c r="AH178">
        <f>IF($A178="","",IF('Ügyfelek'!AH178="",'Beállítások'!$B$84,IFERROR(VLOOKUP(TRIM('Ügyfelek'!AH178),'Beállítások'!$A$73:$B$79,2,FALSE),'Beállítások'!$B$84)))</f>
        <v/>
      </c>
      <c r="AI178" s="23">
        <f>IF($A178="","",ROUND(100*('Beállítások'!$E$6*(B178-1)+'Beállítások'!$E$7*(C178-1))/(9*'Beállítások'!$B$43),1))</f>
        <v/>
      </c>
      <c r="AJ178" s="23">
        <f>IF($A178="","",ROUND(100*('Beállítások'!$E$8*(D178-1)+'Beállítások'!$E$9*(E178-1)+'Beállítások'!$E$10*(F178-1)+'Beállítások'!$E$11*(G178-1)+'Beállítások'!$E$12*(H178-1)+'Beállítások'!$E$13*(I178-1)+'Beállítások'!$E$14*(J178-1)+'Beállítások'!$E$15*(K178-1)+'Beállítások'!$E$16*(L178-1)+'Beállítások'!$E$17*(M178-1)+'Beállítások'!$E$18*(N178-1)+'Beállítások'!$E$19*(O178-1)+'Beállítások'!$E$20*(P178-1)+'Beállítások'!$E$21*(Q178-1)+'Beállítások'!$E$22*(R178-1))/(9*'Beállítások'!$B$44),1))</f>
        <v/>
      </c>
      <c r="AK178" s="23">
        <f>IF($A178="","",ROUND(100*('Beállítások'!$E$23*(S178-1)+'Beállítások'!$E$24*(T178-1)+'Beállítások'!$E$25*(U178-1)+'Beállítások'!$E$26*(V178-1)+'Beállítások'!$E$27*(W178-1)+'Beállítások'!$E$28*(X178-1)+'Beállítások'!$E$29*(Y178-1))/(9*'Beállítások'!$B$45),1))</f>
        <v/>
      </c>
      <c r="AL178" s="23">
        <f>IF($A178="","",ROUND(100*('Beállítások'!$E$30*(Z178-1)+'Beállítások'!$E$31*(AA178-1)+'Beállítások'!$E$32*(AB178-1)+'Beállítások'!$E$33*(AC178-1)+'Beállítások'!$E$34*(AD178-1)+'Beállítások'!$E$35*(AE178-1)+'Beállítások'!$E$36*(AF178-1)+'Beállítások'!$E$37*(AG178-1)+'Beállítások'!$E$38*(AH178-1))/(9*'Beállítások'!$B$46),1))</f>
        <v/>
      </c>
      <c r="AM178" s="23">
        <f>IF($A178="","",ROUND(100*('Beállítások'!$E$6*(B178-1)+'Beállítások'!$E$7*(C178-1)+'Beállítások'!$E$8*(D178-1)+'Beállítások'!$E$9*(E178-1)+'Beállítások'!$E$10*(F178-1)+'Beállítások'!$E$11*(G178-1)+'Beállítások'!$E$12*(H178-1)+'Beállítások'!$E$13*(I178-1)+'Beállítások'!$E$14*(J178-1)+'Beállítások'!$E$15*(K178-1)+'Beállítások'!$E$16*(L178-1)+'Beállítások'!$E$17*(M178-1)+'Beállítások'!$E$18*(N178-1)+'Beállítások'!$E$19*(O178-1)+'Beállítások'!$E$20*(P178-1)+'Beállítások'!$E$21*(Q178-1)+'Beállítások'!$E$22*(R178-1)+'Beállítások'!$E$23*(S178-1)+'Beállítások'!$E$24*(T178-1)+'Beállítások'!$E$25*(U178-1)+'Beállítások'!$E$26*(V178-1)+'Beállítások'!$E$27*(W178-1)+'Beállítások'!$E$28*(X178-1)+'Beállítások'!$E$29*(Y178-1)+'Beállítások'!$E$30*(Z178-1)+'Beállítások'!$E$31*(AA178-1)+'Beállítások'!$E$32*(AB178-1)+'Beállítások'!$E$33*(AC178-1)+'Beállítások'!$E$34*(AD178-1)+'Beállítások'!$E$35*(AE178-1)+'Beállítások'!$E$36*(AF178-1)+'Beállítások'!$E$37*(AG178-1)+'Beállítások'!$E$38*(AH178-1))/(9*'Beállítások'!$E$39),1))</f>
        <v/>
      </c>
      <c r="AN178" s="23">
        <f>IF($A178="","",ROUND(100*('Beállítások'!$E$8*(D178-1)+'Beállítások'!$E$9*(E178-1)+'Beállítások'!$E$10*(F178-1)+'Beállítások'!$E$11*(G178-1)+'Beállítások'!$E$12*(H178-1)+'Beállítások'!$E$13*(I178-1)+'Beállítások'!$E$14*(J178-1)+'Beállítások'!$E$15*(K178-1)+'Beállítások'!$E$16*(L178-1)+'Beállítások'!$E$17*(M178-1)+'Beállítások'!$E$18*(N178-1)+'Beállítások'!$E$19*(O178-1)+'Beállítások'!$E$20*(P178-1)+'Beállítások'!$E$21*(Q178-1)+'Beállítások'!$E$22*(R178-1)+'Beállítások'!$E$23*(S178-1)+'Beállítások'!$E$24*(T178-1)+'Beállítások'!$E$25*(U178-1)+'Beállítások'!$E$26*(V178-1)+'Beállítások'!$E$27*(W178-1)+'Beállítások'!$E$28*(X178-1)+'Beállítások'!$E$29*(Y178-1))/(9*('Beállítások'!$B$44+'Beállítások'!$B$45)),1))</f>
        <v/>
      </c>
      <c r="AO178" s="24">
        <f>IF($A178="","",RANK(AM178,$AM$2:$AM$201))</f>
        <v/>
      </c>
      <c r="AP178">
        <f>IF($A178="","",IF(OR(AND('Ügyfelek'!B178&lt;&gt;"",B178&lt;='Beállítások'!$B$85),AND('Ügyfelek'!C178&lt;&gt;"",C178&lt;='Beállítások'!$B$86)),"Igen","Nem"))</f>
        <v/>
      </c>
      <c r="AQ178" s="24">
        <f>IF($A178="","",IF(AP178="Igen",5,IF(AN178&gt;='Beállítások'!$C$108,1,IF(AN178&gt;='Beállítások'!$C$109,2,IF(AN178&gt;='Beállítások'!$C$110,3,IF(AND(AN178&gt;='Beállítások'!$B$87,AI178&gt;='Beállítások'!$B$88,AL178&gt;='Beállítások'!$B$89),4,5))))))</f>
        <v/>
      </c>
      <c r="AR178">
        <f>IF($A178="","",INDEX('Beállítások'!$B$108:$B$112,AQ178))</f>
        <v/>
      </c>
      <c r="AS178">
        <f>IF($A178="","",IF(AQ178=5,"Elutasítjuk",IF(AND(AQ178=4,COUNTIFS('Eredmény'!$AQ$2:$AQ$201,4,'Eredmény'!$DY$2:$DY$201,"&gt;"&amp;DY178)&gt;='Beállítások'!$B$90),"Várólista (a 4-es hely foglalt)","Elfogadjuk")))</f>
        <v/>
      </c>
      <c r="AT178">
        <f>IF($A178="","",INDEX('Beállítások'!$F$108:$F$112,AQ178))</f>
        <v/>
      </c>
      <c r="AU178">
        <f>IF($A178="","",INDEX('Beállítások'!$B$6:$B$38,MATCH(MAX(BK178:CQ178),BK178:CQ178,0)))</f>
        <v/>
      </c>
      <c r="AV178">
        <f>IF($A178="","",IF(MAX(CR178:DX178)=0,"—",INDEX('Beállítások'!$B$6:$B$38,MATCH(MAX(CR178:DX178),CR178:DX178,0))))</f>
        <v/>
      </c>
      <c r="AW178" s="10">
        <f>IF($A178="","",'Beállítások'!$B$94*(TRIM('Ügyfelek'!AI178)="igen")+'Beállítások'!$B$95*(TRIM('Ügyfelek'!AJ178)="igen")+'Beállítások'!$B$96*N('Ügyfelek'!AK178)+'Beállítások'!$B$93*N('Ügyfelek'!AL178))</f>
        <v/>
      </c>
      <c r="AX178" s="25">
        <f>IF(OR($A178="",AQ178=5),"",INDEX('Beállítások'!$D$108:$D$112,AQ178))</f>
        <v/>
      </c>
      <c r="AY178" s="10">
        <f>IF($A178="","",N('Ügyfelek'!U178)*'Beállítások'!$B$98)</f>
        <v/>
      </c>
      <c r="AZ178" s="10">
        <f>IF(OR($A178="",AQ178=5),"",CEILING(ROUND(MAX('Beállítások'!$B$97,AW178*AX178,AY178),2),'Beállítások'!$B$99))</f>
        <v/>
      </c>
      <c r="BA178">
        <f>IF($A178="","",IF(AQ178=5,"Elutasítva",IF(MAX('Beállítások'!$B$97,AW178*AX178,AY178)=AW178*AX178,"Munkaigény × státuszszorzó",IF(MAX('Beállítások'!$B$97,AW178*AX178,AY178)=AY178,"Hirdetési keret arányában","Minimumdíj"))))</f>
        <v/>
      </c>
      <c r="BB178" s="10">
        <f>IF(OR($A178="",'Ügyfelek'!AM178=""),"",'Ügyfelek'!AM178)</f>
        <v/>
      </c>
      <c r="BC178" s="10">
        <f>IF(OR(BB178="",AZ178=""),"",AZ178-BB178)</f>
        <v/>
      </c>
      <c r="BD178" s="18">
        <f>IF(OR(BB178="",AZ178="",BB178=0),"",BC178/BB178)</f>
        <v/>
      </c>
      <c r="BE178">
        <f>IF(OR($A178="",AQ178=5),"",IF(AND(INDEX('Beállítások'!$E$108:$E$112,AQ178)&gt;0,Y178&gt;='Beállítások'!$B$91),"Igen","Nem"))</f>
        <v/>
      </c>
      <c r="BF178" s="10">
        <f>IF(BE178="Igen",CEILING(ROUND(AZ178*(1-'Beállítások'!$B$92),2),'Beállítások'!$B$99),"")</f>
        <v/>
      </c>
      <c r="BG178" s="20">
        <f>IF(BE178="Igen",INDEX('Beállítások'!$E$108:$E$112,AQ178),"")</f>
        <v/>
      </c>
      <c r="BH178" s="10">
        <f>IF(OR(BE178&lt;&gt;"Igen",'Ügyfelek'!AN178=""),"",'Ügyfelek'!AN178*BG178)</f>
        <v/>
      </c>
      <c r="BI178" s="24">
        <f>IF($A178="","",('Ügyfelek'!B178="")+('Ügyfelek'!C178="")+('Ügyfelek'!D178="")+('Ügyfelek'!E178="")+('Ügyfelek'!F178="")+('Ügyfelek'!G178="")+('Ügyfelek'!H178="")+('Ügyfelek'!I178="")+('Ügyfelek'!J178="")+('Ügyfelek'!K178="")+('Ügyfelek'!L178="")+('Ügyfelek'!M178="")+('Ügyfelek'!N178="")+('Ügyfelek'!O178="")+('Ügyfelek'!P178="")+('Ügyfelek'!Q178="")+('Ügyfelek'!R178="")+('Ügyfelek'!S178="")+('Ügyfelek'!T178="")+('Ügyfelek'!U178="")+('Ügyfelek'!V178="")+('Ügyfelek'!W178="")+('Ügyfelek'!X178="")+('Ügyfelek'!Y178="")+('Ügyfelek'!Z178="")+('Ügyfelek'!AA178="")+('Ügyfelek'!AB178="")+('Ügyfelek'!AC178="")+('Ügyfelek'!AD178="")+('Ügyfelek'!AE178="")+('Ügyfelek'!AF178="")+('Ügyfelek'!AG178="")+('Ügyfelek'!AH178=""))</f>
        <v/>
      </c>
      <c r="BK178">
        <f>IF($A178="","",B178+'Beállítások'!$E$6/1000)</f>
        <v/>
      </c>
      <c r="BL178">
        <f>IF($A178="","",C178+'Beállítások'!$E$7/1000)</f>
        <v/>
      </c>
      <c r="BM178">
        <f>IF($A178="","",D178+'Beállítások'!$E$8/1000)</f>
        <v/>
      </c>
      <c r="BN178">
        <f>IF($A178="","",E178+'Beállítások'!$E$9/1000)</f>
        <v/>
      </c>
      <c r="BO178">
        <f>IF($A178="","",F178+'Beállítások'!$E$10/1000)</f>
        <v/>
      </c>
      <c r="BP178">
        <f>IF($A178="","",G178+'Beállítások'!$E$11/1000)</f>
        <v/>
      </c>
      <c r="BQ178">
        <f>IF($A178="","",H178+'Beállítások'!$E$12/1000)</f>
        <v/>
      </c>
      <c r="BR178">
        <f>IF($A178="","",I178+'Beállítások'!$E$13/1000)</f>
        <v/>
      </c>
      <c r="BS178">
        <f>IF($A178="","",J178+'Beállítások'!$E$14/1000)</f>
        <v/>
      </c>
      <c r="BT178">
        <f>IF($A178="","",K178+'Beállítások'!$E$15/1000)</f>
        <v/>
      </c>
      <c r="BU178">
        <f>IF($A178="","",L178+'Beállítások'!$E$16/1000)</f>
        <v/>
      </c>
      <c r="BV178">
        <f>IF($A178="","",M178+'Beállítások'!$E$17/1000)</f>
        <v/>
      </c>
      <c r="BW178">
        <f>IF($A178="","",N178+'Beállítások'!$E$18/1000)</f>
        <v/>
      </c>
      <c r="BX178">
        <f>IF($A178="","",O178+'Beállítások'!$E$19/1000)</f>
        <v/>
      </c>
      <c r="BY178">
        <f>IF($A178="","",P178+'Beállítások'!$E$20/1000)</f>
        <v/>
      </c>
      <c r="BZ178">
        <f>IF($A178="","",Q178+'Beállítások'!$E$21/1000)</f>
        <v/>
      </c>
      <c r="CA178">
        <f>IF($A178="","",R178+'Beállítások'!$E$22/1000)</f>
        <v/>
      </c>
      <c r="CB178">
        <f>IF($A178="","",S178+'Beállítások'!$E$23/1000)</f>
        <v/>
      </c>
      <c r="CC178">
        <f>IF($A178="","",T178+'Beállítások'!$E$24/1000)</f>
        <v/>
      </c>
      <c r="CD178">
        <f>IF($A178="","",U178+'Beállítások'!$E$25/1000)</f>
        <v/>
      </c>
      <c r="CE178">
        <f>IF($A178="","",V178+'Beállítások'!$E$26/1000)</f>
        <v/>
      </c>
      <c r="CF178">
        <f>IF($A178="","",W178+'Beállítások'!$E$27/1000)</f>
        <v/>
      </c>
      <c r="CG178">
        <f>IF($A178="","",X178+'Beállítások'!$E$28/1000)</f>
        <v/>
      </c>
      <c r="CH178">
        <f>IF($A178="","",Y178+'Beállítások'!$E$29/1000)</f>
        <v/>
      </c>
      <c r="CI178">
        <f>IF($A178="","",Z178+'Beállítások'!$E$30/1000)</f>
        <v/>
      </c>
      <c r="CJ178">
        <f>IF($A178="","",AA178+'Beállítások'!$E$31/1000)</f>
        <v/>
      </c>
      <c r="CK178">
        <f>IF($A178="","",AB178+'Beállítások'!$E$32/1000)</f>
        <v/>
      </c>
      <c r="CL178">
        <f>IF($A178="","",AC178+'Beállítások'!$E$33/1000)</f>
        <v/>
      </c>
      <c r="CM178">
        <f>IF($A178="","",AD178+'Beállítások'!$E$34/1000)</f>
        <v/>
      </c>
      <c r="CN178">
        <f>IF($A178="","",AE178+'Beállítások'!$E$35/1000)</f>
        <v/>
      </c>
      <c r="CO178">
        <f>IF($A178="","",AF178+'Beállítások'!$E$36/1000)</f>
        <v/>
      </c>
      <c r="CP178">
        <f>IF($A178="","",AG178+'Beállítások'!$E$37/1000)</f>
        <v/>
      </c>
      <c r="CQ178">
        <f>IF($A178="","",AH178+'Beállítások'!$E$38/1000)</f>
        <v/>
      </c>
      <c r="CR178">
        <f>IF($A178="","",'Beállítások'!$E$6*(10-B178))</f>
        <v/>
      </c>
      <c r="CS178">
        <f>IF($A178="","",'Beállítások'!$E$7*(10-C178))</f>
        <v/>
      </c>
      <c r="CT178">
        <f>IF($A178="","",'Beállítások'!$E$8*(10-D178))</f>
        <v/>
      </c>
      <c r="CU178">
        <f>IF($A178="","",'Beállítások'!$E$9*(10-E178))</f>
        <v/>
      </c>
      <c r="CV178">
        <f>IF($A178="","",'Beállítások'!$E$10*(10-F178))</f>
        <v/>
      </c>
      <c r="CW178">
        <f>IF($A178="","",'Beállítások'!$E$11*(10-G178))</f>
        <v/>
      </c>
      <c r="CX178">
        <f>IF($A178="","",'Beállítások'!$E$12*(10-H178))</f>
        <v/>
      </c>
      <c r="CY178">
        <f>IF($A178="","",'Beállítások'!$E$13*(10-I178))</f>
        <v/>
      </c>
      <c r="CZ178">
        <f>IF($A178="","",'Beállítások'!$E$14*(10-J178))</f>
        <v/>
      </c>
      <c r="DA178">
        <f>IF($A178="","",'Beállítások'!$E$15*(10-K178))</f>
        <v/>
      </c>
      <c r="DB178">
        <f>IF($A178="","",'Beállítások'!$E$16*(10-L178))</f>
        <v/>
      </c>
      <c r="DC178">
        <f>IF($A178="","",'Beállítások'!$E$17*(10-M178))</f>
        <v/>
      </c>
      <c r="DD178">
        <f>IF($A178="","",'Beállítások'!$E$18*(10-N178))</f>
        <v/>
      </c>
      <c r="DE178">
        <f>IF($A178="","",'Beállítások'!$E$19*(10-O178))</f>
        <v/>
      </c>
      <c r="DF178">
        <f>IF($A178="","",'Beállítások'!$E$20*(10-P178))</f>
        <v/>
      </c>
      <c r="DG178">
        <f>IF($A178="","",'Beállítások'!$E$21*(10-Q178))</f>
        <v/>
      </c>
      <c r="DH178">
        <f>IF($A178="","",'Beállítások'!$E$22*(10-R178))</f>
        <v/>
      </c>
      <c r="DI178">
        <f>IF($A178="","",'Beállítások'!$E$23*(10-S178))</f>
        <v/>
      </c>
      <c r="DJ178">
        <f>IF($A178="","",'Beállítások'!$E$24*(10-T178))</f>
        <v/>
      </c>
      <c r="DK178">
        <f>IF($A178="","",'Beállítások'!$E$25*(10-U178))</f>
        <v/>
      </c>
      <c r="DL178">
        <f>IF($A178="","",'Beállítások'!$E$26*(10-V178))</f>
        <v/>
      </c>
      <c r="DM178">
        <f>IF($A178="","",'Beállítások'!$E$27*(10-W178))</f>
        <v/>
      </c>
      <c r="DN178">
        <f>IF($A178="","",'Beállítások'!$E$28*(10-X178))</f>
        <v/>
      </c>
      <c r="DO178">
        <f>IF($A178="","",'Beállítások'!$E$29*(10-Y178))</f>
        <v/>
      </c>
      <c r="DP178">
        <f>IF($A178="","",'Beállítások'!$E$30*(10-Z178))</f>
        <v/>
      </c>
      <c r="DQ178">
        <f>IF($A178="","",'Beállítások'!$E$31*(10-AA178))</f>
        <v/>
      </c>
      <c r="DR178">
        <f>IF($A178="","",'Beállítások'!$E$32*(10-AB178))</f>
        <v/>
      </c>
      <c r="DS178">
        <f>IF($A178="","",'Beállítások'!$E$33*(10-AC178))</f>
        <v/>
      </c>
      <c r="DT178">
        <f>IF($A178="","",'Beállítások'!$E$34*(10-AD178))</f>
        <v/>
      </c>
      <c r="DU178">
        <f>IF($A178="","",'Beállítások'!$E$35*(10-AE178))</f>
        <v/>
      </c>
      <c r="DV178">
        <f>IF($A178="","",'Beállítások'!$E$36*(10-AF178))</f>
        <v/>
      </c>
      <c r="DW178">
        <f>IF($A178="","",'Beállítások'!$E$37*(10-AG178))</f>
        <v/>
      </c>
      <c r="DX178">
        <f>IF($A178="","",'Beállítások'!$E$38*(10-AH178))</f>
        <v/>
      </c>
      <c r="DY178">
        <f>IF($A178="","",AM178-ROW()/100000)</f>
        <v/>
      </c>
    </row>
    <row r="179">
      <c r="A179">
        <f>IF('Ügyfelek'!A179="","",'Ügyfelek'!A179)</f>
        <v/>
      </c>
      <c r="B179">
        <f>IF($A179="","",IF('Ügyfelek'!B179="",'Beállítások'!$B$84,IFERROR(VLOOKUP(TRIM('Ügyfelek'!B179),'Beállítások'!$A$51:$B$59,2,FALSE),'Beállítások'!$B$84)))</f>
        <v/>
      </c>
      <c r="C179">
        <f>IF($A179="","",IF('Ügyfelek'!C179="",'Beállítások'!$B$84,MIN(10,MAX(1,ROUND('Ügyfelek'!C179,0)))))</f>
        <v/>
      </c>
      <c r="D179">
        <f>IF($A179="","",IF('Ügyfelek'!D179="",'Beállítások'!$B$84,MIN(10,MAX(1,ROUND('Ügyfelek'!D179,0)))))</f>
        <v/>
      </c>
      <c r="E179">
        <f>IF($A179="","",IF('Ügyfelek'!E179="",'Beállítások'!$B$84,MIN(10,MAX(1,ROUND('Ügyfelek'!E179,0)))))</f>
        <v/>
      </c>
      <c r="F179">
        <f>IF($A179="","",IF('Ügyfelek'!F179="",'Beállítások'!$B$84,MIN(10,MAX(1,ROUND('Ügyfelek'!F179,0)))))</f>
        <v/>
      </c>
      <c r="G179">
        <f>IF($A179="","",IF('Ügyfelek'!G179="",'Beállítások'!$B$84,MIN(10,MAX(1,ROUND('Ügyfelek'!G179,0)))))</f>
        <v/>
      </c>
      <c r="H179">
        <f>IF($A179="","",IF('Ügyfelek'!H179="",'Beállítások'!$B$84,MIN(10,MAX(1,ROUND('Ügyfelek'!H179,0)))))</f>
        <v/>
      </c>
      <c r="I179">
        <f>IF($A179="","",IF('Ügyfelek'!I179="",'Beállítások'!$B$84,MIN(10,MAX(1,ROUND('Ügyfelek'!I179,0)))))</f>
        <v/>
      </c>
      <c r="J179">
        <f>IF($A179="","",IF('Ügyfelek'!J179="",'Beállítások'!$B$84,MIN(10,MAX(1,ROUND('Ügyfelek'!J179,0)))))</f>
        <v/>
      </c>
      <c r="K179">
        <f>IF($A179="","",IF('Ügyfelek'!K179="",'Beállítások'!$B$84,MIN(10,MAX(1,ROUND('Ügyfelek'!K179,0)))))</f>
        <v/>
      </c>
      <c r="L179">
        <f>IF($A179="","",IF('Ügyfelek'!L179="",'Beállítások'!$B$84,MIN(10,MAX(1,ROUND('Ügyfelek'!L179,0)))))</f>
        <v/>
      </c>
      <c r="M179">
        <f>IF($A179="","",IF('Ügyfelek'!M179="",'Beállítások'!$B$84,MIN(10,MAX(1,ROUND('Ügyfelek'!M179,0)))))</f>
        <v/>
      </c>
      <c r="N179">
        <f>IF($A179="","",IF('Ügyfelek'!N179="",'Beállítások'!$B$84,MIN(10,MAX(1,ROUND('Ügyfelek'!N179,0)))))</f>
        <v/>
      </c>
      <c r="O179">
        <f>IF($A179="","",IF('Ügyfelek'!O179="",'Beállítások'!$B$84,MIN(10,MAX(1,ROUND('Ügyfelek'!O179,0)))))</f>
        <v/>
      </c>
      <c r="P179">
        <f>IF($A179="","",IF('Ügyfelek'!P179="",'Beállítások'!$B$84,MIN(10,MAX(1,ROUND('Ügyfelek'!P179,0)))))</f>
        <v/>
      </c>
      <c r="Q179">
        <f>IF($A179="","",IF('Ügyfelek'!Q179="",'Beállítások'!$B$84,MIN(10,MAX(1,ROUND('Ügyfelek'!Q179,0)))))</f>
        <v/>
      </c>
      <c r="R179">
        <f>IF($A179="","",IF('Ügyfelek'!R179="",'Beállítások'!$B$84,MIN(10,MAX(1,ROUND('Ügyfelek'!R179,0)))))</f>
        <v/>
      </c>
      <c r="S179">
        <f>IF($A179="","",IF('Ügyfelek'!S179="",'Beállítások'!$B$84,MIN(10,MAX(1,ROUND('Ügyfelek'!S179,0)))))</f>
        <v/>
      </c>
      <c r="T179">
        <f>IF($A179="","",IF('Ügyfelek'!T179="",'Beállítások'!$B$84,VLOOKUP(MAX('Ügyfelek'!T179,'Beállítások'!$H$7),'Beállítások'!$H$7:$I$12,2,TRUE)))</f>
        <v/>
      </c>
      <c r="U179">
        <f>IF($A179="","",IF('Ügyfelek'!U179="",'Beállítások'!$B$84,VLOOKUP(MAX('Ügyfelek'!U179,'Beállítások'!$K$7),'Beállítások'!$K$7:$L$12,2,TRUE)))</f>
        <v/>
      </c>
      <c r="V179">
        <f>IF($A179="","",IF('Ügyfelek'!V179="",'Beállítások'!$B$84,MIN(10,MAX(1,ROUND('Ügyfelek'!V179,0)))))</f>
        <v/>
      </c>
      <c r="W179">
        <f>IF($A179="","",IF('Ügyfelek'!W179="",'Beállítások'!$B$84,VLOOKUP(MAX('Ügyfelek'!W179,'Beállítások'!$N$7),'Beállítások'!$N$7:$O$12,2,TRUE)))</f>
        <v/>
      </c>
      <c r="X179">
        <f>IF($A179="","",IF('Ügyfelek'!X179="",'Beállítások'!$B$84,MIN(10,MAX(1,ROUND('Ügyfelek'!X179,0)))))</f>
        <v/>
      </c>
      <c r="Y179">
        <f>IF($A179="","",IF('Ügyfelek'!Y179="",'Beállítások'!$B$84,IFERROR(VLOOKUP(TRIM('Ügyfelek'!Y179),'Beállítások'!$A$63:$B$69,2,FALSE),'Beállítások'!$B$84)))</f>
        <v/>
      </c>
      <c r="Z179">
        <f>IF($A179="","",IF('Ügyfelek'!Z179="",'Beállítások'!$B$84,VLOOKUP(MAX('Ügyfelek'!Z179,'Beállítások'!$Q$7),'Beállítások'!$Q$7:$R$12,2,TRUE)))</f>
        <v/>
      </c>
      <c r="AA179">
        <f>IF($A179="","",IF('Ügyfelek'!AA179="",'Beállítások'!$B$84,VLOOKUP(MAX('Ügyfelek'!AA179,'Beállítások'!$T$7),'Beállítások'!$T$7:$U$12,2,TRUE)))</f>
        <v/>
      </c>
      <c r="AB179">
        <f>IF($A179="","",IF('Ügyfelek'!AB179="",'Beállítások'!$B$84,MIN(10,MAX(1,ROUND('Ügyfelek'!AB179,0)))))</f>
        <v/>
      </c>
      <c r="AC179">
        <f>IF($A179="","",IF('Ügyfelek'!AC179="",'Beállítások'!$B$84,MIN(10,MAX(1,ROUND('Ügyfelek'!AC179,0)))))</f>
        <v/>
      </c>
      <c r="AD179">
        <f>IF($A179="","",IF('Ügyfelek'!AD179="",'Beállítások'!$B$84,MIN(10,MAX(1,ROUND('Ügyfelek'!AD179,0)))))</f>
        <v/>
      </c>
      <c r="AE179">
        <f>IF($A179="","",IF('Ügyfelek'!AE179="",'Beállítások'!$B$84,MIN(10,MAX(1,ROUND('Ügyfelek'!AE179,0)))))</f>
        <v/>
      </c>
      <c r="AF179">
        <f>IF($A179="","",IF('Ügyfelek'!AF179="",'Beállítások'!$B$84,MIN(10,MAX(1,ROUND('Ügyfelek'!AF179,0)))))</f>
        <v/>
      </c>
      <c r="AG179">
        <f>IF($A179="","",IF('Ügyfelek'!AG179="",'Beállítások'!$B$84,MIN(10,MAX(1,ROUND('Ügyfelek'!AG179,0)))))</f>
        <v/>
      </c>
      <c r="AH179">
        <f>IF($A179="","",IF('Ügyfelek'!AH179="",'Beállítások'!$B$84,IFERROR(VLOOKUP(TRIM('Ügyfelek'!AH179),'Beállítások'!$A$73:$B$79,2,FALSE),'Beállítások'!$B$84)))</f>
        <v/>
      </c>
      <c r="AI179" s="23">
        <f>IF($A179="","",ROUND(100*('Beállítások'!$E$6*(B179-1)+'Beállítások'!$E$7*(C179-1))/(9*'Beállítások'!$B$43),1))</f>
        <v/>
      </c>
      <c r="AJ179" s="23">
        <f>IF($A179="","",ROUND(100*('Beállítások'!$E$8*(D179-1)+'Beállítások'!$E$9*(E179-1)+'Beállítások'!$E$10*(F179-1)+'Beállítások'!$E$11*(G179-1)+'Beállítások'!$E$12*(H179-1)+'Beállítások'!$E$13*(I179-1)+'Beállítások'!$E$14*(J179-1)+'Beállítások'!$E$15*(K179-1)+'Beállítások'!$E$16*(L179-1)+'Beállítások'!$E$17*(M179-1)+'Beállítások'!$E$18*(N179-1)+'Beállítások'!$E$19*(O179-1)+'Beállítások'!$E$20*(P179-1)+'Beállítások'!$E$21*(Q179-1)+'Beállítások'!$E$22*(R179-1))/(9*'Beállítások'!$B$44),1))</f>
        <v/>
      </c>
      <c r="AK179" s="23">
        <f>IF($A179="","",ROUND(100*('Beállítások'!$E$23*(S179-1)+'Beállítások'!$E$24*(T179-1)+'Beállítások'!$E$25*(U179-1)+'Beállítások'!$E$26*(V179-1)+'Beállítások'!$E$27*(W179-1)+'Beállítások'!$E$28*(X179-1)+'Beállítások'!$E$29*(Y179-1))/(9*'Beállítások'!$B$45),1))</f>
        <v/>
      </c>
      <c r="AL179" s="23">
        <f>IF($A179="","",ROUND(100*('Beállítások'!$E$30*(Z179-1)+'Beállítások'!$E$31*(AA179-1)+'Beállítások'!$E$32*(AB179-1)+'Beállítások'!$E$33*(AC179-1)+'Beállítások'!$E$34*(AD179-1)+'Beállítások'!$E$35*(AE179-1)+'Beállítások'!$E$36*(AF179-1)+'Beállítások'!$E$37*(AG179-1)+'Beállítások'!$E$38*(AH179-1))/(9*'Beállítások'!$B$46),1))</f>
        <v/>
      </c>
      <c r="AM179" s="23">
        <f>IF($A179="","",ROUND(100*('Beállítások'!$E$6*(B179-1)+'Beállítások'!$E$7*(C179-1)+'Beállítások'!$E$8*(D179-1)+'Beállítások'!$E$9*(E179-1)+'Beállítások'!$E$10*(F179-1)+'Beállítások'!$E$11*(G179-1)+'Beállítások'!$E$12*(H179-1)+'Beállítások'!$E$13*(I179-1)+'Beállítások'!$E$14*(J179-1)+'Beállítások'!$E$15*(K179-1)+'Beállítások'!$E$16*(L179-1)+'Beállítások'!$E$17*(M179-1)+'Beállítások'!$E$18*(N179-1)+'Beállítások'!$E$19*(O179-1)+'Beállítások'!$E$20*(P179-1)+'Beállítások'!$E$21*(Q179-1)+'Beállítások'!$E$22*(R179-1)+'Beállítások'!$E$23*(S179-1)+'Beállítások'!$E$24*(T179-1)+'Beállítások'!$E$25*(U179-1)+'Beállítások'!$E$26*(V179-1)+'Beállítások'!$E$27*(W179-1)+'Beállítások'!$E$28*(X179-1)+'Beállítások'!$E$29*(Y179-1)+'Beállítások'!$E$30*(Z179-1)+'Beállítások'!$E$31*(AA179-1)+'Beállítások'!$E$32*(AB179-1)+'Beállítások'!$E$33*(AC179-1)+'Beállítások'!$E$34*(AD179-1)+'Beállítások'!$E$35*(AE179-1)+'Beállítások'!$E$36*(AF179-1)+'Beállítások'!$E$37*(AG179-1)+'Beállítások'!$E$38*(AH179-1))/(9*'Beállítások'!$E$39),1))</f>
        <v/>
      </c>
      <c r="AN179" s="23">
        <f>IF($A179="","",ROUND(100*('Beállítások'!$E$8*(D179-1)+'Beállítások'!$E$9*(E179-1)+'Beállítások'!$E$10*(F179-1)+'Beállítások'!$E$11*(G179-1)+'Beállítások'!$E$12*(H179-1)+'Beállítások'!$E$13*(I179-1)+'Beállítások'!$E$14*(J179-1)+'Beállítások'!$E$15*(K179-1)+'Beállítások'!$E$16*(L179-1)+'Beállítások'!$E$17*(M179-1)+'Beállítások'!$E$18*(N179-1)+'Beállítások'!$E$19*(O179-1)+'Beállítások'!$E$20*(P179-1)+'Beállítások'!$E$21*(Q179-1)+'Beállítások'!$E$22*(R179-1)+'Beállítások'!$E$23*(S179-1)+'Beállítások'!$E$24*(T179-1)+'Beállítások'!$E$25*(U179-1)+'Beállítások'!$E$26*(V179-1)+'Beállítások'!$E$27*(W179-1)+'Beállítások'!$E$28*(X179-1)+'Beállítások'!$E$29*(Y179-1))/(9*('Beállítások'!$B$44+'Beállítások'!$B$45)),1))</f>
        <v/>
      </c>
      <c r="AO179" s="24">
        <f>IF($A179="","",RANK(AM179,$AM$2:$AM$201))</f>
        <v/>
      </c>
      <c r="AP179">
        <f>IF($A179="","",IF(OR(AND('Ügyfelek'!B179&lt;&gt;"",B179&lt;='Beállítások'!$B$85),AND('Ügyfelek'!C179&lt;&gt;"",C179&lt;='Beállítások'!$B$86)),"Igen","Nem"))</f>
        <v/>
      </c>
      <c r="AQ179" s="24">
        <f>IF($A179="","",IF(AP179="Igen",5,IF(AN179&gt;='Beállítások'!$C$108,1,IF(AN179&gt;='Beállítások'!$C$109,2,IF(AN179&gt;='Beállítások'!$C$110,3,IF(AND(AN179&gt;='Beállítások'!$B$87,AI179&gt;='Beállítások'!$B$88,AL179&gt;='Beállítások'!$B$89),4,5))))))</f>
        <v/>
      </c>
      <c r="AR179">
        <f>IF($A179="","",INDEX('Beállítások'!$B$108:$B$112,AQ179))</f>
        <v/>
      </c>
      <c r="AS179">
        <f>IF($A179="","",IF(AQ179=5,"Elutasítjuk",IF(AND(AQ179=4,COUNTIFS('Eredmény'!$AQ$2:$AQ$201,4,'Eredmény'!$DY$2:$DY$201,"&gt;"&amp;DY179)&gt;='Beállítások'!$B$90),"Várólista (a 4-es hely foglalt)","Elfogadjuk")))</f>
        <v/>
      </c>
      <c r="AT179">
        <f>IF($A179="","",INDEX('Beállítások'!$F$108:$F$112,AQ179))</f>
        <v/>
      </c>
      <c r="AU179">
        <f>IF($A179="","",INDEX('Beállítások'!$B$6:$B$38,MATCH(MAX(BK179:CQ179),BK179:CQ179,0)))</f>
        <v/>
      </c>
      <c r="AV179">
        <f>IF($A179="","",IF(MAX(CR179:DX179)=0,"—",INDEX('Beállítások'!$B$6:$B$38,MATCH(MAX(CR179:DX179),CR179:DX179,0))))</f>
        <v/>
      </c>
      <c r="AW179" s="10">
        <f>IF($A179="","",'Beállítások'!$B$94*(TRIM('Ügyfelek'!AI179)="igen")+'Beállítások'!$B$95*(TRIM('Ügyfelek'!AJ179)="igen")+'Beállítások'!$B$96*N('Ügyfelek'!AK179)+'Beállítások'!$B$93*N('Ügyfelek'!AL179))</f>
        <v/>
      </c>
      <c r="AX179" s="25">
        <f>IF(OR($A179="",AQ179=5),"",INDEX('Beállítások'!$D$108:$D$112,AQ179))</f>
        <v/>
      </c>
      <c r="AY179" s="10">
        <f>IF($A179="","",N('Ügyfelek'!U179)*'Beállítások'!$B$98)</f>
        <v/>
      </c>
      <c r="AZ179" s="10">
        <f>IF(OR($A179="",AQ179=5),"",CEILING(ROUND(MAX('Beállítások'!$B$97,AW179*AX179,AY179),2),'Beállítások'!$B$99))</f>
        <v/>
      </c>
      <c r="BA179">
        <f>IF($A179="","",IF(AQ179=5,"Elutasítva",IF(MAX('Beállítások'!$B$97,AW179*AX179,AY179)=AW179*AX179,"Munkaigény × státuszszorzó",IF(MAX('Beállítások'!$B$97,AW179*AX179,AY179)=AY179,"Hirdetési keret arányában","Minimumdíj"))))</f>
        <v/>
      </c>
      <c r="BB179" s="10">
        <f>IF(OR($A179="",'Ügyfelek'!AM179=""),"",'Ügyfelek'!AM179)</f>
        <v/>
      </c>
      <c r="BC179" s="10">
        <f>IF(OR(BB179="",AZ179=""),"",AZ179-BB179)</f>
        <v/>
      </c>
      <c r="BD179" s="18">
        <f>IF(OR(BB179="",AZ179="",BB179=0),"",BC179/BB179)</f>
        <v/>
      </c>
      <c r="BE179">
        <f>IF(OR($A179="",AQ179=5),"",IF(AND(INDEX('Beállítások'!$E$108:$E$112,AQ179)&gt;0,Y179&gt;='Beállítások'!$B$91),"Igen","Nem"))</f>
        <v/>
      </c>
      <c r="BF179" s="10">
        <f>IF(BE179="Igen",CEILING(ROUND(AZ179*(1-'Beállítások'!$B$92),2),'Beállítások'!$B$99),"")</f>
        <v/>
      </c>
      <c r="BG179" s="20">
        <f>IF(BE179="Igen",INDEX('Beállítások'!$E$108:$E$112,AQ179),"")</f>
        <v/>
      </c>
      <c r="BH179" s="10">
        <f>IF(OR(BE179&lt;&gt;"Igen",'Ügyfelek'!AN179=""),"",'Ügyfelek'!AN179*BG179)</f>
        <v/>
      </c>
      <c r="BI179" s="24">
        <f>IF($A179="","",('Ügyfelek'!B179="")+('Ügyfelek'!C179="")+('Ügyfelek'!D179="")+('Ügyfelek'!E179="")+('Ügyfelek'!F179="")+('Ügyfelek'!G179="")+('Ügyfelek'!H179="")+('Ügyfelek'!I179="")+('Ügyfelek'!J179="")+('Ügyfelek'!K179="")+('Ügyfelek'!L179="")+('Ügyfelek'!M179="")+('Ügyfelek'!N179="")+('Ügyfelek'!O179="")+('Ügyfelek'!P179="")+('Ügyfelek'!Q179="")+('Ügyfelek'!R179="")+('Ügyfelek'!S179="")+('Ügyfelek'!T179="")+('Ügyfelek'!U179="")+('Ügyfelek'!V179="")+('Ügyfelek'!W179="")+('Ügyfelek'!X179="")+('Ügyfelek'!Y179="")+('Ügyfelek'!Z179="")+('Ügyfelek'!AA179="")+('Ügyfelek'!AB179="")+('Ügyfelek'!AC179="")+('Ügyfelek'!AD179="")+('Ügyfelek'!AE179="")+('Ügyfelek'!AF179="")+('Ügyfelek'!AG179="")+('Ügyfelek'!AH179=""))</f>
        <v/>
      </c>
      <c r="BK179">
        <f>IF($A179="","",B179+'Beállítások'!$E$6/1000)</f>
        <v/>
      </c>
      <c r="BL179">
        <f>IF($A179="","",C179+'Beállítások'!$E$7/1000)</f>
        <v/>
      </c>
      <c r="BM179">
        <f>IF($A179="","",D179+'Beállítások'!$E$8/1000)</f>
        <v/>
      </c>
      <c r="BN179">
        <f>IF($A179="","",E179+'Beállítások'!$E$9/1000)</f>
        <v/>
      </c>
      <c r="BO179">
        <f>IF($A179="","",F179+'Beállítások'!$E$10/1000)</f>
        <v/>
      </c>
      <c r="BP179">
        <f>IF($A179="","",G179+'Beállítások'!$E$11/1000)</f>
        <v/>
      </c>
      <c r="BQ179">
        <f>IF($A179="","",H179+'Beállítások'!$E$12/1000)</f>
        <v/>
      </c>
      <c r="BR179">
        <f>IF($A179="","",I179+'Beállítások'!$E$13/1000)</f>
        <v/>
      </c>
      <c r="BS179">
        <f>IF($A179="","",J179+'Beállítások'!$E$14/1000)</f>
        <v/>
      </c>
      <c r="BT179">
        <f>IF($A179="","",K179+'Beállítások'!$E$15/1000)</f>
        <v/>
      </c>
      <c r="BU179">
        <f>IF($A179="","",L179+'Beállítások'!$E$16/1000)</f>
        <v/>
      </c>
      <c r="BV179">
        <f>IF($A179="","",M179+'Beállítások'!$E$17/1000)</f>
        <v/>
      </c>
      <c r="BW179">
        <f>IF($A179="","",N179+'Beállítások'!$E$18/1000)</f>
        <v/>
      </c>
      <c r="BX179">
        <f>IF($A179="","",O179+'Beállítások'!$E$19/1000)</f>
        <v/>
      </c>
      <c r="BY179">
        <f>IF($A179="","",P179+'Beállítások'!$E$20/1000)</f>
        <v/>
      </c>
      <c r="BZ179">
        <f>IF($A179="","",Q179+'Beállítások'!$E$21/1000)</f>
        <v/>
      </c>
      <c r="CA179">
        <f>IF($A179="","",R179+'Beállítások'!$E$22/1000)</f>
        <v/>
      </c>
      <c r="CB179">
        <f>IF($A179="","",S179+'Beállítások'!$E$23/1000)</f>
        <v/>
      </c>
      <c r="CC179">
        <f>IF($A179="","",T179+'Beállítások'!$E$24/1000)</f>
        <v/>
      </c>
      <c r="CD179">
        <f>IF($A179="","",U179+'Beállítások'!$E$25/1000)</f>
        <v/>
      </c>
      <c r="CE179">
        <f>IF($A179="","",V179+'Beállítások'!$E$26/1000)</f>
        <v/>
      </c>
      <c r="CF179">
        <f>IF($A179="","",W179+'Beállítások'!$E$27/1000)</f>
        <v/>
      </c>
      <c r="CG179">
        <f>IF($A179="","",X179+'Beállítások'!$E$28/1000)</f>
        <v/>
      </c>
      <c r="CH179">
        <f>IF($A179="","",Y179+'Beállítások'!$E$29/1000)</f>
        <v/>
      </c>
      <c r="CI179">
        <f>IF($A179="","",Z179+'Beállítások'!$E$30/1000)</f>
        <v/>
      </c>
      <c r="CJ179">
        <f>IF($A179="","",AA179+'Beállítások'!$E$31/1000)</f>
        <v/>
      </c>
      <c r="CK179">
        <f>IF($A179="","",AB179+'Beállítások'!$E$32/1000)</f>
        <v/>
      </c>
      <c r="CL179">
        <f>IF($A179="","",AC179+'Beállítások'!$E$33/1000)</f>
        <v/>
      </c>
      <c r="CM179">
        <f>IF($A179="","",AD179+'Beállítások'!$E$34/1000)</f>
        <v/>
      </c>
      <c r="CN179">
        <f>IF($A179="","",AE179+'Beállítások'!$E$35/1000)</f>
        <v/>
      </c>
      <c r="CO179">
        <f>IF($A179="","",AF179+'Beállítások'!$E$36/1000)</f>
        <v/>
      </c>
      <c r="CP179">
        <f>IF($A179="","",AG179+'Beállítások'!$E$37/1000)</f>
        <v/>
      </c>
      <c r="CQ179">
        <f>IF($A179="","",AH179+'Beállítások'!$E$38/1000)</f>
        <v/>
      </c>
      <c r="CR179">
        <f>IF($A179="","",'Beállítások'!$E$6*(10-B179))</f>
        <v/>
      </c>
      <c r="CS179">
        <f>IF($A179="","",'Beállítások'!$E$7*(10-C179))</f>
        <v/>
      </c>
      <c r="CT179">
        <f>IF($A179="","",'Beállítások'!$E$8*(10-D179))</f>
        <v/>
      </c>
      <c r="CU179">
        <f>IF($A179="","",'Beállítások'!$E$9*(10-E179))</f>
        <v/>
      </c>
      <c r="CV179">
        <f>IF($A179="","",'Beállítások'!$E$10*(10-F179))</f>
        <v/>
      </c>
      <c r="CW179">
        <f>IF($A179="","",'Beállítások'!$E$11*(10-G179))</f>
        <v/>
      </c>
      <c r="CX179">
        <f>IF($A179="","",'Beállítások'!$E$12*(10-H179))</f>
        <v/>
      </c>
      <c r="CY179">
        <f>IF($A179="","",'Beállítások'!$E$13*(10-I179))</f>
        <v/>
      </c>
      <c r="CZ179">
        <f>IF($A179="","",'Beállítások'!$E$14*(10-J179))</f>
        <v/>
      </c>
      <c r="DA179">
        <f>IF($A179="","",'Beállítások'!$E$15*(10-K179))</f>
        <v/>
      </c>
      <c r="DB179">
        <f>IF($A179="","",'Beállítások'!$E$16*(10-L179))</f>
        <v/>
      </c>
      <c r="DC179">
        <f>IF($A179="","",'Beállítások'!$E$17*(10-M179))</f>
        <v/>
      </c>
      <c r="DD179">
        <f>IF($A179="","",'Beállítások'!$E$18*(10-N179))</f>
        <v/>
      </c>
      <c r="DE179">
        <f>IF($A179="","",'Beállítások'!$E$19*(10-O179))</f>
        <v/>
      </c>
      <c r="DF179">
        <f>IF($A179="","",'Beállítások'!$E$20*(10-P179))</f>
        <v/>
      </c>
      <c r="DG179">
        <f>IF($A179="","",'Beállítások'!$E$21*(10-Q179))</f>
        <v/>
      </c>
      <c r="DH179">
        <f>IF($A179="","",'Beállítások'!$E$22*(10-R179))</f>
        <v/>
      </c>
      <c r="DI179">
        <f>IF($A179="","",'Beállítások'!$E$23*(10-S179))</f>
        <v/>
      </c>
      <c r="DJ179">
        <f>IF($A179="","",'Beállítások'!$E$24*(10-T179))</f>
        <v/>
      </c>
      <c r="DK179">
        <f>IF($A179="","",'Beállítások'!$E$25*(10-U179))</f>
        <v/>
      </c>
      <c r="DL179">
        <f>IF($A179="","",'Beállítások'!$E$26*(10-V179))</f>
        <v/>
      </c>
      <c r="DM179">
        <f>IF($A179="","",'Beállítások'!$E$27*(10-W179))</f>
        <v/>
      </c>
      <c r="DN179">
        <f>IF($A179="","",'Beállítások'!$E$28*(10-X179))</f>
        <v/>
      </c>
      <c r="DO179">
        <f>IF($A179="","",'Beállítások'!$E$29*(10-Y179))</f>
        <v/>
      </c>
      <c r="DP179">
        <f>IF($A179="","",'Beállítások'!$E$30*(10-Z179))</f>
        <v/>
      </c>
      <c r="DQ179">
        <f>IF($A179="","",'Beállítások'!$E$31*(10-AA179))</f>
        <v/>
      </c>
      <c r="DR179">
        <f>IF($A179="","",'Beállítások'!$E$32*(10-AB179))</f>
        <v/>
      </c>
      <c r="DS179">
        <f>IF($A179="","",'Beállítások'!$E$33*(10-AC179))</f>
        <v/>
      </c>
      <c r="DT179">
        <f>IF($A179="","",'Beállítások'!$E$34*(10-AD179))</f>
        <v/>
      </c>
      <c r="DU179">
        <f>IF($A179="","",'Beállítások'!$E$35*(10-AE179))</f>
        <v/>
      </c>
      <c r="DV179">
        <f>IF($A179="","",'Beállítások'!$E$36*(10-AF179))</f>
        <v/>
      </c>
      <c r="DW179">
        <f>IF($A179="","",'Beállítások'!$E$37*(10-AG179))</f>
        <v/>
      </c>
      <c r="DX179">
        <f>IF($A179="","",'Beállítások'!$E$38*(10-AH179))</f>
        <v/>
      </c>
      <c r="DY179">
        <f>IF($A179="","",AM179-ROW()/100000)</f>
        <v/>
      </c>
    </row>
    <row r="180">
      <c r="A180">
        <f>IF('Ügyfelek'!A180="","",'Ügyfelek'!A180)</f>
        <v/>
      </c>
      <c r="B180">
        <f>IF($A180="","",IF('Ügyfelek'!B180="",'Beállítások'!$B$84,IFERROR(VLOOKUP(TRIM('Ügyfelek'!B180),'Beállítások'!$A$51:$B$59,2,FALSE),'Beállítások'!$B$84)))</f>
        <v/>
      </c>
      <c r="C180">
        <f>IF($A180="","",IF('Ügyfelek'!C180="",'Beállítások'!$B$84,MIN(10,MAX(1,ROUND('Ügyfelek'!C180,0)))))</f>
        <v/>
      </c>
      <c r="D180">
        <f>IF($A180="","",IF('Ügyfelek'!D180="",'Beállítások'!$B$84,MIN(10,MAX(1,ROUND('Ügyfelek'!D180,0)))))</f>
        <v/>
      </c>
      <c r="E180">
        <f>IF($A180="","",IF('Ügyfelek'!E180="",'Beállítások'!$B$84,MIN(10,MAX(1,ROUND('Ügyfelek'!E180,0)))))</f>
        <v/>
      </c>
      <c r="F180">
        <f>IF($A180="","",IF('Ügyfelek'!F180="",'Beállítások'!$B$84,MIN(10,MAX(1,ROUND('Ügyfelek'!F180,0)))))</f>
        <v/>
      </c>
      <c r="G180">
        <f>IF($A180="","",IF('Ügyfelek'!G180="",'Beállítások'!$B$84,MIN(10,MAX(1,ROUND('Ügyfelek'!G180,0)))))</f>
        <v/>
      </c>
      <c r="H180">
        <f>IF($A180="","",IF('Ügyfelek'!H180="",'Beállítások'!$B$84,MIN(10,MAX(1,ROUND('Ügyfelek'!H180,0)))))</f>
        <v/>
      </c>
      <c r="I180">
        <f>IF($A180="","",IF('Ügyfelek'!I180="",'Beállítások'!$B$84,MIN(10,MAX(1,ROUND('Ügyfelek'!I180,0)))))</f>
        <v/>
      </c>
      <c r="J180">
        <f>IF($A180="","",IF('Ügyfelek'!J180="",'Beállítások'!$B$84,MIN(10,MAX(1,ROUND('Ügyfelek'!J180,0)))))</f>
        <v/>
      </c>
      <c r="K180">
        <f>IF($A180="","",IF('Ügyfelek'!K180="",'Beállítások'!$B$84,MIN(10,MAX(1,ROUND('Ügyfelek'!K180,0)))))</f>
        <v/>
      </c>
      <c r="L180">
        <f>IF($A180="","",IF('Ügyfelek'!L180="",'Beállítások'!$B$84,MIN(10,MAX(1,ROUND('Ügyfelek'!L180,0)))))</f>
        <v/>
      </c>
      <c r="M180">
        <f>IF($A180="","",IF('Ügyfelek'!M180="",'Beállítások'!$B$84,MIN(10,MAX(1,ROUND('Ügyfelek'!M180,0)))))</f>
        <v/>
      </c>
      <c r="N180">
        <f>IF($A180="","",IF('Ügyfelek'!N180="",'Beállítások'!$B$84,MIN(10,MAX(1,ROUND('Ügyfelek'!N180,0)))))</f>
        <v/>
      </c>
      <c r="O180">
        <f>IF($A180="","",IF('Ügyfelek'!O180="",'Beállítások'!$B$84,MIN(10,MAX(1,ROUND('Ügyfelek'!O180,0)))))</f>
        <v/>
      </c>
      <c r="P180">
        <f>IF($A180="","",IF('Ügyfelek'!P180="",'Beállítások'!$B$84,MIN(10,MAX(1,ROUND('Ügyfelek'!P180,0)))))</f>
        <v/>
      </c>
      <c r="Q180">
        <f>IF($A180="","",IF('Ügyfelek'!Q180="",'Beállítások'!$B$84,MIN(10,MAX(1,ROUND('Ügyfelek'!Q180,0)))))</f>
        <v/>
      </c>
      <c r="R180">
        <f>IF($A180="","",IF('Ügyfelek'!R180="",'Beállítások'!$B$84,MIN(10,MAX(1,ROUND('Ügyfelek'!R180,0)))))</f>
        <v/>
      </c>
      <c r="S180">
        <f>IF($A180="","",IF('Ügyfelek'!S180="",'Beállítások'!$B$84,MIN(10,MAX(1,ROUND('Ügyfelek'!S180,0)))))</f>
        <v/>
      </c>
      <c r="T180">
        <f>IF($A180="","",IF('Ügyfelek'!T180="",'Beállítások'!$B$84,VLOOKUP(MAX('Ügyfelek'!T180,'Beállítások'!$H$7),'Beállítások'!$H$7:$I$12,2,TRUE)))</f>
        <v/>
      </c>
      <c r="U180">
        <f>IF($A180="","",IF('Ügyfelek'!U180="",'Beállítások'!$B$84,VLOOKUP(MAX('Ügyfelek'!U180,'Beállítások'!$K$7),'Beállítások'!$K$7:$L$12,2,TRUE)))</f>
        <v/>
      </c>
      <c r="V180">
        <f>IF($A180="","",IF('Ügyfelek'!V180="",'Beállítások'!$B$84,MIN(10,MAX(1,ROUND('Ügyfelek'!V180,0)))))</f>
        <v/>
      </c>
      <c r="W180">
        <f>IF($A180="","",IF('Ügyfelek'!W180="",'Beállítások'!$B$84,VLOOKUP(MAX('Ügyfelek'!W180,'Beállítások'!$N$7),'Beállítások'!$N$7:$O$12,2,TRUE)))</f>
        <v/>
      </c>
      <c r="X180">
        <f>IF($A180="","",IF('Ügyfelek'!X180="",'Beállítások'!$B$84,MIN(10,MAX(1,ROUND('Ügyfelek'!X180,0)))))</f>
        <v/>
      </c>
      <c r="Y180">
        <f>IF($A180="","",IF('Ügyfelek'!Y180="",'Beállítások'!$B$84,IFERROR(VLOOKUP(TRIM('Ügyfelek'!Y180),'Beállítások'!$A$63:$B$69,2,FALSE),'Beállítások'!$B$84)))</f>
        <v/>
      </c>
      <c r="Z180">
        <f>IF($A180="","",IF('Ügyfelek'!Z180="",'Beállítások'!$B$84,VLOOKUP(MAX('Ügyfelek'!Z180,'Beállítások'!$Q$7),'Beállítások'!$Q$7:$R$12,2,TRUE)))</f>
        <v/>
      </c>
      <c r="AA180">
        <f>IF($A180="","",IF('Ügyfelek'!AA180="",'Beállítások'!$B$84,VLOOKUP(MAX('Ügyfelek'!AA180,'Beállítások'!$T$7),'Beállítások'!$T$7:$U$12,2,TRUE)))</f>
        <v/>
      </c>
      <c r="AB180">
        <f>IF($A180="","",IF('Ügyfelek'!AB180="",'Beállítások'!$B$84,MIN(10,MAX(1,ROUND('Ügyfelek'!AB180,0)))))</f>
        <v/>
      </c>
      <c r="AC180">
        <f>IF($A180="","",IF('Ügyfelek'!AC180="",'Beállítások'!$B$84,MIN(10,MAX(1,ROUND('Ügyfelek'!AC180,0)))))</f>
        <v/>
      </c>
      <c r="AD180">
        <f>IF($A180="","",IF('Ügyfelek'!AD180="",'Beállítások'!$B$84,MIN(10,MAX(1,ROUND('Ügyfelek'!AD180,0)))))</f>
        <v/>
      </c>
      <c r="AE180">
        <f>IF($A180="","",IF('Ügyfelek'!AE180="",'Beállítások'!$B$84,MIN(10,MAX(1,ROUND('Ügyfelek'!AE180,0)))))</f>
        <v/>
      </c>
      <c r="AF180">
        <f>IF($A180="","",IF('Ügyfelek'!AF180="",'Beállítások'!$B$84,MIN(10,MAX(1,ROUND('Ügyfelek'!AF180,0)))))</f>
        <v/>
      </c>
      <c r="AG180">
        <f>IF($A180="","",IF('Ügyfelek'!AG180="",'Beállítások'!$B$84,MIN(10,MAX(1,ROUND('Ügyfelek'!AG180,0)))))</f>
        <v/>
      </c>
      <c r="AH180">
        <f>IF($A180="","",IF('Ügyfelek'!AH180="",'Beállítások'!$B$84,IFERROR(VLOOKUP(TRIM('Ügyfelek'!AH180),'Beállítások'!$A$73:$B$79,2,FALSE),'Beállítások'!$B$84)))</f>
        <v/>
      </c>
      <c r="AI180" s="23">
        <f>IF($A180="","",ROUND(100*('Beállítások'!$E$6*(B180-1)+'Beállítások'!$E$7*(C180-1))/(9*'Beállítások'!$B$43),1))</f>
        <v/>
      </c>
      <c r="AJ180" s="23">
        <f>IF($A180="","",ROUND(100*('Beállítások'!$E$8*(D180-1)+'Beállítások'!$E$9*(E180-1)+'Beállítások'!$E$10*(F180-1)+'Beállítások'!$E$11*(G180-1)+'Beállítások'!$E$12*(H180-1)+'Beállítások'!$E$13*(I180-1)+'Beállítások'!$E$14*(J180-1)+'Beállítások'!$E$15*(K180-1)+'Beállítások'!$E$16*(L180-1)+'Beállítások'!$E$17*(M180-1)+'Beállítások'!$E$18*(N180-1)+'Beállítások'!$E$19*(O180-1)+'Beállítások'!$E$20*(P180-1)+'Beállítások'!$E$21*(Q180-1)+'Beállítások'!$E$22*(R180-1))/(9*'Beállítások'!$B$44),1))</f>
        <v/>
      </c>
      <c r="AK180" s="23">
        <f>IF($A180="","",ROUND(100*('Beállítások'!$E$23*(S180-1)+'Beállítások'!$E$24*(T180-1)+'Beállítások'!$E$25*(U180-1)+'Beállítások'!$E$26*(V180-1)+'Beállítások'!$E$27*(W180-1)+'Beállítások'!$E$28*(X180-1)+'Beállítások'!$E$29*(Y180-1))/(9*'Beállítások'!$B$45),1))</f>
        <v/>
      </c>
      <c r="AL180" s="23">
        <f>IF($A180="","",ROUND(100*('Beállítások'!$E$30*(Z180-1)+'Beállítások'!$E$31*(AA180-1)+'Beállítások'!$E$32*(AB180-1)+'Beállítások'!$E$33*(AC180-1)+'Beállítások'!$E$34*(AD180-1)+'Beállítások'!$E$35*(AE180-1)+'Beállítások'!$E$36*(AF180-1)+'Beállítások'!$E$37*(AG180-1)+'Beállítások'!$E$38*(AH180-1))/(9*'Beállítások'!$B$46),1))</f>
        <v/>
      </c>
      <c r="AM180" s="23">
        <f>IF($A180="","",ROUND(100*('Beállítások'!$E$6*(B180-1)+'Beállítások'!$E$7*(C180-1)+'Beállítások'!$E$8*(D180-1)+'Beállítások'!$E$9*(E180-1)+'Beállítások'!$E$10*(F180-1)+'Beállítások'!$E$11*(G180-1)+'Beállítások'!$E$12*(H180-1)+'Beállítások'!$E$13*(I180-1)+'Beállítások'!$E$14*(J180-1)+'Beállítások'!$E$15*(K180-1)+'Beállítások'!$E$16*(L180-1)+'Beállítások'!$E$17*(M180-1)+'Beállítások'!$E$18*(N180-1)+'Beállítások'!$E$19*(O180-1)+'Beállítások'!$E$20*(P180-1)+'Beállítások'!$E$21*(Q180-1)+'Beállítások'!$E$22*(R180-1)+'Beállítások'!$E$23*(S180-1)+'Beállítások'!$E$24*(T180-1)+'Beállítások'!$E$25*(U180-1)+'Beállítások'!$E$26*(V180-1)+'Beállítások'!$E$27*(W180-1)+'Beállítások'!$E$28*(X180-1)+'Beállítások'!$E$29*(Y180-1)+'Beállítások'!$E$30*(Z180-1)+'Beállítások'!$E$31*(AA180-1)+'Beállítások'!$E$32*(AB180-1)+'Beállítások'!$E$33*(AC180-1)+'Beállítások'!$E$34*(AD180-1)+'Beállítások'!$E$35*(AE180-1)+'Beállítások'!$E$36*(AF180-1)+'Beállítások'!$E$37*(AG180-1)+'Beállítások'!$E$38*(AH180-1))/(9*'Beállítások'!$E$39),1))</f>
        <v/>
      </c>
      <c r="AN180" s="23">
        <f>IF($A180="","",ROUND(100*('Beállítások'!$E$8*(D180-1)+'Beállítások'!$E$9*(E180-1)+'Beállítások'!$E$10*(F180-1)+'Beállítások'!$E$11*(G180-1)+'Beállítások'!$E$12*(H180-1)+'Beállítások'!$E$13*(I180-1)+'Beállítások'!$E$14*(J180-1)+'Beállítások'!$E$15*(K180-1)+'Beállítások'!$E$16*(L180-1)+'Beállítások'!$E$17*(M180-1)+'Beállítások'!$E$18*(N180-1)+'Beállítások'!$E$19*(O180-1)+'Beállítások'!$E$20*(P180-1)+'Beállítások'!$E$21*(Q180-1)+'Beállítások'!$E$22*(R180-1)+'Beállítások'!$E$23*(S180-1)+'Beállítások'!$E$24*(T180-1)+'Beállítások'!$E$25*(U180-1)+'Beállítások'!$E$26*(V180-1)+'Beállítások'!$E$27*(W180-1)+'Beállítások'!$E$28*(X180-1)+'Beállítások'!$E$29*(Y180-1))/(9*('Beállítások'!$B$44+'Beállítások'!$B$45)),1))</f>
        <v/>
      </c>
      <c r="AO180" s="24">
        <f>IF($A180="","",RANK(AM180,$AM$2:$AM$201))</f>
        <v/>
      </c>
      <c r="AP180">
        <f>IF($A180="","",IF(OR(AND('Ügyfelek'!B180&lt;&gt;"",B180&lt;='Beállítások'!$B$85),AND('Ügyfelek'!C180&lt;&gt;"",C180&lt;='Beállítások'!$B$86)),"Igen","Nem"))</f>
        <v/>
      </c>
      <c r="AQ180" s="24">
        <f>IF($A180="","",IF(AP180="Igen",5,IF(AN180&gt;='Beállítások'!$C$108,1,IF(AN180&gt;='Beállítások'!$C$109,2,IF(AN180&gt;='Beállítások'!$C$110,3,IF(AND(AN180&gt;='Beállítások'!$B$87,AI180&gt;='Beállítások'!$B$88,AL180&gt;='Beállítások'!$B$89),4,5))))))</f>
        <v/>
      </c>
      <c r="AR180">
        <f>IF($A180="","",INDEX('Beállítások'!$B$108:$B$112,AQ180))</f>
        <v/>
      </c>
      <c r="AS180">
        <f>IF($A180="","",IF(AQ180=5,"Elutasítjuk",IF(AND(AQ180=4,COUNTIFS('Eredmény'!$AQ$2:$AQ$201,4,'Eredmény'!$DY$2:$DY$201,"&gt;"&amp;DY180)&gt;='Beállítások'!$B$90),"Várólista (a 4-es hely foglalt)","Elfogadjuk")))</f>
        <v/>
      </c>
      <c r="AT180">
        <f>IF($A180="","",INDEX('Beállítások'!$F$108:$F$112,AQ180))</f>
        <v/>
      </c>
      <c r="AU180">
        <f>IF($A180="","",INDEX('Beállítások'!$B$6:$B$38,MATCH(MAX(BK180:CQ180),BK180:CQ180,0)))</f>
        <v/>
      </c>
      <c r="AV180">
        <f>IF($A180="","",IF(MAX(CR180:DX180)=0,"—",INDEX('Beállítások'!$B$6:$B$38,MATCH(MAX(CR180:DX180),CR180:DX180,0))))</f>
        <v/>
      </c>
      <c r="AW180" s="10">
        <f>IF($A180="","",'Beállítások'!$B$94*(TRIM('Ügyfelek'!AI180)="igen")+'Beállítások'!$B$95*(TRIM('Ügyfelek'!AJ180)="igen")+'Beállítások'!$B$96*N('Ügyfelek'!AK180)+'Beállítások'!$B$93*N('Ügyfelek'!AL180))</f>
        <v/>
      </c>
      <c r="AX180" s="25">
        <f>IF(OR($A180="",AQ180=5),"",INDEX('Beállítások'!$D$108:$D$112,AQ180))</f>
        <v/>
      </c>
      <c r="AY180" s="10">
        <f>IF($A180="","",N('Ügyfelek'!U180)*'Beállítások'!$B$98)</f>
        <v/>
      </c>
      <c r="AZ180" s="10">
        <f>IF(OR($A180="",AQ180=5),"",CEILING(ROUND(MAX('Beállítások'!$B$97,AW180*AX180,AY180),2),'Beállítások'!$B$99))</f>
        <v/>
      </c>
      <c r="BA180">
        <f>IF($A180="","",IF(AQ180=5,"Elutasítva",IF(MAX('Beállítások'!$B$97,AW180*AX180,AY180)=AW180*AX180,"Munkaigény × státuszszorzó",IF(MAX('Beállítások'!$B$97,AW180*AX180,AY180)=AY180,"Hirdetési keret arányában","Minimumdíj"))))</f>
        <v/>
      </c>
      <c r="BB180" s="10">
        <f>IF(OR($A180="",'Ügyfelek'!AM180=""),"",'Ügyfelek'!AM180)</f>
        <v/>
      </c>
      <c r="BC180" s="10">
        <f>IF(OR(BB180="",AZ180=""),"",AZ180-BB180)</f>
        <v/>
      </c>
      <c r="BD180" s="18">
        <f>IF(OR(BB180="",AZ180="",BB180=0),"",BC180/BB180)</f>
        <v/>
      </c>
      <c r="BE180">
        <f>IF(OR($A180="",AQ180=5),"",IF(AND(INDEX('Beállítások'!$E$108:$E$112,AQ180)&gt;0,Y180&gt;='Beállítások'!$B$91),"Igen","Nem"))</f>
        <v/>
      </c>
      <c r="BF180" s="10">
        <f>IF(BE180="Igen",CEILING(ROUND(AZ180*(1-'Beállítások'!$B$92),2),'Beállítások'!$B$99),"")</f>
        <v/>
      </c>
      <c r="BG180" s="20">
        <f>IF(BE180="Igen",INDEX('Beállítások'!$E$108:$E$112,AQ180),"")</f>
        <v/>
      </c>
      <c r="BH180" s="10">
        <f>IF(OR(BE180&lt;&gt;"Igen",'Ügyfelek'!AN180=""),"",'Ügyfelek'!AN180*BG180)</f>
        <v/>
      </c>
      <c r="BI180" s="24">
        <f>IF($A180="","",('Ügyfelek'!B180="")+('Ügyfelek'!C180="")+('Ügyfelek'!D180="")+('Ügyfelek'!E180="")+('Ügyfelek'!F180="")+('Ügyfelek'!G180="")+('Ügyfelek'!H180="")+('Ügyfelek'!I180="")+('Ügyfelek'!J180="")+('Ügyfelek'!K180="")+('Ügyfelek'!L180="")+('Ügyfelek'!M180="")+('Ügyfelek'!N180="")+('Ügyfelek'!O180="")+('Ügyfelek'!P180="")+('Ügyfelek'!Q180="")+('Ügyfelek'!R180="")+('Ügyfelek'!S180="")+('Ügyfelek'!T180="")+('Ügyfelek'!U180="")+('Ügyfelek'!V180="")+('Ügyfelek'!W180="")+('Ügyfelek'!X180="")+('Ügyfelek'!Y180="")+('Ügyfelek'!Z180="")+('Ügyfelek'!AA180="")+('Ügyfelek'!AB180="")+('Ügyfelek'!AC180="")+('Ügyfelek'!AD180="")+('Ügyfelek'!AE180="")+('Ügyfelek'!AF180="")+('Ügyfelek'!AG180="")+('Ügyfelek'!AH180=""))</f>
        <v/>
      </c>
      <c r="BK180">
        <f>IF($A180="","",B180+'Beállítások'!$E$6/1000)</f>
        <v/>
      </c>
      <c r="BL180">
        <f>IF($A180="","",C180+'Beállítások'!$E$7/1000)</f>
        <v/>
      </c>
      <c r="BM180">
        <f>IF($A180="","",D180+'Beállítások'!$E$8/1000)</f>
        <v/>
      </c>
      <c r="BN180">
        <f>IF($A180="","",E180+'Beállítások'!$E$9/1000)</f>
        <v/>
      </c>
      <c r="BO180">
        <f>IF($A180="","",F180+'Beállítások'!$E$10/1000)</f>
        <v/>
      </c>
      <c r="BP180">
        <f>IF($A180="","",G180+'Beállítások'!$E$11/1000)</f>
        <v/>
      </c>
      <c r="BQ180">
        <f>IF($A180="","",H180+'Beállítások'!$E$12/1000)</f>
        <v/>
      </c>
      <c r="BR180">
        <f>IF($A180="","",I180+'Beállítások'!$E$13/1000)</f>
        <v/>
      </c>
      <c r="BS180">
        <f>IF($A180="","",J180+'Beállítások'!$E$14/1000)</f>
        <v/>
      </c>
      <c r="BT180">
        <f>IF($A180="","",K180+'Beállítások'!$E$15/1000)</f>
        <v/>
      </c>
      <c r="BU180">
        <f>IF($A180="","",L180+'Beállítások'!$E$16/1000)</f>
        <v/>
      </c>
      <c r="BV180">
        <f>IF($A180="","",M180+'Beállítások'!$E$17/1000)</f>
        <v/>
      </c>
      <c r="BW180">
        <f>IF($A180="","",N180+'Beállítások'!$E$18/1000)</f>
        <v/>
      </c>
      <c r="BX180">
        <f>IF($A180="","",O180+'Beállítások'!$E$19/1000)</f>
        <v/>
      </c>
      <c r="BY180">
        <f>IF($A180="","",P180+'Beállítások'!$E$20/1000)</f>
        <v/>
      </c>
      <c r="BZ180">
        <f>IF($A180="","",Q180+'Beállítások'!$E$21/1000)</f>
        <v/>
      </c>
      <c r="CA180">
        <f>IF($A180="","",R180+'Beállítások'!$E$22/1000)</f>
        <v/>
      </c>
      <c r="CB180">
        <f>IF($A180="","",S180+'Beállítások'!$E$23/1000)</f>
        <v/>
      </c>
      <c r="CC180">
        <f>IF($A180="","",T180+'Beállítások'!$E$24/1000)</f>
        <v/>
      </c>
      <c r="CD180">
        <f>IF($A180="","",U180+'Beállítások'!$E$25/1000)</f>
        <v/>
      </c>
      <c r="CE180">
        <f>IF($A180="","",V180+'Beállítások'!$E$26/1000)</f>
        <v/>
      </c>
      <c r="CF180">
        <f>IF($A180="","",W180+'Beállítások'!$E$27/1000)</f>
        <v/>
      </c>
      <c r="CG180">
        <f>IF($A180="","",X180+'Beállítások'!$E$28/1000)</f>
        <v/>
      </c>
      <c r="CH180">
        <f>IF($A180="","",Y180+'Beállítások'!$E$29/1000)</f>
        <v/>
      </c>
      <c r="CI180">
        <f>IF($A180="","",Z180+'Beállítások'!$E$30/1000)</f>
        <v/>
      </c>
      <c r="CJ180">
        <f>IF($A180="","",AA180+'Beállítások'!$E$31/1000)</f>
        <v/>
      </c>
      <c r="CK180">
        <f>IF($A180="","",AB180+'Beállítások'!$E$32/1000)</f>
        <v/>
      </c>
      <c r="CL180">
        <f>IF($A180="","",AC180+'Beállítások'!$E$33/1000)</f>
        <v/>
      </c>
      <c r="CM180">
        <f>IF($A180="","",AD180+'Beállítások'!$E$34/1000)</f>
        <v/>
      </c>
      <c r="CN180">
        <f>IF($A180="","",AE180+'Beállítások'!$E$35/1000)</f>
        <v/>
      </c>
      <c r="CO180">
        <f>IF($A180="","",AF180+'Beállítások'!$E$36/1000)</f>
        <v/>
      </c>
      <c r="CP180">
        <f>IF($A180="","",AG180+'Beállítások'!$E$37/1000)</f>
        <v/>
      </c>
      <c r="CQ180">
        <f>IF($A180="","",AH180+'Beállítások'!$E$38/1000)</f>
        <v/>
      </c>
      <c r="CR180">
        <f>IF($A180="","",'Beállítások'!$E$6*(10-B180))</f>
        <v/>
      </c>
      <c r="CS180">
        <f>IF($A180="","",'Beállítások'!$E$7*(10-C180))</f>
        <v/>
      </c>
      <c r="CT180">
        <f>IF($A180="","",'Beállítások'!$E$8*(10-D180))</f>
        <v/>
      </c>
      <c r="CU180">
        <f>IF($A180="","",'Beállítások'!$E$9*(10-E180))</f>
        <v/>
      </c>
      <c r="CV180">
        <f>IF($A180="","",'Beállítások'!$E$10*(10-F180))</f>
        <v/>
      </c>
      <c r="CW180">
        <f>IF($A180="","",'Beállítások'!$E$11*(10-G180))</f>
        <v/>
      </c>
      <c r="CX180">
        <f>IF($A180="","",'Beállítások'!$E$12*(10-H180))</f>
        <v/>
      </c>
      <c r="CY180">
        <f>IF($A180="","",'Beállítások'!$E$13*(10-I180))</f>
        <v/>
      </c>
      <c r="CZ180">
        <f>IF($A180="","",'Beállítások'!$E$14*(10-J180))</f>
        <v/>
      </c>
      <c r="DA180">
        <f>IF($A180="","",'Beállítások'!$E$15*(10-K180))</f>
        <v/>
      </c>
      <c r="DB180">
        <f>IF($A180="","",'Beállítások'!$E$16*(10-L180))</f>
        <v/>
      </c>
      <c r="DC180">
        <f>IF($A180="","",'Beállítások'!$E$17*(10-M180))</f>
        <v/>
      </c>
      <c r="DD180">
        <f>IF($A180="","",'Beállítások'!$E$18*(10-N180))</f>
        <v/>
      </c>
      <c r="DE180">
        <f>IF($A180="","",'Beállítások'!$E$19*(10-O180))</f>
        <v/>
      </c>
      <c r="DF180">
        <f>IF($A180="","",'Beállítások'!$E$20*(10-P180))</f>
        <v/>
      </c>
      <c r="DG180">
        <f>IF($A180="","",'Beállítások'!$E$21*(10-Q180))</f>
        <v/>
      </c>
      <c r="DH180">
        <f>IF($A180="","",'Beállítások'!$E$22*(10-R180))</f>
        <v/>
      </c>
      <c r="DI180">
        <f>IF($A180="","",'Beállítások'!$E$23*(10-S180))</f>
        <v/>
      </c>
      <c r="DJ180">
        <f>IF($A180="","",'Beállítások'!$E$24*(10-T180))</f>
        <v/>
      </c>
      <c r="DK180">
        <f>IF($A180="","",'Beállítások'!$E$25*(10-U180))</f>
        <v/>
      </c>
      <c r="DL180">
        <f>IF($A180="","",'Beállítások'!$E$26*(10-V180))</f>
        <v/>
      </c>
      <c r="DM180">
        <f>IF($A180="","",'Beállítások'!$E$27*(10-W180))</f>
        <v/>
      </c>
      <c r="DN180">
        <f>IF($A180="","",'Beállítások'!$E$28*(10-X180))</f>
        <v/>
      </c>
      <c r="DO180">
        <f>IF($A180="","",'Beállítások'!$E$29*(10-Y180))</f>
        <v/>
      </c>
      <c r="DP180">
        <f>IF($A180="","",'Beállítások'!$E$30*(10-Z180))</f>
        <v/>
      </c>
      <c r="DQ180">
        <f>IF($A180="","",'Beállítások'!$E$31*(10-AA180))</f>
        <v/>
      </c>
      <c r="DR180">
        <f>IF($A180="","",'Beállítások'!$E$32*(10-AB180))</f>
        <v/>
      </c>
      <c r="DS180">
        <f>IF($A180="","",'Beállítások'!$E$33*(10-AC180))</f>
        <v/>
      </c>
      <c r="DT180">
        <f>IF($A180="","",'Beállítások'!$E$34*(10-AD180))</f>
        <v/>
      </c>
      <c r="DU180">
        <f>IF($A180="","",'Beállítások'!$E$35*(10-AE180))</f>
        <v/>
      </c>
      <c r="DV180">
        <f>IF($A180="","",'Beállítások'!$E$36*(10-AF180))</f>
        <v/>
      </c>
      <c r="DW180">
        <f>IF($A180="","",'Beállítások'!$E$37*(10-AG180))</f>
        <v/>
      </c>
      <c r="DX180">
        <f>IF($A180="","",'Beállítások'!$E$38*(10-AH180))</f>
        <v/>
      </c>
      <c r="DY180">
        <f>IF($A180="","",AM180-ROW()/100000)</f>
        <v/>
      </c>
    </row>
    <row r="181">
      <c r="A181">
        <f>IF('Ügyfelek'!A181="","",'Ügyfelek'!A181)</f>
        <v/>
      </c>
      <c r="B181">
        <f>IF($A181="","",IF('Ügyfelek'!B181="",'Beállítások'!$B$84,IFERROR(VLOOKUP(TRIM('Ügyfelek'!B181),'Beállítások'!$A$51:$B$59,2,FALSE),'Beállítások'!$B$84)))</f>
        <v/>
      </c>
      <c r="C181">
        <f>IF($A181="","",IF('Ügyfelek'!C181="",'Beállítások'!$B$84,MIN(10,MAX(1,ROUND('Ügyfelek'!C181,0)))))</f>
        <v/>
      </c>
      <c r="D181">
        <f>IF($A181="","",IF('Ügyfelek'!D181="",'Beállítások'!$B$84,MIN(10,MAX(1,ROUND('Ügyfelek'!D181,0)))))</f>
        <v/>
      </c>
      <c r="E181">
        <f>IF($A181="","",IF('Ügyfelek'!E181="",'Beállítások'!$B$84,MIN(10,MAX(1,ROUND('Ügyfelek'!E181,0)))))</f>
        <v/>
      </c>
      <c r="F181">
        <f>IF($A181="","",IF('Ügyfelek'!F181="",'Beállítások'!$B$84,MIN(10,MAX(1,ROUND('Ügyfelek'!F181,0)))))</f>
        <v/>
      </c>
      <c r="G181">
        <f>IF($A181="","",IF('Ügyfelek'!G181="",'Beállítások'!$B$84,MIN(10,MAX(1,ROUND('Ügyfelek'!G181,0)))))</f>
        <v/>
      </c>
      <c r="H181">
        <f>IF($A181="","",IF('Ügyfelek'!H181="",'Beállítások'!$B$84,MIN(10,MAX(1,ROUND('Ügyfelek'!H181,0)))))</f>
        <v/>
      </c>
      <c r="I181">
        <f>IF($A181="","",IF('Ügyfelek'!I181="",'Beállítások'!$B$84,MIN(10,MAX(1,ROUND('Ügyfelek'!I181,0)))))</f>
        <v/>
      </c>
      <c r="J181">
        <f>IF($A181="","",IF('Ügyfelek'!J181="",'Beállítások'!$B$84,MIN(10,MAX(1,ROUND('Ügyfelek'!J181,0)))))</f>
        <v/>
      </c>
      <c r="K181">
        <f>IF($A181="","",IF('Ügyfelek'!K181="",'Beállítások'!$B$84,MIN(10,MAX(1,ROUND('Ügyfelek'!K181,0)))))</f>
        <v/>
      </c>
      <c r="L181">
        <f>IF($A181="","",IF('Ügyfelek'!L181="",'Beállítások'!$B$84,MIN(10,MAX(1,ROUND('Ügyfelek'!L181,0)))))</f>
        <v/>
      </c>
      <c r="M181">
        <f>IF($A181="","",IF('Ügyfelek'!M181="",'Beállítások'!$B$84,MIN(10,MAX(1,ROUND('Ügyfelek'!M181,0)))))</f>
        <v/>
      </c>
      <c r="N181">
        <f>IF($A181="","",IF('Ügyfelek'!N181="",'Beállítások'!$B$84,MIN(10,MAX(1,ROUND('Ügyfelek'!N181,0)))))</f>
        <v/>
      </c>
      <c r="O181">
        <f>IF($A181="","",IF('Ügyfelek'!O181="",'Beállítások'!$B$84,MIN(10,MAX(1,ROUND('Ügyfelek'!O181,0)))))</f>
        <v/>
      </c>
      <c r="P181">
        <f>IF($A181="","",IF('Ügyfelek'!P181="",'Beállítások'!$B$84,MIN(10,MAX(1,ROUND('Ügyfelek'!P181,0)))))</f>
        <v/>
      </c>
      <c r="Q181">
        <f>IF($A181="","",IF('Ügyfelek'!Q181="",'Beállítások'!$B$84,MIN(10,MAX(1,ROUND('Ügyfelek'!Q181,0)))))</f>
        <v/>
      </c>
      <c r="R181">
        <f>IF($A181="","",IF('Ügyfelek'!R181="",'Beállítások'!$B$84,MIN(10,MAX(1,ROUND('Ügyfelek'!R181,0)))))</f>
        <v/>
      </c>
      <c r="S181">
        <f>IF($A181="","",IF('Ügyfelek'!S181="",'Beállítások'!$B$84,MIN(10,MAX(1,ROUND('Ügyfelek'!S181,0)))))</f>
        <v/>
      </c>
      <c r="T181">
        <f>IF($A181="","",IF('Ügyfelek'!T181="",'Beállítások'!$B$84,VLOOKUP(MAX('Ügyfelek'!T181,'Beállítások'!$H$7),'Beállítások'!$H$7:$I$12,2,TRUE)))</f>
        <v/>
      </c>
      <c r="U181">
        <f>IF($A181="","",IF('Ügyfelek'!U181="",'Beállítások'!$B$84,VLOOKUP(MAX('Ügyfelek'!U181,'Beállítások'!$K$7),'Beállítások'!$K$7:$L$12,2,TRUE)))</f>
        <v/>
      </c>
      <c r="V181">
        <f>IF($A181="","",IF('Ügyfelek'!V181="",'Beállítások'!$B$84,MIN(10,MAX(1,ROUND('Ügyfelek'!V181,0)))))</f>
        <v/>
      </c>
      <c r="W181">
        <f>IF($A181="","",IF('Ügyfelek'!W181="",'Beállítások'!$B$84,VLOOKUP(MAX('Ügyfelek'!W181,'Beállítások'!$N$7),'Beállítások'!$N$7:$O$12,2,TRUE)))</f>
        <v/>
      </c>
      <c r="X181">
        <f>IF($A181="","",IF('Ügyfelek'!X181="",'Beállítások'!$B$84,MIN(10,MAX(1,ROUND('Ügyfelek'!X181,0)))))</f>
        <v/>
      </c>
      <c r="Y181">
        <f>IF($A181="","",IF('Ügyfelek'!Y181="",'Beállítások'!$B$84,IFERROR(VLOOKUP(TRIM('Ügyfelek'!Y181),'Beállítások'!$A$63:$B$69,2,FALSE),'Beállítások'!$B$84)))</f>
        <v/>
      </c>
      <c r="Z181">
        <f>IF($A181="","",IF('Ügyfelek'!Z181="",'Beállítások'!$B$84,VLOOKUP(MAX('Ügyfelek'!Z181,'Beállítások'!$Q$7),'Beállítások'!$Q$7:$R$12,2,TRUE)))</f>
        <v/>
      </c>
      <c r="AA181">
        <f>IF($A181="","",IF('Ügyfelek'!AA181="",'Beállítások'!$B$84,VLOOKUP(MAX('Ügyfelek'!AA181,'Beállítások'!$T$7),'Beállítások'!$T$7:$U$12,2,TRUE)))</f>
        <v/>
      </c>
      <c r="AB181">
        <f>IF($A181="","",IF('Ügyfelek'!AB181="",'Beállítások'!$B$84,MIN(10,MAX(1,ROUND('Ügyfelek'!AB181,0)))))</f>
        <v/>
      </c>
      <c r="AC181">
        <f>IF($A181="","",IF('Ügyfelek'!AC181="",'Beállítások'!$B$84,MIN(10,MAX(1,ROUND('Ügyfelek'!AC181,0)))))</f>
        <v/>
      </c>
      <c r="AD181">
        <f>IF($A181="","",IF('Ügyfelek'!AD181="",'Beállítások'!$B$84,MIN(10,MAX(1,ROUND('Ügyfelek'!AD181,0)))))</f>
        <v/>
      </c>
      <c r="AE181">
        <f>IF($A181="","",IF('Ügyfelek'!AE181="",'Beállítások'!$B$84,MIN(10,MAX(1,ROUND('Ügyfelek'!AE181,0)))))</f>
        <v/>
      </c>
      <c r="AF181">
        <f>IF($A181="","",IF('Ügyfelek'!AF181="",'Beállítások'!$B$84,MIN(10,MAX(1,ROUND('Ügyfelek'!AF181,0)))))</f>
        <v/>
      </c>
      <c r="AG181">
        <f>IF($A181="","",IF('Ügyfelek'!AG181="",'Beállítások'!$B$84,MIN(10,MAX(1,ROUND('Ügyfelek'!AG181,0)))))</f>
        <v/>
      </c>
      <c r="AH181">
        <f>IF($A181="","",IF('Ügyfelek'!AH181="",'Beállítások'!$B$84,IFERROR(VLOOKUP(TRIM('Ügyfelek'!AH181),'Beállítások'!$A$73:$B$79,2,FALSE),'Beállítások'!$B$84)))</f>
        <v/>
      </c>
      <c r="AI181" s="23">
        <f>IF($A181="","",ROUND(100*('Beállítások'!$E$6*(B181-1)+'Beállítások'!$E$7*(C181-1))/(9*'Beállítások'!$B$43),1))</f>
        <v/>
      </c>
      <c r="AJ181" s="23">
        <f>IF($A181="","",ROUND(100*('Beállítások'!$E$8*(D181-1)+'Beállítások'!$E$9*(E181-1)+'Beállítások'!$E$10*(F181-1)+'Beállítások'!$E$11*(G181-1)+'Beállítások'!$E$12*(H181-1)+'Beállítások'!$E$13*(I181-1)+'Beállítások'!$E$14*(J181-1)+'Beállítások'!$E$15*(K181-1)+'Beállítások'!$E$16*(L181-1)+'Beállítások'!$E$17*(M181-1)+'Beállítások'!$E$18*(N181-1)+'Beállítások'!$E$19*(O181-1)+'Beállítások'!$E$20*(P181-1)+'Beállítások'!$E$21*(Q181-1)+'Beállítások'!$E$22*(R181-1))/(9*'Beállítások'!$B$44),1))</f>
        <v/>
      </c>
      <c r="AK181" s="23">
        <f>IF($A181="","",ROUND(100*('Beállítások'!$E$23*(S181-1)+'Beállítások'!$E$24*(T181-1)+'Beállítások'!$E$25*(U181-1)+'Beállítások'!$E$26*(V181-1)+'Beállítások'!$E$27*(W181-1)+'Beállítások'!$E$28*(X181-1)+'Beállítások'!$E$29*(Y181-1))/(9*'Beállítások'!$B$45),1))</f>
        <v/>
      </c>
      <c r="AL181" s="23">
        <f>IF($A181="","",ROUND(100*('Beállítások'!$E$30*(Z181-1)+'Beállítások'!$E$31*(AA181-1)+'Beállítások'!$E$32*(AB181-1)+'Beállítások'!$E$33*(AC181-1)+'Beállítások'!$E$34*(AD181-1)+'Beállítások'!$E$35*(AE181-1)+'Beállítások'!$E$36*(AF181-1)+'Beállítások'!$E$37*(AG181-1)+'Beállítások'!$E$38*(AH181-1))/(9*'Beállítások'!$B$46),1))</f>
        <v/>
      </c>
      <c r="AM181" s="23">
        <f>IF($A181="","",ROUND(100*('Beállítások'!$E$6*(B181-1)+'Beállítások'!$E$7*(C181-1)+'Beállítások'!$E$8*(D181-1)+'Beállítások'!$E$9*(E181-1)+'Beállítások'!$E$10*(F181-1)+'Beállítások'!$E$11*(G181-1)+'Beállítások'!$E$12*(H181-1)+'Beállítások'!$E$13*(I181-1)+'Beállítások'!$E$14*(J181-1)+'Beállítások'!$E$15*(K181-1)+'Beállítások'!$E$16*(L181-1)+'Beállítások'!$E$17*(M181-1)+'Beállítások'!$E$18*(N181-1)+'Beállítások'!$E$19*(O181-1)+'Beállítások'!$E$20*(P181-1)+'Beállítások'!$E$21*(Q181-1)+'Beállítások'!$E$22*(R181-1)+'Beállítások'!$E$23*(S181-1)+'Beállítások'!$E$24*(T181-1)+'Beállítások'!$E$25*(U181-1)+'Beállítások'!$E$26*(V181-1)+'Beállítások'!$E$27*(W181-1)+'Beállítások'!$E$28*(X181-1)+'Beállítások'!$E$29*(Y181-1)+'Beállítások'!$E$30*(Z181-1)+'Beállítások'!$E$31*(AA181-1)+'Beállítások'!$E$32*(AB181-1)+'Beállítások'!$E$33*(AC181-1)+'Beállítások'!$E$34*(AD181-1)+'Beállítások'!$E$35*(AE181-1)+'Beállítások'!$E$36*(AF181-1)+'Beállítások'!$E$37*(AG181-1)+'Beállítások'!$E$38*(AH181-1))/(9*'Beállítások'!$E$39),1))</f>
        <v/>
      </c>
      <c r="AN181" s="23">
        <f>IF($A181="","",ROUND(100*('Beállítások'!$E$8*(D181-1)+'Beállítások'!$E$9*(E181-1)+'Beállítások'!$E$10*(F181-1)+'Beállítások'!$E$11*(G181-1)+'Beállítások'!$E$12*(H181-1)+'Beállítások'!$E$13*(I181-1)+'Beállítások'!$E$14*(J181-1)+'Beállítások'!$E$15*(K181-1)+'Beállítások'!$E$16*(L181-1)+'Beállítások'!$E$17*(M181-1)+'Beállítások'!$E$18*(N181-1)+'Beállítások'!$E$19*(O181-1)+'Beállítások'!$E$20*(P181-1)+'Beállítások'!$E$21*(Q181-1)+'Beállítások'!$E$22*(R181-1)+'Beállítások'!$E$23*(S181-1)+'Beállítások'!$E$24*(T181-1)+'Beállítások'!$E$25*(U181-1)+'Beállítások'!$E$26*(V181-1)+'Beállítások'!$E$27*(W181-1)+'Beállítások'!$E$28*(X181-1)+'Beállítások'!$E$29*(Y181-1))/(9*('Beállítások'!$B$44+'Beállítások'!$B$45)),1))</f>
        <v/>
      </c>
      <c r="AO181" s="24">
        <f>IF($A181="","",RANK(AM181,$AM$2:$AM$201))</f>
        <v/>
      </c>
      <c r="AP181">
        <f>IF($A181="","",IF(OR(AND('Ügyfelek'!B181&lt;&gt;"",B181&lt;='Beállítások'!$B$85),AND('Ügyfelek'!C181&lt;&gt;"",C181&lt;='Beállítások'!$B$86)),"Igen","Nem"))</f>
        <v/>
      </c>
      <c r="AQ181" s="24">
        <f>IF($A181="","",IF(AP181="Igen",5,IF(AN181&gt;='Beállítások'!$C$108,1,IF(AN181&gt;='Beállítások'!$C$109,2,IF(AN181&gt;='Beállítások'!$C$110,3,IF(AND(AN181&gt;='Beállítások'!$B$87,AI181&gt;='Beállítások'!$B$88,AL181&gt;='Beállítások'!$B$89),4,5))))))</f>
        <v/>
      </c>
      <c r="AR181">
        <f>IF($A181="","",INDEX('Beállítások'!$B$108:$B$112,AQ181))</f>
        <v/>
      </c>
      <c r="AS181">
        <f>IF($A181="","",IF(AQ181=5,"Elutasítjuk",IF(AND(AQ181=4,COUNTIFS('Eredmény'!$AQ$2:$AQ$201,4,'Eredmény'!$DY$2:$DY$201,"&gt;"&amp;DY181)&gt;='Beállítások'!$B$90),"Várólista (a 4-es hely foglalt)","Elfogadjuk")))</f>
        <v/>
      </c>
      <c r="AT181">
        <f>IF($A181="","",INDEX('Beállítások'!$F$108:$F$112,AQ181))</f>
        <v/>
      </c>
      <c r="AU181">
        <f>IF($A181="","",INDEX('Beállítások'!$B$6:$B$38,MATCH(MAX(BK181:CQ181),BK181:CQ181,0)))</f>
        <v/>
      </c>
      <c r="AV181">
        <f>IF($A181="","",IF(MAX(CR181:DX181)=0,"—",INDEX('Beállítások'!$B$6:$B$38,MATCH(MAX(CR181:DX181),CR181:DX181,0))))</f>
        <v/>
      </c>
      <c r="AW181" s="10">
        <f>IF($A181="","",'Beállítások'!$B$94*(TRIM('Ügyfelek'!AI181)="igen")+'Beállítások'!$B$95*(TRIM('Ügyfelek'!AJ181)="igen")+'Beállítások'!$B$96*N('Ügyfelek'!AK181)+'Beállítások'!$B$93*N('Ügyfelek'!AL181))</f>
        <v/>
      </c>
      <c r="AX181" s="25">
        <f>IF(OR($A181="",AQ181=5),"",INDEX('Beállítások'!$D$108:$D$112,AQ181))</f>
        <v/>
      </c>
      <c r="AY181" s="10">
        <f>IF($A181="","",N('Ügyfelek'!U181)*'Beállítások'!$B$98)</f>
        <v/>
      </c>
      <c r="AZ181" s="10">
        <f>IF(OR($A181="",AQ181=5),"",CEILING(ROUND(MAX('Beállítások'!$B$97,AW181*AX181,AY181),2),'Beállítások'!$B$99))</f>
        <v/>
      </c>
      <c r="BA181">
        <f>IF($A181="","",IF(AQ181=5,"Elutasítva",IF(MAX('Beállítások'!$B$97,AW181*AX181,AY181)=AW181*AX181,"Munkaigény × státuszszorzó",IF(MAX('Beállítások'!$B$97,AW181*AX181,AY181)=AY181,"Hirdetési keret arányában","Minimumdíj"))))</f>
        <v/>
      </c>
      <c r="BB181" s="10">
        <f>IF(OR($A181="",'Ügyfelek'!AM181=""),"",'Ügyfelek'!AM181)</f>
        <v/>
      </c>
      <c r="BC181" s="10">
        <f>IF(OR(BB181="",AZ181=""),"",AZ181-BB181)</f>
        <v/>
      </c>
      <c r="BD181" s="18">
        <f>IF(OR(BB181="",AZ181="",BB181=0),"",BC181/BB181)</f>
        <v/>
      </c>
      <c r="BE181">
        <f>IF(OR($A181="",AQ181=5),"",IF(AND(INDEX('Beállítások'!$E$108:$E$112,AQ181)&gt;0,Y181&gt;='Beállítások'!$B$91),"Igen","Nem"))</f>
        <v/>
      </c>
      <c r="BF181" s="10">
        <f>IF(BE181="Igen",CEILING(ROUND(AZ181*(1-'Beállítások'!$B$92),2),'Beállítások'!$B$99),"")</f>
        <v/>
      </c>
      <c r="BG181" s="20">
        <f>IF(BE181="Igen",INDEX('Beállítások'!$E$108:$E$112,AQ181),"")</f>
        <v/>
      </c>
      <c r="BH181" s="10">
        <f>IF(OR(BE181&lt;&gt;"Igen",'Ügyfelek'!AN181=""),"",'Ügyfelek'!AN181*BG181)</f>
        <v/>
      </c>
      <c r="BI181" s="24">
        <f>IF($A181="","",('Ügyfelek'!B181="")+('Ügyfelek'!C181="")+('Ügyfelek'!D181="")+('Ügyfelek'!E181="")+('Ügyfelek'!F181="")+('Ügyfelek'!G181="")+('Ügyfelek'!H181="")+('Ügyfelek'!I181="")+('Ügyfelek'!J181="")+('Ügyfelek'!K181="")+('Ügyfelek'!L181="")+('Ügyfelek'!M181="")+('Ügyfelek'!N181="")+('Ügyfelek'!O181="")+('Ügyfelek'!P181="")+('Ügyfelek'!Q181="")+('Ügyfelek'!R181="")+('Ügyfelek'!S181="")+('Ügyfelek'!T181="")+('Ügyfelek'!U181="")+('Ügyfelek'!V181="")+('Ügyfelek'!W181="")+('Ügyfelek'!X181="")+('Ügyfelek'!Y181="")+('Ügyfelek'!Z181="")+('Ügyfelek'!AA181="")+('Ügyfelek'!AB181="")+('Ügyfelek'!AC181="")+('Ügyfelek'!AD181="")+('Ügyfelek'!AE181="")+('Ügyfelek'!AF181="")+('Ügyfelek'!AG181="")+('Ügyfelek'!AH181=""))</f>
        <v/>
      </c>
      <c r="BK181">
        <f>IF($A181="","",B181+'Beállítások'!$E$6/1000)</f>
        <v/>
      </c>
      <c r="BL181">
        <f>IF($A181="","",C181+'Beállítások'!$E$7/1000)</f>
        <v/>
      </c>
      <c r="BM181">
        <f>IF($A181="","",D181+'Beállítások'!$E$8/1000)</f>
        <v/>
      </c>
      <c r="BN181">
        <f>IF($A181="","",E181+'Beállítások'!$E$9/1000)</f>
        <v/>
      </c>
      <c r="BO181">
        <f>IF($A181="","",F181+'Beállítások'!$E$10/1000)</f>
        <v/>
      </c>
      <c r="BP181">
        <f>IF($A181="","",G181+'Beállítások'!$E$11/1000)</f>
        <v/>
      </c>
      <c r="BQ181">
        <f>IF($A181="","",H181+'Beállítások'!$E$12/1000)</f>
        <v/>
      </c>
      <c r="BR181">
        <f>IF($A181="","",I181+'Beállítások'!$E$13/1000)</f>
        <v/>
      </c>
      <c r="BS181">
        <f>IF($A181="","",J181+'Beállítások'!$E$14/1000)</f>
        <v/>
      </c>
      <c r="BT181">
        <f>IF($A181="","",K181+'Beállítások'!$E$15/1000)</f>
        <v/>
      </c>
      <c r="BU181">
        <f>IF($A181="","",L181+'Beállítások'!$E$16/1000)</f>
        <v/>
      </c>
      <c r="BV181">
        <f>IF($A181="","",M181+'Beállítások'!$E$17/1000)</f>
        <v/>
      </c>
      <c r="BW181">
        <f>IF($A181="","",N181+'Beállítások'!$E$18/1000)</f>
        <v/>
      </c>
      <c r="BX181">
        <f>IF($A181="","",O181+'Beállítások'!$E$19/1000)</f>
        <v/>
      </c>
      <c r="BY181">
        <f>IF($A181="","",P181+'Beállítások'!$E$20/1000)</f>
        <v/>
      </c>
      <c r="BZ181">
        <f>IF($A181="","",Q181+'Beállítások'!$E$21/1000)</f>
        <v/>
      </c>
      <c r="CA181">
        <f>IF($A181="","",R181+'Beállítások'!$E$22/1000)</f>
        <v/>
      </c>
      <c r="CB181">
        <f>IF($A181="","",S181+'Beállítások'!$E$23/1000)</f>
        <v/>
      </c>
      <c r="CC181">
        <f>IF($A181="","",T181+'Beállítások'!$E$24/1000)</f>
        <v/>
      </c>
      <c r="CD181">
        <f>IF($A181="","",U181+'Beállítások'!$E$25/1000)</f>
        <v/>
      </c>
      <c r="CE181">
        <f>IF($A181="","",V181+'Beállítások'!$E$26/1000)</f>
        <v/>
      </c>
      <c r="CF181">
        <f>IF($A181="","",W181+'Beállítások'!$E$27/1000)</f>
        <v/>
      </c>
      <c r="CG181">
        <f>IF($A181="","",X181+'Beállítások'!$E$28/1000)</f>
        <v/>
      </c>
      <c r="CH181">
        <f>IF($A181="","",Y181+'Beállítások'!$E$29/1000)</f>
        <v/>
      </c>
      <c r="CI181">
        <f>IF($A181="","",Z181+'Beállítások'!$E$30/1000)</f>
        <v/>
      </c>
      <c r="CJ181">
        <f>IF($A181="","",AA181+'Beállítások'!$E$31/1000)</f>
        <v/>
      </c>
      <c r="CK181">
        <f>IF($A181="","",AB181+'Beállítások'!$E$32/1000)</f>
        <v/>
      </c>
      <c r="CL181">
        <f>IF($A181="","",AC181+'Beállítások'!$E$33/1000)</f>
        <v/>
      </c>
      <c r="CM181">
        <f>IF($A181="","",AD181+'Beállítások'!$E$34/1000)</f>
        <v/>
      </c>
      <c r="CN181">
        <f>IF($A181="","",AE181+'Beállítások'!$E$35/1000)</f>
        <v/>
      </c>
      <c r="CO181">
        <f>IF($A181="","",AF181+'Beállítások'!$E$36/1000)</f>
        <v/>
      </c>
      <c r="CP181">
        <f>IF($A181="","",AG181+'Beállítások'!$E$37/1000)</f>
        <v/>
      </c>
      <c r="CQ181">
        <f>IF($A181="","",AH181+'Beállítások'!$E$38/1000)</f>
        <v/>
      </c>
      <c r="CR181">
        <f>IF($A181="","",'Beállítások'!$E$6*(10-B181))</f>
        <v/>
      </c>
      <c r="CS181">
        <f>IF($A181="","",'Beállítások'!$E$7*(10-C181))</f>
        <v/>
      </c>
      <c r="CT181">
        <f>IF($A181="","",'Beállítások'!$E$8*(10-D181))</f>
        <v/>
      </c>
      <c r="CU181">
        <f>IF($A181="","",'Beállítások'!$E$9*(10-E181))</f>
        <v/>
      </c>
      <c r="CV181">
        <f>IF($A181="","",'Beállítások'!$E$10*(10-F181))</f>
        <v/>
      </c>
      <c r="CW181">
        <f>IF($A181="","",'Beállítások'!$E$11*(10-G181))</f>
        <v/>
      </c>
      <c r="CX181">
        <f>IF($A181="","",'Beállítások'!$E$12*(10-H181))</f>
        <v/>
      </c>
      <c r="CY181">
        <f>IF($A181="","",'Beállítások'!$E$13*(10-I181))</f>
        <v/>
      </c>
      <c r="CZ181">
        <f>IF($A181="","",'Beállítások'!$E$14*(10-J181))</f>
        <v/>
      </c>
      <c r="DA181">
        <f>IF($A181="","",'Beállítások'!$E$15*(10-K181))</f>
        <v/>
      </c>
      <c r="DB181">
        <f>IF($A181="","",'Beállítások'!$E$16*(10-L181))</f>
        <v/>
      </c>
      <c r="DC181">
        <f>IF($A181="","",'Beállítások'!$E$17*(10-M181))</f>
        <v/>
      </c>
      <c r="DD181">
        <f>IF($A181="","",'Beállítások'!$E$18*(10-N181))</f>
        <v/>
      </c>
      <c r="DE181">
        <f>IF($A181="","",'Beállítások'!$E$19*(10-O181))</f>
        <v/>
      </c>
      <c r="DF181">
        <f>IF($A181="","",'Beállítások'!$E$20*(10-P181))</f>
        <v/>
      </c>
      <c r="DG181">
        <f>IF($A181="","",'Beállítások'!$E$21*(10-Q181))</f>
        <v/>
      </c>
      <c r="DH181">
        <f>IF($A181="","",'Beállítások'!$E$22*(10-R181))</f>
        <v/>
      </c>
      <c r="DI181">
        <f>IF($A181="","",'Beállítások'!$E$23*(10-S181))</f>
        <v/>
      </c>
      <c r="DJ181">
        <f>IF($A181="","",'Beállítások'!$E$24*(10-T181))</f>
        <v/>
      </c>
      <c r="DK181">
        <f>IF($A181="","",'Beállítások'!$E$25*(10-U181))</f>
        <v/>
      </c>
      <c r="DL181">
        <f>IF($A181="","",'Beállítások'!$E$26*(10-V181))</f>
        <v/>
      </c>
      <c r="DM181">
        <f>IF($A181="","",'Beállítások'!$E$27*(10-W181))</f>
        <v/>
      </c>
      <c r="DN181">
        <f>IF($A181="","",'Beállítások'!$E$28*(10-X181))</f>
        <v/>
      </c>
      <c r="DO181">
        <f>IF($A181="","",'Beállítások'!$E$29*(10-Y181))</f>
        <v/>
      </c>
      <c r="DP181">
        <f>IF($A181="","",'Beállítások'!$E$30*(10-Z181))</f>
        <v/>
      </c>
      <c r="DQ181">
        <f>IF($A181="","",'Beállítások'!$E$31*(10-AA181))</f>
        <v/>
      </c>
      <c r="DR181">
        <f>IF($A181="","",'Beállítások'!$E$32*(10-AB181))</f>
        <v/>
      </c>
      <c r="DS181">
        <f>IF($A181="","",'Beállítások'!$E$33*(10-AC181))</f>
        <v/>
      </c>
      <c r="DT181">
        <f>IF($A181="","",'Beállítások'!$E$34*(10-AD181))</f>
        <v/>
      </c>
      <c r="DU181">
        <f>IF($A181="","",'Beállítások'!$E$35*(10-AE181))</f>
        <v/>
      </c>
      <c r="DV181">
        <f>IF($A181="","",'Beállítások'!$E$36*(10-AF181))</f>
        <v/>
      </c>
      <c r="DW181">
        <f>IF($A181="","",'Beállítások'!$E$37*(10-AG181))</f>
        <v/>
      </c>
      <c r="DX181">
        <f>IF($A181="","",'Beállítások'!$E$38*(10-AH181))</f>
        <v/>
      </c>
      <c r="DY181">
        <f>IF($A181="","",AM181-ROW()/100000)</f>
        <v/>
      </c>
    </row>
    <row r="182">
      <c r="A182">
        <f>IF('Ügyfelek'!A182="","",'Ügyfelek'!A182)</f>
        <v/>
      </c>
      <c r="B182">
        <f>IF($A182="","",IF('Ügyfelek'!B182="",'Beállítások'!$B$84,IFERROR(VLOOKUP(TRIM('Ügyfelek'!B182),'Beállítások'!$A$51:$B$59,2,FALSE),'Beállítások'!$B$84)))</f>
        <v/>
      </c>
      <c r="C182">
        <f>IF($A182="","",IF('Ügyfelek'!C182="",'Beállítások'!$B$84,MIN(10,MAX(1,ROUND('Ügyfelek'!C182,0)))))</f>
        <v/>
      </c>
      <c r="D182">
        <f>IF($A182="","",IF('Ügyfelek'!D182="",'Beállítások'!$B$84,MIN(10,MAX(1,ROUND('Ügyfelek'!D182,0)))))</f>
        <v/>
      </c>
      <c r="E182">
        <f>IF($A182="","",IF('Ügyfelek'!E182="",'Beállítások'!$B$84,MIN(10,MAX(1,ROUND('Ügyfelek'!E182,0)))))</f>
        <v/>
      </c>
      <c r="F182">
        <f>IF($A182="","",IF('Ügyfelek'!F182="",'Beállítások'!$B$84,MIN(10,MAX(1,ROUND('Ügyfelek'!F182,0)))))</f>
        <v/>
      </c>
      <c r="G182">
        <f>IF($A182="","",IF('Ügyfelek'!G182="",'Beállítások'!$B$84,MIN(10,MAX(1,ROUND('Ügyfelek'!G182,0)))))</f>
        <v/>
      </c>
      <c r="H182">
        <f>IF($A182="","",IF('Ügyfelek'!H182="",'Beállítások'!$B$84,MIN(10,MAX(1,ROUND('Ügyfelek'!H182,0)))))</f>
        <v/>
      </c>
      <c r="I182">
        <f>IF($A182="","",IF('Ügyfelek'!I182="",'Beállítások'!$B$84,MIN(10,MAX(1,ROUND('Ügyfelek'!I182,0)))))</f>
        <v/>
      </c>
      <c r="J182">
        <f>IF($A182="","",IF('Ügyfelek'!J182="",'Beállítások'!$B$84,MIN(10,MAX(1,ROUND('Ügyfelek'!J182,0)))))</f>
        <v/>
      </c>
      <c r="K182">
        <f>IF($A182="","",IF('Ügyfelek'!K182="",'Beállítások'!$B$84,MIN(10,MAX(1,ROUND('Ügyfelek'!K182,0)))))</f>
        <v/>
      </c>
      <c r="L182">
        <f>IF($A182="","",IF('Ügyfelek'!L182="",'Beállítások'!$B$84,MIN(10,MAX(1,ROUND('Ügyfelek'!L182,0)))))</f>
        <v/>
      </c>
      <c r="M182">
        <f>IF($A182="","",IF('Ügyfelek'!M182="",'Beállítások'!$B$84,MIN(10,MAX(1,ROUND('Ügyfelek'!M182,0)))))</f>
        <v/>
      </c>
      <c r="N182">
        <f>IF($A182="","",IF('Ügyfelek'!N182="",'Beállítások'!$B$84,MIN(10,MAX(1,ROUND('Ügyfelek'!N182,0)))))</f>
        <v/>
      </c>
      <c r="O182">
        <f>IF($A182="","",IF('Ügyfelek'!O182="",'Beállítások'!$B$84,MIN(10,MAX(1,ROUND('Ügyfelek'!O182,0)))))</f>
        <v/>
      </c>
      <c r="P182">
        <f>IF($A182="","",IF('Ügyfelek'!P182="",'Beállítások'!$B$84,MIN(10,MAX(1,ROUND('Ügyfelek'!P182,0)))))</f>
        <v/>
      </c>
      <c r="Q182">
        <f>IF($A182="","",IF('Ügyfelek'!Q182="",'Beállítások'!$B$84,MIN(10,MAX(1,ROUND('Ügyfelek'!Q182,0)))))</f>
        <v/>
      </c>
      <c r="R182">
        <f>IF($A182="","",IF('Ügyfelek'!R182="",'Beállítások'!$B$84,MIN(10,MAX(1,ROUND('Ügyfelek'!R182,0)))))</f>
        <v/>
      </c>
      <c r="S182">
        <f>IF($A182="","",IF('Ügyfelek'!S182="",'Beállítások'!$B$84,MIN(10,MAX(1,ROUND('Ügyfelek'!S182,0)))))</f>
        <v/>
      </c>
      <c r="T182">
        <f>IF($A182="","",IF('Ügyfelek'!T182="",'Beállítások'!$B$84,VLOOKUP(MAX('Ügyfelek'!T182,'Beállítások'!$H$7),'Beállítások'!$H$7:$I$12,2,TRUE)))</f>
        <v/>
      </c>
      <c r="U182">
        <f>IF($A182="","",IF('Ügyfelek'!U182="",'Beállítások'!$B$84,VLOOKUP(MAX('Ügyfelek'!U182,'Beállítások'!$K$7),'Beállítások'!$K$7:$L$12,2,TRUE)))</f>
        <v/>
      </c>
      <c r="V182">
        <f>IF($A182="","",IF('Ügyfelek'!V182="",'Beállítások'!$B$84,MIN(10,MAX(1,ROUND('Ügyfelek'!V182,0)))))</f>
        <v/>
      </c>
      <c r="W182">
        <f>IF($A182="","",IF('Ügyfelek'!W182="",'Beállítások'!$B$84,VLOOKUP(MAX('Ügyfelek'!W182,'Beállítások'!$N$7),'Beállítások'!$N$7:$O$12,2,TRUE)))</f>
        <v/>
      </c>
      <c r="X182">
        <f>IF($A182="","",IF('Ügyfelek'!X182="",'Beállítások'!$B$84,MIN(10,MAX(1,ROUND('Ügyfelek'!X182,0)))))</f>
        <v/>
      </c>
      <c r="Y182">
        <f>IF($A182="","",IF('Ügyfelek'!Y182="",'Beállítások'!$B$84,IFERROR(VLOOKUP(TRIM('Ügyfelek'!Y182),'Beállítások'!$A$63:$B$69,2,FALSE),'Beállítások'!$B$84)))</f>
        <v/>
      </c>
      <c r="Z182">
        <f>IF($A182="","",IF('Ügyfelek'!Z182="",'Beállítások'!$B$84,VLOOKUP(MAX('Ügyfelek'!Z182,'Beállítások'!$Q$7),'Beállítások'!$Q$7:$R$12,2,TRUE)))</f>
        <v/>
      </c>
      <c r="AA182">
        <f>IF($A182="","",IF('Ügyfelek'!AA182="",'Beállítások'!$B$84,VLOOKUP(MAX('Ügyfelek'!AA182,'Beállítások'!$T$7),'Beállítások'!$T$7:$U$12,2,TRUE)))</f>
        <v/>
      </c>
      <c r="AB182">
        <f>IF($A182="","",IF('Ügyfelek'!AB182="",'Beállítások'!$B$84,MIN(10,MAX(1,ROUND('Ügyfelek'!AB182,0)))))</f>
        <v/>
      </c>
      <c r="AC182">
        <f>IF($A182="","",IF('Ügyfelek'!AC182="",'Beállítások'!$B$84,MIN(10,MAX(1,ROUND('Ügyfelek'!AC182,0)))))</f>
        <v/>
      </c>
      <c r="AD182">
        <f>IF($A182="","",IF('Ügyfelek'!AD182="",'Beállítások'!$B$84,MIN(10,MAX(1,ROUND('Ügyfelek'!AD182,0)))))</f>
        <v/>
      </c>
      <c r="AE182">
        <f>IF($A182="","",IF('Ügyfelek'!AE182="",'Beállítások'!$B$84,MIN(10,MAX(1,ROUND('Ügyfelek'!AE182,0)))))</f>
        <v/>
      </c>
      <c r="AF182">
        <f>IF($A182="","",IF('Ügyfelek'!AF182="",'Beállítások'!$B$84,MIN(10,MAX(1,ROUND('Ügyfelek'!AF182,0)))))</f>
        <v/>
      </c>
      <c r="AG182">
        <f>IF($A182="","",IF('Ügyfelek'!AG182="",'Beállítások'!$B$84,MIN(10,MAX(1,ROUND('Ügyfelek'!AG182,0)))))</f>
        <v/>
      </c>
      <c r="AH182">
        <f>IF($A182="","",IF('Ügyfelek'!AH182="",'Beállítások'!$B$84,IFERROR(VLOOKUP(TRIM('Ügyfelek'!AH182),'Beállítások'!$A$73:$B$79,2,FALSE),'Beállítások'!$B$84)))</f>
        <v/>
      </c>
      <c r="AI182" s="23">
        <f>IF($A182="","",ROUND(100*('Beállítások'!$E$6*(B182-1)+'Beállítások'!$E$7*(C182-1))/(9*'Beállítások'!$B$43),1))</f>
        <v/>
      </c>
      <c r="AJ182" s="23">
        <f>IF($A182="","",ROUND(100*('Beállítások'!$E$8*(D182-1)+'Beállítások'!$E$9*(E182-1)+'Beállítások'!$E$10*(F182-1)+'Beállítások'!$E$11*(G182-1)+'Beállítások'!$E$12*(H182-1)+'Beállítások'!$E$13*(I182-1)+'Beállítások'!$E$14*(J182-1)+'Beállítások'!$E$15*(K182-1)+'Beállítások'!$E$16*(L182-1)+'Beállítások'!$E$17*(M182-1)+'Beállítások'!$E$18*(N182-1)+'Beállítások'!$E$19*(O182-1)+'Beállítások'!$E$20*(P182-1)+'Beállítások'!$E$21*(Q182-1)+'Beállítások'!$E$22*(R182-1))/(9*'Beállítások'!$B$44),1))</f>
        <v/>
      </c>
      <c r="AK182" s="23">
        <f>IF($A182="","",ROUND(100*('Beállítások'!$E$23*(S182-1)+'Beállítások'!$E$24*(T182-1)+'Beállítások'!$E$25*(U182-1)+'Beállítások'!$E$26*(V182-1)+'Beállítások'!$E$27*(W182-1)+'Beállítások'!$E$28*(X182-1)+'Beállítások'!$E$29*(Y182-1))/(9*'Beállítások'!$B$45),1))</f>
        <v/>
      </c>
      <c r="AL182" s="23">
        <f>IF($A182="","",ROUND(100*('Beállítások'!$E$30*(Z182-1)+'Beállítások'!$E$31*(AA182-1)+'Beállítások'!$E$32*(AB182-1)+'Beállítások'!$E$33*(AC182-1)+'Beállítások'!$E$34*(AD182-1)+'Beállítások'!$E$35*(AE182-1)+'Beállítások'!$E$36*(AF182-1)+'Beállítások'!$E$37*(AG182-1)+'Beállítások'!$E$38*(AH182-1))/(9*'Beállítások'!$B$46),1))</f>
        <v/>
      </c>
      <c r="AM182" s="23">
        <f>IF($A182="","",ROUND(100*('Beállítások'!$E$6*(B182-1)+'Beállítások'!$E$7*(C182-1)+'Beállítások'!$E$8*(D182-1)+'Beállítások'!$E$9*(E182-1)+'Beállítások'!$E$10*(F182-1)+'Beállítások'!$E$11*(G182-1)+'Beállítások'!$E$12*(H182-1)+'Beállítások'!$E$13*(I182-1)+'Beállítások'!$E$14*(J182-1)+'Beállítások'!$E$15*(K182-1)+'Beállítások'!$E$16*(L182-1)+'Beállítások'!$E$17*(M182-1)+'Beállítások'!$E$18*(N182-1)+'Beállítások'!$E$19*(O182-1)+'Beállítások'!$E$20*(P182-1)+'Beállítások'!$E$21*(Q182-1)+'Beállítások'!$E$22*(R182-1)+'Beállítások'!$E$23*(S182-1)+'Beállítások'!$E$24*(T182-1)+'Beállítások'!$E$25*(U182-1)+'Beállítások'!$E$26*(V182-1)+'Beállítások'!$E$27*(W182-1)+'Beállítások'!$E$28*(X182-1)+'Beállítások'!$E$29*(Y182-1)+'Beállítások'!$E$30*(Z182-1)+'Beállítások'!$E$31*(AA182-1)+'Beállítások'!$E$32*(AB182-1)+'Beállítások'!$E$33*(AC182-1)+'Beállítások'!$E$34*(AD182-1)+'Beállítások'!$E$35*(AE182-1)+'Beállítások'!$E$36*(AF182-1)+'Beállítások'!$E$37*(AG182-1)+'Beállítások'!$E$38*(AH182-1))/(9*'Beállítások'!$E$39),1))</f>
        <v/>
      </c>
      <c r="AN182" s="23">
        <f>IF($A182="","",ROUND(100*('Beállítások'!$E$8*(D182-1)+'Beállítások'!$E$9*(E182-1)+'Beállítások'!$E$10*(F182-1)+'Beállítások'!$E$11*(G182-1)+'Beállítások'!$E$12*(H182-1)+'Beállítások'!$E$13*(I182-1)+'Beállítások'!$E$14*(J182-1)+'Beállítások'!$E$15*(K182-1)+'Beállítások'!$E$16*(L182-1)+'Beállítások'!$E$17*(M182-1)+'Beállítások'!$E$18*(N182-1)+'Beállítások'!$E$19*(O182-1)+'Beállítások'!$E$20*(P182-1)+'Beállítások'!$E$21*(Q182-1)+'Beállítások'!$E$22*(R182-1)+'Beállítások'!$E$23*(S182-1)+'Beállítások'!$E$24*(T182-1)+'Beállítások'!$E$25*(U182-1)+'Beállítások'!$E$26*(V182-1)+'Beállítások'!$E$27*(W182-1)+'Beállítások'!$E$28*(X182-1)+'Beállítások'!$E$29*(Y182-1))/(9*('Beállítások'!$B$44+'Beállítások'!$B$45)),1))</f>
        <v/>
      </c>
      <c r="AO182" s="24">
        <f>IF($A182="","",RANK(AM182,$AM$2:$AM$201))</f>
        <v/>
      </c>
      <c r="AP182">
        <f>IF($A182="","",IF(OR(AND('Ügyfelek'!B182&lt;&gt;"",B182&lt;='Beállítások'!$B$85),AND('Ügyfelek'!C182&lt;&gt;"",C182&lt;='Beállítások'!$B$86)),"Igen","Nem"))</f>
        <v/>
      </c>
      <c r="AQ182" s="24">
        <f>IF($A182="","",IF(AP182="Igen",5,IF(AN182&gt;='Beállítások'!$C$108,1,IF(AN182&gt;='Beállítások'!$C$109,2,IF(AN182&gt;='Beállítások'!$C$110,3,IF(AND(AN182&gt;='Beállítások'!$B$87,AI182&gt;='Beállítások'!$B$88,AL182&gt;='Beállítások'!$B$89),4,5))))))</f>
        <v/>
      </c>
      <c r="AR182">
        <f>IF($A182="","",INDEX('Beállítások'!$B$108:$B$112,AQ182))</f>
        <v/>
      </c>
      <c r="AS182">
        <f>IF($A182="","",IF(AQ182=5,"Elutasítjuk",IF(AND(AQ182=4,COUNTIFS('Eredmény'!$AQ$2:$AQ$201,4,'Eredmény'!$DY$2:$DY$201,"&gt;"&amp;DY182)&gt;='Beállítások'!$B$90),"Várólista (a 4-es hely foglalt)","Elfogadjuk")))</f>
        <v/>
      </c>
      <c r="AT182">
        <f>IF($A182="","",INDEX('Beállítások'!$F$108:$F$112,AQ182))</f>
        <v/>
      </c>
      <c r="AU182">
        <f>IF($A182="","",INDEX('Beállítások'!$B$6:$B$38,MATCH(MAX(BK182:CQ182),BK182:CQ182,0)))</f>
        <v/>
      </c>
      <c r="AV182">
        <f>IF($A182="","",IF(MAX(CR182:DX182)=0,"—",INDEX('Beállítások'!$B$6:$B$38,MATCH(MAX(CR182:DX182),CR182:DX182,0))))</f>
        <v/>
      </c>
      <c r="AW182" s="10">
        <f>IF($A182="","",'Beállítások'!$B$94*(TRIM('Ügyfelek'!AI182)="igen")+'Beállítások'!$B$95*(TRIM('Ügyfelek'!AJ182)="igen")+'Beállítások'!$B$96*N('Ügyfelek'!AK182)+'Beállítások'!$B$93*N('Ügyfelek'!AL182))</f>
        <v/>
      </c>
      <c r="AX182" s="25">
        <f>IF(OR($A182="",AQ182=5),"",INDEX('Beállítások'!$D$108:$D$112,AQ182))</f>
        <v/>
      </c>
      <c r="AY182" s="10">
        <f>IF($A182="","",N('Ügyfelek'!U182)*'Beállítások'!$B$98)</f>
        <v/>
      </c>
      <c r="AZ182" s="10">
        <f>IF(OR($A182="",AQ182=5),"",CEILING(ROUND(MAX('Beállítások'!$B$97,AW182*AX182,AY182),2),'Beállítások'!$B$99))</f>
        <v/>
      </c>
      <c r="BA182">
        <f>IF($A182="","",IF(AQ182=5,"Elutasítva",IF(MAX('Beállítások'!$B$97,AW182*AX182,AY182)=AW182*AX182,"Munkaigény × státuszszorzó",IF(MAX('Beállítások'!$B$97,AW182*AX182,AY182)=AY182,"Hirdetési keret arányában","Minimumdíj"))))</f>
        <v/>
      </c>
      <c r="BB182" s="10">
        <f>IF(OR($A182="",'Ügyfelek'!AM182=""),"",'Ügyfelek'!AM182)</f>
        <v/>
      </c>
      <c r="BC182" s="10">
        <f>IF(OR(BB182="",AZ182=""),"",AZ182-BB182)</f>
        <v/>
      </c>
      <c r="BD182" s="18">
        <f>IF(OR(BB182="",AZ182="",BB182=0),"",BC182/BB182)</f>
        <v/>
      </c>
      <c r="BE182">
        <f>IF(OR($A182="",AQ182=5),"",IF(AND(INDEX('Beállítások'!$E$108:$E$112,AQ182)&gt;0,Y182&gt;='Beállítások'!$B$91),"Igen","Nem"))</f>
        <v/>
      </c>
      <c r="BF182" s="10">
        <f>IF(BE182="Igen",CEILING(ROUND(AZ182*(1-'Beállítások'!$B$92),2),'Beállítások'!$B$99),"")</f>
        <v/>
      </c>
      <c r="BG182" s="20">
        <f>IF(BE182="Igen",INDEX('Beállítások'!$E$108:$E$112,AQ182),"")</f>
        <v/>
      </c>
      <c r="BH182" s="10">
        <f>IF(OR(BE182&lt;&gt;"Igen",'Ügyfelek'!AN182=""),"",'Ügyfelek'!AN182*BG182)</f>
        <v/>
      </c>
      <c r="BI182" s="24">
        <f>IF($A182="","",('Ügyfelek'!B182="")+('Ügyfelek'!C182="")+('Ügyfelek'!D182="")+('Ügyfelek'!E182="")+('Ügyfelek'!F182="")+('Ügyfelek'!G182="")+('Ügyfelek'!H182="")+('Ügyfelek'!I182="")+('Ügyfelek'!J182="")+('Ügyfelek'!K182="")+('Ügyfelek'!L182="")+('Ügyfelek'!M182="")+('Ügyfelek'!N182="")+('Ügyfelek'!O182="")+('Ügyfelek'!P182="")+('Ügyfelek'!Q182="")+('Ügyfelek'!R182="")+('Ügyfelek'!S182="")+('Ügyfelek'!T182="")+('Ügyfelek'!U182="")+('Ügyfelek'!V182="")+('Ügyfelek'!W182="")+('Ügyfelek'!X182="")+('Ügyfelek'!Y182="")+('Ügyfelek'!Z182="")+('Ügyfelek'!AA182="")+('Ügyfelek'!AB182="")+('Ügyfelek'!AC182="")+('Ügyfelek'!AD182="")+('Ügyfelek'!AE182="")+('Ügyfelek'!AF182="")+('Ügyfelek'!AG182="")+('Ügyfelek'!AH182=""))</f>
        <v/>
      </c>
      <c r="BK182">
        <f>IF($A182="","",B182+'Beállítások'!$E$6/1000)</f>
        <v/>
      </c>
      <c r="BL182">
        <f>IF($A182="","",C182+'Beállítások'!$E$7/1000)</f>
        <v/>
      </c>
      <c r="BM182">
        <f>IF($A182="","",D182+'Beállítások'!$E$8/1000)</f>
        <v/>
      </c>
      <c r="BN182">
        <f>IF($A182="","",E182+'Beállítások'!$E$9/1000)</f>
        <v/>
      </c>
      <c r="BO182">
        <f>IF($A182="","",F182+'Beállítások'!$E$10/1000)</f>
        <v/>
      </c>
      <c r="BP182">
        <f>IF($A182="","",G182+'Beállítások'!$E$11/1000)</f>
        <v/>
      </c>
      <c r="BQ182">
        <f>IF($A182="","",H182+'Beállítások'!$E$12/1000)</f>
        <v/>
      </c>
      <c r="BR182">
        <f>IF($A182="","",I182+'Beállítások'!$E$13/1000)</f>
        <v/>
      </c>
      <c r="BS182">
        <f>IF($A182="","",J182+'Beállítások'!$E$14/1000)</f>
        <v/>
      </c>
      <c r="BT182">
        <f>IF($A182="","",K182+'Beállítások'!$E$15/1000)</f>
        <v/>
      </c>
      <c r="BU182">
        <f>IF($A182="","",L182+'Beállítások'!$E$16/1000)</f>
        <v/>
      </c>
      <c r="BV182">
        <f>IF($A182="","",M182+'Beállítások'!$E$17/1000)</f>
        <v/>
      </c>
      <c r="BW182">
        <f>IF($A182="","",N182+'Beállítások'!$E$18/1000)</f>
        <v/>
      </c>
      <c r="BX182">
        <f>IF($A182="","",O182+'Beállítások'!$E$19/1000)</f>
        <v/>
      </c>
      <c r="BY182">
        <f>IF($A182="","",P182+'Beállítások'!$E$20/1000)</f>
        <v/>
      </c>
      <c r="BZ182">
        <f>IF($A182="","",Q182+'Beállítások'!$E$21/1000)</f>
        <v/>
      </c>
      <c r="CA182">
        <f>IF($A182="","",R182+'Beállítások'!$E$22/1000)</f>
        <v/>
      </c>
      <c r="CB182">
        <f>IF($A182="","",S182+'Beállítások'!$E$23/1000)</f>
        <v/>
      </c>
      <c r="CC182">
        <f>IF($A182="","",T182+'Beállítások'!$E$24/1000)</f>
        <v/>
      </c>
      <c r="CD182">
        <f>IF($A182="","",U182+'Beállítások'!$E$25/1000)</f>
        <v/>
      </c>
      <c r="CE182">
        <f>IF($A182="","",V182+'Beállítások'!$E$26/1000)</f>
        <v/>
      </c>
      <c r="CF182">
        <f>IF($A182="","",W182+'Beállítások'!$E$27/1000)</f>
        <v/>
      </c>
      <c r="CG182">
        <f>IF($A182="","",X182+'Beállítások'!$E$28/1000)</f>
        <v/>
      </c>
      <c r="CH182">
        <f>IF($A182="","",Y182+'Beállítások'!$E$29/1000)</f>
        <v/>
      </c>
      <c r="CI182">
        <f>IF($A182="","",Z182+'Beállítások'!$E$30/1000)</f>
        <v/>
      </c>
      <c r="CJ182">
        <f>IF($A182="","",AA182+'Beállítások'!$E$31/1000)</f>
        <v/>
      </c>
      <c r="CK182">
        <f>IF($A182="","",AB182+'Beállítások'!$E$32/1000)</f>
        <v/>
      </c>
      <c r="CL182">
        <f>IF($A182="","",AC182+'Beállítások'!$E$33/1000)</f>
        <v/>
      </c>
      <c r="CM182">
        <f>IF($A182="","",AD182+'Beállítások'!$E$34/1000)</f>
        <v/>
      </c>
      <c r="CN182">
        <f>IF($A182="","",AE182+'Beállítások'!$E$35/1000)</f>
        <v/>
      </c>
      <c r="CO182">
        <f>IF($A182="","",AF182+'Beállítások'!$E$36/1000)</f>
        <v/>
      </c>
      <c r="CP182">
        <f>IF($A182="","",AG182+'Beállítások'!$E$37/1000)</f>
        <v/>
      </c>
      <c r="CQ182">
        <f>IF($A182="","",AH182+'Beállítások'!$E$38/1000)</f>
        <v/>
      </c>
      <c r="CR182">
        <f>IF($A182="","",'Beállítások'!$E$6*(10-B182))</f>
        <v/>
      </c>
      <c r="CS182">
        <f>IF($A182="","",'Beállítások'!$E$7*(10-C182))</f>
        <v/>
      </c>
      <c r="CT182">
        <f>IF($A182="","",'Beállítások'!$E$8*(10-D182))</f>
        <v/>
      </c>
      <c r="CU182">
        <f>IF($A182="","",'Beállítások'!$E$9*(10-E182))</f>
        <v/>
      </c>
      <c r="CV182">
        <f>IF($A182="","",'Beállítások'!$E$10*(10-F182))</f>
        <v/>
      </c>
      <c r="CW182">
        <f>IF($A182="","",'Beállítások'!$E$11*(10-G182))</f>
        <v/>
      </c>
      <c r="CX182">
        <f>IF($A182="","",'Beállítások'!$E$12*(10-H182))</f>
        <v/>
      </c>
      <c r="CY182">
        <f>IF($A182="","",'Beállítások'!$E$13*(10-I182))</f>
        <v/>
      </c>
      <c r="CZ182">
        <f>IF($A182="","",'Beállítások'!$E$14*(10-J182))</f>
        <v/>
      </c>
      <c r="DA182">
        <f>IF($A182="","",'Beállítások'!$E$15*(10-K182))</f>
        <v/>
      </c>
      <c r="DB182">
        <f>IF($A182="","",'Beállítások'!$E$16*(10-L182))</f>
        <v/>
      </c>
      <c r="DC182">
        <f>IF($A182="","",'Beállítások'!$E$17*(10-M182))</f>
        <v/>
      </c>
      <c r="DD182">
        <f>IF($A182="","",'Beállítások'!$E$18*(10-N182))</f>
        <v/>
      </c>
      <c r="DE182">
        <f>IF($A182="","",'Beállítások'!$E$19*(10-O182))</f>
        <v/>
      </c>
      <c r="DF182">
        <f>IF($A182="","",'Beállítások'!$E$20*(10-P182))</f>
        <v/>
      </c>
      <c r="DG182">
        <f>IF($A182="","",'Beállítások'!$E$21*(10-Q182))</f>
        <v/>
      </c>
      <c r="DH182">
        <f>IF($A182="","",'Beállítások'!$E$22*(10-R182))</f>
        <v/>
      </c>
      <c r="DI182">
        <f>IF($A182="","",'Beállítások'!$E$23*(10-S182))</f>
        <v/>
      </c>
      <c r="DJ182">
        <f>IF($A182="","",'Beállítások'!$E$24*(10-T182))</f>
        <v/>
      </c>
      <c r="DK182">
        <f>IF($A182="","",'Beállítások'!$E$25*(10-U182))</f>
        <v/>
      </c>
      <c r="DL182">
        <f>IF($A182="","",'Beállítások'!$E$26*(10-V182))</f>
        <v/>
      </c>
      <c r="DM182">
        <f>IF($A182="","",'Beállítások'!$E$27*(10-W182))</f>
        <v/>
      </c>
      <c r="DN182">
        <f>IF($A182="","",'Beállítások'!$E$28*(10-X182))</f>
        <v/>
      </c>
      <c r="DO182">
        <f>IF($A182="","",'Beállítások'!$E$29*(10-Y182))</f>
        <v/>
      </c>
      <c r="DP182">
        <f>IF($A182="","",'Beállítások'!$E$30*(10-Z182))</f>
        <v/>
      </c>
      <c r="DQ182">
        <f>IF($A182="","",'Beállítások'!$E$31*(10-AA182))</f>
        <v/>
      </c>
      <c r="DR182">
        <f>IF($A182="","",'Beállítások'!$E$32*(10-AB182))</f>
        <v/>
      </c>
      <c r="DS182">
        <f>IF($A182="","",'Beállítások'!$E$33*(10-AC182))</f>
        <v/>
      </c>
      <c r="DT182">
        <f>IF($A182="","",'Beállítások'!$E$34*(10-AD182))</f>
        <v/>
      </c>
      <c r="DU182">
        <f>IF($A182="","",'Beállítások'!$E$35*(10-AE182))</f>
        <v/>
      </c>
      <c r="DV182">
        <f>IF($A182="","",'Beállítások'!$E$36*(10-AF182))</f>
        <v/>
      </c>
      <c r="DW182">
        <f>IF($A182="","",'Beállítások'!$E$37*(10-AG182))</f>
        <v/>
      </c>
      <c r="DX182">
        <f>IF($A182="","",'Beállítások'!$E$38*(10-AH182))</f>
        <v/>
      </c>
      <c r="DY182">
        <f>IF($A182="","",AM182-ROW()/100000)</f>
        <v/>
      </c>
    </row>
    <row r="183">
      <c r="A183">
        <f>IF('Ügyfelek'!A183="","",'Ügyfelek'!A183)</f>
        <v/>
      </c>
      <c r="B183">
        <f>IF($A183="","",IF('Ügyfelek'!B183="",'Beállítások'!$B$84,IFERROR(VLOOKUP(TRIM('Ügyfelek'!B183),'Beállítások'!$A$51:$B$59,2,FALSE),'Beállítások'!$B$84)))</f>
        <v/>
      </c>
      <c r="C183">
        <f>IF($A183="","",IF('Ügyfelek'!C183="",'Beállítások'!$B$84,MIN(10,MAX(1,ROUND('Ügyfelek'!C183,0)))))</f>
        <v/>
      </c>
      <c r="D183">
        <f>IF($A183="","",IF('Ügyfelek'!D183="",'Beállítások'!$B$84,MIN(10,MAX(1,ROUND('Ügyfelek'!D183,0)))))</f>
        <v/>
      </c>
      <c r="E183">
        <f>IF($A183="","",IF('Ügyfelek'!E183="",'Beállítások'!$B$84,MIN(10,MAX(1,ROUND('Ügyfelek'!E183,0)))))</f>
        <v/>
      </c>
      <c r="F183">
        <f>IF($A183="","",IF('Ügyfelek'!F183="",'Beállítások'!$B$84,MIN(10,MAX(1,ROUND('Ügyfelek'!F183,0)))))</f>
        <v/>
      </c>
      <c r="G183">
        <f>IF($A183="","",IF('Ügyfelek'!G183="",'Beállítások'!$B$84,MIN(10,MAX(1,ROUND('Ügyfelek'!G183,0)))))</f>
        <v/>
      </c>
      <c r="H183">
        <f>IF($A183="","",IF('Ügyfelek'!H183="",'Beállítások'!$B$84,MIN(10,MAX(1,ROUND('Ügyfelek'!H183,0)))))</f>
        <v/>
      </c>
      <c r="I183">
        <f>IF($A183="","",IF('Ügyfelek'!I183="",'Beállítások'!$B$84,MIN(10,MAX(1,ROUND('Ügyfelek'!I183,0)))))</f>
        <v/>
      </c>
      <c r="J183">
        <f>IF($A183="","",IF('Ügyfelek'!J183="",'Beállítások'!$B$84,MIN(10,MAX(1,ROUND('Ügyfelek'!J183,0)))))</f>
        <v/>
      </c>
      <c r="K183">
        <f>IF($A183="","",IF('Ügyfelek'!K183="",'Beállítások'!$B$84,MIN(10,MAX(1,ROUND('Ügyfelek'!K183,0)))))</f>
        <v/>
      </c>
      <c r="L183">
        <f>IF($A183="","",IF('Ügyfelek'!L183="",'Beállítások'!$B$84,MIN(10,MAX(1,ROUND('Ügyfelek'!L183,0)))))</f>
        <v/>
      </c>
      <c r="M183">
        <f>IF($A183="","",IF('Ügyfelek'!M183="",'Beállítások'!$B$84,MIN(10,MAX(1,ROUND('Ügyfelek'!M183,0)))))</f>
        <v/>
      </c>
      <c r="N183">
        <f>IF($A183="","",IF('Ügyfelek'!N183="",'Beállítások'!$B$84,MIN(10,MAX(1,ROUND('Ügyfelek'!N183,0)))))</f>
        <v/>
      </c>
      <c r="O183">
        <f>IF($A183="","",IF('Ügyfelek'!O183="",'Beállítások'!$B$84,MIN(10,MAX(1,ROUND('Ügyfelek'!O183,0)))))</f>
        <v/>
      </c>
      <c r="P183">
        <f>IF($A183="","",IF('Ügyfelek'!P183="",'Beállítások'!$B$84,MIN(10,MAX(1,ROUND('Ügyfelek'!P183,0)))))</f>
        <v/>
      </c>
      <c r="Q183">
        <f>IF($A183="","",IF('Ügyfelek'!Q183="",'Beállítások'!$B$84,MIN(10,MAX(1,ROUND('Ügyfelek'!Q183,0)))))</f>
        <v/>
      </c>
      <c r="R183">
        <f>IF($A183="","",IF('Ügyfelek'!R183="",'Beállítások'!$B$84,MIN(10,MAX(1,ROUND('Ügyfelek'!R183,0)))))</f>
        <v/>
      </c>
      <c r="S183">
        <f>IF($A183="","",IF('Ügyfelek'!S183="",'Beállítások'!$B$84,MIN(10,MAX(1,ROUND('Ügyfelek'!S183,0)))))</f>
        <v/>
      </c>
      <c r="T183">
        <f>IF($A183="","",IF('Ügyfelek'!T183="",'Beállítások'!$B$84,VLOOKUP(MAX('Ügyfelek'!T183,'Beállítások'!$H$7),'Beállítások'!$H$7:$I$12,2,TRUE)))</f>
        <v/>
      </c>
      <c r="U183">
        <f>IF($A183="","",IF('Ügyfelek'!U183="",'Beállítások'!$B$84,VLOOKUP(MAX('Ügyfelek'!U183,'Beállítások'!$K$7),'Beállítások'!$K$7:$L$12,2,TRUE)))</f>
        <v/>
      </c>
      <c r="V183">
        <f>IF($A183="","",IF('Ügyfelek'!V183="",'Beállítások'!$B$84,MIN(10,MAX(1,ROUND('Ügyfelek'!V183,0)))))</f>
        <v/>
      </c>
      <c r="W183">
        <f>IF($A183="","",IF('Ügyfelek'!W183="",'Beállítások'!$B$84,VLOOKUP(MAX('Ügyfelek'!W183,'Beállítások'!$N$7),'Beállítások'!$N$7:$O$12,2,TRUE)))</f>
        <v/>
      </c>
      <c r="X183">
        <f>IF($A183="","",IF('Ügyfelek'!X183="",'Beállítások'!$B$84,MIN(10,MAX(1,ROUND('Ügyfelek'!X183,0)))))</f>
        <v/>
      </c>
      <c r="Y183">
        <f>IF($A183="","",IF('Ügyfelek'!Y183="",'Beállítások'!$B$84,IFERROR(VLOOKUP(TRIM('Ügyfelek'!Y183),'Beállítások'!$A$63:$B$69,2,FALSE),'Beállítások'!$B$84)))</f>
        <v/>
      </c>
      <c r="Z183">
        <f>IF($A183="","",IF('Ügyfelek'!Z183="",'Beállítások'!$B$84,VLOOKUP(MAX('Ügyfelek'!Z183,'Beállítások'!$Q$7),'Beállítások'!$Q$7:$R$12,2,TRUE)))</f>
        <v/>
      </c>
      <c r="AA183">
        <f>IF($A183="","",IF('Ügyfelek'!AA183="",'Beállítások'!$B$84,VLOOKUP(MAX('Ügyfelek'!AA183,'Beállítások'!$T$7),'Beállítások'!$T$7:$U$12,2,TRUE)))</f>
        <v/>
      </c>
      <c r="AB183">
        <f>IF($A183="","",IF('Ügyfelek'!AB183="",'Beállítások'!$B$84,MIN(10,MAX(1,ROUND('Ügyfelek'!AB183,0)))))</f>
        <v/>
      </c>
      <c r="AC183">
        <f>IF($A183="","",IF('Ügyfelek'!AC183="",'Beállítások'!$B$84,MIN(10,MAX(1,ROUND('Ügyfelek'!AC183,0)))))</f>
        <v/>
      </c>
      <c r="AD183">
        <f>IF($A183="","",IF('Ügyfelek'!AD183="",'Beállítások'!$B$84,MIN(10,MAX(1,ROUND('Ügyfelek'!AD183,0)))))</f>
        <v/>
      </c>
      <c r="AE183">
        <f>IF($A183="","",IF('Ügyfelek'!AE183="",'Beállítások'!$B$84,MIN(10,MAX(1,ROUND('Ügyfelek'!AE183,0)))))</f>
        <v/>
      </c>
      <c r="AF183">
        <f>IF($A183="","",IF('Ügyfelek'!AF183="",'Beállítások'!$B$84,MIN(10,MAX(1,ROUND('Ügyfelek'!AF183,0)))))</f>
        <v/>
      </c>
      <c r="AG183">
        <f>IF($A183="","",IF('Ügyfelek'!AG183="",'Beállítások'!$B$84,MIN(10,MAX(1,ROUND('Ügyfelek'!AG183,0)))))</f>
        <v/>
      </c>
      <c r="AH183">
        <f>IF($A183="","",IF('Ügyfelek'!AH183="",'Beállítások'!$B$84,IFERROR(VLOOKUP(TRIM('Ügyfelek'!AH183),'Beállítások'!$A$73:$B$79,2,FALSE),'Beállítások'!$B$84)))</f>
        <v/>
      </c>
      <c r="AI183" s="23">
        <f>IF($A183="","",ROUND(100*('Beállítások'!$E$6*(B183-1)+'Beállítások'!$E$7*(C183-1))/(9*'Beállítások'!$B$43),1))</f>
        <v/>
      </c>
      <c r="AJ183" s="23">
        <f>IF($A183="","",ROUND(100*('Beállítások'!$E$8*(D183-1)+'Beállítások'!$E$9*(E183-1)+'Beállítások'!$E$10*(F183-1)+'Beállítások'!$E$11*(G183-1)+'Beállítások'!$E$12*(H183-1)+'Beállítások'!$E$13*(I183-1)+'Beállítások'!$E$14*(J183-1)+'Beállítások'!$E$15*(K183-1)+'Beállítások'!$E$16*(L183-1)+'Beállítások'!$E$17*(M183-1)+'Beállítások'!$E$18*(N183-1)+'Beállítások'!$E$19*(O183-1)+'Beállítások'!$E$20*(P183-1)+'Beállítások'!$E$21*(Q183-1)+'Beállítások'!$E$22*(R183-1))/(9*'Beállítások'!$B$44),1))</f>
        <v/>
      </c>
      <c r="AK183" s="23">
        <f>IF($A183="","",ROUND(100*('Beállítások'!$E$23*(S183-1)+'Beállítások'!$E$24*(T183-1)+'Beállítások'!$E$25*(U183-1)+'Beállítások'!$E$26*(V183-1)+'Beállítások'!$E$27*(W183-1)+'Beállítások'!$E$28*(X183-1)+'Beállítások'!$E$29*(Y183-1))/(9*'Beállítások'!$B$45),1))</f>
        <v/>
      </c>
      <c r="AL183" s="23">
        <f>IF($A183="","",ROUND(100*('Beállítások'!$E$30*(Z183-1)+'Beállítások'!$E$31*(AA183-1)+'Beállítások'!$E$32*(AB183-1)+'Beállítások'!$E$33*(AC183-1)+'Beállítások'!$E$34*(AD183-1)+'Beállítások'!$E$35*(AE183-1)+'Beállítások'!$E$36*(AF183-1)+'Beállítások'!$E$37*(AG183-1)+'Beállítások'!$E$38*(AH183-1))/(9*'Beállítások'!$B$46),1))</f>
        <v/>
      </c>
      <c r="AM183" s="23">
        <f>IF($A183="","",ROUND(100*('Beállítások'!$E$6*(B183-1)+'Beállítások'!$E$7*(C183-1)+'Beállítások'!$E$8*(D183-1)+'Beállítások'!$E$9*(E183-1)+'Beállítások'!$E$10*(F183-1)+'Beállítások'!$E$11*(G183-1)+'Beállítások'!$E$12*(H183-1)+'Beállítások'!$E$13*(I183-1)+'Beállítások'!$E$14*(J183-1)+'Beállítások'!$E$15*(K183-1)+'Beállítások'!$E$16*(L183-1)+'Beállítások'!$E$17*(M183-1)+'Beállítások'!$E$18*(N183-1)+'Beállítások'!$E$19*(O183-1)+'Beállítások'!$E$20*(P183-1)+'Beállítások'!$E$21*(Q183-1)+'Beállítások'!$E$22*(R183-1)+'Beállítások'!$E$23*(S183-1)+'Beállítások'!$E$24*(T183-1)+'Beállítások'!$E$25*(U183-1)+'Beállítások'!$E$26*(V183-1)+'Beállítások'!$E$27*(W183-1)+'Beállítások'!$E$28*(X183-1)+'Beállítások'!$E$29*(Y183-1)+'Beállítások'!$E$30*(Z183-1)+'Beállítások'!$E$31*(AA183-1)+'Beállítások'!$E$32*(AB183-1)+'Beállítások'!$E$33*(AC183-1)+'Beállítások'!$E$34*(AD183-1)+'Beállítások'!$E$35*(AE183-1)+'Beállítások'!$E$36*(AF183-1)+'Beállítások'!$E$37*(AG183-1)+'Beállítások'!$E$38*(AH183-1))/(9*'Beállítások'!$E$39),1))</f>
        <v/>
      </c>
      <c r="AN183" s="23">
        <f>IF($A183="","",ROUND(100*('Beállítások'!$E$8*(D183-1)+'Beállítások'!$E$9*(E183-1)+'Beállítások'!$E$10*(F183-1)+'Beállítások'!$E$11*(G183-1)+'Beállítások'!$E$12*(H183-1)+'Beállítások'!$E$13*(I183-1)+'Beállítások'!$E$14*(J183-1)+'Beállítások'!$E$15*(K183-1)+'Beállítások'!$E$16*(L183-1)+'Beállítások'!$E$17*(M183-1)+'Beállítások'!$E$18*(N183-1)+'Beállítások'!$E$19*(O183-1)+'Beállítások'!$E$20*(P183-1)+'Beállítások'!$E$21*(Q183-1)+'Beállítások'!$E$22*(R183-1)+'Beállítások'!$E$23*(S183-1)+'Beállítások'!$E$24*(T183-1)+'Beállítások'!$E$25*(U183-1)+'Beállítások'!$E$26*(V183-1)+'Beállítások'!$E$27*(W183-1)+'Beállítások'!$E$28*(X183-1)+'Beállítások'!$E$29*(Y183-1))/(9*('Beállítások'!$B$44+'Beállítások'!$B$45)),1))</f>
        <v/>
      </c>
      <c r="AO183" s="24">
        <f>IF($A183="","",RANK(AM183,$AM$2:$AM$201))</f>
        <v/>
      </c>
      <c r="AP183">
        <f>IF($A183="","",IF(OR(AND('Ügyfelek'!B183&lt;&gt;"",B183&lt;='Beállítások'!$B$85),AND('Ügyfelek'!C183&lt;&gt;"",C183&lt;='Beállítások'!$B$86)),"Igen","Nem"))</f>
        <v/>
      </c>
      <c r="AQ183" s="24">
        <f>IF($A183="","",IF(AP183="Igen",5,IF(AN183&gt;='Beállítások'!$C$108,1,IF(AN183&gt;='Beállítások'!$C$109,2,IF(AN183&gt;='Beállítások'!$C$110,3,IF(AND(AN183&gt;='Beállítások'!$B$87,AI183&gt;='Beállítások'!$B$88,AL183&gt;='Beállítások'!$B$89),4,5))))))</f>
        <v/>
      </c>
      <c r="AR183">
        <f>IF($A183="","",INDEX('Beállítások'!$B$108:$B$112,AQ183))</f>
        <v/>
      </c>
      <c r="AS183">
        <f>IF($A183="","",IF(AQ183=5,"Elutasítjuk",IF(AND(AQ183=4,COUNTIFS('Eredmény'!$AQ$2:$AQ$201,4,'Eredmény'!$DY$2:$DY$201,"&gt;"&amp;DY183)&gt;='Beállítások'!$B$90),"Várólista (a 4-es hely foglalt)","Elfogadjuk")))</f>
        <v/>
      </c>
      <c r="AT183">
        <f>IF($A183="","",INDEX('Beállítások'!$F$108:$F$112,AQ183))</f>
        <v/>
      </c>
      <c r="AU183">
        <f>IF($A183="","",INDEX('Beállítások'!$B$6:$B$38,MATCH(MAX(BK183:CQ183),BK183:CQ183,0)))</f>
        <v/>
      </c>
      <c r="AV183">
        <f>IF($A183="","",IF(MAX(CR183:DX183)=0,"—",INDEX('Beállítások'!$B$6:$B$38,MATCH(MAX(CR183:DX183),CR183:DX183,0))))</f>
        <v/>
      </c>
      <c r="AW183" s="10">
        <f>IF($A183="","",'Beállítások'!$B$94*(TRIM('Ügyfelek'!AI183)="igen")+'Beállítások'!$B$95*(TRIM('Ügyfelek'!AJ183)="igen")+'Beállítások'!$B$96*N('Ügyfelek'!AK183)+'Beállítások'!$B$93*N('Ügyfelek'!AL183))</f>
        <v/>
      </c>
      <c r="AX183" s="25">
        <f>IF(OR($A183="",AQ183=5),"",INDEX('Beállítások'!$D$108:$D$112,AQ183))</f>
        <v/>
      </c>
      <c r="AY183" s="10">
        <f>IF($A183="","",N('Ügyfelek'!U183)*'Beállítások'!$B$98)</f>
        <v/>
      </c>
      <c r="AZ183" s="10">
        <f>IF(OR($A183="",AQ183=5),"",CEILING(ROUND(MAX('Beállítások'!$B$97,AW183*AX183,AY183),2),'Beállítások'!$B$99))</f>
        <v/>
      </c>
      <c r="BA183">
        <f>IF($A183="","",IF(AQ183=5,"Elutasítva",IF(MAX('Beállítások'!$B$97,AW183*AX183,AY183)=AW183*AX183,"Munkaigény × státuszszorzó",IF(MAX('Beállítások'!$B$97,AW183*AX183,AY183)=AY183,"Hirdetési keret arányában","Minimumdíj"))))</f>
        <v/>
      </c>
      <c r="BB183" s="10">
        <f>IF(OR($A183="",'Ügyfelek'!AM183=""),"",'Ügyfelek'!AM183)</f>
        <v/>
      </c>
      <c r="BC183" s="10">
        <f>IF(OR(BB183="",AZ183=""),"",AZ183-BB183)</f>
        <v/>
      </c>
      <c r="BD183" s="18">
        <f>IF(OR(BB183="",AZ183="",BB183=0),"",BC183/BB183)</f>
        <v/>
      </c>
      <c r="BE183">
        <f>IF(OR($A183="",AQ183=5),"",IF(AND(INDEX('Beállítások'!$E$108:$E$112,AQ183)&gt;0,Y183&gt;='Beállítások'!$B$91),"Igen","Nem"))</f>
        <v/>
      </c>
      <c r="BF183" s="10">
        <f>IF(BE183="Igen",CEILING(ROUND(AZ183*(1-'Beállítások'!$B$92),2),'Beállítások'!$B$99),"")</f>
        <v/>
      </c>
      <c r="BG183" s="20">
        <f>IF(BE183="Igen",INDEX('Beállítások'!$E$108:$E$112,AQ183),"")</f>
        <v/>
      </c>
      <c r="BH183" s="10">
        <f>IF(OR(BE183&lt;&gt;"Igen",'Ügyfelek'!AN183=""),"",'Ügyfelek'!AN183*BG183)</f>
        <v/>
      </c>
      <c r="BI183" s="24">
        <f>IF($A183="","",('Ügyfelek'!B183="")+('Ügyfelek'!C183="")+('Ügyfelek'!D183="")+('Ügyfelek'!E183="")+('Ügyfelek'!F183="")+('Ügyfelek'!G183="")+('Ügyfelek'!H183="")+('Ügyfelek'!I183="")+('Ügyfelek'!J183="")+('Ügyfelek'!K183="")+('Ügyfelek'!L183="")+('Ügyfelek'!M183="")+('Ügyfelek'!N183="")+('Ügyfelek'!O183="")+('Ügyfelek'!P183="")+('Ügyfelek'!Q183="")+('Ügyfelek'!R183="")+('Ügyfelek'!S183="")+('Ügyfelek'!T183="")+('Ügyfelek'!U183="")+('Ügyfelek'!V183="")+('Ügyfelek'!W183="")+('Ügyfelek'!X183="")+('Ügyfelek'!Y183="")+('Ügyfelek'!Z183="")+('Ügyfelek'!AA183="")+('Ügyfelek'!AB183="")+('Ügyfelek'!AC183="")+('Ügyfelek'!AD183="")+('Ügyfelek'!AE183="")+('Ügyfelek'!AF183="")+('Ügyfelek'!AG183="")+('Ügyfelek'!AH183=""))</f>
        <v/>
      </c>
      <c r="BK183">
        <f>IF($A183="","",B183+'Beállítások'!$E$6/1000)</f>
        <v/>
      </c>
      <c r="BL183">
        <f>IF($A183="","",C183+'Beállítások'!$E$7/1000)</f>
        <v/>
      </c>
      <c r="BM183">
        <f>IF($A183="","",D183+'Beállítások'!$E$8/1000)</f>
        <v/>
      </c>
      <c r="BN183">
        <f>IF($A183="","",E183+'Beállítások'!$E$9/1000)</f>
        <v/>
      </c>
      <c r="BO183">
        <f>IF($A183="","",F183+'Beállítások'!$E$10/1000)</f>
        <v/>
      </c>
      <c r="BP183">
        <f>IF($A183="","",G183+'Beállítások'!$E$11/1000)</f>
        <v/>
      </c>
      <c r="BQ183">
        <f>IF($A183="","",H183+'Beállítások'!$E$12/1000)</f>
        <v/>
      </c>
      <c r="BR183">
        <f>IF($A183="","",I183+'Beállítások'!$E$13/1000)</f>
        <v/>
      </c>
      <c r="BS183">
        <f>IF($A183="","",J183+'Beállítások'!$E$14/1000)</f>
        <v/>
      </c>
      <c r="BT183">
        <f>IF($A183="","",K183+'Beállítások'!$E$15/1000)</f>
        <v/>
      </c>
      <c r="BU183">
        <f>IF($A183="","",L183+'Beállítások'!$E$16/1000)</f>
        <v/>
      </c>
      <c r="BV183">
        <f>IF($A183="","",M183+'Beállítások'!$E$17/1000)</f>
        <v/>
      </c>
      <c r="BW183">
        <f>IF($A183="","",N183+'Beállítások'!$E$18/1000)</f>
        <v/>
      </c>
      <c r="BX183">
        <f>IF($A183="","",O183+'Beállítások'!$E$19/1000)</f>
        <v/>
      </c>
      <c r="BY183">
        <f>IF($A183="","",P183+'Beállítások'!$E$20/1000)</f>
        <v/>
      </c>
      <c r="BZ183">
        <f>IF($A183="","",Q183+'Beállítások'!$E$21/1000)</f>
        <v/>
      </c>
      <c r="CA183">
        <f>IF($A183="","",R183+'Beállítások'!$E$22/1000)</f>
        <v/>
      </c>
      <c r="CB183">
        <f>IF($A183="","",S183+'Beállítások'!$E$23/1000)</f>
        <v/>
      </c>
      <c r="CC183">
        <f>IF($A183="","",T183+'Beállítások'!$E$24/1000)</f>
        <v/>
      </c>
      <c r="CD183">
        <f>IF($A183="","",U183+'Beállítások'!$E$25/1000)</f>
        <v/>
      </c>
      <c r="CE183">
        <f>IF($A183="","",V183+'Beállítások'!$E$26/1000)</f>
        <v/>
      </c>
      <c r="CF183">
        <f>IF($A183="","",W183+'Beállítások'!$E$27/1000)</f>
        <v/>
      </c>
      <c r="CG183">
        <f>IF($A183="","",X183+'Beállítások'!$E$28/1000)</f>
        <v/>
      </c>
      <c r="CH183">
        <f>IF($A183="","",Y183+'Beállítások'!$E$29/1000)</f>
        <v/>
      </c>
      <c r="CI183">
        <f>IF($A183="","",Z183+'Beállítások'!$E$30/1000)</f>
        <v/>
      </c>
      <c r="CJ183">
        <f>IF($A183="","",AA183+'Beállítások'!$E$31/1000)</f>
        <v/>
      </c>
      <c r="CK183">
        <f>IF($A183="","",AB183+'Beállítások'!$E$32/1000)</f>
        <v/>
      </c>
      <c r="CL183">
        <f>IF($A183="","",AC183+'Beállítások'!$E$33/1000)</f>
        <v/>
      </c>
      <c r="CM183">
        <f>IF($A183="","",AD183+'Beállítások'!$E$34/1000)</f>
        <v/>
      </c>
      <c r="CN183">
        <f>IF($A183="","",AE183+'Beállítások'!$E$35/1000)</f>
        <v/>
      </c>
      <c r="CO183">
        <f>IF($A183="","",AF183+'Beállítások'!$E$36/1000)</f>
        <v/>
      </c>
      <c r="CP183">
        <f>IF($A183="","",AG183+'Beállítások'!$E$37/1000)</f>
        <v/>
      </c>
      <c r="CQ183">
        <f>IF($A183="","",AH183+'Beállítások'!$E$38/1000)</f>
        <v/>
      </c>
      <c r="CR183">
        <f>IF($A183="","",'Beállítások'!$E$6*(10-B183))</f>
        <v/>
      </c>
      <c r="CS183">
        <f>IF($A183="","",'Beállítások'!$E$7*(10-C183))</f>
        <v/>
      </c>
      <c r="CT183">
        <f>IF($A183="","",'Beállítások'!$E$8*(10-D183))</f>
        <v/>
      </c>
      <c r="CU183">
        <f>IF($A183="","",'Beállítások'!$E$9*(10-E183))</f>
        <v/>
      </c>
      <c r="CV183">
        <f>IF($A183="","",'Beállítások'!$E$10*(10-F183))</f>
        <v/>
      </c>
      <c r="CW183">
        <f>IF($A183="","",'Beállítások'!$E$11*(10-G183))</f>
        <v/>
      </c>
      <c r="CX183">
        <f>IF($A183="","",'Beállítások'!$E$12*(10-H183))</f>
        <v/>
      </c>
      <c r="CY183">
        <f>IF($A183="","",'Beállítások'!$E$13*(10-I183))</f>
        <v/>
      </c>
      <c r="CZ183">
        <f>IF($A183="","",'Beállítások'!$E$14*(10-J183))</f>
        <v/>
      </c>
      <c r="DA183">
        <f>IF($A183="","",'Beállítások'!$E$15*(10-K183))</f>
        <v/>
      </c>
      <c r="DB183">
        <f>IF($A183="","",'Beállítások'!$E$16*(10-L183))</f>
        <v/>
      </c>
      <c r="DC183">
        <f>IF($A183="","",'Beállítások'!$E$17*(10-M183))</f>
        <v/>
      </c>
      <c r="DD183">
        <f>IF($A183="","",'Beállítások'!$E$18*(10-N183))</f>
        <v/>
      </c>
      <c r="DE183">
        <f>IF($A183="","",'Beállítások'!$E$19*(10-O183))</f>
        <v/>
      </c>
      <c r="DF183">
        <f>IF($A183="","",'Beállítások'!$E$20*(10-P183))</f>
        <v/>
      </c>
      <c r="DG183">
        <f>IF($A183="","",'Beállítások'!$E$21*(10-Q183))</f>
        <v/>
      </c>
      <c r="DH183">
        <f>IF($A183="","",'Beállítások'!$E$22*(10-R183))</f>
        <v/>
      </c>
      <c r="DI183">
        <f>IF($A183="","",'Beállítások'!$E$23*(10-S183))</f>
        <v/>
      </c>
      <c r="DJ183">
        <f>IF($A183="","",'Beállítások'!$E$24*(10-T183))</f>
        <v/>
      </c>
      <c r="DK183">
        <f>IF($A183="","",'Beállítások'!$E$25*(10-U183))</f>
        <v/>
      </c>
      <c r="DL183">
        <f>IF($A183="","",'Beállítások'!$E$26*(10-V183))</f>
        <v/>
      </c>
      <c r="DM183">
        <f>IF($A183="","",'Beállítások'!$E$27*(10-W183))</f>
        <v/>
      </c>
      <c r="DN183">
        <f>IF($A183="","",'Beállítások'!$E$28*(10-X183))</f>
        <v/>
      </c>
      <c r="DO183">
        <f>IF($A183="","",'Beállítások'!$E$29*(10-Y183))</f>
        <v/>
      </c>
      <c r="DP183">
        <f>IF($A183="","",'Beállítások'!$E$30*(10-Z183))</f>
        <v/>
      </c>
      <c r="DQ183">
        <f>IF($A183="","",'Beállítások'!$E$31*(10-AA183))</f>
        <v/>
      </c>
      <c r="DR183">
        <f>IF($A183="","",'Beállítások'!$E$32*(10-AB183))</f>
        <v/>
      </c>
      <c r="DS183">
        <f>IF($A183="","",'Beállítások'!$E$33*(10-AC183))</f>
        <v/>
      </c>
      <c r="DT183">
        <f>IF($A183="","",'Beállítások'!$E$34*(10-AD183))</f>
        <v/>
      </c>
      <c r="DU183">
        <f>IF($A183="","",'Beállítások'!$E$35*(10-AE183))</f>
        <v/>
      </c>
      <c r="DV183">
        <f>IF($A183="","",'Beállítások'!$E$36*(10-AF183))</f>
        <v/>
      </c>
      <c r="DW183">
        <f>IF($A183="","",'Beállítások'!$E$37*(10-AG183))</f>
        <v/>
      </c>
      <c r="DX183">
        <f>IF($A183="","",'Beállítások'!$E$38*(10-AH183))</f>
        <v/>
      </c>
      <c r="DY183">
        <f>IF($A183="","",AM183-ROW()/100000)</f>
        <v/>
      </c>
    </row>
    <row r="184">
      <c r="A184">
        <f>IF('Ügyfelek'!A184="","",'Ügyfelek'!A184)</f>
        <v/>
      </c>
      <c r="B184">
        <f>IF($A184="","",IF('Ügyfelek'!B184="",'Beállítások'!$B$84,IFERROR(VLOOKUP(TRIM('Ügyfelek'!B184),'Beállítások'!$A$51:$B$59,2,FALSE),'Beállítások'!$B$84)))</f>
        <v/>
      </c>
      <c r="C184">
        <f>IF($A184="","",IF('Ügyfelek'!C184="",'Beállítások'!$B$84,MIN(10,MAX(1,ROUND('Ügyfelek'!C184,0)))))</f>
        <v/>
      </c>
      <c r="D184">
        <f>IF($A184="","",IF('Ügyfelek'!D184="",'Beállítások'!$B$84,MIN(10,MAX(1,ROUND('Ügyfelek'!D184,0)))))</f>
        <v/>
      </c>
      <c r="E184">
        <f>IF($A184="","",IF('Ügyfelek'!E184="",'Beállítások'!$B$84,MIN(10,MAX(1,ROUND('Ügyfelek'!E184,0)))))</f>
        <v/>
      </c>
      <c r="F184">
        <f>IF($A184="","",IF('Ügyfelek'!F184="",'Beállítások'!$B$84,MIN(10,MAX(1,ROUND('Ügyfelek'!F184,0)))))</f>
        <v/>
      </c>
      <c r="G184">
        <f>IF($A184="","",IF('Ügyfelek'!G184="",'Beállítások'!$B$84,MIN(10,MAX(1,ROUND('Ügyfelek'!G184,0)))))</f>
        <v/>
      </c>
      <c r="H184">
        <f>IF($A184="","",IF('Ügyfelek'!H184="",'Beállítások'!$B$84,MIN(10,MAX(1,ROUND('Ügyfelek'!H184,0)))))</f>
        <v/>
      </c>
      <c r="I184">
        <f>IF($A184="","",IF('Ügyfelek'!I184="",'Beállítások'!$B$84,MIN(10,MAX(1,ROUND('Ügyfelek'!I184,0)))))</f>
        <v/>
      </c>
      <c r="J184">
        <f>IF($A184="","",IF('Ügyfelek'!J184="",'Beállítások'!$B$84,MIN(10,MAX(1,ROUND('Ügyfelek'!J184,0)))))</f>
        <v/>
      </c>
      <c r="K184">
        <f>IF($A184="","",IF('Ügyfelek'!K184="",'Beállítások'!$B$84,MIN(10,MAX(1,ROUND('Ügyfelek'!K184,0)))))</f>
        <v/>
      </c>
      <c r="L184">
        <f>IF($A184="","",IF('Ügyfelek'!L184="",'Beállítások'!$B$84,MIN(10,MAX(1,ROUND('Ügyfelek'!L184,0)))))</f>
        <v/>
      </c>
      <c r="M184">
        <f>IF($A184="","",IF('Ügyfelek'!M184="",'Beállítások'!$B$84,MIN(10,MAX(1,ROUND('Ügyfelek'!M184,0)))))</f>
        <v/>
      </c>
      <c r="N184">
        <f>IF($A184="","",IF('Ügyfelek'!N184="",'Beállítások'!$B$84,MIN(10,MAX(1,ROUND('Ügyfelek'!N184,0)))))</f>
        <v/>
      </c>
      <c r="O184">
        <f>IF($A184="","",IF('Ügyfelek'!O184="",'Beállítások'!$B$84,MIN(10,MAX(1,ROUND('Ügyfelek'!O184,0)))))</f>
        <v/>
      </c>
      <c r="P184">
        <f>IF($A184="","",IF('Ügyfelek'!P184="",'Beállítások'!$B$84,MIN(10,MAX(1,ROUND('Ügyfelek'!P184,0)))))</f>
        <v/>
      </c>
      <c r="Q184">
        <f>IF($A184="","",IF('Ügyfelek'!Q184="",'Beállítások'!$B$84,MIN(10,MAX(1,ROUND('Ügyfelek'!Q184,0)))))</f>
        <v/>
      </c>
      <c r="R184">
        <f>IF($A184="","",IF('Ügyfelek'!R184="",'Beállítások'!$B$84,MIN(10,MAX(1,ROUND('Ügyfelek'!R184,0)))))</f>
        <v/>
      </c>
      <c r="S184">
        <f>IF($A184="","",IF('Ügyfelek'!S184="",'Beállítások'!$B$84,MIN(10,MAX(1,ROUND('Ügyfelek'!S184,0)))))</f>
        <v/>
      </c>
      <c r="T184">
        <f>IF($A184="","",IF('Ügyfelek'!T184="",'Beállítások'!$B$84,VLOOKUP(MAX('Ügyfelek'!T184,'Beállítások'!$H$7),'Beállítások'!$H$7:$I$12,2,TRUE)))</f>
        <v/>
      </c>
      <c r="U184">
        <f>IF($A184="","",IF('Ügyfelek'!U184="",'Beállítások'!$B$84,VLOOKUP(MAX('Ügyfelek'!U184,'Beállítások'!$K$7),'Beállítások'!$K$7:$L$12,2,TRUE)))</f>
        <v/>
      </c>
      <c r="V184">
        <f>IF($A184="","",IF('Ügyfelek'!V184="",'Beállítások'!$B$84,MIN(10,MAX(1,ROUND('Ügyfelek'!V184,0)))))</f>
        <v/>
      </c>
      <c r="W184">
        <f>IF($A184="","",IF('Ügyfelek'!W184="",'Beállítások'!$B$84,VLOOKUP(MAX('Ügyfelek'!W184,'Beállítások'!$N$7),'Beállítások'!$N$7:$O$12,2,TRUE)))</f>
        <v/>
      </c>
      <c r="X184">
        <f>IF($A184="","",IF('Ügyfelek'!X184="",'Beállítások'!$B$84,MIN(10,MAX(1,ROUND('Ügyfelek'!X184,0)))))</f>
        <v/>
      </c>
      <c r="Y184">
        <f>IF($A184="","",IF('Ügyfelek'!Y184="",'Beállítások'!$B$84,IFERROR(VLOOKUP(TRIM('Ügyfelek'!Y184),'Beállítások'!$A$63:$B$69,2,FALSE),'Beállítások'!$B$84)))</f>
        <v/>
      </c>
      <c r="Z184">
        <f>IF($A184="","",IF('Ügyfelek'!Z184="",'Beállítások'!$B$84,VLOOKUP(MAX('Ügyfelek'!Z184,'Beállítások'!$Q$7),'Beállítások'!$Q$7:$R$12,2,TRUE)))</f>
        <v/>
      </c>
      <c r="AA184">
        <f>IF($A184="","",IF('Ügyfelek'!AA184="",'Beállítások'!$B$84,VLOOKUP(MAX('Ügyfelek'!AA184,'Beállítások'!$T$7),'Beállítások'!$T$7:$U$12,2,TRUE)))</f>
        <v/>
      </c>
      <c r="AB184">
        <f>IF($A184="","",IF('Ügyfelek'!AB184="",'Beállítások'!$B$84,MIN(10,MAX(1,ROUND('Ügyfelek'!AB184,0)))))</f>
        <v/>
      </c>
      <c r="AC184">
        <f>IF($A184="","",IF('Ügyfelek'!AC184="",'Beállítások'!$B$84,MIN(10,MAX(1,ROUND('Ügyfelek'!AC184,0)))))</f>
        <v/>
      </c>
      <c r="AD184">
        <f>IF($A184="","",IF('Ügyfelek'!AD184="",'Beállítások'!$B$84,MIN(10,MAX(1,ROUND('Ügyfelek'!AD184,0)))))</f>
        <v/>
      </c>
      <c r="AE184">
        <f>IF($A184="","",IF('Ügyfelek'!AE184="",'Beállítások'!$B$84,MIN(10,MAX(1,ROUND('Ügyfelek'!AE184,0)))))</f>
        <v/>
      </c>
      <c r="AF184">
        <f>IF($A184="","",IF('Ügyfelek'!AF184="",'Beállítások'!$B$84,MIN(10,MAX(1,ROUND('Ügyfelek'!AF184,0)))))</f>
        <v/>
      </c>
      <c r="AG184">
        <f>IF($A184="","",IF('Ügyfelek'!AG184="",'Beállítások'!$B$84,MIN(10,MAX(1,ROUND('Ügyfelek'!AG184,0)))))</f>
        <v/>
      </c>
      <c r="AH184">
        <f>IF($A184="","",IF('Ügyfelek'!AH184="",'Beállítások'!$B$84,IFERROR(VLOOKUP(TRIM('Ügyfelek'!AH184),'Beállítások'!$A$73:$B$79,2,FALSE),'Beállítások'!$B$84)))</f>
        <v/>
      </c>
      <c r="AI184" s="23">
        <f>IF($A184="","",ROUND(100*('Beállítások'!$E$6*(B184-1)+'Beállítások'!$E$7*(C184-1))/(9*'Beállítások'!$B$43),1))</f>
        <v/>
      </c>
      <c r="AJ184" s="23">
        <f>IF($A184="","",ROUND(100*('Beállítások'!$E$8*(D184-1)+'Beállítások'!$E$9*(E184-1)+'Beállítások'!$E$10*(F184-1)+'Beállítások'!$E$11*(G184-1)+'Beállítások'!$E$12*(H184-1)+'Beállítások'!$E$13*(I184-1)+'Beállítások'!$E$14*(J184-1)+'Beállítások'!$E$15*(K184-1)+'Beállítások'!$E$16*(L184-1)+'Beállítások'!$E$17*(M184-1)+'Beállítások'!$E$18*(N184-1)+'Beállítások'!$E$19*(O184-1)+'Beállítások'!$E$20*(P184-1)+'Beállítások'!$E$21*(Q184-1)+'Beállítások'!$E$22*(R184-1))/(9*'Beállítások'!$B$44),1))</f>
        <v/>
      </c>
      <c r="AK184" s="23">
        <f>IF($A184="","",ROUND(100*('Beállítások'!$E$23*(S184-1)+'Beállítások'!$E$24*(T184-1)+'Beállítások'!$E$25*(U184-1)+'Beállítások'!$E$26*(V184-1)+'Beállítások'!$E$27*(W184-1)+'Beállítások'!$E$28*(X184-1)+'Beállítások'!$E$29*(Y184-1))/(9*'Beállítások'!$B$45),1))</f>
        <v/>
      </c>
      <c r="AL184" s="23">
        <f>IF($A184="","",ROUND(100*('Beállítások'!$E$30*(Z184-1)+'Beállítások'!$E$31*(AA184-1)+'Beállítások'!$E$32*(AB184-1)+'Beállítások'!$E$33*(AC184-1)+'Beállítások'!$E$34*(AD184-1)+'Beállítások'!$E$35*(AE184-1)+'Beállítások'!$E$36*(AF184-1)+'Beállítások'!$E$37*(AG184-1)+'Beállítások'!$E$38*(AH184-1))/(9*'Beállítások'!$B$46),1))</f>
        <v/>
      </c>
      <c r="AM184" s="23">
        <f>IF($A184="","",ROUND(100*('Beállítások'!$E$6*(B184-1)+'Beállítások'!$E$7*(C184-1)+'Beállítások'!$E$8*(D184-1)+'Beállítások'!$E$9*(E184-1)+'Beállítások'!$E$10*(F184-1)+'Beállítások'!$E$11*(G184-1)+'Beállítások'!$E$12*(H184-1)+'Beállítások'!$E$13*(I184-1)+'Beállítások'!$E$14*(J184-1)+'Beállítások'!$E$15*(K184-1)+'Beállítások'!$E$16*(L184-1)+'Beállítások'!$E$17*(M184-1)+'Beállítások'!$E$18*(N184-1)+'Beállítások'!$E$19*(O184-1)+'Beállítások'!$E$20*(P184-1)+'Beállítások'!$E$21*(Q184-1)+'Beállítások'!$E$22*(R184-1)+'Beállítások'!$E$23*(S184-1)+'Beállítások'!$E$24*(T184-1)+'Beállítások'!$E$25*(U184-1)+'Beállítások'!$E$26*(V184-1)+'Beállítások'!$E$27*(W184-1)+'Beállítások'!$E$28*(X184-1)+'Beállítások'!$E$29*(Y184-1)+'Beállítások'!$E$30*(Z184-1)+'Beállítások'!$E$31*(AA184-1)+'Beállítások'!$E$32*(AB184-1)+'Beállítások'!$E$33*(AC184-1)+'Beállítások'!$E$34*(AD184-1)+'Beállítások'!$E$35*(AE184-1)+'Beállítások'!$E$36*(AF184-1)+'Beállítások'!$E$37*(AG184-1)+'Beállítások'!$E$38*(AH184-1))/(9*'Beállítások'!$E$39),1))</f>
        <v/>
      </c>
      <c r="AN184" s="23">
        <f>IF($A184="","",ROUND(100*('Beállítások'!$E$8*(D184-1)+'Beállítások'!$E$9*(E184-1)+'Beállítások'!$E$10*(F184-1)+'Beállítások'!$E$11*(G184-1)+'Beállítások'!$E$12*(H184-1)+'Beállítások'!$E$13*(I184-1)+'Beállítások'!$E$14*(J184-1)+'Beállítások'!$E$15*(K184-1)+'Beállítások'!$E$16*(L184-1)+'Beállítások'!$E$17*(M184-1)+'Beállítások'!$E$18*(N184-1)+'Beállítások'!$E$19*(O184-1)+'Beállítások'!$E$20*(P184-1)+'Beállítások'!$E$21*(Q184-1)+'Beállítások'!$E$22*(R184-1)+'Beállítások'!$E$23*(S184-1)+'Beállítások'!$E$24*(T184-1)+'Beállítások'!$E$25*(U184-1)+'Beállítások'!$E$26*(V184-1)+'Beállítások'!$E$27*(W184-1)+'Beállítások'!$E$28*(X184-1)+'Beállítások'!$E$29*(Y184-1))/(9*('Beállítások'!$B$44+'Beállítások'!$B$45)),1))</f>
        <v/>
      </c>
      <c r="AO184" s="24">
        <f>IF($A184="","",RANK(AM184,$AM$2:$AM$201))</f>
        <v/>
      </c>
      <c r="AP184">
        <f>IF($A184="","",IF(OR(AND('Ügyfelek'!B184&lt;&gt;"",B184&lt;='Beállítások'!$B$85),AND('Ügyfelek'!C184&lt;&gt;"",C184&lt;='Beállítások'!$B$86)),"Igen","Nem"))</f>
        <v/>
      </c>
      <c r="AQ184" s="24">
        <f>IF($A184="","",IF(AP184="Igen",5,IF(AN184&gt;='Beállítások'!$C$108,1,IF(AN184&gt;='Beállítások'!$C$109,2,IF(AN184&gt;='Beállítások'!$C$110,3,IF(AND(AN184&gt;='Beállítások'!$B$87,AI184&gt;='Beállítások'!$B$88,AL184&gt;='Beállítások'!$B$89),4,5))))))</f>
        <v/>
      </c>
      <c r="AR184">
        <f>IF($A184="","",INDEX('Beállítások'!$B$108:$B$112,AQ184))</f>
        <v/>
      </c>
      <c r="AS184">
        <f>IF($A184="","",IF(AQ184=5,"Elutasítjuk",IF(AND(AQ184=4,COUNTIFS('Eredmény'!$AQ$2:$AQ$201,4,'Eredmény'!$DY$2:$DY$201,"&gt;"&amp;DY184)&gt;='Beállítások'!$B$90),"Várólista (a 4-es hely foglalt)","Elfogadjuk")))</f>
        <v/>
      </c>
      <c r="AT184">
        <f>IF($A184="","",INDEX('Beállítások'!$F$108:$F$112,AQ184))</f>
        <v/>
      </c>
      <c r="AU184">
        <f>IF($A184="","",INDEX('Beállítások'!$B$6:$B$38,MATCH(MAX(BK184:CQ184),BK184:CQ184,0)))</f>
        <v/>
      </c>
      <c r="AV184">
        <f>IF($A184="","",IF(MAX(CR184:DX184)=0,"—",INDEX('Beállítások'!$B$6:$B$38,MATCH(MAX(CR184:DX184),CR184:DX184,0))))</f>
        <v/>
      </c>
      <c r="AW184" s="10">
        <f>IF($A184="","",'Beállítások'!$B$94*(TRIM('Ügyfelek'!AI184)="igen")+'Beállítások'!$B$95*(TRIM('Ügyfelek'!AJ184)="igen")+'Beállítások'!$B$96*N('Ügyfelek'!AK184)+'Beállítások'!$B$93*N('Ügyfelek'!AL184))</f>
        <v/>
      </c>
      <c r="AX184" s="25">
        <f>IF(OR($A184="",AQ184=5),"",INDEX('Beállítások'!$D$108:$D$112,AQ184))</f>
        <v/>
      </c>
      <c r="AY184" s="10">
        <f>IF($A184="","",N('Ügyfelek'!U184)*'Beállítások'!$B$98)</f>
        <v/>
      </c>
      <c r="AZ184" s="10">
        <f>IF(OR($A184="",AQ184=5),"",CEILING(ROUND(MAX('Beállítások'!$B$97,AW184*AX184,AY184),2),'Beállítások'!$B$99))</f>
        <v/>
      </c>
      <c r="BA184">
        <f>IF($A184="","",IF(AQ184=5,"Elutasítva",IF(MAX('Beállítások'!$B$97,AW184*AX184,AY184)=AW184*AX184,"Munkaigény × státuszszorzó",IF(MAX('Beállítások'!$B$97,AW184*AX184,AY184)=AY184,"Hirdetési keret arányában","Minimumdíj"))))</f>
        <v/>
      </c>
      <c r="BB184" s="10">
        <f>IF(OR($A184="",'Ügyfelek'!AM184=""),"",'Ügyfelek'!AM184)</f>
        <v/>
      </c>
      <c r="BC184" s="10">
        <f>IF(OR(BB184="",AZ184=""),"",AZ184-BB184)</f>
        <v/>
      </c>
      <c r="BD184" s="18">
        <f>IF(OR(BB184="",AZ184="",BB184=0),"",BC184/BB184)</f>
        <v/>
      </c>
      <c r="BE184">
        <f>IF(OR($A184="",AQ184=5),"",IF(AND(INDEX('Beállítások'!$E$108:$E$112,AQ184)&gt;0,Y184&gt;='Beállítások'!$B$91),"Igen","Nem"))</f>
        <v/>
      </c>
      <c r="BF184" s="10">
        <f>IF(BE184="Igen",CEILING(ROUND(AZ184*(1-'Beállítások'!$B$92),2),'Beállítások'!$B$99),"")</f>
        <v/>
      </c>
      <c r="BG184" s="20">
        <f>IF(BE184="Igen",INDEX('Beállítások'!$E$108:$E$112,AQ184),"")</f>
        <v/>
      </c>
      <c r="BH184" s="10">
        <f>IF(OR(BE184&lt;&gt;"Igen",'Ügyfelek'!AN184=""),"",'Ügyfelek'!AN184*BG184)</f>
        <v/>
      </c>
      <c r="BI184" s="24">
        <f>IF($A184="","",('Ügyfelek'!B184="")+('Ügyfelek'!C184="")+('Ügyfelek'!D184="")+('Ügyfelek'!E184="")+('Ügyfelek'!F184="")+('Ügyfelek'!G184="")+('Ügyfelek'!H184="")+('Ügyfelek'!I184="")+('Ügyfelek'!J184="")+('Ügyfelek'!K184="")+('Ügyfelek'!L184="")+('Ügyfelek'!M184="")+('Ügyfelek'!N184="")+('Ügyfelek'!O184="")+('Ügyfelek'!P184="")+('Ügyfelek'!Q184="")+('Ügyfelek'!R184="")+('Ügyfelek'!S184="")+('Ügyfelek'!T184="")+('Ügyfelek'!U184="")+('Ügyfelek'!V184="")+('Ügyfelek'!W184="")+('Ügyfelek'!X184="")+('Ügyfelek'!Y184="")+('Ügyfelek'!Z184="")+('Ügyfelek'!AA184="")+('Ügyfelek'!AB184="")+('Ügyfelek'!AC184="")+('Ügyfelek'!AD184="")+('Ügyfelek'!AE184="")+('Ügyfelek'!AF184="")+('Ügyfelek'!AG184="")+('Ügyfelek'!AH184=""))</f>
        <v/>
      </c>
      <c r="BK184">
        <f>IF($A184="","",B184+'Beállítások'!$E$6/1000)</f>
        <v/>
      </c>
      <c r="BL184">
        <f>IF($A184="","",C184+'Beállítások'!$E$7/1000)</f>
        <v/>
      </c>
      <c r="BM184">
        <f>IF($A184="","",D184+'Beállítások'!$E$8/1000)</f>
        <v/>
      </c>
      <c r="BN184">
        <f>IF($A184="","",E184+'Beállítások'!$E$9/1000)</f>
        <v/>
      </c>
      <c r="BO184">
        <f>IF($A184="","",F184+'Beállítások'!$E$10/1000)</f>
        <v/>
      </c>
      <c r="BP184">
        <f>IF($A184="","",G184+'Beállítások'!$E$11/1000)</f>
        <v/>
      </c>
      <c r="BQ184">
        <f>IF($A184="","",H184+'Beállítások'!$E$12/1000)</f>
        <v/>
      </c>
      <c r="BR184">
        <f>IF($A184="","",I184+'Beállítások'!$E$13/1000)</f>
        <v/>
      </c>
      <c r="BS184">
        <f>IF($A184="","",J184+'Beállítások'!$E$14/1000)</f>
        <v/>
      </c>
      <c r="BT184">
        <f>IF($A184="","",K184+'Beállítások'!$E$15/1000)</f>
        <v/>
      </c>
      <c r="BU184">
        <f>IF($A184="","",L184+'Beállítások'!$E$16/1000)</f>
        <v/>
      </c>
      <c r="BV184">
        <f>IF($A184="","",M184+'Beállítások'!$E$17/1000)</f>
        <v/>
      </c>
      <c r="BW184">
        <f>IF($A184="","",N184+'Beállítások'!$E$18/1000)</f>
        <v/>
      </c>
      <c r="BX184">
        <f>IF($A184="","",O184+'Beállítások'!$E$19/1000)</f>
        <v/>
      </c>
      <c r="BY184">
        <f>IF($A184="","",P184+'Beállítások'!$E$20/1000)</f>
        <v/>
      </c>
      <c r="BZ184">
        <f>IF($A184="","",Q184+'Beállítások'!$E$21/1000)</f>
        <v/>
      </c>
      <c r="CA184">
        <f>IF($A184="","",R184+'Beállítások'!$E$22/1000)</f>
        <v/>
      </c>
      <c r="CB184">
        <f>IF($A184="","",S184+'Beállítások'!$E$23/1000)</f>
        <v/>
      </c>
      <c r="CC184">
        <f>IF($A184="","",T184+'Beállítások'!$E$24/1000)</f>
        <v/>
      </c>
      <c r="CD184">
        <f>IF($A184="","",U184+'Beállítások'!$E$25/1000)</f>
        <v/>
      </c>
      <c r="CE184">
        <f>IF($A184="","",V184+'Beállítások'!$E$26/1000)</f>
        <v/>
      </c>
      <c r="CF184">
        <f>IF($A184="","",W184+'Beállítások'!$E$27/1000)</f>
        <v/>
      </c>
      <c r="CG184">
        <f>IF($A184="","",X184+'Beállítások'!$E$28/1000)</f>
        <v/>
      </c>
      <c r="CH184">
        <f>IF($A184="","",Y184+'Beállítások'!$E$29/1000)</f>
        <v/>
      </c>
      <c r="CI184">
        <f>IF($A184="","",Z184+'Beállítások'!$E$30/1000)</f>
        <v/>
      </c>
      <c r="CJ184">
        <f>IF($A184="","",AA184+'Beállítások'!$E$31/1000)</f>
        <v/>
      </c>
      <c r="CK184">
        <f>IF($A184="","",AB184+'Beállítások'!$E$32/1000)</f>
        <v/>
      </c>
      <c r="CL184">
        <f>IF($A184="","",AC184+'Beállítások'!$E$33/1000)</f>
        <v/>
      </c>
      <c r="CM184">
        <f>IF($A184="","",AD184+'Beállítások'!$E$34/1000)</f>
        <v/>
      </c>
      <c r="CN184">
        <f>IF($A184="","",AE184+'Beállítások'!$E$35/1000)</f>
        <v/>
      </c>
      <c r="CO184">
        <f>IF($A184="","",AF184+'Beállítások'!$E$36/1000)</f>
        <v/>
      </c>
      <c r="CP184">
        <f>IF($A184="","",AG184+'Beállítások'!$E$37/1000)</f>
        <v/>
      </c>
      <c r="CQ184">
        <f>IF($A184="","",AH184+'Beállítások'!$E$38/1000)</f>
        <v/>
      </c>
      <c r="CR184">
        <f>IF($A184="","",'Beállítások'!$E$6*(10-B184))</f>
        <v/>
      </c>
      <c r="CS184">
        <f>IF($A184="","",'Beállítások'!$E$7*(10-C184))</f>
        <v/>
      </c>
      <c r="CT184">
        <f>IF($A184="","",'Beállítások'!$E$8*(10-D184))</f>
        <v/>
      </c>
      <c r="CU184">
        <f>IF($A184="","",'Beállítások'!$E$9*(10-E184))</f>
        <v/>
      </c>
      <c r="CV184">
        <f>IF($A184="","",'Beállítások'!$E$10*(10-F184))</f>
        <v/>
      </c>
      <c r="CW184">
        <f>IF($A184="","",'Beállítások'!$E$11*(10-G184))</f>
        <v/>
      </c>
      <c r="CX184">
        <f>IF($A184="","",'Beállítások'!$E$12*(10-H184))</f>
        <v/>
      </c>
      <c r="CY184">
        <f>IF($A184="","",'Beállítások'!$E$13*(10-I184))</f>
        <v/>
      </c>
      <c r="CZ184">
        <f>IF($A184="","",'Beállítások'!$E$14*(10-J184))</f>
        <v/>
      </c>
      <c r="DA184">
        <f>IF($A184="","",'Beállítások'!$E$15*(10-K184))</f>
        <v/>
      </c>
      <c r="DB184">
        <f>IF($A184="","",'Beállítások'!$E$16*(10-L184))</f>
        <v/>
      </c>
      <c r="DC184">
        <f>IF($A184="","",'Beállítások'!$E$17*(10-M184))</f>
        <v/>
      </c>
      <c r="DD184">
        <f>IF($A184="","",'Beállítások'!$E$18*(10-N184))</f>
        <v/>
      </c>
      <c r="DE184">
        <f>IF($A184="","",'Beállítások'!$E$19*(10-O184))</f>
        <v/>
      </c>
      <c r="DF184">
        <f>IF($A184="","",'Beállítások'!$E$20*(10-P184))</f>
        <v/>
      </c>
      <c r="DG184">
        <f>IF($A184="","",'Beállítások'!$E$21*(10-Q184))</f>
        <v/>
      </c>
      <c r="DH184">
        <f>IF($A184="","",'Beállítások'!$E$22*(10-R184))</f>
        <v/>
      </c>
      <c r="DI184">
        <f>IF($A184="","",'Beállítások'!$E$23*(10-S184))</f>
        <v/>
      </c>
      <c r="DJ184">
        <f>IF($A184="","",'Beállítások'!$E$24*(10-T184))</f>
        <v/>
      </c>
      <c r="DK184">
        <f>IF($A184="","",'Beállítások'!$E$25*(10-U184))</f>
        <v/>
      </c>
      <c r="DL184">
        <f>IF($A184="","",'Beállítások'!$E$26*(10-V184))</f>
        <v/>
      </c>
      <c r="DM184">
        <f>IF($A184="","",'Beállítások'!$E$27*(10-W184))</f>
        <v/>
      </c>
      <c r="DN184">
        <f>IF($A184="","",'Beállítások'!$E$28*(10-X184))</f>
        <v/>
      </c>
      <c r="DO184">
        <f>IF($A184="","",'Beállítások'!$E$29*(10-Y184))</f>
        <v/>
      </c>
      <c r="DP184">
        <f>IF($A184="","",'Beállítások'!$E$30*(10-Z184))</f>
        <v/>
      </c>
      <c r="DQ184">
        <f>IF($A184="","",'Beállítások'!$E$31*(10-AA184))</f>
        <v/>
      </c>
      <c r="DR184">
        <f>IF($A184="","",'Beállítások'!$E$32*(10-AB184))</f>
        <v/>
      </c>
      <c r="DS184">
        <f>IF($A184="","",'Beállítások'!$E$33*(10-AC184))</f>
        <v/>
      </c>
      <c r="DT184">
        <f>IF($A184="","",'Beállítások'!$E$34*(10-AD184))</f>
        <v/>
      </c>
      <c r="DU184">
        <f>IF($A184="","",'Beállítások'!$E$35*(10-AE184))</f>
        <v/>
      </c>
      <c r="DV184">
        <f>IF($A184="","",'Beállítások'!$E$36*(10-AF184))</f>
        <v/>
      </c>
      <c r="DW184">
        <f>IF($A184="","",'Beállítások'!$E$37*(10-AG184))</f>
        <v/>
      </c>
      <c r="DX184">
        <f>IF($A184="","",'Beállítások'!$E$38*(10-AH184))</f>
        <v/>
      </c>
      <c r="DY184">
        <f>IF($A184="","",AM184-ROW()/100000)</f>
        <v/>
      </c>
    </row>
    <row r="185">
      <c r="A185">
        <f>IF('Ügyfelek'!A185="","",'Ügyfelek'!A185)</f>
        <v/>
      </c>
      <c r="B185">
        <f>IF($A185="","",IF('Ügyfelek'!B185="",'Beállítások'!$B$84,IFERROR(VLOOKUP(TRIM('Ügyfelek'!B185),'Beállítások'!$A$51:$B$59,2,FALSE),'Beállítások'!$B$84)))</f>
        <v/>
      </c>
      <c r="C185">
        <f>IF($A185="","",IF('Ügyfelek'!C185="",'Beállítások'!$B$84,MIN(10,MAX(1,ROUND('Ügyfelek'!C185,0)))))</f>
        <v/>
      </c>
      <c r="D185">
        <f>IF($A185="","",IF('Ügyfelek'!D185="",'Beállítások'!$B$84,MIN(10,MAX(1,ROUND('Ügyfelek'!D185,0)))))</f>
        <v/>
      </c>
      <c r="E185">
        <f>IF($A185="","",IF('Ügyfelek'!E185="",'Beállítások'!$B$84,MIN(10,MAX(1,ROUND('Ügyfelek'!E185,0)))))</f>
        <v/>
      </c>
      <c r="F185">
        <f>IF($A185="","",IF('Ügyfelek'!F185="",'Beállítások'!$B$84,MIN(10,MAX(1,ROUND('Ügyfelek'!F185,0)))))</f>
        <v/>
      </c>
      <c r="G185">
        <f>IF($A185="","",IF('Ügyfelek'!G185="",'Beállítások'!$B$84,MIN(10,MAX(1,ROUND('Ügyfelek'!G185,0)))))</f>
        <v/>
      </c>
      <c r="H185">
        <f>IF($A185="","",IF('Ügyfelek'!H185="",'Beállítások'!$B$84,MIN(10,MAX(1,ROUND('Ügyfelek'!H185,0)))))</f>
        <v/>
      </c>
      <c r="I185">
        <f>IF($A185="","",IF('Ügyfelek'!I185="",'Beállítások'!$B$84,MIN(10,MAX(1,ROUND('Ügyfelek'!I185,0)))))</f>
        <v/>
      </c>
      <c r="J185">
        <f>IF($A185="","",IF('Ügyfelek'!J185="",'Beállítások'!$B$84,MIN(10,MAX(1,ROUND('Ügyfelek'!J185,0)))))</f>
        <v/>
      </c>
      <c r="K185">
        <f>IF($A185="","",IF('Ügyfelek'!K185="",'Beállítások'!$B$84,MIN(10,MAX(1,ROUND('Ügyfelek'!K185,0)))))</f>
        <v/>
      </c>
      <c r="L185">
        <f>IF($A185="","",IF('Ügyfelek'!L185="",'Beállítások'!$B$84,MIN(10,MAX(1,ROUND('Ügyfelek'!L185,0)))))</f>
        <v/>
      </c>
      <c r="M185">
        <f>IF($A185="","",IF('Ügyfelek'!M185="",'Beállítások'!$B$84,MIN(10,MAX(1,ROUND('Ügyfelek'!M185,0)))))</f>
        <v/>
      </c>
      <c r="N185">
        <f>IF($A185="","",IF('Ügyfelek'!N185="",'Beállítások'!$B$84,MIN(10,MAX(1,ROUND('Ügyfelek'!N185,0)))))</f>
        <v/>
      </c>
      <c r="O185">
        <f>IF($A185="","",IF('Ügyfelek'!O185="",'Beállítások'!$B$84,MIN(10,MAX(1,ROUND('Ügyfelek'!O185,0)))))</f>
        <v/>
      </c>
      <c r="P185">
        <f>IF($A185="","",IF('Ügyfelek'!P185="",'Beállítások'!$B$84,MIN(10,MAX(1,ROUND('Ügyfelek'!P185,0)))))</f>
        <v/>
      </c>
      <c r="Q185">
        <f>IF($A185="","",IF('Ügyfelek'!Q185="",'Beállítások'!$B$84,MIN(10,MAX(1,ROUND('Ügyfelek'!Q185,0)))))</f>
        <v/>
      </c>
      <c r="R185">
        <f>IF($A185="","",IF('Ügyfelek'!R185="",'Beállítások'!$B$84,MIN(10,MAX(1,ROUND('Ügyfelek'!R185,0)))))</f>
        <v/>
      </c>
      <c r="S185">
        <f>IF($A185="","",IF('Ügyfelek'!S185="",'Beállítások'!$B$84,MIN(10,MAX(1,ROUND('Ügyfelek'!S185,0)))))</f>
        <v/>
      </c>
      <c r="T185">
        <f>IF($A185="","",IF('Ügyfelek'!T185="",'Beállítások'!$B$84,VLOOKUP(MAX('Ügyfelek'!T185,'Beállítások'!$H$7),'Beállítások'!$H$7:$I$12,2,TRUE)))</f>
        <v/>
      </c>
      <c r="U185">
        <f>IF($A185="","",IF('Ügyfelek'!U185="",'Beállítások'!$B$84,VLOOKUP(MAX('Ügyfelek'!U185,'Beállítások'!$K$7),'Beállítások'!$K$7:$L$12,2,TRUE)))</f>
        <v/>
      </c>
      <c r="V185">
        <f>IF($A185="","",IF('Ügyfelek'!V185="",'Beállítások'!$B$84,MIN(10,MAX(1,ROUND('Ügyfelek'!V185,0)))))</f>
        <v/>
      </c>
      <c r="W185">
        <f>IF($A185="","",IF('Ügyfelek'!W185="",'Beállítások'!$B$84,VLOOKUP(MAX('Ügyfelek'!W185,'Beállítások'!$N$7),'Beállítások'!$N$7:$O$12,2,TRUE)))</f>
        <v/>
      </c>
      <c r="X185">
        <f>IF($A185="","",IF('Ügyfelek'!X185="",'Beállítások'!$B$84,MIN(10,MAX(1,ROUND('Ügyfelek'!X185,0)))))</f>
        <v/>
      </c>
      <c r="Y185">
        <f>IF($A185="","",IF('Ügyfelek'!Y185="",'Beállítások'!$B$84,IFERROR(VLOOKUP(TRIM('Ügyfelek'!Y185),'Beállítások'!$A$63:$B$69,2,FALSE),'Beállítások'!$B$84)))</f>
        <v/>
      </c>
      <c r="Z185">
        <f>IF($A185="","",IF('Ügyfelek'!Z185="",'Beállítások'!$B$84,VLOOKUP(MAX('Ügyfelek'!Z185,'Beállítások'!$Q$7),'Beállítások'!$Q$7:$R$12,2,TRUE)))</f>
        <v/>
      </c>
      <c r="AA185">
        <f>IF($A185="","",IF('Ügyfelek'!AA185="",'Beállítások'!$B$84,VLOOKUP(MAX('Ügyfelek'!AA185,'Beállítások'!$T$7),'Beállítások'!$T$7:$U$12,2,TRUE)))</f>
        <v/>
      </c>
      <c r="AB185">
        <f>IF($A185="","",IF('Ügyfelek'!AB185="",'Beállítások'!$B$84,MIN(10,MAX(1,ROUND('Ügyfelek'!AB185,0)))))</f>
        <v/>
      </c>
      <c r="AC185">
        <f>IF($A185="","",IF('Ügyfelek'!AC185="",'Beállítások'!$B$84,MIN(10,MAX(1,ROUND('Ügyfelek'!AC185,0)))))</f>
        <v/>
      </c>
      <c r="AD185">
        <f>IF($A185="","",IF('Ügyfelek'!AD185="",'Beállítások'!$B$84,MIN(10,MAX(1,ROUND('Ügyfelek'!AD185,0)))))</f>
        <v/>
      </c>
      <c r="AE185">
        <f>IF($A185="","",IF('Ügyfelek'!AE185="",'Beállítások'!$B$84,MIN(10,MAX(1,ROUND('Ügyfelek'!AE185,0)))))</f>
        <v/>
      </c>
      <c r="AF185">
        <f>IF($A185="","",IF('Ügyfelek'!AF185="",'Beállítások'!$B$84,MIN(10,MAX(1,ROUND('Ügyfelek'!AF185,0)))))</f>
        <v/>
      </c>
      <c r="AG185">
        <f>IF($A185="","",IF('Ügyfelek'!AG185="",'Beállítások'!$B$84,MIN(10,MAX(1,ROUND('Ügyfelek'!AG185,0)))))</f>
        <v/>
      </c>
      <c r="AH185">
        <f>IF($A185="","",IF('Ügyfelek'!AH185="",'Beállítások'!$B$84,IFERROR(VLOOKUP(TRIM('Ügyfelek'!AH185),'Beállítások'!$A$73:$B$79,2,FALSE),'Beállítások'!$B$84)))</f>
        <v/>
      </c>
      <c r="AI185" s="23">
        <f>IF($A185="","",ROUND(100*('Beállítások'!$E$6*(B185-1)+'Beállítások'!$E$7*(C185-1))/(9*'Beállítások'!$B$43),1))</f>
        <v/>
      </c>
      <c r="AJ185" s="23">
        <f>IF($A185="","",ROUND(100*('Beállítások'!$E$8*(D185-1)+'Beállítások'!$E$9*(E185-1)+'Beállítások'!$E$10*(F185-1)+'Beállítások'!$E$11*(G185-1)+'Beállítások'!$E$12*(H185-1)+'Beállítások'!$E$13*(I185-1)+'Beállítások'!$E$14*(J185-1)+'Beállítások'!$E$15*(K185-1)+'Beállítások'!$E$16*(L185-1)+'Beállítások'!$E$17*(M185-1)+'Beállítások'!$E$18*(N185-1)+'Beállítások'!$E$19*(O185-1)+'Beállítások'!$E$20*(P185-1)+'Beállítások'!$E$21*(Q185-1)+'Beállítások'!$E$22*(R185-1))/(9*'Beállítások'!$B$44),1))</f>
        <v/>
      </c>
      <c r="AK185" s="23">
        <f>IF($A185="","",ROUND(100*('Beállítások'!$E$23*(S185-1)+'Beállítások'!$E$24*(T185-1)+'Beállítások'!$E$25*(U185-1)+'Beállítások'!$E$26*(V185-1)+'Beállítások'!$E$27*(W185-1)+'Beállítások'!$E$28*(X185-1)+'Beállítások'!$E$29*(Y185-1))/(9*'Beállítások'!$B$45),1))</f>
        <v/>
      </c>
      <c r="AL185" s="23">
        <f>IF($A185="","",ROUND(100*('Beállítások'!$E$30*(Z185-1)+'Beállítások'!$E$31*(AA185-1)+'Beállítások'!$E$32*(AB185-1)+'Beállítások'!$E$33*(AC185-1)+'Beállítások'!$E$34*(AD185-1)+'Beállítások'!$E$35*(AE185-1)+'Beállítások'!$E$36*(AF185-1)+'Beállítások'!$E$37*(AG185-1)+'Beállítások'!$E$38*(AH185-1))/(9*'Beállítások'!$B$46),1))</f>
        <v/>
      </c>
      <c r="AM185" s="23">
        <f>IF($A185="","",ROUND(100*('Beállítások'!$E$6*(B185-1)+'Beállítások'!$E$7*(C185-1)+'Beállítások'!$E$8*(D185-1)+'Beállítások'!$E$9*(E185-1)+'Beállítások'!$E$10*(F185-1)+'Beállítások'!$E$11*(G185-1)+'Beállítások'!$E$12*(H185-1)+'Beállítások'!$E$13*(I185-1)+'Beállítások'!$E$14*(J185-1)+'Beállítások'!$E$15*(K185-1)+'Beállítások'!$E$16*(L185-1)+'Beállítások'!$E$17*(M185-1)+'Beállítások'!$E$18*(N185-1)+'Beállítások'!$E$19*(O185-1)+'Beállítások'!$E$20*(P185-1)+'Beállítások'!$E$21*(Q185-1)+'Beállítások'!$E$22*(R185-1)+'Beállítások'!$E$23*(S185-1)+'Beállítások'!$E$24*(T185-1)+'Beállítások'!$E$25*(U185-1)+'Beállítások'!$E$26*(V185-1)+'Beállítások'!$E$27*(W185-1)+'Beállítások'!$E$28*(X185-1)+'Beállítások'!$E$29*(Y185-1)+'Beállítások'!$E$30*(Z185-1)+'Beállítások'!$E$31*(AA185-1)+'Beállítások'!$E$32*(AB185-1)+'Beállítások'!$E$33*(AC185-1)+'Beállítások'!$E$34*(AD185-1)+'Beállítások'!$E$35*(AE185-1)+'Beállítások'!$E$36*(AF185-1)+'Beállítások'!$E$37*(AG185-1)+'Beállítások'!$E$38*(AH185-1))/(9*'Beállítások'!$E$39),1))</f>
        <v/>
      </c>
      <c r="AN185" s="23">
        <f>IF($A185="","",ROUND(100*('Beállítások'!$E$8*(D185-1)+'Beállítások'!$E$9*(E185-1)+'Beállítások'!$E$10*(F185-1)+'Beállítások'!$E$11*(G185-1)+'Beállítások'!$E$12*(H185-1)+'Beállítások'!$E$13*(I185-1)+'Beállítások'!$E$14*(J185-1)+'Beállítások'!$E$15*(K185-1)+'Beállítások'!$E$16*(L185-1)+'Beállítások'!$E$17*(M185-1)+'Beállítások'!$E$18*(N185-1)+'Beállítások'!$E$19*(O185-1)+'Beállítások'!$E$20*(P185-1)+'Beállítások'!$E$21*(Q185-1)+'Beállítások'!$E$22*(R185-1)+'Beállítások'!$E$23*(S185-1)+'Beállítások'!$E$24*(T185-1)+'Beállítások'!$E$25*(U185-1)+'Beállítások'!$E$26*(V185-1)+'Beállítások'!$E$27*(W185-1)+'Beállítások'!$E$28*(X185-1)+'Beállítások'!$E$29*(Y185-1))/(9*('Beállítások'!$B$44+'Beállítások'!$B$45)),1))</f>
        <v/>
      </c>
      <c r="AO185" s="24">
        <f>IF($A185="","",RANK(AM185,$AM$2:$AM$201))</f>
        <v/>
      </c>
      <c r="AP185">
        <f>IF($A185="","",IF(OR(AND('Ügyfelek'!B185&lt;&gt;"",B185&lt;='Beállítások'!$B$85),AND('Ügyfelek'!C185&lt;&gt;"",C185&lt;='Beállítások'!$B$86)),"Igen","Nem"))</f>
        <v/>
      </c>
      <c r="AQ185" s="24">
        <f>IF($A185="","",IF(AP185="Igen",5,IF(AN185&gt;='Beállítások'!$C$108,1,IF(AN185&gt;='Beállítások'!$C$109,2,IF(AN185&gt;='Beállítások'!$C$110,3,IF(AND(AN185&gt;='Beállítások'!$B$87,AI185&gt;='Beállítások'!$B$88,AL185&gt;='Beállítások'!$B$89),4,5))))))</f>
        <v/>
      </c>
      <c r="AR185">
        <f>IF($A185="","",INDEX('Beállítások'!$B$108:$B$112,AQ185))</f>
        <v/>
      </c>
      <c r="AS185">
        <f>IF($A185="","",IF(AQ185=5,"Elutasítjuk",IF(AND(AQ185=4,COUNTIFS('Eredmény'!$AQ$2:$AQ$201,4,'Eredmény'!$DY$2:$DY$201,"&gt;"&amp;DY185)&gt;='Beállítások'!$B$90),"Várólista (a 4-es hely foglalt)","Elfogadjuk")))</f>
        <v/>
      </c>
      <c r="AT185">
        <f>IF($A185="","",INDEX('Beállítások'!$F$108:$F$112,AQ185))</f>
        <v/>
      </c>
      <c r="AU185">
        <f>IF($A185="","",INDEX('Beállítások'!$B$6:$B$38,MATCH(MAX(BK185:CQ185),BK185:CQ185,0)))</f>
        <v/>
      </c>
      <c r="AV185">
        <f>IF($A185="","",IF(MAX(CR185:DX185)=0,"—",INDEX('Beállítások'!$B$6:$B$38,MATCH(MAX(CR185:DX185),CR185:DX185,0))))</f>
        <v/>
      </c>
      <c r="AW185" s="10">
        <f>IF($A185="","",'Beállítások'!$B$94*(TRIM('Ügyfelek'!AI185)="igen")+'Beállítások'!$B$95*(TRIM('Ügyfelek'!AJ185)="igen")+'Beállítások'!$B$96*N('Ügyfelek'!AK185)+'Beállítások'!$B$93*N('Ügyfelek'!AL185))</f>
        <v/>
      </c>
      <c r="AX185" s="25">
        <f>IF(OR($A185="",AQ185=5),"",INDEX('Beállítások'!$D$108:$D$112,AQ185))</f>
        <v/>
      </c>
      <c r="AY185" s="10">
        <f>IF($A185="","",N('Ügyfelek'!U185)*'Beállítások'!$B$98)</f>
        <v/>
      </c>
      <c r="AZ185" s="10">
        <f>IF(OR($A185="",AQ185=5),"",CEILING(ROUND(MAX('Beállítások'!$B$97,AW185*AX185,AY185),2),'Beállítások'!$B$99))</f>
        <v/>
      </c>
      <c r="BA185">
        <f>IF($A185="","",IF(AQ185=5,"Elutasítva",IF(MAX('Beállítások'!$B$97,AW185*AX185,AY185)=AW185*AX185,"Munkaigény × státuszszorzó",IF(MAX('Beállítások'!$B$97,AW185*AX185,AY185)=AY185,"Hirdetési keret arányában","Minimumdíj"))))</f>
        <v/>
      </c>
      <c r="BB185" s="10">
        <f>IF(OR($A185="",'Ügyfelek'!AM185=""),"",'Ügyfelek'!AM185)</f>
        <v/>
      </c>
      <c r="BC185" s="10">
        <f>IF(OR(BB185="",AZ185=""),"",AZ185-BB185)</f>
        <v/>
      </c>
      <c r="BD185" s="18">
        <f>IF(OR(BB185="",AZ185="",BB185=0),"",BC185/BB185)</f>
        <v/>
      </c>
      <c r="BE185">
        <f>IF(OR($A185="",AQ185=5),"",IF(AND(INDEX('Beállítások'!$E$108:$E$112,AQ185)&gt;0,Y185&gt;='Beállítások'!$B$91),"Igen","Nem"))</f>
        <v/>
      </c>
      <c r="BF185" s="10">
        <f>IF(BE185="Igen",CEILING(ROUND(AZ185*(1-'Beállítások'!$B$92),2),'Beállítások'!$B$99),"")</f>
        <v/>
      </c>
      <c r="BG185" s="20">
        <f>IF(BE185="Igen",INDEX('Beállítások'!$E$108:$E$112,AQ185),"")</f>
        <v/>
      </c>
      <c r="BH185" s="10">
        <f>IF(OR(BE185&lt;&gt;"Igen",'Ügyfelek'!AN185=""),"",'Ügyfelek'!AN185*BG185)</f>
        <v/>
      </c>
      <c r="BI185" s="24">
        <f>IF($A185="","",('Ügyfelek'!B185="")+('Ügyfelek'!C185="")+('Ügyfelek'!D185="")+('Ügyfelek'!E185="")+('Ügyfelek'!F185="")+('Ügyfelek'!G185="")+('Ügyfelek'!H185="")+('Ügyfelek'!I185="")+('Ügyfelek'!J185="")+('Ügyfelek'!K185="")+('Ügyfelek'!L185="")+('Ügyfelek'!M185="")+('Ügyfelek'!N185="")+('Ügyfelek'!O185="")+('Ügyfelek'!P185="")+('Ügyfelek'!Q185="")+('Ügyfelek'!R185="")+('Ügyfelek'!S185="")+('Ügyfelek'!T185="")+('Ügyfelek'!U185="")+('Ügyfelek'!V185="")+('Ügyfelek'!W185="")+('Ügyfelek'!X185="")+('Ügyfelek'!Y185="")+('Ügyfelek'!Z185="")+('Ügyfelek'!AA185="")+('Ügyfelek'!AB185="")+('Ügyfelek'!AC185="")+('Ügyfelek'!AD185="")+('Ügyfelek'!AE185="")+('Ügyfelek'!AF185="")+('Ügyfelek'!AG185="")+('Ügyfelek'!AH185=""))</f>
        <v/>
      </c>
      <c r="BK185">
        <f>IF($A185="","",B185+'Beállítások'!$E$6/1000)</f>
        <v/>
      </c>
      <c r="BL185">
        <f>IF($A185="","",C185+'Beállítások'!$E$7/1000)</f>
        <v/>
      </c>
      <c r="BM185">
        <f>IF($A185="","",D185+'Beállítások'!$E$8/1000)</f>
        <v/>
      </c>
      <c r="BN185">
        <f>IF($A185="","",E185+'Beállítások'!$E$9/1000)</f>
        <v/>
      </c>
      <c r="BO185">
        <f>IF($A185="","",F185+'Beállítások'!$E$10/1000)</f>
        <v/>
      </c>
      <c r="BP185">
        <f>IF($A185="","",G185+'Beállítások'!$E$11/1000)</f>
        <v/>
      </c>
      <c r="BQ185">
        <f>IF($A185="","",H185+'Beállítások'!$E$12/1000)</f>
        <v/>
      </c>
      <c r="BR185">
        <f>IF($A185="","",I185+'Beállítások'!$E$13/1000)</f>
        <v/>
      </c>
      <c r="BS185">
        <f>IF($A185="","",J185+'Beállítások'!$E$14/1000)</f>
        <v/>
      </c>
      <c r="BT185">
        <f>IF($A185="","",K185+'Beállítások'!$E$15/1000)</f>
        <v/>
      </c>
      <c r="BU185">
        <f>IF($A185="","",L185+'Beállítások'!$E$16/1000)</f>
        <v/>
      </c>
      <c r="BV185">
        <f>IF($A185="","",M185+'Beállítások'!$E$17/1000)</f>
        <v/>
      </c>
      <c r="BW185">
        <f>IF($A185="","",N185+'Beállítások'!$E$18/1000)</f>
        <v/>
      </c>
      <c r="BX185">
        <f>IF($A185="","",O185+'Beállítások'!$E$19/1000)</f>
        <v/>
      </c>
      <c r="BY185">
        <f>IF($A185="","",P185+'Beállítások'!$E$20/1000)</f>
        <v/>
      </c>
      <c r="BZ185">
        <f>IF($A185="","",Q185+'Beállítások'!$E$21/1000)</f>
        <v/>
      </c>
      <c r="CA185">
        <f>IF($A185="","",R185+'Beállítások'!$E$22/1000)</f>
        <v/>
      </c>
      <c r="CB185">
        <f>IF($A185="","",S185+'Beállítások'!$E$23/1000)</f>
        <v/>
      </c>
      <c r="CC185">
        <f>IF($A185="","",T185+'Beállítások'!$E$24/1000)</f>
        <v/>
      </c>
      <c r="CD185">
        <f>IF($A185="","",U185+'Beállítások'!$E$25/1000)</f>
        <v/>
      </c>
      <c r="CE185">
        <f>IF($A185="","",V185+'Beállítások'!$E$26/1000)</f>
        <v/>
      </c>
      <c r="CF185">
        <f>IF($A185="","",W185+'Beállítások'!$E$27/1000)</f>
        <v/>
      </c>
      <c r="CG185">
        <f>IF($A185="","",X185+'Beállítások'!$E$28/1000)</f>
        <v/>
      </c>
      <c r="CH185">
        <f>IF($A185="","",Y185+'Beállítások'!$E$29/1000)</f>
        <v/>
      </c>
      <c r="CI185">
        <f>IF($A185="","",Z185+'Beállítások'!$E$30/1000)</f>
        <v/>
      </c>
      <c r="CJ185">
        <f>IF($A185="","",AA185+'Beállítások'!$E$31/1000)</f>
        <v/>
      </c>
      <c r="CK185">
        <f>IF($A185="","",AB185+'Beállítások'!$E$32/1000)</f>
        <v/>
      </c>
      <c r="CL185">
        <f>IF($A185="","",AC185+'Beállítások'!$E$33/1000)</f>
        <v/>
      </c>
      <c r="CM185">
        <f>IF($A185="","",AD185+'Beállítások'!$E$34/1000)</f>
        <v/>
      </c>
      <c r="CN185">
        <f>IF($A185="","",AE185+'Beállítások'!$E$35/1000)</f>
        <v/>
      </c>
      <c r="CO185">
        <f>IF($A185="","",AF185+'Beállítások'!$E$36/1000)</f>
        <v/>
      </c>
      <c r="CP185">
        <f>IF($A185="","",AG185+'Beállítások'!$E$37/1000)</f>
        <v/>
      </c>
      <c r="CQ185">
        <f>IF($A185="","",AH185+'Beállítások'!$E$38/1000)</f>
        <v/>
      </c>
      <c r="CR185">
        <f>IF($A185="","",'Beállítások'!$E$6*(10-B185))</f>
        <v/>
      </c>
      <c r="CS185">
        <f>IF($A185="","",'Beállítások'!$E$7*(10-C185))</f>
        <v/>
      </c>
      <c r="CT185">
        <f>IF($A185="","",'Beállítások'!$E$8*(10-D185))</f>
        <v/>
      </c>
      <c r="CU185">
        <f>IF($A185="","",'Beállítások'!$E$9*(10-E185))</f>
        <v/>
      </c>
      <c r="CV185">
        <f>IF($A185="","",'Beállítások'!$E$10*(10-F185))</f>
        <v/>
      </c>
      <c r="CW185">
        <f>IF($A185="","",'Beállítások'!$E$11*(10-G185))</f>
        <v/>
      </c>
      <c r="CX185">
        <f>IF($A185="","",'Beállítások'!$E$12*(10-H185))</f>
        <v/>
      </c>
      <c r="CY185">
        <f>IF($A185="","",'Beállítások'!$E$13*(10-I185))</f>
        <v/>
      </c>
      <c r="CZ185">
        <f>IF($A185="","",'Beállítások'!$E$14*(10-J185))</f>
        <v/>
      </c>
      <c r="DA185">
        <f>IF($A185="","",'Beállítások'!$E$15*(10-K185))</f>
        <v/>
      </c>
      <c r="DB185">
        <f>IF($A185="","",'Beállítások'!$E$16*(10-L185))</f>
        <v/>
      </c>
      <c r="DC185">
        <f>IF($A185="","",'Beállítások'!$E$17*(10-M185))</f>
        <v/>
      </c>
      <c r="DD185">
        <f>IF($A185="","",'Beállítások'!$E$18*(10-N185))</f>
        <v/>
      </c>
      <c r="DE185">
        <f>IF($A185="","",'Beállítások'!$E$19*(10-O185))</f>
        <v/>
      </c>
      <c r="DF185">
        <f>IF($A185="","",'Beállítások'!$E$20*(10-P185))</f>
        <v/>
      </c>
      <c r="DG185">
        <f>IF($A185="","",'Beállítások'!$E$21*(10-Q185))</f>
        <v/>
      </c>
      <c r="DH185">
        <f>IF($A185="","",'Beállítások'!$E$22*(10-R185))</f>
        <v/>
      </c>
      <c r="DI185">
        <f>IF($A185="","",'Beállítások'!$E$23*(10-S185))</f>
        <v/>
      </c>
      <c r="DJ185">
        <f>IF($A185="","",'Beállítások'!$E$24*(10-T185))</f>
        <v/>
      </c>
      <c r="DK185">
        <f>IF($A185="","",'Beállítások'!$E$25*(10-U185))</f>
        <v/>
      </c>
      <c r="DL185">
        <f>IF($A185="","",'Beállítások'!$E$26*(10-V185))</f>
        <v/>
      </c>
      <c r="DM185">
        <f>IF($A185="","",'Beállítások'!$E$27*(10-W185))</f>
        <v/>
      </c>
      <c r="DN185">
        <f>IF($A185="","",'Beállítások'!$E$28*(10-X185))</f>
        <v/>
      </c>
      <c r="DO185">
        <f>IF($A185="","",'Beállítások'!$E$29*(10-Y185))</f>
        <v/>
      </c>
      <c r="DP185">
        <f>IF($A185="","",'Beállítások'!$E$30*(10-Z185))</f>
        <v/>
      </c>
      <c r="DQ185">
        <f>IF($A185="","",'Beállítások'!$E$31*(10-AA185))</f>
        <v/>
      </c>
      <c r="DR185">
        <f>IF($A185="","",'Beállítások'!$E$32*(10-AB185))</f>
        <v/>
      </c>
      <c r="DS185">
        <f>IF($A185="","",'Beállítások'!$E$33*(10-AC185))</f>
        <v/>
      </c>
      <c r="DT185">
        <f>IF($A185="","",'Beállítások'!$E$34*(10-AD185))</f>
        <v/>
      </c>
      <c r="DU185">
        <f>IF($A185="","",'Beállítások'!$E$35*(10-AE185))</f>
        <v/>
      </c>
      <c r="DV185">
        <f>IF($A185="","",'Beállítások'!$E$36*(10-AF185))</f>
        <v/>
      </c>
      <c r="DW185">
        <f>IF($A185="","",'Beállítások'!$E$37*(10-AG185))</f>
        <v/>
      </c>
      <c r="DX185">
        <f>IF($A185="","",'Beállítások'!$E$38*(10-AH185))</f>
        <v/>
      </c>
      <c r="DY185">
        <f>IF($A185="","",AM185-ROW()/100000)</f>
        <v/>
      </c>
    </row>
    <row r="186">
      <c r="A186">
        <f>IF('Ügyfelek'!A186="","",'Ügyfelek'!A186)</f>
        <v/>
      </c>
      <c r="B186">
        <f>IF($A186="","",IF('Ügyfelek'!B186="",'Beállítások'!$B$84,IFERROR(VLOOKUP(TRIM('Ügyfelek'!B186),'Beállítások'!$A$51:$B$59,2,FALSE),'Beállítások'!$B$84)))</f>
        <v/>
      </c>
      <c r="C186">
        <f>IF($A186="","",IF('Ügyfelek'!C186="",'Beállítások'!$B$84,MIN(10,MAX(1,ROUND('Ügyfelek'!C186,0)))))</f>
        <v/>
      </c>
      <c r="D186">
        <f>IF($A186="","",IF('Ügyfelek'!D186="",'Beállítások'!$B$84,MIN(10,MAX(1,ROUND('Ügyfelek'!D186,0)))))</f>
        <v/>
      </c>
      <c r="E186">
        <f>IF($A186="","",IF('Ügyfelek'!E186="",'Beállítások'!$B$84,MIN(10,MAX(1,ROUND('Ügyfelek'!E186,0)))))</f>
        <v/>
      </c>
      <c r="F186">
        <f>IF($A186="","",IF('Ügyfelek'!F186="",'Beállítások'!$B$84,MIN(10,MAX(1,ROUND('Ügyfelek'!F186,0)))))</f>
        <v/>
      </c>
      <c r="G186">
        <f>IF($A186="","",IF('Ügyfelek'!G186="",'Beállítások'!$B$84,MIN(10,MAX(1,ROUND('Ügyfelek'!G186,0)))))</f>
        <v/>
      </c>
      <c r="H186">
        <f>IF($A186="","",IF('Ügyfelek'!H186="",'Beállítások'!$B$84,MIN(10,MAX(1,ROUND('Ügyfelek'!H186,0)))))</f>
        <v/>
      </c>
      <c r="I186">
        <f>IF($A186="","",IF('Ügyfelek'!I186="",'Beállítások'!$B$84,MIN(10,MAX(1,ROUND('Ügyfelek'!I186,0)))))</f>
        <v/>
      </c>
      <c r="J186">
        <f>IF($A186="","",IF('Ügyfelek'!J186="",'Beállítások'!$B$84,MIN(10,MAX(1,ROUND('Ügyfelek'!J186,0)))))</f>
        <v/>
      </c>
      <c r="K186">
        <f>IF($A186="","",IF('Ügyfelek'!K186="",'Beállítások'!$B$84,MIN(10,MAX(1,ROUND('Ügyfelek'!K186,0)))))</f>
        <v/>
      </c>
      <c r="L186">
        <f>IF($A186="","",IF('Ügyfelek'!L186="",'Beállítások'!$B$84,MIN(10,MAX(1,ROUND('Ügyfelek'!L186,0)))))</f>
        <v/>
      </c>
      <c r="M186">
        <f>IF($A186="","",IF('Ügyfelek'!M186="",'Beállítások'!$B$84,MIN(10,MAX(1,ROUND('Ügyfelek'!M186,0)))))</f>
        <v/>
      </c>
      <c r="N186">
        <f>IF($A186="","",IF('Ügyfelek'!N186="",'Beállítások'!$B$84,MIN(10,MAX(1,ROUND('Ügyfelek'!N186,0)))))</f>
        <v/>
      </c>
      <c r="O186">
        <f>IF($A186="","",IF('Ügyfelek'!O186="",'Beállítások'!$B$84,MIN(10,MAX(1,ROUND('Ügyfelek'!O186,0)))))</f>
        <v/>
      </c>
      <c r="P186">
        <f>IF($A186="","",IF('Ügyfelek'!P186="",'Beállítások'!$B$84,MIN(10,MAX(1,ROUND('Ügyfelek'!P186,0)))))</f>
        <v/>
      </c>
      <c r="Q186">
        <f>IF($A186="","",IF('Ügyfelek'!Q186="",'Beállítások'!$B$84,MIN(10,MAX(1,ROUND('Ügyfelek'!Q186,0)))))</f>
        <v/>
      </c>
      <c r="R186">
        <f>IF($A186="","",IF('Ügyfelek'!R186="",'Beállítások'!$B$84,MIN(10,MAX(1,ROUND('Ügyfelek'!R186,0)))))</f>
        <v/>
      </c>
      <c r="S186">
        <f>IF($A186="","",IF('Ügyfelek'!S186="",'Beállítások'!$B$84,MIN(10,MAX(1,ROUND('Ügyfelek'!S186,0)))))</f>
        <v/>
      </c>
      <c r="T186">
        <f>IF($A186="","",IF('Ügyfelek'!T186="",'Beállítások'!$B$84,VLOOKUP(MAX('Ügyfelek'!T186,'Beállítások'!$H$7),'Beállítások'!$H$7:$I$12,2,TRUE)))</f>
        <v/>
      </c>
      <c r="U186">
        <f>IF($A186="","",IF('Ügyfelek'!U186="",'Beállítások'!$B$84,VLOOKUP(MAX('Ügyfelek'!U186,'Beállítások'!$K$7),'Beállítások'!$K$7:$L$12,2,TRUE)))</f>
        <v/>
      </c>
      <c r="V186">
        <f>IF($A186="","",IF('Ügyfelek'!V186="",'Beállítások'!$B$84,MIN(10,MAX(1,ROUND('Ügyfelek'!V186,0)))))</f>
        <v/>
      </c>
      <c r="W186">
        <f>IF($A186="","",IF('Ügyfelek'!W186="",'Beállítások'!$B$84,VLOOKUP(MAX('Ügyfelek'!W186,'Beállítások'!$N$7),'Beállítások'!$N$7:$O$12,2,TRUE)))</f>
        <v/>
      </c>
      <c r="X186">
        <f>IF($A186="","",IF('Ügyfelek'!X186="",'Beállítások'!$B$84,MIN(10,MAX(1,ROUND('Ügyfelek'!X186,0)))))</f>
        <v/>
      </c>
      <c r="Y186">
        <f>IF($A186="","",IF('Ügyfelek'!Y186="",'Beállítások'!$B$84,IFERROR(VLOOKUP(TRIM('Ügyfelek'!Y186),'Beállítások'!$A$63:$B$69,2,FALSE),'Beállítások'!$B$84)))</f>
        <v/>
      </c>
      <c r="Z186">
        <f>IF($A186="","",IF('Ügyfelek'!Z186="",'Beállítások'!$B$84,VLOOKUP(MAX('Ügyfelek'!Z186,'Beállítások'!$Q$7),'Beállítások'!$Q$7:$R$12,2,TRUE)))</f>
        <v/>
      </c>
      <c r="AA186">
        <f>IF($A186="","",IF('Ügyfelek'!AA186="",'Beállítások'!$B$84,VLOOKUP(MAX('Ügyfelek'!AA186,'Beállítások'!$T$7),'Beállítások'!$T$7:$U$12,2,TRUE)))</f>
        <v/>
      </c>
      <c r="AB186">
        <f>IF($A186="","",IF('Ügyfelek'!AB186="",'Beállítások'!$B$84,MIN(10,MAX(1,ROUND('Ügyfelek'!AB186,0)))))</f>
        <v/>
      </c>
      <c r="AC186">
        <f>IF($A186="","",IF('Ügyfelek'!AC186="",'Beállítások'!$B$84,MIN(10,MAX(1,ROUND('Ügyfelek'!AC186,0)))))</f>
        <v/>
      </c>
      <c r="AD186">
        <f>IF($A186="","",IF('Ügyfelek'!AD186="",'Beállítások'!$B$84,MIN(10,MAX(1,ROUND('Ügyfelek'!AD186,0)))))</f>
        <v/>
      </c>
      <c r="AE186">
        <f>IF($A186="","",IF('Ügyfelek'!AE186="",'Beállítások'!$B$84,MIN(10,MAX(1,ROUND('Ügyfelek'!AE186,0)))))</f>
        <v/>
      </c>
      <c r="AF186">
        <f>IF($A186="","",IF('Ügyfelek'!AF186="",'Beállítások'!$B$84,MIN(10,MAX(1,ROUND('Ügyfelek'!AF186,0)))))</f>
        <v/>
      </c>
      <c r="AG186">
        <f>IF($A186="","",IF('Ügyfelek'!AG186="",'Beállítások'!$B$84,MIN(10,MAX(1,ROUND('Ügyfelek'!AG186,0)))))</f>
        <v/>
      </c>
      <c r="AH186">
        <f>IF($A186="","",IF('Ügyfelek'!AH186="",'Beállítások'!$B$84,IFERROR(VLOOKUP(TRIM('Ügyfelek'!AH186),'Beállítások'!$A$73:$B$79,2,FALSE),'Beállítások'!$B$84)))</f>
        <v/>
      </c>
      <c r="AI186" s="23">
        <f>IF($A186="","",ROUND(100*('Beállítások'!$E$6*(B186-1)+'Beállítások'!$E$7*(C186-1))/(9*'Beállítások'!$B$43),1))</f>
        <v/>
      </c>
      <c r="AJ186" s="23">
        <f>IF($A186="","",ROUND(100*('Beállítások'!$E$8*(D186-1)+'Beállítások'!$E$9*(E186-1)+'Beállítások'!$E$10*(F186-1)+'Beállítások'!$E$11*(G186-1)+'Beállítások'!$E$12*(H186-1)+'Beállítások'!$E$13*(I186-1)+'Beállítások'!$E$14*(J186-1)+'Beállítások'!$E$15*(K186-1)+'Beállítások'!$E$16*(L186-1)+'Beállítások'!$E$17*(M186-1)+'Beállítások'!$E$18*(N186-1)+'Beállítások'!$E$19*(O186-1)+'Beállítások'!$E$20*(P186-1)+'Beállítások'!$E$21*(Q186-1)+'Beállítások'!$E$22*(R186-1))/(9*'Beállítások'!$B$44),1))</f>
        <v/>
      </c>
      <c r="AK186" s="23">
        <f>IF($A186="","",ROUND(100*('Beállítások'!$E$23*(S186-1)+'Beállítások'!$E$24*(T186-1)+'Beállítások'!$E$25*(U186-1)+'Beállítások'!$E$26*(V186-1)+'Beállítások'!$E$27*(W186-1)+'Beállítások'!$E$28*(X186-1)+'Beállítások'!$E$29*(Y186-1))/(9*'Beállítások'!$B$45),1))</f>
        <v/>
      </c>
      <c r="AL186" s="23">
        <f>IF($A186="","",ROUND(100*('Beállítások'!$E$30*(Z186-1)+'Beállítások'!$E$31*(AA186-1)+'Beállítások'!$E$32*(AB186-1)+'Beállítások'!$E$33*(AC186-1)+'Beállítások'!$E$34*(AD186-1)+'Beállítások'!$E$35*(AE186-1)+'Beállítások'!$E$36*(AF186-1)+'Beállítások'!$E$37*(AG186-1)+'Beállítások'!$E$38*(AH186-1))/(9*'Beállítások'!$B$46),1))</f>
        <v/>
      </c>
      <c r="AM186" s="23">
        <f>IF($A186="","",ROUND(100*('Beállítások'!$E$6*(B186-1)+'Beállítások'!$E$7*(C186-1)+'Beállítások'!$E$8*(D186-1)+'Beállítások'!$E$9*(E186-1)+'Beállítások'!$E$10*(F186-1)+'Beállítások'!$E$11*(G186-1)+'Beállítások'!$E$12*(H186-1)+'Beállítások'!$E$13*(I186-1)+'Beállítások'!$E$14*(J186-1)+'Beállítások'!$E$15*(K186-1)+'Beállítások'!$E$16*(L186-1)+'Beállítások'!$E$17*(M186-1)+'Beállítások'!$E$18*(N186-1)+'Beállítások'!$E$19*(O186-1)+'Beállítások'!$E$20*(P186-1)+'Beállítások'!$E$21*(Q186-1)+'Beállítások'!$E$22*(R186-1)+'Beállítások'!$E$23*(S186-1)+'Beállítások'!$E$24*(T186-1)+'Beállítások'!$E$25*(U186-1)+'Beállítások'!$E$26*(V186-1)+'Beállítások'!$E$27*(W186-1)+'Beállítások'!$E$28*(X186-1)+'Beállítások'!$E$29*(Y186-1)+'Beállítások'!$E$30*(Z186-1)+'Beállítások'!$E$31*(AA186-1)+'Beállítások'!$E$32*(AB186-1)+'Beállítások'!$E$33*(AC186-1)+'Beállítások'!$E$34*(AD186-1)+'Beállítások'!$E$35*(AE186-1)+'Beállítások'!$E$36*(AF186-1)+'Beállítások'!$E$37*(AG186-1)+'Beállítások'!$E$38*(AH186-1))/(9*'Beállítások'!$E$39),1))</f>
        <v/>
      </c>
      <c r="AN186" s="23">
        <f>IF($A186="","",ROUND(100*('Beállítások'!$E$8*(D186-1)+'Beállítások'!$E$9*(E186-1)+'Beállítások'!$E$10*(F186-1)+'Beállítások'!$E$11*(G186-1)+'Beállítások'!$E$12*(H186-1)+'Beállítások'!$E$13*(I186-1)+'Beállítások'!$E$14*(J186-1)+'Beállítások'!$E$15*(K186-1)+'Beállítások'!$E$16*(L186-1)+'Beállítások'!$E$17*(M186-1)+'Beállítások'!$E$18*(N186-1)+'Beállítások'!$E$19*(O186-1)+'Beállítások'!$E$20*(P186-1)+'Beállítások'!$E$21*(Q186-1)+'Beállítások'!$E$22*(R186-1)+'Beállítások'!$E$23*(S186-1)+'Beállítások'!$E$24*(T186-1)+'Beállítások'!$E$25*(U186-1)+'Beállítások'!$E$26*(V186-1)+'Beállítások'!$E$27*(W186-1)+'Beállítások'!$E$28*(X186-1)+'Beállítások'!$E$29*(Y186-1))/(9*('Beállítások'!$B$44+'Beállítások'!$B$45)),1))</f>
        <v/>
      </c>
      <c r="AO186" s="24">
        <f>IF($A186="","",RANK(AM186,$AM$2:$AM$201))</f>
        <v/>
      </c>
      <c r="AP186">
        <f>IF($A186="","",IF(OR(AND('Ügyfelek'!B186&lt;&gt;"",B186&lt;='Beállítások'!$B$85),AND('Ügyfelek'!C186&lt;&gt;"",C186&lt;='Beállítások'!$B$86)),"Igen","Nem"))</f>
        <v/>
      </c>
      <c r="AQ186" s="24">
        <f>IF($A186="","",IF(AP186="Igen",5,IF(AN186&gt;='Beállítások'!$C$108,1,IF(AN186&gt;='Beállítások'!$C$109,2,IF(AN186&gt;='Beállítások'!$C$110,3,IF(AND(AN186&gt;='Beállítások'!$B$87,AI186&gt;='Beállítások'!$B$88,AL186&gt;='Beállítások'!$B$89),4,5))))))</f>
        <v/>
      </c>
      <c r="AR186">
        <f>IF($A186="","",INDEX('Beállítások'!$B$108:$B$112,AQ186))</f>
        <v/>
      </c>
      <c r="AS186">
        <f>IF($A186="","",IF(AQ186=5,"Elutasítjuk",IF(AND(AQ186=4,COUNTIFS('Eredmény'!$AQ$2:$AQ$201,4,'Eredmény'!$DY$2:$DY$201,"&gt;"&amp;DY186)&gt;='Beállítások'!$B$90),"Várólista (a 4-es hely foglalt)","Elfogadjuk")))</f>
        <v/>
      </c>
      <c r="AT186">
        <f>IF($A186="","",INDEX('Beállítások'!$F$108:$F$112,AQ186))</f>
        <v/>
      </c>
      <c r="AU186">
        <f>IF($A186="","",INDEX('Beállítások'!$B$6:$B$38,MATCH(MAX(BK186:CQ186),BK186:CQ186,0)))</f>
        <v/>
      </c>
      <c r="AV186">
        <f>IF($A186="","",IF(MAX(CR186:DX186)=0,"—",INDEX('Beállítások'!$B$6:$B$38,MATCH(MAX(CR186:DX186),CR186:DX186,0))))</f>
        <v/>
      </c>
      <c r="AW186" s="10">
        <f>IF($A186="","",'Beállítások'!$B$94*(TRIM('Ügyfelek'!AI186)="igen")+'Beállítások'!$B$95*(TRIM('Ügyfelek'!AJ186)="igen")+'Beállítások'!$B$96*N('Ügyfelek'!AK186)+'Beállítások'!$B$93*N('Ügyfelek'!AL186))</f>
        <v/>
      </c>
      <c r="AX186" s="25">
        <f>IF(OR($A186="",AQ186=5),"",INDEX('Beállítások'!$D$108:$D$112,AQ186))</f>
        <v/>
      </c>
      <c r="AY186" s="10">
        <f>IF($A186="","",N('Ügyfelek'!U186)*'Beállítások'!$B$98)</f>
        <v/>
      </c>
      <c r="AZ186" s="10">
        <f>IF(OR($A186="",AQ186=5),"",CEILING(ROUND(MAX('Beállítások'!$B$97,AW186*AX186,AY186),2),'Beállítások'!$B$99))</f>
        <v/>
      </c>
      <c r="BA186">
        <f>IF($A186="","",IF(AQ186=5,"Elutasítva",IF(MAX('Beállítások'!$B$97,AW186*AX186,AY186)=AW186*AX186,"Munkaigény × státuszszorzó",IF(MAX('Beállítások'!$B$97,AW186*AX186,AY186)=AY186,"Hirdetési keret arányában","Minimumdíj"))))</f>
        <v/>
      </c>
      <c r="BB186" s="10">
        <f>IF(OR($A186="",'Ügyfelek'!AM186=""),"",'Ügyfelek'!AM186)</f>
        <v/>
      </c>
      <c r="BC186" s="10">
        <f>IF(OR(BB186="",AZ186=""),"",AZ186-BB186)</f>
        <v/>
      </c>
      <c r="BD186" s="18">
        <f>IF(OR(BB186="",AZ186="",BB186=0),"",BC186/BB186)</f>
        <v/>
      </c>
      <c r="BE186">
        <f>IF(OR($A186="",AQ186=5),"",IF(AND(INDEX('Beállítások'!$E$108:$E$112,AQ186)&gt;0,Y186&gt;='Beállítások'!$B$91),"Igen","Nem"))</f>
        <v/>
      </c>
      <c r="BF186" s="10">
        <f>IF(BE186="Igen",CEILING(ROUND(AZ186*(1-'Beállítások'!$B$92),2),'Beállítások'!$B$99),"")</f>
        <v/>
      </c>
      <c r="BG186" s="20">
        <f>IF(BE186="Igen",INDEX('Beállítások'!$E$108:$E$112,AQ186),"")</f>
        <v/>
      </c>
      <c r="BH186" s="10">
        <f>IF(OR(BE186&lt;&gt;"Igen",'Ügyfelek'!AN186=""),"",'Ügyfelek'!AN186*BG186)</f>
        <v/>
      </c>
      <c r="BI186" s="24">
        <f>IF($A186="","",('Ügyfelek'!B186="")+('Ügyfelek'!C186="")+('Ügyfelek'!D186="")+('Ügyfelek'!E186="")+('Ügyfelek'!F186="")+('Ügyfelek'!G186="")+('Ügyfelek'!H186="")+('Ügyfelek'!I186="")+('Ügyfelek'!J186="")+('Ügyfelek'!K186="")+('Ügyfelek'!L186="")+('Ügyfelek'!M186="")+('Ügyfelek'!N186="")+('Ügyfelek'!O186="")+('Ügyfelek'!P186="")+('Ügyfelek'!Q186="")+('Ügyfelek'!R186="")+('Ügyfelek'!S186="")+('Ügyfelek'!T186="")+('Ügyfelek'!U186="")+('Ügyfelek'!V186="")+('Ügyfelek'!W186="")+('Ügyfelek'!X186="")+('Ügyfelek'!Y186="")+('Ügyfelek'!Z186="")+('Ügyfelek'!AA186="")+('Ügyfelek'!AB186="")+('Ügyfelek'!AC186="")+('Ügyfelek'!AD186="")+('Ügyfelek'!AE186="")+('Ügyfelek'!AF186="")+('Ügyfelek'!AG186="")+('Ügyfelek'!AH186=""))</f>
        <v/>
      </c>
      <c r="BK186">
        <f>IF($A186="","",B186+'Beállítások'!$E$6/1000)</f>
        <v/>
      </c>
      <c r="BL186">
        <f>IF($A186="","",C186+'Beállítások'!$E$7/1000)</f>
        <v/>
      </c>
      <c r="BM186">
        <f>IF($A186="","",D186+'Beállítások'!$E$8/1000)</f>
        <v/>
      </c>
      <c r="BN186">
        <f>IF($A186="","",E186+'Beállítások'!$E$9/1000)</f>
        <v/>
      </c>
      <c r="BO186">
        <f>IF($A186="","",F186+'Beállítások'!$E$10/1000)</f>
        <v/>
      </c>
      <c r="BP186">
        <f>IF($A186="","",G186+'Beállítások'!$E$11/1000)</f>
        <v/>
      </c>
      <c r="BQ186">
        <f>IF($A186="","",H186+'Beállítások'!$E$12/1000)</f>
        <v/>
      </c>
      <c r="BR186">
        <f>IF($A186="","",I186+'Beállítások'!$E$13/1000)</f>
        <v/>
      </c>
      <c r="BS186">
        <f>IF($A186="","",J186+'Beállítások'!$E$14/1000)</f>
        <v/>
      </c>
      <c r="BT186">
        <f>IF($A186="","",K186+'Beállítások'!$E$15/1000)</f>
        <v/>
      </c>
      <c r="BU186">
        <f>IF($A186="","",L186+'Beállítások'!$E$16/1000)</f>
        <v/>
      </c>
      <c r="BV186">
        <f>IF($A186="","",M186+'Beállítások'!$E$17/1000)</f>
        <v/>
      </c>
      <c r="BW186">
        <f>IF($A186="","",N186+'Beállítások'!$E$18/1000)</f>
        <v/>
      </c>
      <c r="BX186">
        <f>IF($A186="","",O186+'Beállítások'!$E$19/1000)</f>
        <v/>
      </c>
      <c r="BY186">
        <f>IF($A186="","",P186+'Beállítások'!$E$20/1000)</f>
        <v/>
      </c>
      <c r="BZ186">
        <f>IF($A186="","",Q186+'Beállítások'!$E$21/1000)</f>
        <v/>
      </c>
      <c r="CA186">
        <f>IF($A186="","",R186+'Beállítások'!$E$22/1000)</f>
        <v/>
      </c>
      <c r="CB186">
        <f>IF($A186="","",S186+'Beállítások'!$E$23/1000)</f>
        <v/>
      </c>
      <c r="CC186">
        <f>IF($A186="","",T186+'Beállítások'!$E$24/1000)</f>
        <v/>
      </c>
      <c r="CD186">
        <f>IF($A186="","",U186+'Beállítások'!$E$25/1000)</f>
        <v/>
      </c>
      <c r="CE186">
        <f>IF($A186="","",V186+'Beállítások'!$E$26/1000)</f>
        <v/>
      </c>
      <c r="CF186">
        <f>IF($A186="","",W186+'Beállítások'!$E$27/1000)</f>
        <v/>
      </c>
      <c r="CG186">
        <f>IF($A186="","",X186+'Beállítások'!$E$28/1000)</f>
        <v/>
      </c>
      <c r="CH186">
        <f>IF($A186="","",Y186+'Beállítások'!$E$29/1000)</f>
        <v/>
      </c>
      <c r="CI186">
        <f>IF($A186="","",Z186+'Beállítások'!$E$30/1000)</f>
        <v/>
      </c>
      <c r="CJ186">
        <f>IF($A186="","",AA186+'Beállítások'!$E$31/1000)</f>
        <v/>
      </c>
      <c r="CK186">
        <f>IF($A186="","",AB186+'Beállítások'!$E$32/1000)</f>
        <v/>
      </c>
      <c r="CL186">
        <f>IF($A186="","",AC186+'Beállítások'!$E$33/1000)</f>
        <v/>
      </c>
      <c r="CM186">
        <f>IF($A186="","",AD186+'Beállítások'!$E$34/1000)</f>
        <v/>
      </c>
      <c r="CN186">
        <f>IF($A186="","",AE186+'Beállítások'!$E$35/1000)</f>
        <v/>
      </c>
      <c r="CO186">
        <f>IF($A186="","",AF186+'Beállítások'!$E$36/1000)</f>
        <v/>
      </c>
      <c r="CP186">
        <f>IF($A186="","",AG186+'Beállítások'!$E$37/1000)</f>
        <v/>
      </c>
      <c r="CQ186">
        <f>IF($A186="","",AH186+'Beállítások'!$E$38/1000)</f>
        <v/>
      </c>
      <c r="CR186">
        <f>IF($A186="","",'Beállítások'!$E$6*(10-B186))</f>
        <v/>
      </c>
      <c r="CS186">
        <f>IF($A186="","",'Beállítások'!$E$7*(10-C186))</f>
        <v/>
      </c>
      <c r="CT186">
        <f>IF($A186="","",'Beállítások'!$E$8*(10-D186))</f>
        <v/>
      </c>
      <c r="CU186">
        <f>IF($A186="","",'Beállítások'!$E$9*(10-E186))</f>
        <v/>
      </c>
      <c r="CV186">
        <f>IF($A186="","",'Beállítások'!$E$10*(10-F186))</f>
        <v/>
      </c>
      <c r="CW186">
        <f>IF($A186="","",'Beállítások'!$E$11*(10-G186))</f>
        <v/>
      </c>
      <c r="CX186">
        <f>IF($A186="","",'Beállítások'!$E$12*(10-H186))</f>
        <v/>
      </c>
      <c r="CY186">
        <f>IF($A186="","",'Beállítások'!$E$13*(10-I186))</f>
        <v/>
      </c>
      <c r="CZ186">
        <f>IF($A186="","",'Beállítások'!$E$14*(10-J186))</f>
        <v/>
      </c>
      <c r="DA186">
        <f>IF($A186="","",'Beállítások'!$E$15*(10-K186))</f>
        <v/>
      </c>
      <c r="DB186">
        <f>IF($A186="","",'Beállítások'!$E$16*(10-L186))</f>
        <v/>
      </c>
      <c r="DC186">
        <f>IF($A186="","",'Beállítások'!$E$17*(10-M186))</f>
        <v/>
      </c>
      <c r="DD186">
        <f>IF($A186="","",'Beállítások'!$E$18*(10-N186))</f>
        <v/>
      </c>
      <c r="DE186">
        <f>IF($A186="","",'Beállítások'!$E$19*(10-O186))</f>
        <v/>
      </c>
      <c r="DF186">
        <f>IF($A186="","",'Beállítások'!$E$20*(10-P186))</f>
        <v/>
      </c>
      <c r="DG186">
        <f>IF($A186="","",'Beállítások'!$E$21*(10-Q186))</f>
        <v/>
      </c>
      <c r="DH186">
        <f>IF($A186="","",'Beállítások'!$E$22*(10-R186))</f>
        <v/>
      </c>
      <c r="DI186">
        <f>IF($A186="","",'Beállítások'!$E$23*(10-S186))</f>
        <v/>
      </c>
      <c r="DJ186">
        <f>IF($A186="","",'Beállítások'!$E$24*(10-T186))</f>
        <v/>
      </c>
      <c r="DK186">
        <f>IF($A186="","",'Beállítások'!$E$25*(10-U186))</f>
        <v/>
      </c>
      <c r="DL186">
        <f>IF($A186="","",'Beállítások'!$E$26*(10-V186))</f>
        <v/>
      </c>
      <c r="DM186">
        <f>IF($A186="","",'Beállítások'!$E$27*(10-W186))</f>
        <v/>
      </c>
      <c r="DN186">
        <f>IF($A186="","",'Beállítások'!$E$28*(10-X186))</f>
        <v/>
      </c>
      <c r="DO186">
        <f>IF($A186="","",'Beállítások'!$E$29*(10-Y186))</f>
        <v/>
      </c>
      <c r="DP186">
        <f>IF($A186="","",'Beállítások'!$E$30*(10-Z186))</f>
        <v/>
      </c>
      <c r="DQ186">
        <f>IF($A186="","",'Beállítások'!$E$31*(10-AA186))</f>
        <v/>
      </c>
      <c r="DR186">
        <f>IF($A186="","",'Beállítások'!$E$32*(10-AB186))</f>
        <v/>
      </c>
      <c r="DS186">
        <f>IF($A186="","",'Beállítások'!$E$33*(10-AC186))</f>
        <v/>
      </c>
      <c r="DT186">
        <f>IF($A186="","",'Beállítások'!$E$34*(10-AD186))</f>
        <v/>
      </c>
      <c r="DU186">
        <f>IF($A186="","",'Beállítások'!$E$35*(10-AE186))</f>
        <v/>
      </c>
      <c r="DV186">
        <f>IF($A186="","",'Beállítások'!$E$36*(10-AF186))</f>
        <v/>
      </c>
      <c r="DW186">
        <f>IF($A186="","",'Beállítások'!$E$37*(10-AG186))</f>
        <v/>
      </c>
      <c r="DX186">
        <f>IF($A186="","",'Beállítások'!$E$38*(10-AH186))</f>
        <v/>
      </c>
      <c r="DY186">
        <f>IF($A186="","",AM186-ROW()/100000)</f>
        <v/>
      </c>
    </row>
    <row r="187">
      <c r="A187">
        <f>IF('Ügyfelek'!A187="","",'Ügyfelek'!A187)</f>
        <v/>
      </c>
      <c r="B187">
        <f>IF($A187="","",IF('Ügyfelek'!B187="",'Beállítások'!$B$84,IFERROR(VLOOKUP(TRIM('Ügyfelek'!B187),'Beállítások'!$A$51:$B$59,2,FALSE),'Beállítások'!$B$84)))</f>
        <v/>
      </c>
      <c r="C187">
        <f>IF($A187="","",IF('Ügyfelek'!C187="",'Beállítások'!$B$84,MIN(10,MAX(1,ROUND('Ügyfelek'!C187,0)))))</f>
        <v/>
      </c>
      <c r="D187">
        <f>IF($A187="","",IF('Ügyfelek'!D187="",'Beállítások'!$B$84,MIN(10,MAX(1,ROUND('Ügyfelek'!D187,0)))))</f>
        <v/>
      </c>
      <c r="E187">
        <f>IF($A187="","",IF('Ügyfelek'!E187="",'Beállítások'!$B$84,MIN(10,MAX(1,ROUND('Ügyfelek'!E187,0)))))</f>
        <v/>
      </c>
      <c r="F187">
        <f>IF($A187="","",IF('Ügyfelek'!F187="",'Beállítások'!$B$84,MIN(10,MAX(1,ROUND('Ügyfelek'!F187,0)))))</f>
        <v/>
      </c>
      <c r="G187">
        <f>IF($A187="","",IF('Ügyfelek'!G187="",'Beállítások'!$B$84,MIN(10,MAX(1,ROUND('Ügyfelek'!G187,0)))))</f>
        <v/>
      </c>
      <c r="H187">
        <f>IF($A187="","",IF('Ügyfelek'!H187="",'Beállítások'!$B$84,MIN(10,MAX(1,ROUND('Ügyfelek'!H187,0)))))</f>
        <v/>
      </c>
      <c r="I187">
        <f>IF($A187="","",IF('Ügyfelek'!I187="",'Beállítások'!$B$84,MIN(10,MAX(1,ROUND('Ügyfelek'!I187,0)))))</f>
        <v/>
      </c>
      <c r="J187">
        <f>IF($A187="","",IF('Ügyfelek'!J187="",'Beállítások'!$B$84,MIN(10,MAX(1,ROUND('Ügyfelek'!J187,0)))))</f>
        <v/>
      </c>
      <c r="K187">
        <f>IF($A187="","",IF('Ügyfelek'!K187="",'Beállítások'!$B$84,MIN(10,MAX(1,ROUND('Ügyfelek'!K187,0)))))</f>
        <v/>
      </c>
      <c r="L187">
        <f>IF($A187="","",IF('Ügyfelek'!L187="",'Beállítások'!$B$84,MIN(10,MAX(1,ROUND('Ügyfelek'!L187,0)))))</f>
        <v/>
      </c>
      <c r="M187">
        <f>IF($A187="","",IF('Ügyfelek'!M187="",'Beállítások'!$B$84,MIN(10,MAX(1,ROUND('Ügyfelek'!M187,0)))))</f>
        <v/>
      </c>
      <c r="N187">
        <f>IF($A187="","",IF('Ügyfelek'!N187="",'Beállítások'!$B$84,MIN(10,MAX(1,ROUND('Ügyfelek'!N187,0)))))</f>
        <v/>
      </c>
      <c r="O187">
        <f>IF($A187="","",IF('Ügyfelek'!O187="",'Beállítások'!$B$84,MIN(10,MAX(1,ROUND('Ügyfelek'!O187,0)))))</f>
        <v/>
      </c>
      <c r="P187">
        <f>IF($A187="","",IF('Ügyfelek'!P187="",'Beállítások'!$B$84,MIN(10,MAX(1,ROUND('Ügyfelek'!P187,0)))))</f>
        <v/>
      </c>
      <c r="Q187">
        <f>IF($A187="","",IF('Ügyfelek'!Q187="",'Beállítások'!$B$84,MIN(10,MAX(1,ROUND('Ügyfelek'!Q187,0)))))</f>
        <v/>
      </c>
      <c r="R187">
        <f>IF($A187="","",IF('Ügyfelek'!R187="",'Beállítások'!$B$84,MIN(10,MAX(1,ROUND('Ügyfelek'!R187,0)))))</f>
        <v/>
      </c>
      <c r="S187">
        <f>IF($A187="","",IF('Ügyfelek'!S187="",'Beállítások'!$B$84,MIN(10,MAX(1,ROUND('Ügyfelek'!S187,0)))))</f>
        <v/>
      </c>
      <c r="T187">
        <f>IF($A187="","",IF('Ügyfelek'!T187="",'Beállítások'!$B$84,VLOOKUP(MAX('Ügyfelek'!T187,'Beállítások'!$H$7),'Beállítások'!$H$7:$I$12,2,TRUE)))</f>
        <v/>
      </c>
      <c r="U187">
        <f>IF($A187="","",IF('Ügyfelek'!U187="",'Beállítások'!$B$84,VLOOKUP(MAX('Ügyfelek'!U187,'Beállítások'!$K$7),'Beállítások'!$K$7:$L$12,2,TRUE)))</f>
        <v/>
      </c>
      <c r="V187">
        <f>IF($A187="","",IF('Ügyfelek'!V187="",'Beállítások'!$B$84,MIN(10,MAX(1,ROUND('Ügyfelek'!V187,0)))))</f>
        <v/>
      </c>
      <c r="W187">
        <f>IF($A187="","",IF('Ügyfelek'!W187="",'Beállítások'!$B$84,VLOOKUP(MAX('Ügyfelek'!W187,'Beállítások'!$N$7),'Beállítások'!$N$7:$O$12,2,TRUE)))</f>
        <v/>
      </c>
      <c r="X187">
        <f>IF($A187="","",IF('Ügyfelek'!X187="",'Beállítások'!$B$84,MIN(10,MAX(1,ROUND('Ügyfelek'!X187,0)))))</f>
        <v/>
      </c>
      <c r="Y187">
        <f>IF($A187="","",IF('Ügyfelek'!Y187="",'Beállítások'!$B$84,IFERROR(VLOOKUP(TRIM('Ügyfelek'!Y187),'Beállítások'!$A$63:$B$69,2,FALSE),'Beállítások'!$B$84)))</f>
        <v/>
      </c>
      <c r="Z187">
        <f>IF($A187="","",IF('Ügyfelek'!Z187="",'Beállítások'!$B$84,VLOOKUP(MAX('Ügyfelek'!Z187,'Beállítások'!$Q$7),'Beállítások'!$Q$7:$R$12,2,TRUE)))</f>
        <v/>
      </c>
      <c r="AA187">
        <f>IF($A187="","",IF('Ügyfelek'!AA187="",'Beállítások'!$B$84,VLOOKUP(MAX('Ügyfelek'!AA187,'Beállítások'!$T$7),'Beállítások'!$T$7:$U$12,2,TRUE)))</f>
        <v/>
      </c>
      <c r="AB187">
        <f>IF($A187="","",IF('Ügyfelek'!AB187="",'Beállítások'!$B$84,MIN(10,MAX(1,ROUND('Ügyfelek'!AB187,0)))))</f>
        <v/>
      </c>
      <c r="AC187">
        <f>IF($A187="","",IF('Ügyfelek'!AC187="",'Beállítások'!$B$84,MIN(10,MAX(1,ROUND('Ügyfelek'!AC187,0)))))</f>
        <v/>
      </c>
      <c r="AD187">
        <f>IF($A187="","",IF('Ügyfelek'!AD187="",'Beállítások'!$B$84,MIN(10,MAX(1,ROUND('Ügyfelek'!AD187,0)))))</f>
        <v/>
      </c>
      <c r="AE187">
        <f>IF($A187="","",IF('Ügyfelek'!AE187="",'Beállítások'!$B$84,MIN(10,MAX(1,ROUND('Ügyfelek'!AE187,0)))))</f>
        <v/>
      </c>
      <c r="AF187">
        <f>IF($A187="","",IF('Ügyfelek'!AF187="",'Beállítások'!$B$84,MIN(10,MAX(1,ROUND('Ügyfelek'!AF187,0)))))</f>
        <v/>
      </c>
      <c r="AG187">
        <f>IF($A187="","",IF('Ügyfelek'!AG187="",'Beállítások'!$B$84,MIN(10,MAX(1,ROUND('Ügyfelek'!AG187,0)))))</f>
        <v/>
      </c>
      <c r="AH187">
        <f>IF($A187="","",IF('Ügyfelek'!AH187="",'Beállítások'!$B$84,IFERROR(VLOOKUP(TRIM('Ügyfelek'!AH187),'Beállítások'!$A$73:$B$79,2,FALSE),'Beállítások'!$B$84)))</f>
        <v/>
      </c>
      <c r="AI187" s="23">
        <f>IF($A187="","",ROUND(100*('Beállítások'!$E$6*(B187-1)+'Beállítások'!$E$7*(C187-1))/(9*'Beállítások'!$B$43),1))</f>
        <v/>
      </c>
      <c r="AJ187" s="23">
        <f>IF($A187="","",ROUND(100*('Beállítások'!$E$8*(D187-1)+'Beállítások'!$E$9*(E187-1)+'Beállítások'!$E$10*(F187-1)+'Beállítások'!$E$11*(G187-1)+'Beállítások'!$E$12*(H187-1)+'Beállítások'!$E$13*(I187-1)+'Beállítások'!$E$14*(J187-1)+'Beállítások'!$E$15*(K187-1)+'Beállítások'!$E$16*(L187-1)+'Beállítások'!$E$17*(M187-1)+'Beállítások'!$E$18*(N187-1)+'Beállítások'!$E$19*(O187-1)+'Beállítások'!$E$20*(P187-1)+'Beállítások'!$E$21*(Q187-1)+'Beállítások'!$E$22*(R187-1))/(9*'Beállítások'!$B$44),1))</f>
        <v/>
      </c>
      <c r="AK187" s="23">
        <f>IF($A187="","",ROUND(100*('Beállítások'!$E$23*(S187-1)+'Beállítások'!$E$24*(T187-1)+'Beállítások'!$E$25*(U187-1)+'Beállítások'!$E$26*(V187-1)+'Beállítások'!$E$27*(W187-1)+'Beállítások'!$E$28*(X187-1)+'Beállítások'!$E$29*(Y187-1))/(9*'Beállítások'!$B$45),1))</f>
        <v/>
      </c>
      <c r="AL187" s="23">
        <f>IF($A187="","",ROUND(100*('Beállítások'!$E$30*(Z187-1)+'Beállítások'!$E$31*(AA187-1)+'Beállítások'!$E$32*(AB187-1)+'Beállítások'!$E$33*(AC187-1)+'Beállítások'!$E$34*(AD187-1)+'Beállítások'!$E$35*(AE187-1)+'Beállítások'!$E$36*(AF187-1)+'Beállítások'!$E$37*(AG187-1)+'Beállítások'!$E$38*(AH187-1))/(9*'Beállítások'!$B$46),1))</f>
        <v/>
      </c>
      <c r="AM187" s="23">
        <f>IF($A187="","",ROUND(100*('Beállítások'!$E$6*(B187-1)+'Beállítások'!$E$7*(C187-1)+'Beállítások'!$E$8*(D187-1)+'Beállítások'!$E$9*(E187-1)+'Beállítások'!$E$10*(F187-1)+'Beállítások'!$E$11*(G187-1)+'Beállítások'!$E$12*(H187-1)+'Beállítások'!$E$13*(I187-1)+'Beállítások'!$E$14*(J187-1)+'Beállítások'!$E$15*(K187-1)+'Beállítások'!$E$16*(L187-1)+'Beállítások'!$E$17*(M187-1)+'Beállítások'!$E$18*(N187-1)+'Beállítások'!$E$19*(O187-1)+'Beállítások'!$E$20*(P187-1)+'Beállítások'!$E$21*(Q187-1)+'Beállítások'!$E$22*(R187-1)+'Beállítások'!$E$23*(S187-1)+'Beállítások'!$E$24*(T187-1)+'Beállítások'!$E$25*(U187-1)+'Beállítások'!$E$26*(V187-1)+'Beállítások'!$E$27*(W187-1)+'Beállítások'!$E$28*(X187-1)+'Beállítások'!$E$29*(Y187-1)+'Beállítások'!$E$30*(Z187-1)+'Beállítások'!$E$31*(AA187-1)+'Beállítások'!$E$32*(AB187-1)+'Beállítások'!$E$33*(AC187-1)+'Beállítások'!$E$34*(AD187-1)+'Beállítások'!$E$35*(AE187-1)+'Beállítások'!$E$36*(AF187-1)+'Beállítások'!$E$37*(AG187-1)+'Beállítások'!$E$38*(AH187-1))/(9*'Beállítások'!$E$39),1))</f>
        <v/>
      </c>
      <c r="AN187" s="23">
        <f>IF($A187="","",ROUND(100*('Beállítások'!$E$8*(D187-1)+'Beállítások'!$E$9*(E187-1)+'Beállítások'!$E$10*(F187-1)+'Beállítások'!$E$11*(G187-1)+'Beállítások'!$E$12*(H187-1)+'Beállítások'!$E$13*(I187-1)+'Beállítások'!$E$14*(J187-1)+'Beállítások'!$E$15*(K187-1)+'Beállítások'!$E$16*(L187-1)+'Beállítások'!$E$17*(M187-1)+'Beállítások'!$E$18*(N187-1)+'Beállítások'!$E$19*(O187-1)+'Beállítások'!$E$20*(P187-1)+'Beállítások'!$E$21*(Q187-1)+'Beállítások'!$E$22*(R187-1)+'Beállítások'!$E$23*(S187-1)+'Beállítások'!$E$24*(T187-1)+'Beállítások'!$E$25*(U187-1)+'Beállítások'!$E$26*(V187-1)+'Beállítások'!$E$27*(W187-1)+'Beállítások'!$E$28*(X187-1)+'Beállítások'!$E$29*(Y187-1))/(9*('Beállítások'!$B$44+'Beállítások'!$B$45)),1))</f>
        <v/>
      </c>
      <c r="AO187" s="24">
        <f>IF($A187="","",RANK(AM187,$AM$2:$AM$201))</f>
        <v/>
      </c>
      <c r="AP187">
        <f>IF($A187="","",IF(OR(AND('Ügyfelek'!B187&lt;&gt;"",B187&lt;='Beállítások'!$B$85),AND('Ügyfelek'!C187&lt;&gt;"",C187&lt;='Beállítások'!$B$86)),"Igen","Nem"))</f>
        <v/>
      </c>
      <c r="AQ187" s="24">
        <f>IF($A187="","",IF(AP187="Igen",5,IF(AN187&gt;='Beállítások'!$C$108,1,IF(AN187&gt;='Beállítások'!$C$109,2,IF(AN187&gt;='Beállítások'!$C$110,3,IF(AND(AN187&gt;='Beállítások'!$B$87,AI187&gt;='Beállítások'!$B$88,AL187&gt;='Beállítások'!$B$89),4,5))))))</f>
        <v/>
      </c>
      <c r="AR187">
        <f>IF($A187="","",INDEX('Beállítások'!$B$108:$B$112,AQ187))</f>
        <v/>
      </c>
      <c r="AS187">
        <f>IF($A187="","",IF(AQ187=5,"Elutasítjuk",IF(AND(AQ187=4,COUNTIFS('Eredmény'!$AQ$2:$AQ$201,4,'Eredmény'!$DY$2:$DY$201,"&gt;"&amp;DY187)&gt;='Beállítások'!$B$90),"Várólista (a 4-es hely foglalt)","Elfogadjuk")))</f>
        <v/>
      </c>
      <c r="AT187">
        <f>IF($A187="","",INDEX('Beállítások'!$F$108:$F$112,AQ187))</f>
        <v/>
      </c>
      <c r="AU187">
        <f>IF($A187="","",INDEX('Beállítások'!$B$6:$B$38,MATCH(MAX(BK187:CQ187),BK187:CQ187,0)))</f>
        <v/>
      </c>
      <c r="AV187">
        <f>IF($A187="","",IF(MAX(CR187:DX187)=0,"—",INDEX('Beállítások'!$B$6:$B$38,MATCH(MAX(CR187:DX187),CR187:DX187,0))))</f>
        <v/>
      </c>
      <c r="AW187" s="10">
        <f>IF($A187="","",'Beállítások'!$B$94*(TRIM('Ügyfelek'!AI187)="igen")+'Beállítások'!$B$95*(TRIM('Ügyfelek'!AJ187)="igen")+'Beállítások'!$B$96*N('Ügyfelek'!AK187)+'Beállítások'!$B$93*N('Ügyfelek'!AL187))</f>
        <v/>
      </c>
      <c r="AX187" s="25">
        <f>IF(OR($A187="",AQ187=5),"",INDEX('Beállítások'!$D$108:$D$112,AQ187))</f>
        <v/>
      </c>
      <c r="AY187" s="10">
        <f>IF($A187="","",N('Ügyfelek'!U187)*'Beállítások'!$B$98)</f>
        <v/>
      </c>
      <c r="AZ187" s="10">
        <f>IF(OR($A187="",AQ187=5),"",CEILING(ROUND(MAX('Beállítások'!$B$97,AW187*AX187,AY187),2),'Beállítások'!$B$99))</f>
        <v/>
      </c>
      <c r="BA187">
        <f>IF($A187="","",IF(AQ187=5,"Elutasítva",IF(MAX('Beállítások'!$B$97,AW187*AX187,AY187)=AW187*AX187,"Munkaigény × státuszszorzó",IF(MAX('Beállítások'!$B$97,AW187*AX187,AY187)=AY187,"Hirdetési keret arányában","Minimumdíj"))))</f>
        <v/>
      </c>
      <c r="BB187" s="10">
        <f>IF(OR($A187="",'Ügyfelek'!AM187=""),"",'Ügyfelek'!AM187)</f>
        <v/>
      </c>
      <c r="BC187" s="10">
        <f>IF(OR(BB187="",AZ187=""),"",AZ187-BB187)</f>
        <v/>
      </c>
      <c r="BD187" s="18">
        <f>IF(OR(BB187="",AZ187="",BB187=0),"",BC187/BB187)</f>
        <v/>
      </c>
      <c r="BE187">
        <f>IF(OR($A187="",AQ187=5),"",IF(AND(INDEX('Beállítások'!$E$108:$E$112,AQ187)&gt;0,Y187&gt;='Beállítások'!$B$91),"Igen","Nem"))</f>
        <v/>
      </c>
      <c r="BF187" s="10">
        <f>IF(BE187="Igen",CEILING(ROUND(AZ187*(1-'Beállítások'!$B$92),2),'Beállítások'!$B$99),"")</f>
        <v/>
      </c>
      <c r="BG187" s="20">
        <f>IF(BE187="Igen",INDEX('Beállítások'!$E$108:$E$112,AQ187),"")</f>
        <v/>
      </c>
      <c r="BH187" s="10">
        <f>IF(OR(BE187&lt;&gt;"Igen",'Ügyfelek'!AN187=""),"",'Ügyfelek'!AN187*BG187)</f>
        <v/>
      </c>
      <c r="BI187" s="24">
        <f>IF($A187="","",('Ügyfelek'!B187="")+('Ügyfelek'!C187="")+('Ügyfelek'!D187="")+('Ügyfelek'!E187="")+('Ügyfelek'!F187="")+('Ügyfelek'!G187="")+('Ügyfelek'!H187="")+('Ügyfelek'!I187="")+('Ügyfelek'!J187="")+('Ügyfelek'!K187="")+('Ügyfelek'!L187="")+('Ügyfelek'!M187="")+('Ügyfelek'!N187="")+('Ügyfelek'!O187="")+('Ügyfelek'!P187="")+('Ügyfelek'!Q187="")+('Ügyfelek'!R187="")+('Ügyfelek'!S187="")+('Ügyfelek'!T187="")+('Ügyfelek'!U187="")+('Ügyfelek'!V187="")+('Ügyfelek'!W187="")+('Ügyfelek'!X187="")+('Ügyfelek'!Y187="")+('Ügyfelek'!Z187="")+('Ügyfelek'!AA187="")+('Ügyfelek'!AB187="")+('Ügyfelek'!AC187="")+('Ügyfelek'!AD187="")+('Ügyfelek'!AE187="")+('Ügyfelek'!AF187="")+('Ügyfelek'!AG187="")+('Ügyfelek'!AH187=""))</f>
        <v/>
      </c>
      <c r="BK187">
        <f>IF($A187="","",B187+'Beállítások'!$E$6/1000)</f>
        <v/>
      </c>
      <c r="BL187">
        <f>IF($A187="","",C187+'Beállítások'!$E$7/1000)</f>
        <v/>
      </c>
      <c r="BM187">
        <f>IF($A187="","",D187+'Beállítások'!$E$8/1000)</f>
        <v/>
      </c>
      <c r="BN187">
        <f>IF($A187="","",E187+'Beállítások'!$E$9/1000)</f>
        <v/>
      </c>
      <c r="BO187">
        <f>IF($A187="","",F187+'Beállítások'!$E$10/1000)</f>
        <v/>
      </c>
      <c r="BP187">
        <f>IF($A187="","",G187+'Beállítások'!$E$11/1000)</f>
        <v/>
      </c>
      <c r="BQ187">
        <f>IF($A187="","",H187+'Beállítások'!$E$12/1000)</f>
        <v/>
      </c>
      <c r="BR187">
        <f>IF($A187="","",I187+'Beállítások'!$E$13/1000)</f>
        <v/>
      </c>
      <c r="BS187">
        <f>IF($A187="","",J187+'Beállítások'!$E$14/1000)</f>
        <v/>
      </c>
      <c r="BT187">
        <f>IF($A187="","",K187+'Beállítások'!$E$15/1000)</f>
        <v/>
      </c>
      <c r="BU187">
        <f>IF($A187="","",L187+'Beállítások'!$E$16/1000)</f>
        <v/>
      </c>
      <c r="BV187">
        <f>IF($A187="","",M187+'Beállítások'!$E$17/1000)</f>
        <v/>
      </c>
      <c r="BW187">
        <f>IF($A187="","",N187+'Beállítások'!$E$18/1000)</f>
        <v/>
      </c>
      <c r="BX187">
        <f>IF($A187="","",O187+'Beállítások'!$E$19/1000)</f>
        <v/>
      </c>
      <c r="BY187">
        <f>IF($A187="","",P187+'Beállítások'!$E$20/1000)</f>
        <v/>
      </c>
      <c r="BZ187">
        <f>IF($A187="","",Q187+'Beállítások'!$E$21/1000)</f>
        <v/>
      </c>
      <c r="CA187">
        <f>IF($A187="","",R187+'Beállítások'!$E$22/1000)</f>
        <v/>
      </c>
      <c r="CB187">
        <f>IF($A187="","",S187+'Beállítások'!$E$23/1000)</f>
        <v/>
      </c>
      <c r="CC187">
        <f>IF($A187="","",T187+'Beállítások'!$E$24/1000)</f>
        <v/>
      </c>
      <c r="CD187">
        <f>IF($A187="","",U187+'Beállítások'!$E$25/1000)</f>
        <v/>
      </c>
      <c r="CE187">
        <f>IF($A187="","",V187+'Beállítások'!$E$26/1000)</f>
        <v/>
      </c>
      <c r="CF187">
        <f>IF($A187="","",W187+'Beállítások'!$E$27/1000)</f>
        <v/>
      </c>
      <c r="CG187">
        <f>IF($A187="","",X187+'Beállítások'!$E$28/1000)</f>
        <v/>
      </c>
      <c r="CH187">
        <f>IF($A187="","",Y187+'Beállítások'!$E$29/1000)</f>
        <v/>
      </c>
      <c r="CI187">
        <f>IF($A187="","",Z187+'Beállítások'!$E$30/1000)</f>
        <v/>
      </c>
      <c r="CJ187">
        <f>IF($A187="","",AA187+'Beállítások'!$E$31/1000)</f>
        <v/>
      </c>
      <c r="CK187">
        <f>IF($A187="","",AB187+'Beállítások'!$E$32/1000)</f>
        <v/>
      </c>
      <c r="CL187">
        <f>IF($A187="","",AC187+'Beállítások'!$E$33/1000)</f>
        <v/>
      </c>
      <c r="CM187">
        <f>IF($A187="","",AD187+'Beállítások'!$E$34/1000)</f>
        <v/>
      </c>
      <c r="CN187">
        <f>IF($A187="","",AE187+'Beállítások'!$E$35/1000)</f>
        <v/>
      </c>
      <c r="CO187">
        <f>IF($A187="","",AF187+'Beállítások'!$E$36/1000)</f>
        <v/>
      </c>
      <c r="CP187">
        <f>IF($A187="","",AG187+'Beállítások'!$E$37/1000)</f>
        <v/>
      </c>
      <c r="CQ187">
        <f>IF($A187="","",AH187+'Beállítások'!$E$38/1000)</f>
        <v/>
      </c>
      <c r="CR187">
        <f>IF($A187="","",'Beállítások'!$E$6*(10-B187))</f>
        <v/>
      </c>
      <c r="CS187">
        <f>IF($A187="","",'Beállítások'!$E$7*(10-C187))</f>
        <v/>
      </c>
      <c r="CT187">
        <f>IF($A187="","",'Beállítások'!$E$8*(10-D187))</f>
        <v/>
      </c>
      <c r="CU187">
        <f>IF($A187="","",'Beállítások'!$E$9*(10-E187))</f>
        <v/>
      </c>
      <c r="CV187">
        <f>IF($A187="","",'Beállítások'!$E$10*(10-F187))</f>
        <v/>
      </c>
      <c r="CW187">
        <f>IF($A187="","",'Beállítások'!$E$11*(10-G187))</f>
        <v/>
      </c>
      <c r="CX187">
        <f>IF($A187="","",'Beállítások'!$E$12*(10-H187))</f>
        <v/>
      </c>
      <c r="CY187">
        <f>IF($A187="","",'Beállítások'!$E$13*(10-I187))</f>
        <v/>
      </c>
      <c r="CZ187">
        <f>IF($A187="","",'Beállítások'!$E$14*(10-J187))</f>
        <v/>
      </c>
      <c r="DA187">
        <f>IF($A187="","",'Beállítások'!$E$15*(10-K187))</f>
        <v/>
      </c>
      <c r="DB187">
        <f>IF($A187="","",'Beállítások'!$E$16*(10-L187))</f>
        <v/>
      </c>
      <c r="DC187">
        <f>IF($A187="","",'Beállítások'!$E$17*(10-M187))</f>
        <v/>
      </c>
      <c r="DD187">
        <f>IF($A187="","",'Beállítások'!$E$18*(10-N187))</f>
        <v/>
      </c>
      <c r="DE187">
        <f>IF($A187="","",'Beállítások'!$E$19*(10-O187))</f>
        <v/>
      </c>
      <c r="DF187">
        <f>IF($A187="","",'Beállítások'!$E$20*(10-P187))</f>
        <v/>
      </c>
      <c r="DG187">
        <f>IF($A187="","",'Beállítások'!$E$21*(10-Q187))</f>
        <v/>
      </c>
      <c r="DH187">
        <f>IF($A187="","",'Beállítások'!$E$22*(10-R187))</f>
        <v/>
      </c>
      <c r="DI187">
        <f>IF($A187="","",'Beállítások'!$E$23*(10-S187))</f>
        <v/>
      </c>
      <c r="DJ187">
        <f>IF($A187="","",'Beállítások'!$E$24*(10-T187))</f>
        <v/>
      </c>
      <c r="DK187">
        <f>IF($A187="","",'Beállítások'!$E$25*(10-U187))</f>
        <v/>
      </c>
      <c r="DL187">
        <f>IF($A187="","",'Beállítások'!$E$26*(10-V187))</f>
        <v/>
      </c>
      <c r="DM187">
        <f>IF($A187="","",'Beállítások'!$E$27*(10-W187))</f>
        <v/>
      </c>
      <c r="DN187">
        <f>IF($A187="","",'Beállítások'!$E$28*(10-X187))</f>
        <v/>
      </c>
      <c r="DO187">
        <f>IF($A187="","",'Beállítások'!$E$29*(10-Y187))</f>
        <v/>
      </c>
      <c r="DP187">
        <f>IF($A187="","",'Beállítások'!$E$30*(10-Z187))</f>
        <v/>
      </c>
      <c r="DQ187">
        <f>IF($A187="","",'Beállítások'!$E$31*(10-AA187))</f>
        <v/>
      </c>
      <c r="DR187">
        <f>IF($A187="","",'Beállítások'!$E$32*(10-AB187))</f>
        <v/>
      </c>
      <c r="DS187">
        <f>IF($A187="","",'Beállítások'!$E$33*(10-AC187))</f>
        <v/>
      </c>
      <c r="DT187">
        <f>IF($A187="","",'Beállítások'!$E$34*(10-AD187))</f>
        <v/>
      </c>
      <c r="DU187">
        <f>IF($A187="","",'Beállítások'!$E$35*(10-AE187))</f>
        <v/>
      </c>
      <c r="DV187">
        <f>IF($A187="","",'Beállítások'!$E$36*(10-AF187))</f>
        <v/>
      </c>
      <c r="DW187">
        <f>IF($A187="","",'Beállítások'!$E$37*(10-AG187))</f>
        <v/>
      </c>
      <c r="DX187">
        <f>IF($A187="","",'Beállítások'!$E$38*(10-AH187))</f>
        <v/>
      </c>
      <c r="DY187">
        <f>IF($A187="","",AM187-ROW()/100000)</f>
        <v/>
      </c>
    </row>
    <row r="188">
      <c r="A188">
        <f>IF('Ügyfelek'!A188="","",'Ügyfelek'!A188)</f>
        <v/>
      </c>
      <c r="B188">
        <f>IF($A188="","",IF('Ügyfelek'!B188="",'Beállítások'!$B$84,IFERROR(VLOOKUP(TRIM('Ügyfelek'!B188),'Beállítások'!$A$51:$B$59,2,FALSE),'Beállítások'!$B$84)))</f>
        <v/>
      </c>
      <c r="C188">
        <f>IF($A188="","",IF('Ügyfelek'!C188="",'Beállítások'!$B$84,MIN(10,MAX(1,ROUND('Ügyfelek'!C188,0)))))</f>
        <v/>
      </c>
      <c r="D188">
        <f>IF($A188="","",IF('Ügyfelek'!D188="",'Beállítások'!$B$84,MIN(10,MAX(1,ROUND('Ügyfelek'!D188,0)))))</f>
        <v/>
      </c>
      <c r="E188">
        <f>IF($A188="","",IF('Ügyfelek'!E188="",'Beállítások'!$B$84,MIN(10,MAX(1,ROUND('Ügyfelek'!E188,0)))))</f>
        <v/>
      </c>
      <c r="F188">
        <f>IF($A188="","",IF('Ügyfelek'!F188="",'Beállítások'!$B$84,MIN(10,MAX(1,ROUND('Ügyfelek'!F188,0)))))</f>
        <v/>
      </c>
      <c r="G188">
        <f>IF($A188="","",IF('Ügyfelek'!G188="",'Beállítások'!$B$84,MIN(10,MAX(1,ROUND('Ügyfelek'!G188,0)))))</f>
        <v/>
      </c>
      <c r="H188">
        <f>IF($A188="","",IF('Ügyfelek'!H188="",'Beállítások'!$B$84,MIN(10,MAX(1,ROUND('Ügyfelek'!H188,0)))))</f>
        <v/>
      </c>
      <c r="I188">
        <f>IF($A188="","",IF('Ügyfelek'!I188="",'Beállítások'!$B$84,MIN(10,MAX(1,ROUND('Ügyfelek'!I188,0)))))</f>
        <v/>
      </c>
      <c r="J188">
        <f>IF($A188="","",IF('Ügyfelek'!J188="",'Beállítások'!$B$84,MIN(10,MAX(1,ROUND('Ügyfelek'!J188,0)))))</f>
        <v/>
      </c>
      <c r="K188">
        <f>IF($A188="","",IF('Ügyfelek'!K188="",'Beállítások'!$B$84,MIN(10,MAX(1,ROUND('Ügyfelek'!K188,0)))))</f>
        <v/>
      </c>
      <c r="L188">
        <f>IF($A188="","",IF('Ügyfelek'!L188="",'Beállítások'!$B$84,MIN(10,MAX(1,ROUND('Ügyfelek'!L188,0)))))</f>
        <v/>
      </c>
      <c r="M188">
        <f>IF($A188="","",IF('Ügyfelek'!M188="",'Beállítások'!$B$84,MIN(10,MAX(1,ROUND('Ügyfelek'!M188,0)))))</f>
        <v/>
      </c>
      <c r="N188">
        <f>IF($A188="","",IF('Ügyfelek'!N188="",'Beállítások'!$B$84,MIN(10,MAX(1,ROUND('Ügyfelek'!N188,0)))))</f>
        <v/>
      </c>
      <c r="O188">
        <f>IF($A188="","",IF('Ügyfelek'!O188="",'Beállítások'!$B$84,MIN(10,MAX(1,ROUND('Ügyfelek'!O188,0)))))</f>
        <v/>
      </c>
      <c r="P188">
        <f>IF($A188="","",IF('Ügyfelek'!P188="",'Beállítások'!$B$84,MIN(10,MAX(1,ROUND('Ügyfelek'!P188,0)))))</f>
        <v/>
      </c>
      <c r="Q188">
        <f>IF($A188="","",IF('Ügyfelek'!Q188="",'Beállítások'!$B$84,MIN(10,MAX(1,ROUND('Ügyfelek'!Q188,0)))))</f>
        <v/>
      </c>
      <c r="R188">
        <f>IF($A188="","",IF('Ügyfelek'!R188="",'Beállítások'!$B$84,MIN(10,MAX(1,ROUND('Ügyfelek'!R188,0)))))</f>
        <v/>
      </c>
      <c r="S188">
        <f>IF($A188="","",IF('Ügyfelek'!S188="",'Beállítások'!$B$84,MIN(10,MAX(1,ROUND('Ügyfelek'!S188,0)))))</f>
        <v/>
      </c>
      <c r="T188">
        <f>IF($A188="","",IF('Ügyfelek'!T188="",'Beállítások'!$B$84,VLOOKUP(MAX('Ügyfelek'!T188,'Beállítások'!$H$7),'Beállítások'!$H$7:$I$12,2,TRUE)))</f>
        <v/>
      </c>
      <c r="U188">
        <f>IF($A188="","",IF('Ügyfelek'!U188="",'Beállítások'!$B$84,VLOOKUP(MAX('Ügyfelek'!U188,'Beállítások'!$K$7),'Beállítások'!$K$7:$L$12,2,TRUE)))</f>
        <v/>
      </c>
      <c r="V188">
        <f>IF($A188="","",IF('Ügyfelek'!V188="",'Beállítások'!$B$84,MIN(10,MAX(1,ROUND('Ügyfelek'!V188,0)))))</f>
        <v/>
      </c>
      <c r="W188">
        <f>IF($A188="","",IF('Ügyfelek'!W188="",'Beállítások'!$B$84,VLOOKUP(MAX('Ügyfelek'!W188,'Beállítások'!$N$7),'Beállítások'!$N$7:$O$12,2,TRUE)))</f>
        <v/>
      </c>
      <c r="X188">
        <f>IF($A188="","",IF('Ügyfelek'!X188="",'Beállítások'!$B$84,MIN(10,MAX(1,ROUND('Ügyfelek'!X188,0)))))</f>
        <v/>
      </c>
      <c r="Y188">
        <f>IF($A188="","",IF('Ügyfelek'!Y188="",'Beállítások'!$B$84,IFERROR(VLOOKUP(TRIM('Ügyfelek'!Y188),'Beállítások'!$A$63:$B$69,2,FALSE),'Beállítások'!$B$84)))</f>
        <v/>
      </c>
      <c r="Z188">
        <f>IF($A188="","",IF('Ügyfelek'!Z188="",'Beállítások'!$B$84,VLOOKUP(MAX('Ügyfelek'!Z188,'Beállítások'!$Q$7),'Beállítások'!$Q$7:$R$12,2,TRUE)))</f>
        <v/>
      </c>
      <c r="AA188">
        <f>IF($A188="","",IF('Ügyfelek'!AA188="",'Beállítások'!$B$84,VLOOKUP(MAX('Ügyfelek'!AA188,'Beállítások'!$T$7),'Beállítások'!$T$7:$U$12,2,TRUE)))</f>
        <v/>
      </c>
      <c r="AB188">
        <f>IF($A188="","",IF('Ügyfelek'!AB188="",'Beállítások'!$B$84,MIN(10,MAX(1,ROUND('Ügyfelek'!AB188,0)))))</f>
        <v/>
      </c>
      <c r="AC188">
        <f>IF($A188="","",IF('Ügyfelek'!AC188="",'Beállítások'!$B$84,MIN(10,MAX(1,ROUND('Ügyfelek'!AC188,0)))))</f>
        <v/>
      </c>
      <c r="AD188">
        <f>IF($A188="","",IF('Ügyfelek'!AD188="",'Beállítások'!$B$84,MIN(10,MAX(1,ROUND('Ügyfelek'!AD188,0)))))</f>
        <v/>
      </c>
      <c r="AE188">
        <f>IF($A188="","",IF('Ügyfelek'!AE188="",'Beállítások'!$B$84,MIN(10,MAX(1,ROUND('Ügyfelek'!AE188,0)))))</f>
        <v/>
      </c>
      <c r="AF188">
        <f>IF($A188="","",IF('Ügyfelek'!AF188="",'Beállítások'!$B$84,MIN(10,MAX(1,ROUND('Ügyfelek'!AF188,0)))))</f>
        <v/>
      </c>
      <c r="AG188">
        <f>IF($A188="","",IF('Ügyfelek'!AG188="",'Beállítások'!$B$84,MIN(10,MAX(1,ROUND('Ügyfelek'!AG188,0)))))</f>
        <v/>
      </c>
      <c r="AH188">
        <f>IF($A188="","",IF('Ügyfelek'!AH188="",'Beállítások'!$B$84,IFERROR(VLOOKUP(TRIM('Ügyfelek'!AH188),'Beállítások'!$A$73:$B$79,2,FALSE),'Beállítások'!$B$84)))</f>
        <v/>
      </c>
      <c r="AI188" s="23">
        <f>IF($A188="","",ROUND(100*('Beállítások'!$E$6*(B188-1)+'Beállítások'!$E$7*(C188-1))/(9*'Beállítások'!$B$43),1))</f>
        <v/>
      </c>
      <c r="AJ188" s="23">
        <f>IF($A188="","",ROUND(100*('Beállítások'!$E$8*(D188-1)+'Beállítások'!$E$9*(E188-1)+'Beállítások'!$E$10*(F188-1)+'Beállítások'!$E$11*(G188-1)+'Beállítások'!$E$12*(H188-1)+'Beállítások'!$E$13*(I188-1)+'Beállítások'!$E$14*(J188-1)+'Beállítások'!$E$15*(K188-1)+'Beállítások'!$E$16*(L188-1)+'Beállítások'!$E$17*(M188-1)+'Beállítások'!$E$18*(N188-1)+'Beállítások'!$E$19*(O188-1)+'Beállítások'!$E$20*(P188-1)+'Beállítások'!$E$21*(Q188-1)+'Beállítások'!$E$22*(R188-1))/(9*'Beállítások'!$B$44),1))</f>
        <v/>
      </c>
      <c r="AK188" s="23">
        <f>IF($A188="","",ROUND(100*('Beállítások'!$E$23*(S188-1)+'Beállítások'!$E$24*(T188-1)+'Beállítások'!$E$25*(U188-1)+'Beállítások'!$E$26*(V188-1)+'Beállítások'!$E$27*(W188-1)+'Beállítások'!$E$28*(X188-1)+'Beállítások'!$E$29*(Y188-1))/(9*'Beállítások'!$B$45),1))</f>
        <v/>
      </c>
      <c r="AL188" s="23">
        <f>IF($A188="","",ROUND(100*('Beállítások'!$E$30*(Z188-1)+'Beállítások'!$E$31*(AA188-1)+'Beállítások'!$E$32*(AB188-1)+'Beállítások'!$E$33*(AC188-1)+'Beállítások'!$E$34*(AD188-1)+'Beállítások'!$E$35*(AE188-1)+'Beállítások'!$E$36*(AF188-1)+'Beállítások'!$E$37*(AG188-1)+'Beállítások'!$E$38*(AH188-1))/(9*'Beállítások'!$B$46),1))</f>
        <v/>
      </c>
      <c r="AM188" s="23">
        <f>IF($A188="","",ROUND(100*('Beállítások'!$E$6*(B188-1)+'Beállítások'!$E$7*(C188-1)+'Beállítások'!$E$8*(D188-1)+'Beállítások'!$E$9*(E188-1)+'Beállítások'!$E$10*(F188-1)+'Beállítások'!$E$11*(G188-1)+'Beállítások'!$E$12*(H188-1)+'Beállítások'!$E$13*(I188-1)+'Beállítások'!$E$14*(J188-1)+'Beállítások'!$E$15*(K188-1)+'Beállítások'!$E$16*(L188-1)+'Beállítások'!$E$17*(M188-1)+'Beállítások'!$E$18*(N188-1)+'Beállítások'!$E$19*(O188-1)+'Beállítások'!$E$20*(P188-1)+'Beállítások'!$E$21*(Q188-1)+'Beállítások'!$E$22*(R188-1)+'Beállítások'!$E$23*(S188-1)+'Beállítások'!$E$24*(T188-1)+'Beállítások'!$E$25*(U188-1)+'Beállítások'!$E$26*(V188-1)+'Beállítások'!$E$27*(W188-1)+'Beállítások'!$E$28*(X188-1)+'Beállítások'!$E$29*(Y188-1)+'Beállítások'!$E$30*(Z188-1)+'Beállítások'!$E$31*(AA188-1)+'Beállítások'!$E$32*(AB188-1)+'Beállítások'!$E$33*(AC188-1)+'Beállítások'!$E$34*(AD188-1)+'Beállítások'!$E$35*(AE188-1)+'Beállítások'!$E$36*(AF188-1)+'Beállítások'!$E$37*(AG188-1)+'Beállítások'!$E$38*(AH188-1))/(9*'Beállítások'!$E$39),1))</f>
        <v/>
      </c>
      <c r="AN188" s="23">
        <f>IF($A188="","",ROUND(100*('Beállítások'!$E$8*(D188-1)+'Beállítások'!$E$9*(E188-1)+'Beállítások'!$E$10*(F188-1)+'Beállítások'!$E$11*(G188-1)+'Beállítások'!$E$12*(H188-1)+'Beállítások'!$E$13*(I188-1)+'Beállítások'!$E$14*(J188-1)+'Beállítások'!$E$15*(K188-1)+'Beállítások'!$E$16*(L188-1)+'Beállítások'!$E$17*(M188-1)+'Beállítások'!$E$18*(N188-1)+'Beállítások'!$E$19*(O188-1)+'Beállítások'!$E$20*(P188-1)+'Beállítások'!$E$21*(Q188-1)+'Beállítások'!$E$22*(R188-1)+'Beállítások'!$E$23*(S188-1)+'Beállítások'!$E$24*(T188-1)+'Beállítások'!$E$25*(U188-1)+'Beállítások'!$E$26*(V188-1)+'Beállítások'!$E$27*(W188-1)+'Beállítások'!$E$28*(X188-1)+'Beállítások'!$E$29*(Y188-1))/(9*('Beállítások'!$B$44+'Beállítások'!$B$45)),1))</f>
        <v/>
      </c>
      <c r="AO188" s="24">
        <f>IF($A188="","",RANK(AM188,$AM$2:$AM$201))</f>
        <v/>
      </c>
      <c r="AP188">
        <f>IF($A188="","",IF(OR(AND('Ügyfelek'!B188&lt;&gt;"",B188&lt;='Beállítások'!$B$85),AND('Ügyfelek'!C188&lt;&gt;"",C188&lt;='Beállítások'!$B$86)),"Igen","Nem"))</f>
        <v/>
      </c>
      <c r="AQ188" s="24">
        <f>IF($A188="","",IF(AP188="Igen",5,IF(AN188&gt;='Beállítások'!$C$108,1,IF(AN188&gt;='Beállítások'!$C$109,2,IF(AN188&gt;='Beállítások'!$C$110,3,IF(AND(AN188&gt;='Beállítások'!$B$87,AI188&gt;='Beállítások'!$B$88,AL188&gt;='Beállítások'!$B$89),4,5))))))</f>
        <v/>
      </c>
      <c r="AR188">
        <f>IF($A188="","",INDEX('Beállítások'!$B$108:$B$112,AQ188))</f>
        <v/>
      </c>
      <c r="AS188">
        <f>IF($A188="","",IF(AQ188=5,"Elutasítjuk",IF(AND(AQ188=4,COUNTIFS('Eredmény'!$AQ$2:$AQ$201,4,'Eredmény'!$DY$2:$DY$201,"&gt;"&amp;DY188)&gt;='Beállítások'!$B$90),"Várólista (a 4-es hely foglalt)","Elfogadjuk")))</f>
        <v/>
      </c>
      <c r="AT188">
        <f>IF($A188="","",INDEX('Beállítások'!$F$108:$F$112,AQ188))</f>
        <v/>
      </c>
      <c r="AU188">
        <f>IF($A188="","",INDEX('Beállítások'!$B$6:$B$38,MATCH(MAX(BK188:CQ188),BK188:CQ188,0)))</f>
        <v/>
      </c>
      <c r="AV188">
        <f>IF($A188="","",IF(MAX(CR188:DX188)=0,"—",INDEX('Beállítások'!$B$6:$B$38,MATCH(MAX(CR188:DX188),CR188:DX188,0))))</f>
        <v/>
      </c>
      <c r="AW188" s="10">
        <f>IF($A188="","",'Beállítások'!$B$94*(TRIM('Ügyfelek'!AI188)="igen")+'Beállítások'!$B$95*(TRIM('Ügyfelek'!AJ188)="igen")+'Beállítások'!$B$96*N('Ügyfelek'!AK188)+'Beállítások'!$B$93*N('Ügyfelek'!AL188))</f>
        <v/>
      </c>
      <c r="AX188" s="25">
        <f>IF(OR($A188="",AQ188=5),"",INDEX('Beállítások'!$D$108:$D$112,AQ188))</f>
        <v/>
      </c>
      <c r="AY188" s="10">
        <f>IF($A188="","",N('Ügyfelek'!U188)*'Beállítások'!$B$98)</f>
        <v/>
      </c>
      <c r="AZ188" s="10">
        <f>IF(OR($A188="",AQ188=5),"",CEILING(ROUND(MAX('Beállítások'!$B$97,AW188*AX188,AY188),2),'Beállítások'!$B$99))</f>
        <v/>
      </c>
      <c r="BA188">
        <f>IF($A188="","",IF(AQ188=5,"Elutasítva",IF(MAX('Beállítások'!$B$97,AW188*AX188,AY188)=AW188*AX188,"Munkaigény × státuszszorzó",IF(MAX('Beállítások'!$B$97,AW188*AX188,AY188)=AY188,"Hirdetési keret arányában","Minimumdíj"))))</f>
        <v/>
      </c>
      <c r="BB188" s="10">
        <f>IF(OR($A188="",'Ügyfelek'!AM188=""),"",'Ügyfelek'!AM188)</f>
        <v/>
      </c>
      <c r="BC188" s="10">
        <f>IF(OR(BB188="",AZ188=""),"",AZ188-BB188)</f>
        <v/>
      </c>
      <c r="BD188" s="18">
        <f>IF(OR(BB188="",AZ188="",BB188=0),"",BC188/BB188)</f>
        <v/>
      </c>
      <c r="BE188">
        <f>IF(OR($A188="",AQ188=5),"",IF(AND(INDEX('Beállítások'!$E$108:$E$112,AQ188)&gt;0,Y188&gt;='Beállítások'!$B$91),"Igen","Nem"))</f>
        <v/>
      </c>
      <c r="BF188" s="10">
        <f>IF(BE188="Igen",CEILING(ROUND(AZ188*(1-'Beállítások'!$B$92),2),'Beállítások'!$B$99),"")</f>
        <v/>
      </c>
      <c r="BG188" s="20">
        <f>IF(BE188="Igen",INDEX('Beállítások'!$E$108:$E$112,AQ188),"")</f>
        <v/>
      </c>
      <c r="BH188" s="10">
        <f>IF(OR(BE188&lt;&gt;"Igen",'Ügyfelek'!AN188=""),"",'Ügyfelek'!AN188*BG188)</f>
        <v/>
      </c>
      <c r="BI188" s="24">
        <f>IF($A188="","",('Ügyfelek'!B188="")+('Ügyfelek'!C188="")+('Ügyfelek'!D188="")+('Ügyfelek'!E188="")+('Ügyfelek'!F188="")+('Ügyfelek'!G188="")+('Ügyfelek'!H188="")+('Ügyfelek'!I188="")+('Ügyfelek'!J188="")+('Ügyfelek'!K188="")+('Ügyfelek'!L188="")+('Ügyfelek'!M188="")+('Ügyfelek'!N188="")+('Ügyfelek'!O188="")+('Ügyfelek'!P188="")+('Ügyfelek'!Q188="")+('Ügyfelek'!R188="")+('Ügyfelek'!S188="")+('Ügyfelek'!T188="")+('Ügyfelek'!U188="")+('Ügyfelek'!V188="")+('Ügyfelek'!W188="")+('Ügyfelek'!X188="")+('Ügyfelek'!Y188="")+('Ügyfelek'!Z188="")+('Ügyfelek'!AA188="")+('Ügyfelek'!AB188="")+('Ügyfelek'!AC188="")+('Ügyfelek'!AD188="")+('Ügyfelek'!AE188="")+('Ügyfelek'!AF188="")+('Ügyfelek'!AG188="")+('Ügyfelek'!AH188=""))</f>
        <v/>
      </c>
      <c r="BK188">
        <f>IF($A188="","",B188+'Beállítások'!$E$6/1000)</f>
        <v/>
      </c>
      <c r="BL188">
        <f>IF($A188="","",C188+'Beállítások'!$E$7/1000)</f>
        <v/>
      </c>
      <c r="BM188">
        <f>IF($A188="","",D188+'Beállítások'!$E$8/1000)</f>
        <v/>
      </c>
      <c r="BN188">
        <f>IF($A188="","",E188+'Beállítások'!$E$9/1000)</f>
        <v/>
      </c>
      <c r="BO188">
        <f>IF($A188="","",F188+'Beállítások'!$E$10/1000)</f>
        <v/>
      </c>
      <c r="BP188">
        <f>IF($A188="","",G188+'Beállítások'!$E$11/1000)</f>
        <v/>
      </c>
      <c r="BQ188">
        <f>IF($A188="","",H188+'Beállítások'!$E$12/1000)</f>
        <v/>
      </c>
      <c r="BR188">
        <f>IF($A188="","",I188+'Beállítások'!$E$13/1000)</f>
        <v/>
      </c>
      <c r="BS188">
        <f>IF($A188="","",J188+'Beállítások'!$E$14/1000)</f>
        <v/>
      </c>
      <c r="BT188">
        <f>IF($A188="","",K188+'Beállítások'!$E$15/1000)</f>
        <v/>
      </c>
      <c r="BU188">
        <f>IF($A188="","",L188+'Beállítások'!$E$16/1000)</f>
        <v/>
      </c>
      <c r="BV188">
        <f>IF($A188="","",M188+'Beállítások'!$E$17/1000)</f>
        <v/>
      </c>
      <c r="BW188">
        <f>IF($A188="","",N188+'Beállítások'!$E$18/1000)</f>
        <v/>
      </c>
      <c r="BX188">
        <f>IF($A188="","",O188+'Beállítások'!$E$19/1000)</f>
        <v/>
      </c>
      <c r="BY188">
        <f>IF($A188="","",P188+'Beállítások'!$E$20/1000)</f>
        <v/>
      </c>
      <c r="BZ188">
        <f>IF($A188="","",Q188+'Beállítások'!$E$21/1000)</f>
        <v/>
      </c>
      <c r="CA188">
        <f>IF($A188="","",R188+'Beállítások'!$E$22/1000)</f>
        <v/>
      </c>
      <c r="CB188">
        <f>IF($A188="","",S188+'Beállítások'!$E$23/1000)</f>
        <v/>
      </c>
      <c r="CC188">
        <f>IF($A188="","",T188+'Beállítások'!$E$24/1000)</f>
        <v/>
      </c>
      <c r="CD188">
        <f>IF($A188="","",U188+'Beállítások'!$E$25/1000)</f>
        <v/>
      </c>
      <c r="CE188">
        <f>IF($A188="","",V188+'Beállítások'!$E$26/1000)</f>
        <v/>
      </c>
      <c r="CF188">
        <f>IF($A188="","",W188+'Beállítások'!$E$27/1000)</f>
        <v/>
      </c>
      <c r="CG188">
        <f>IF($A188="","",X188+'Beállítások'!$E$28/1000)</f>
        <v/>
      </c>
      <c r="CH188">
        <f>IF($A188="","",Y188+'Beállítások'!$E$29/1000)</f>
        <v/>
      </c>
      <c r="CI188">
        <f>IF($A188="","",Z188+'Beállítások'!$E$30/1000)</f>
        <v/>
      </c>
      <c r="CJ188">
        <f>IF($A188="","",AA188+'Beállítások'!$E$31/1000)</f>
        <v/>
      </c>
      <c r="CK188">
        <f>IF($A188="","",AB188+'Beállítások'!$E$32/1000)</f>
        <v/>
      </c>
      <c r="CL188">
        <f>IF($A188="","",AC188+'Beállítások'!$E$33/1000)</f>
        <v/>
      </c>
      <c r="CM188">
        <f>IF($A188="","",AD188+'Beállítások'!$E$34/1000)</f>
        <v/>
      </c>
      <c r="CN188">
        <f>IF($A188="","",AE188+'Beállítások'!$E$35/1000)</f>
        <v/>
      </c>
      <c r="CO188">
        <f>IF($A188="","",AF188+'Beállítások'!$E$36/1000)</f>
        <v/>
      </c>
      <c r="CP188">
        <f>IF($A188="","",AG188+'Beállítások'!$E$37/1000)</f>
        <v/>
      </c>
      <c r="CQ188">
        <f>IF($A188="","",AH188+'Beállítások'!$E$38/1000)</f>
        <v/>
      </c>
      <c r="CR188">
        <f>IF($A188="","",'Beállítások'!$E$6*(10-B188))</f>
        <v/>
      </c>
      <c r="CS188">
        <f>IF($A188="","",'Beállítások'!$E$7*(10-C188))</f>
        <v/>
      </c>
      <c r="CT188">
        <f>IF($A188="","",'Beállítások'!$E$8*(10-D188))</f>
        <v/>
      </c>
      <c r="CU188">
        <f>IF($A188="","",'Beállítások'!$E$9*(10-E188))</f>
        <v/>
      </c>
      <c r="CV188">
        <f>IF($A188="","",'Beállítások'!$E$10*(10-F188))</f>
        <v/>
      </c>
      <c r="CW188">
        <f>IF($A188="","",'Beállítások'!$E$11*(10-G188))</f>
        <v/>
      </c>
      <c r="CX188">
        <f>IF($A188="","",'Beállítások'!$E$12*(10-H188))</f>
        <v/>
      </c>
      <c r="CY188">
        <f>IF($A188="","",'Beállítások'!$E$13*(10-I188))</f>
        <v/>
      </c>
      <c r="CZ188">
        <f>IF($A188="","",'Beállítások'!$E$14*(10-J188))</f>
        <v/>
      </c>
      <c r="DA188">
        <f>IF($A188="","",'Beállítások'!$E$15*(10-K188))</f>
        <v/>
      </c>
      <c r="DB188">
        <f>IF($A188="","",'Beállítások'!$E$16*(10-L188))</f>
        <v/>
      </c>
      <c r="DC188">
        <f>IF($A188="","",'Beállítások'!$E$17*(10-M188))</f>
        <v/>
      </c>
      <c r="DD188">
        <f>IF($A188="","",'Beállítások'!$E$18*(10-N188))</f>
        <v/>
      </c>
      <c r="DE188">
        <f>IF($A188="","",'Beállítások'!$E$19*(10-O188))</f>
        <v/>
      </c>
      <c r="DF188">
        <f>IF($A188="","",'Beállítások'!$E$20*(10-P188))</f>
        <v/>
      </c>
      <c r="DG188">
        <f>IF($A188="","",'Beállítások'!$E$21*(10-Q188))</f>
        <v/>
      </c>
      <c r="DH188">
        <f>IF($A188="","",'Beállítások'!$E$22*(10-R188))</f>
        <v/>
      </c>
      <c r="DI188">
        <f>IF($A188="","",'Beállítások'!$E$23*(10-S188))</f>
        <v/>
      </c>
      <c r="DJ188">
        <f>IF($A188="","",'Beállítások'!$E$24*(10-T188))</f>
        <v/>
      </c>
      <c r="DK188">
        <f>IF($A188="","",'Beállítások'!$E$25*(10-U188))</f>
        <v/>
      </c>
      <c r="DL188">
        <f>IF($A188="","",'Beállítások'!$E$26*(10-V188))</f>
        <v/>
      </c>
      <c r="DM188">
        <f>IF($A188="","",'Beállítások'!$E$27*(10-W188))</f>
        <v/>
      </c>
      <c r="DN188">
        <f>IF($A188="","",'Beállítások'!$E$28*(10-X188))</f>
        <v/>
      </c>
      <c r="DO188">
        <f>IF($A188="","",'Beállítások'!$E$29*(10-Y188))</f>
        <v/>
      </c>
      <c r="DP188">
        <f>IF($A188="","",'Beállítások'!$E$30*(10-Z188))</f>
        <v/>
      </c>
      <c r="DQ188">
        <f>IF($A188="","",'Beállítások'!$E$31*(10-AA188))</f>
        <v/>
      </c>
      <c r="DR188">
        <f>IF($A188="","",'Beállítások'!$E$32*(10-AB188))</f>
        <v/>
      </c>
      <c r="DS188">
        <f>IF($A188="","",'Beállítások'!$E$33*(10-AC188))</f>
        <v/>
      </c>
      <c r="DT188">
        <f>IF($A188="","",'Beállítások'!$E$34*(10-AD188))</f>
        <v/>
      </c>
      <c r="DU188">
        <f>IF($A188="","",'Beállítások'!$E$35*(10-AE188))</f>
        <v/>
      </c>
      <c r="DV188">
        <f>IF($A188="","",'Beállítások'!$E$36*(10-AF188))</f>
        <v/>
      </c>
      <c r="DW188">
        <f>IF($A188="","",'Beállítások'!$E$37*(10-AG188))</f>
        <v/>
      </c>
      <c r="DX188">
        <f>IF($A188="","",'Beállítások'!$E$38*(10-AH188))</f>
        <v/>
      </c>
      <c r="DY188">
        <f>IF($A188="","",AM188-ROW()/100000)</f>
        <v/>
      </c>
    </row>
    <row r="189">
      <c r="A189">
        <f>IF('Ügyfelek'!A189="","",'Ügyfelek'!A189)</f>
        <v/>
      </c>
      <c r="B189">
        <f>IF($A189="","",IF('Ügyfelek'!B189="",'Beállítások'!$B$84,IFERROR(VLOOKUP(TRIM('Ügyfelek'!B189),'Beállítások'!$A$51:$B$59,2,FALSE),'Beállítások'!$B$84)))</f>
        <v/>
      </c>
      <c r="C189">
        <f>IF($A189="","",IF('Ügyfelek'!C189="",'Beállítások'!$B$84,MIN(10,MAX(1,ROUND('Ügyfelek'!C189,0)))))</f>
        <v/>
      </c>
      <c r="D189">
        <f>IF($A189="","",IF('Ügyfelek'!D189="",'Beállítások'!$B$84,MIN(10,MAX(1,ROUND('Ügyfelek'!D189,0)))))</f>
        <v/>
      </c>
      <c r="E189">
        <f>IF($A189="","",IF('Ügyfelek'!E189="",'Beállítások'!$B$84,MIN(10,MAX(1,ROUND('Ügyfelek'!E189,0)))))</f>
        <v/>
      </c>
      <c r="F189">
        <f>IF($A189="","",IF('Ügyfelek'!F189="",'Beállítások'!$B$84,MIN(10,MAX(1,ROUND('Ügyfelek'!F189,0)))))</f>
        <v/>
      </c>
      <c r="G189">
        <f>IF($A189="","",IF('Ügyfelek'!G189="",'Beállítások'!$B$84,MIN(10,MAX(1,ROUND('Ügyfelek'!G189,0)))))</f>
        <v/>
      </c>
      <c r="H189">
        <f>IF($A189="","",IF('Ügyfelek'!H189="",'Beállítások'!$B$84,MIN(10,MAX(1,ROUND('Ügyfelek'!H189,0)))))</f>
        <v/>
      </c>
      <c r="I189">
        <f>IF($A189="","",IF('Ügyfelek'!I189="",'Beállítások'!$B$84,MIN(10,MAX(1,ROUND('Ügyfelek'!I189,0)))))</f>
        <v/>
      </c>
      <c r="J189">
        <f>IF($A189="","",IF('Ügyfelek'!J189="",'Beállítások'!$B$84,MIN(10,MAX(1,ROUND('Ügyfelek'!J189,0)))))</f>
        <v/>
      </c>
      <c r="K189">
        <f>IF($A189="","",IF('Ügyfelek'!K189="",'Beállítások'!$B$84,MIN(10,MAX(1,ROUND('Ügyfelek'!K189,0)))))</f>
        <v/>
      </c>
      <c r="L189">
        <f>IF($A189="","",IF('Ügyfelek'!L189="",'Beállítások'!$B$84,MIN(10,MAX(1,ROUND('Ügyfelek'!L189,0)))))</f>
        <v/>
      </c>
      <c r="M189">
        <f>IF($A189="","",IF('Ügyfelek'!M189="",'Beállítások'!$B$84,MIN(10,MAX(1,ROUND('Ügyfelek'!M189,0)))))</f>
        <v/>
      </c>
      <c r="N189">
        <f>IF($A189="","",IF('Ügyfelek'!N189="",'Beállítások'!$B$84,MIN(10,MAX(1,ROUND('Ügyfelek'!N189,0)))))</f>
        <v/>
      </c>
      <c r="O189">
        <f>IF($A189="","",IF('Ügyfelek'!O189="",'Beállítások'!$B$84,MIN(10,MAX(1,ROUND('Ügyfelek'!O189,0)))))</f>
        <v/>
      </c>
      <c r="P189">
        <f>IF($A189="","",IF('Ügyfelek'!P189="",'Beállítások'!$B$84,MIN(10,MAX(1,ROUND('Ügyfelek'!P189,0)))))</f>
        <v/>
      </c>
      <c r="Q189">
        <f>IF($A189="","",IF('Ügyfelek'!Q189="",'Beállítások'!$B$84,MIN(10,MAX(1,ROUND('Ügyfelek'!Q189,0)))))</f>
        <v/>
      </c>
      <c r="R189">
        <f>IF($A189="","",IF('Ügyfelek'!R189="",'Beállítások'!$B$84,MIN(10,MAX(1,ROUND('Ügyfelek'!R189,0)))))</f>
        <v/>
      </c>
      <c r="S189">
        <f>IF($A189="","",IF('Ügyfelek'!S189="",'Beállítások'!$B$84,MIN(10,MAX(1,ROUND('Ügyfelek'!S189,0)))))</f>
        <v/>
      </c>
      <c r="T189">
        <f>IF($A189="","",IF('Ügyfelek'!T189="",'Beállítások'!$B$84,VLOOKUP(MAX('Ügyfelek'!T189,'Beállítások'!$H$7),'Beállítások'!$H$7:$I$12,2,TRUE)))</f>
        <v/>
      </c>
      <c r="U189">
        <f>IF($A189="","",IF('Ügyfelek'!U189="",'Beállítások'!$B$84,VLOOKUP(MAX('Ügyfelek'!U189,'Beállítások'!$K$7),'Beállítások'!$K$7:$L$12,2,TRUE)))</f>
        <v/>
      </c>
      <c r="V189">
        <f>IF($A189="","",IF('Ügyfelek'!V189="",'Beállítások'!$B$84,MIN(10,MAX(1,ROUND('Ügyfelek'!V189,0)))))</f>
        <v/>
      </c>
      <c r="W189">
        <f>IF($A189="","",IF('Ügyfelek'!W189="",'Beállítások'!$B$84,VLOOKUP(MAX('Ügyfelek'!W189,'Beállítások'!$N$7),'Beállítások'!$N$7:$O$12,2,TRUE)))</f>
        <v/>
      </c>
      <c r="X189">
        <f>IF($A189="","",IF('Ügyfelek'!X189="",'Beállítások'!$B$84,MIN(10,MAX(1,ROUND('Ügyfelek'!X189,0)))))</f>
        <v/>
      </c>
      <c r="Y189">
        <f>IF($A189="","",IF('Ügyfelek'!Y189="",'Beállítások'!$B$84,IFERROR(VLOOKUP(TRIM('Ügyfelek'!Y189),'Beállítások'!$A$63:$B$69,2,FALSE),'Beállítások'!$B$84)))</f>
        <v/>
      </c>
      <c r="Z189">
        <f>IF($A189="","",IF('Ügyfelek'!Z189="",'Beállítások'!$B$84,VLOOKUP(MAX('Ügyfelek'!Z189,'Beállítások'!$Q$7),'Beállítások'!$Q$7:$R$12,2,TRUE)))</f>
        <v/>
      </c>
      <c r="AA189">
        <f>IF($A189="","",IF('Ügyfelek'!AA189="",'Beállítások'!$B$84,VLOOKUP(MAX('Ügyfelek'!AA189,'Beállítások'!$T$7),'Beállítások'!$T$7:$U$12,2,TRUE)))</f>
        <v/>
      </c>
      <c r="AB189">
        <f>IF($A189="","",IF('Ügyfelek'!AB189="",'Beállítások'!$B$84,MIN(10,MAX(1,ROUND('Ügyfelek'!AB189,0)))))</f>
        <v/>
      </c>
      <c r="AC189">
        <f>IF($A189="","",IF('Ügyfelek'!AC189="",'Beállítások'!$B$84,MIN(10,MAX(1,ROUND('Ügyfelek'!AC189,0)))))</f>
        <v/>
      </c>
      <c r="AD189">
        <f>IF($A189="","",IF('Ügyfelek'!AD189="",'Beállítások'!$B$84,MIN(10,MAX(1,ROUND('Ügyfelek'!AD189,0)))))</f>
        <v/>
      </c>
      <c r="AE189">
        <f>IF($A189="","",IF('Ügyfelek'!AE189="",'Beállítások'!$B$84,MIN(10,MAX(1,ROUND('Ügyfelek'!AE189,0)))))</f>
        <v/>
      </c>
      <c r="AF189">
        <f>IF($A189="","",IF('Ügyfelek'!AF189="",'Beállítások'!$B$84,MIN(10,MAX(1,ROUND('Ügyfelek'!AF189,0)))))</f>
        <v/>
      </c>
      <c r="AG189">
        <f>IF($A189="","",IF('Ügyfelek'!AG189="",'Beállítások'!$B$84,MIN(10,MAX(1,ROUND('Ügyfelek'!AG189,0)))))</f>
        <v/>
      </c>
      <c r="AH189">
        <f>IF($A189="","",IF('Ügyfelek'!AH189="",'Beállítások'!$B$84,IFERROR(VLOOKUP(TRIM('Ügyfelek'!AH189),'Beállítások'!$A$73:$B$79,2,FALSE),'Beállítások'!$B$84)))</f>
        <v/>
      </c>
      <c r="AI189" s="23">
        <f>IF($A189="","",ROUND(100*('Beállítások'!$E$6*(B189-1)+'Beállítások'!$E$7*(C189-1))/(9*'Beállítások'!$B$43),1))</f>
        <v/>
      </c>
      <c r="AJ189" s="23">
        <f>IF($A189="","",ROUND(100*('Beállítások'!$E$8*(D189-1)+'Beállítások'!$E$9*(E189-1)+'Beállítások'!$E$10*(F189-1)+'Beállítások'!$E$11*(G189-1)+'Beállítások'!$E$12*(H189-1)+'Beállítások'!$E$13*(I189-1)+'Beállítások'!$E$14*(J189-1)+'Beállítások'!$E$15*(K189-1)+'Beállítások'!$E$16*(L189-1)+'Beállítások'!$E$17*(M189-1)+'Beállítások'!$E$18*(N189-1)+'Beállítások'!$E$19*(O189-1)+'Beállítások'!$E$20*(P189-1)+'Beállítások'!$E$21*(Q189-1)+'Beállítások'!$E$22*(R189-1))/(9*'Beállítások'!$B$44),1))</f>
        <v/>
      </c>
      <c r="AK189" s="23">
        <f>IF($A189="","",ROUND(100*('Beállítások'!$E$23*(S189-1)+'Beállítások'!$E$24*(T189-1)+'Beállítások'!$E$25*(U189-1)+'Beállítások'!$E$26*(V189-1)+'Beállítások'!$E$27*(W189-1)+'Beállítások'!$E$28*(X189-1)+'Beállítások'!$E$29*(Y189-1))/(9*'Beállítások'!$B$45),1))</f>
        <v/>
      </c>
      <c r="AL189" s="23">
        <f>IF($A189="","",ROUND(100*('Beállítások'!$E$30*(Z189-1)+'Beállítások'!$E$31*(AA189-1)+'Beállítások'!$E$32*(AB189-1)+'Beállítások'!$E$33*(AC189-1)+'Beállítások'!$E$34*(AD189-1)+'Beállítások'!$E$35*(AE189-1)+'Beállítások'!$E$36*(AF189-1)+'Beállítások'!$E$37*(AG189-1)+'Beállítások'!$E$38*(AH189-1))/(9*'Beállítások'!$B$46),1))</f>
        <v/>
      </c>
      <c r="AM189" s="23">
        <f>IF($A189="","",ROUND(100*('Beállítások'!$E$6*(B189-1)+'Beállítások'!$E$7*(C189-1)+'Beállítások'!$E$8*(D189-1)+'Beállítások'!$E$9*(E189-1)+'Beállítások'!$E$10*(F189-1)+'Beállítások'!$E$11*(G189-1)+'Beállítások'!$E$12*(H189-1)+'Beállítások'!$E$13*(I189-1)+'Beállítások'!$E$14*(J189-1)+'Beállítások'!$E$15*(K189-1)+'Beállítások'!$E$16*(L189-1)+'Beállítások'!$E$17*(M189-1)+'Beállítások'!$E$18*(N189-1)+'Beállítások'!$E$19*(O189-1)+'Beállítások'!$E$20*(P189-1)+'Beállítások'!$E$21*(Q189-1)+'Beállítások'!$E$22*(R189-1)+'Beállítások'!$E$23*(S189-1)+'Beállítások'!$E$24*(T189-1)+'Beállítások'!$E$25*(U189-1)+'Beállítások'!$E$26*(V189-1)+'Beállítások'!$E$27*(W189-1)+'Beállítások'!$E$28*(X189-1)+'Beállítások'!$E$29*(Y189-1)+'Beállítások'!$E$30*(Z189-1)+'Beállítások'!$E$31*(AA189-1)+'Beállítások'!$E$32*(AB189-1)+'Beállítások'!$E$33*(AC189-1)+'Beállítások'!$E$34*(AD189-1)+'Beállítások'!$E$35*(AE189-1)+'Beállítások'!$E$36*(AF189-1)+'Beállítások'!$E$37*(AG189-1)+'Beállítások'!$E$38*(AH189-1))/(9*'Beállítások'!$E$39),1))</f>
        <v/>
      </c>
      <c r="AN189" s="23">
        <f>IF($A189="","",ROUND(100*('Beállítások'!$E$8*(D189-1)+'Beállítások'!$E$9*(E189-1)+'Beállítások'!$E$10*(F189-1)+'Beállítások'!$E$11*(G189-1)+'Beállítások'!$E$12*(H189-1)+'Beállítások'!$E$13*(I189-1)+'Beállítások'!$E$14*(J189-1)+'Beállítások'!$E$15*(K189-1)+'Beállítások'!$E$16*(L189-1)+'Beállítások'!$E$17*(M189-1)+'Beállítások'!$E$18*(N189-1)+'Beállítások'!$E$19*(O189-1)+'Beállítások'!$E$20*(P189-1)+'Beállítások'!$E$21*(Q189-1)+'Beállítások'!$E$22*(R189-1)+'Beállítások'!$E$23*(S189-1)+'Beállítások'!$E$24*(T189-1)+'Beállítások'!$E$25*(U189-1)+'Beállítások'!$E$26*(V189-1)+'Beállítások'!$E$27*(W189-1)+'Beállítások'!$E$28*(X189-1)+'Beállítások'!$E$29*(Y189-1))/(9*('Beállítások'!$B$44+'Beállítások'!$B$45)),1))</f>
        <v/>
      </c>
      <c r="AO189" s="24">
        <f>IF($A189="","",RANK(AM189,$AM$2:$AM$201))</f>
        <v/>
      </c>
      <c r="AP189">
        <f>IF($A189="","",IF(OR(AND('Ügyfelek'!B189&lt;&gt;"",B189&lt;='Beállítások'!$B$85),AND('Ügyfelek'!C189&lt;&gt;"",C189&lt;='Beállítások'!$B$86)),"Igen","Nem"))</f>
        <v/>
      </c>
      <c r="AQ189" s="24">
        <f>IF($A189="","",IF(AP189="Igen",5,IF(AN189&gt;='Beállítások'!$C$108,1,IF(AN189&gt;='Beállítások'!$C$109,2,IF(AN189&gt;='Beállítások'!$C$110,3,IF(AND(AN189&gt;='Beállítások'!$B$87,AI189&gt;='Beállítások'!$B$88,AL189&gt;='Beállítások'!$B$89),4,5))))))</f>
        <v/>
      </c>
      <c r="AR189">
        <f>IF($A189="","",INDEX('Beállítások'!$B$108:$B$112,AQ189))</f>
        <v/>
      </c>
      <c r="AS189">
        <f>IF($A189="","",IF(AQ189=5,"Elutasítjuk",IF(AND(AQ189=4,COUNTIFS('Eredmény'!$AQ$2:$AQ$201,4,'Eredmény'!$DY$2:$DY$201,"&gt;"&amp;DY189)&gt;='Beállítások'!$B$90),"Várólista (a 4-es hely foglalt)","Elfogadjuk")))</f>
        <v/>
      </c>
      <c r="AT189">
        <f>IF($A189="","",INDEX('Beállítások'!$F$108:$F$112,AQ189))</f>
        <v/>
      </c>
      <c r="AU189">
        <f>IF($A189="","",INDEX('Beállítások'!$B$6:$B$38,MATCH(MAX(BK189:CQ189),BK189:CQ189,0)))</f>
        <v/>
      </c>
      <c r="AV189">
        <f>IF($A189="","",IF(MAX(CR189:DX189)=0,"—",INDEX('Beállítások'!$B$6:$B$38,MATCH(MAX(CR189:DX189),CR189:DX189,0))))</f>
        <v/>
      </c>
      <c r="AW189" s="10">
        <f>IF($A189="","",'Beállítások'!$B$94*(TRIM('Ügyfelek'!AI189)="igen")+'Beállítások'!$B$95*(TRIM('Ügyfelek'!AJ189)="igen")+'Beállítások'!$B$96*N('Ügyfelek'!AK189)+'Beállítások'!$B$93*N('Ügyfelek'!AL189))</f>
        <v/>
      </c>
      <c r="AX189" s="25">
        <f>IF(OR($A189="",AQ189=5),"",INDEX('Beállítások'!$D$108:$D$112,AQ189))</f>
        <v/>
      </c>
      <c r="AY189" s="10">
        <f>IF($A189="","",N('Ügyfelek'!U189)*'Beállítások'!$B$98)</f>
        <v/>
      </c>
      <c r="AZ189" s="10">
        <f>IF(OR($A189="",AQ189=5),"",CEILING(ROUND(MAX('Beállítások'!$B$97,AW189*AX189,AY189),2),'Beállítások'!$B$99))</f>
        <v/>
      </c>
      <c r="BA189">
        <f>IF($A189="","",IF(AQ189=5,"Elutasítva",IF(MAX('Beállítások'!$B$97,AW189*AX189,AY189)=AW189*AX189,"Munkaigény × státuszszorzó",IF(MAX('Beállítások'!$B$97,AW189*AX189,AY189)=AY189,"Hirdetési keret arányában","Minimumdíj"))))</f>
        <v/>
      </c>
      <c r="BB189" s="10">
        <f>IF(OR($A189="",'Ügyfelek'!AM189=""),"",'Ügyfelek'!AM189)</f>
        <v/>
      </c>
      <c r="BC189" s="10">
        <f>IF(OR(BB189="",AZ189=""),"",AZ189-BB189)</f>
        <v/>
      </c>
      <c r="BD189" s="18">
        <f>IF(OR(BB189="",AZ189="",BB189=0),"",BC189/BB189)</f>
        <v/>
      </c>
      <c r="BE189">
        <f>IF(OR($A189="",AQ189=5),"",IF(AND(INDEX('Beállítások'!$E$108:$E$112,AQ189)&gt;0,Y189&gt;='Beállítások'!$B$91),"Igen","Nem"))</f>
        <v/>
      </c>
      <c r="BF189" s="10">
        <f>IF(BE189="Igen",CEILING(ROUND(AZ189*(1-'Beállítások'!$B$92),2),'Beállítások'!$B$99),"")</f>
        <v/>
      </c>
      <c r="BG189" s="20">
        <f>IF(BE189="Igen",INDEX('Beállítások'!$E$108:$E$112,AQ189),"")</f>
        <v/>
      </c>
      <c r="BH189" s="10">
        <f>IF(OR(BE189&lt;&gt;"Igen",'Ügyfelek'!AN189=""),"",'Ügyfelek'!AN189*BG189)</f>
        <v/>
      </c>
      <c r="BI189" s="24">
        <f>IF($A189="","",('Ügyfelek'!B189="")+('Ügyfelek'!C189="")+('Ügyfelek'!D189="")+('Ügyfelek'!E189="")+('Ügyfelek'!F189="")+('Ügyfelek'!G189="")+('Ügyfelek'!H189="")+('Ügyfelek'!I189="")+('Ügyfelek'!J189="")+('Ügyfelek'!K189="")+('Ügyfelek'!L189="")+('Ügyfelek'!M189="")+('Ügyfelek'!N189="")+('Ügyfelek'!O189="")+('Ügyfelek'!P189="")+('Ügyfelek'!Q189="")+('Ügyfelek'!R189="")+('Ügyfelek'!S189="")+('Ügyfelek'!T189="")+('Ügyfelek'!U189="")+('Ügyfelek'!V189="")+('Ügyfelek'!W189="")+('Ügyfelek'!X189="")+('Ügyfelek'!Y189="")+('Ügyfelek'!Z189="")+('Ügyfelek'!AA189="")+('Ügyfelek'!AB189="")+('Ügyfelek'!AC189="")+('Ügyfelek'!AD189="")+('Ügyfelek'!AE189="")+('Ügyfelek'!AF189="")+('Ügyfelek'!AG189="")+('Ügyfelek'!AH189=""))</f>
        <v/>
      </c>
      <c r="BK189">
        <f>IF($A189="","",B189+'Beállítások'!$E$6/1000)</f>
        <v/>
      </c>
      <c r="BL189">
        <f>IF($A189="","",C189+'Beállítások'!$E$7/1000)</f>
        <v/>
      </c>
      <c r="BM189">
        <f>IF($A189="","",D189+'Beállítások'!$E$8/1000)</f>
        <v/>
      </c>
      <c r="BN189">
        <f>IF($A189="","",E189+'Beállítások'!$E$9/1000)</f>
        <v/>
      </c>
      <c r="BO189">
        <f>IF($A189="","",F189+'Beállítások'!$E$10/1000)</f>
        <v/>
      </c>
      <c r="BP189">
        <f>IF($A189="","",G189+'Beállítások'!$E$11/1000)</f>
        <v/>
      </c>
      <c r="BQ189">
        <f>IF($A189="","",H189+'Beállítások'!$E$12/1000)</f>
        <v/>
      </c>
      <c r="BR189">
        <f>IF($A189="","",I189+'Beállítások'!$E$13/1000)</f>
        <v/>
      </c>
      <c r="BS189">
        <f>IF($A189="","",J189+'Beállítások'!$E$14/1000)</f>
        <v/>
      </c>
      <c r="BT189">
        <f>IF($A189="","",K189+'Beállítások'!$E$15/1000)</f>
        <v/>
      </c>
      <c r="BU189">
        <f>IF($A189="","",L189+'Beállítások'!$E$16/1000)</f>
        <v/>
      </c>
      <c r="BV189">
        <f>IF($A189="","",M189+'Beállítások'!$E$17/1000)</f>
        <v/>
      </c>
      <c r="BW189">
        <f>IF($A189="","",N189+'Beállítások'!$E$18/1000)</f>
        <v/>
      </c>
      <c r="BX189">
        <f>IF($A189="","",O189+'Beállítások'!$E$19/1000)</f>
        <v/>
      </c>
      <c r="BY189">
        <f>IF($A189="","",P189+'Beállítások'!$E$20/1000)</f>
        <v/>
      </c>
      <c r="BZ189">
        <f>IF($A189="","",Q189+'Beállítások'!$E$21/1000)</f>
        <v/>
      </c>
      <c r="CA189">
        <f>IF($A189="","",R189+'Beállítások'!$E$22/1000)</f>
        <v/>
      </c>
      <c r="CB189">
        <f>IF($A189="","",S189+'Beállítások'!$E$23/1000)</f>
        <v/>
      </c>
      <c r="CC189">
        <f>IF($A189="","",T189+'Beállítások'!$E$24/1000)</f>
        <v/>
      </c>
      <c r="CD189">
        <f>IF($A189="","",U189+'Beállítások'!$E$25/1000)</f>
        <v/>
      </c>
      <c r="CE189">
        <f>IF($A189="","",V189+'Beállítások'!$E$26/1000)</f>
        <v/>
      </c>
      <c r="CF189">
        <f>IF($A189="","",W189+'Beállítások'!$E$27/1000)</f>
        <v/>
      </c>
      <c r="CG189">
        <f>IF($A189="","",X189+'Beállítások'!$E$28/1000)</f>
        <v/>
      </c>
      <c r="CH189">
        <f>IF($A189="","",Y189+'Beállítások'!$E$29/1000)</f>
        <v/>
      </c>
      <c r="CI189">
        <f>IF($A189="","",Z189+'Beállítások'!$E$30/1000)</f>
        <v/>
      </c>
      <c r="CJ189">
        <f>IF($A189="","",AA189+'Beállítások'!$E$31/1000)</f>
        <v/>
      </c>
      <c r="CK189">
        <f>IF($A189="","",AB189+'Beállítások'!$E$32/1000)</f>
        <v/>
      </c>
      <c r="CL189">
        <f>IF($A189="","",AC189+'Beállítások'!$E$33/1000)</f>
        <v/>
      </c>
      <c r="CM189">
        <f>IF($A189="","",AD189+'Beállítások'!$E$34/1000)</f>
        <v/>
      </c>
      <c r="CN189">
        <f>IF($A189="","",AE189+'Beállítások'!$E$35/1000)</f>
        <v/>
      </c>
      <c r="CO189">
        <f>IF($A189="","",AF189+'Beállítások'!$E$36/1000)</f>
        <v/>
      </c>
      <c r="CP189">
        <f>IF($A189="","",AG189+'Beállítások'!$E$37/1000)</f>
        <v/>
      </c>
      <c r="CQ189">
        <f>IF($A189="","",AH189+'Beállítások'!$E$38/1000)</f>
        <v/>
      </c>
      <c r="CR189">
        <f>IF($A189="","",'Beállítások'!$E$6*(10-B189))</f>
        <v/>
      </c>
      <c r="CS189">
        <f>IF($A189="","",'Beállítások'!$E$7*(10-C189))</f>
        <v/>
      </c>
      <c r="CT189">
        <f>IF($A189="","",'Beállítások'!$E$8*(10-D189))</f>
        <v/>
      </c>
      <c r="CU189">
        <f>IF($A189="","",'Beállítások'!$E$9*(10-E189))</f>
        <v/>
      </c>
      <c r="CV189">
        <f>IF($A189="","",'Beállítások'!$E$10*(10-F189))</f>
        <v/>
      </c>
      <c r="CW189">
        <f>IF($A189="","",'Beállítások'!$E$11*(10-G189))</f>
        <v/>
      </c>
      <c r="CX189">
        <f>IF($A189="","",'Beállítások'!$E$12*(10-H189))</f>
        <v/>
      </c>
      <c r="CY189">
        <f>IF($A189="","",'Beállítások'!$E$13*(10-I189))</f>
        <v/>
      </c>
      <c r="CZ189">
        <f>IF($A189="","",'Beállítások'!$E$14*(10-J189))</f>
        <v/>
      </c>
      <c r="DA189">
        <f>IF($A189="","",'Beállítások'!$E$15*(10-K189))</f>
        <v/>
      </c>
      <c r="DB189">
        <f>IF($A189="","",'Beállítások'!$E$16*(10-L189))</f>
        <v/>
      </c>
      <c r="DC189">
        <f>IF($A189="","",'Beállítások'!$E$17*(10-M189))</f>
        <v/>
      </c>
      <c r="DD189">
        <f>IF($A189="","",'Beállítások'!$E$18*(10-N189))</f>
        <v/>
      </c>
      <c r="DE189">
        <f>IF($A189="","",'Beállítások'!$E$19*(10-O189))</f>
        <v/>
      </c>
      <c r="DF189">
        <f>IF($A189="","",'Beállítások'!$E$20*(10-P189))</f>
        <v/>
      </c>
      <c r="DG189">
        <f>IF($A189="","",'Beállítások'!$E$21*(10-Q189))</f>
        <v/>
      </c>
      <c r="DH189">
        <f>IF($A189="","",'Beállítások'!$E$22*(10-R189))</f>
        <v/>
      </c>
      <c r="DI189">
        <f>IF($A189="","",'Beállítások'!$E$23*(10-S189))</f>
        <v/>
      </c>
      <c r="DJ189">
        <f>IF($A189="","",'Beállítások'!$E$24*(10-T189))</f>
        <v/>
      </c>
      <c r="DK189">
        <f>IF($A189="","",'Beállítások'!$E$25*(10-U189))</f>
        <v/>
      </c>
      <c r="DL189">
        <f>IF($A189="","",'Beállítások'!$E$26*(10-V189))</f>
        <v/>
      </c>
      <c r="DM189">
        <f>IF($A189="","",'Beállítások'!$E$27*(10-W189))</f>
        <v/>
      </c>
      <c r="DN189">
        <f>IF($A189="","",'Beállítások'!$E$28*(10-X189))</f>
        <v/>
      </c>
      <c r="DO189">
        <f>IF($A189="","",'Beállítások'!$E$29*(10-Y189))</f>
        <v/>
      </c>
      <c r="DP189">
        <f>IF($A189="","",'Beállítások'!$E$30*(10-Z189))</f>
        <v/>
      </c>
      <c r="DQ189">
        <f>IF($A189="","",'Beállítások'!$E$31*(10-AA189))</f>
        <v/>
      </c>
      <c r="DR189">
        <f>IF($A189="","",'Beállítások'!$E$32*(10-AB189))</f>
        <v/>
      </c>
      <c r="DS189">
        <f>IF($A189="","",'Beállítások'!$E$33*(10-AC189))</f>
        <v/>
      </c>
      <c r="DT189">
        <f>IF($A189="","",'Beállítások'!$E$34*(10-AD189))</f>
        <v/>
      </c>
      <c r="DU189">
        <f>IF($A189="","",'Beállítások'!$E$35*(10-AE189))</f>
        <v/>
      </c>
      <c r="DV189">
        <f>IF($A189="","",'Beállítások'!$E$36*(10-AF189))</f>
        <v/>
      </c>
      <c r="DW189">
        <f>IF($A189="","",'Beállítások'!$E$37*(10-AG189))</f>
        <v/>
      </c>
      <c r="DX189">
        <f>IF($A189="","",'Beállítások'!$E$38*(10-AH189))</f>
        <v/>
      </c>
      <c r="DY189">
        <f>IF($A189="","",AM189-ROW()/100000)</f>
        <v/>
      </c>
    </row>
    <row r="190">
      <c r="A190">
        <f>IF('Ügyfelek'!A190="","",'Ügyfelek'!A190)</f>
        <v/>
      </c>
      <c r="B190">
        <f>IF($A190="","",IF('Ügyfelek'!B190="",'Beállítások'!$B$84,IFERROR(VLOOKUP(TRIM('Ügyfelek'!B190),'Beállítások'!$A$51:$B$59,2,FALSE),'Beállítások'!$B$84)))</f>
        <v/>
      </c>
      <c r="C190">
        <f>IF($A190="","",IF('Ügyfelek'!C190="",'Beállítások'!$B$84,MIN(10,MAX(1,ROUND('Ügyfelek'!C190,0)))))</f>
        <v/>
      </c>
      <c r="D190">
        <f>IF($A190="","",IF('Ügyfelek'!D190="",'Beállítások'!$B$84,MIN(10,MAX(1,ROUND('Ügyfelek'!D190,0)))))</f>
        <v/>
      </c>
      <c r="E190">
        <f>IF($A190="","",IF('Ügyfelek'!E190="",'Beállítások'!$B$84,MIN(10,MAX(1,ROUND('Ügyfelek'!E190,0)))))</f>
        <v/>
      </c>
      <c r="F190">
        <f>IF($A190="","",IF('Ügyfelek'!F190="",'Beállítások'!$B$84,MIN(10,MAX(1,ROUND('Ügyfelek'!F190,0)))))</f>
        <v/>
      </c>
      <c r="G190">
        <f>IF($A190="","",IF('Ügyfelek'!G190="",'Beállítások'!$B$84,MIN(10,MAX(1,ROUND('Ügyfelek'!G190,0)))))</f>
        <v/>
      </c>
      <c r="H190">
        <f>IF($A190="","",IF('Ügyfelek'!H190="",'Beállítások'!$B$84,MIN(10,MAX(1,ROUND('Ügyfelek'!H190,0)))))</f>
        <v/>
      </c>
      <c r="I190">
        <f>IF($A190="","",IF('Ügyfelek'!I190="",'Beállítások'!$B$84,MIN(10,MAX(1,ROUND('Ügyfelek'!I190,0)))))</f>
        <v/>
      </c>
      <c r="J190">
        <f>IF($A190="","",IF('Ügyfelek'!J190="",'Beállítások'!$B$84,MIN(10,MAX(1,ROUND('Ügyfelek'!J190,0)))))</f>
        <v/>
      </c>
      <c r="K190">
        <f>IF($A190="","",IF('Ügyfelek'!K190="",'Beállítások'!$B$84,MIN(10,MAX(1,ROUND('Ügyfelek'!K190,0)))))</f>
        <v/>
      </c>
      <c r="L190">
        <f>IF($A190="","",IF('Ügyfelek'!L190="",'Beállítások'!$B$84,MIN(10,MAX(1,ROUND('Ügyfelek'!L190,0)))))</f>
        <v/>
      </c>
      <c r="M190">
        <f>IF($A190="","",IF('Ügyfelek'!M190="",'Beállítások'!$B$84,MIN(10,MAX(1,ROUND('Ügyfelek'!M190,0)))))</f>
        <v/>
      </c>
      <c r="N190">
        <f>IF($A190="","",IF('Ügyfelek'!N190="",'Beállítások'!$B$84,MIN(10,MAX(1,ROUND('Ügyfelek'!N190,0)))))</f>
        <v/>
      </c>
      <c r="O190">
        <f>IF($A190="","",IF('Ügyfelek'!O190="",'Beállítások'!$B$84,MIN(10,MAX(1,ROUND('Ügyfelek'!O190,0)))))</f>
        <v/>
      </c>
      <c r="P190">
        <f>IF($A190="","",IF('Ügyfelek'!P190="",'Beállítások'!$B$84,MIN(10,MAX(1,ROUND('Ügyfelek'!P190,0)))))</f>
        <v/>
      </c>
      <c r="Q190">
        <f>IF($A190="","",IF('Ügyfelek'!Q190="",'Beállítások'!$B$84,MIN(10,MAX(1,ROUND('Ügyfelek'!Q190,0)))))</f>
        <v/>
      </c>
      <c r="R190">
        <f>IF($A190="","",IF('Ügyfelek'!R190="",'Beállítások'!$B$84,MIN(10,MAX(1,ROUND('Ügyfelek'!R190,0)))))</f>
        <v/>
      </c>
      <c r="S190">
        <f>IF($A190="","",IF('Ügyfelek'!S190="",'Beállítások'!$B$84,MIN(10,MAX(1,ROUND('Ügyfelek'!S190,0)))))</f>
        <v/>
      </c>
      <c r="T190">
        <f>IF($A190="","",IF('Ügyfelek'!T190="",'Beállítások'!$B$84,VLOOKUP(MAX('Ügyfelek'!T190,'Beállítások'!$H$7),'Beállítások'!$H$7:$I$12,2,TRUE)))</f>
        <v/>
      </c>
      <c r="U190">
        <f>IF($A190="","",IF('Ügyfelek'!U190="",'Beállítások'!$B$84,VLOOKUP(MAX('Ügyfelek'!U190,'Beállítások'!$K$7),'Beállítások'!$K$7:$L$12,2,TRUE)))</f>
        <v/>
      </c>
      <c r="V190">
        <f>IF($A190="","",IF('Ügyfelek'!V190="",'Beállítások'!$B$84,MIN(10,MAX(1,ROUND('Ügyfelek'!V190,0)))))</f>
        <v/>
      </c>
      <c r="W190">
        <f>IF($A190="","",IF('Ügyfelek'!W190="",'Beállítások'!$B$84,VLOOKUP(MAX('Ügyfelek'!W190,'Beállítások'!$N$7),'Beállítások'!$N$7:$O$12,2,TRUE)))</f>
        <v/>
      </c>
      <c r="X190">
        <f>IF($A190="","",IF('Ügyfelek'!X190="",'Beállítások'!$B$84,MIN(10,MAX(1,ROUND('Ügyfelek'!X190,0)))))</f>
        <v/>
      </c>
      <c r="Y190">
        <f>IF($A190="","",IF('Ügyfelek'!Y190="",'Beállítások'!$B$84,IFERROR(VLOOKUP(TRIM('Ügyfelek'!Y190),'Beállítások'!$A$63:$B$69,2,FALSE),'Beállítások'!$B$84)))</f>
        <v/>
      </c>
      <c r="Z190">
        <f>IF($A190="","",IF('Ügyfelek'!Z190="",'Beállítások'!$B$84,VLOOKUP(MAX('Ügyfelek'!Z190,'Beállítások'!$Q$7),'Beállítások'!$Q$7:$R$12,2,TRUE)))</f>
        <v/>
      </c>
      <c r="AA190">
        <f>IF($A190="","",IF('Ügyfelek'!AA190="",'Beállítások'!$B$84,VLOOKUP(MAX('Ügyfelek'!AA190,'Beállítások'!$T$7),'Beállítások'!$T$7:$U$12,2,TRUE)))</f>
        <v/>
      </c>
      <c r="AB190">
        <f>IF($A190="","",IF('Ügyfelek'!AB190="",'Beállítások'!$B$84,MIN(10,MAX(1,ROUND('Ügyfelek'!AB190,0)))))</f>
        <v/>
      </c>
      <c r="AC190">
        <f>IF($A190="","",IF('Ügyfelek'!AC190="",'Beállítások'!$B$84,MIN(10,MAX(1,ROUND('Ügyfelek'!AC190,0)))))</f>
        <v/>
      </c>
      <c r="AD190">
        <f>IF($A190="","",IF('Ügyfelek'!AD190="",'Beállítások'!$B$84,MIN(10,MAX(1,ROUND('Ügyfelek'!AD190,0)))))</f>
        <v/>
      </c>
      <c r="AE190">
        <f>IF($A190="","",IF('Ügyfelek'!AE190="",'Beállítások'!$B$84,MIN(10,MAX(1,ROUND('Ügyfelek'!AE190,0)))))</f>
        <v/>
      </c>
      <c r="AF190">
        <f>IF($A190="","",IF('Ügyfelek'!AF190="",'Beállítások'!$B$84,MIN(10,MAX(1,ROUND('Ügyfelek'!AF190,0)))))</f>
        <v/>
      </c>
      <c r="AG190">
        <f>IF($A190="","",IF('Ügyfelek'!AG190="",'Beállítások'!$B$84,MIN(10,MAX(1,ROUND('Ügyfelek'!AG190,0)))))</f>
        <v/>
      </c>
      <c r="AH190">
        <f>IF($A190="","",IF('Ügyfelek'!AH190="",'Beállítások'!$B$84,IFERROR(VLOOKUP(TRIM('Ügyfelek'!AH190),'Beállítások'!$A$73:$B$79,2,FALSE),'Beállítások'!$B$84)))</f>
        <v/>
      </c>
      <c r="AI190" s="23">
        <f>IF($A190="","",ROUND(100*('Beállítások'!$E$6*(B190-1)+'Beállítások'!$E$7*(C190-1))/(9*'Beállítások'!$B$43),1))</f>
        <v/>
      </c>
      <c r="AJ190" s="23">
        <f>IF($A190="","",ROUND(100*('Beállítások'!$E$8*(D190-1)+'Beállítások'!$E$9*(E190-1)+'Beállítások'!$E$10*(F190-1)+'Beállítások'!$E$11*(G190-1)+'Beállítások'!$E$12*(H190-1)+'Beállítások'!$E$13*(I190-1)+'Beállítások'!$E$14*(J190-1)+'Beállítások'!$E$15*(K190-1)+'Beállítások'!$E$16*(L190-1)+'Beállítások'!$E$17*(M190-1)+'Beállítások'!$E$18*(N190-1)+'Beállítások'!$E$19*(O190-1)+'Beállítások'!$E$20*(P190-1)+'Beállítások'!$E$21*(Q190-1)+'Beállítások'!$E$22*(R190-1))/(9*'Beállítások'!$B$44),1))</f>
        <v/>
      </c>
      <c r="AK190" s="23">
        <f>IF($A190="","",ROUND(100*('Beállítások'!$E$23*(S190-1)+'Beállítások'!$E$24*(T190-1)+'Beállítások'!$E$25*(U190-1)+'Beállítások'!$E$26*(V190-1)+'Beállítások'!$E$27*(W190-1)+'Beállítások'!$E$28*(X190-1)+'Beállítások'!$E$29*(Y190-1))/(9*'Beállítások'!$B$45),1))</f>
        <v/>
      </c>
      <c r="AL190" s="23">
        <f>IF($A190="","",ROUND(100*('Beállítások'!$E$30*(Z190-1)+'Beállítások'!$E$31*(AA190-1)+'Beállítások'!$E$32*(AB190-1)+'Beállítások'!$E$33*(AC190-1)+'Beállítások'!$E$34*(AD190-1)+'Beállítások'!$E$35*(AE190-1)+'Beállítások'!$E$36*(AF190-1)+'Beállítások'!$E$37*(AG190-1)+'Beállítások'!$E$38*(AH190-1))/(9*'Beállítások'!$B$46),1))</f>
        <v/>
      </c>
      <c r="AM190" s="23">
        <f>IF($A190="","",ROUND(100*('Beállítások'!$E$6*(B190-1)+'Beállítások'!$E$7*(C190-1)+'Beállítások'!$E$8*(D190-1)+'Beállítások'!$E$9*(E190-1)+'Beállítások'!$E$10*(F190-1)+'Beállítások'!$E$11*(G190-1)+'Beállítások'!$E$12*(H190-1)+'Beállítások'!$E$13*(I190-1)+'Beállítások'!$E$14*(J190-1)+'Beállítások'!$E$15*(K190-1)+'Beállítások'!$E$16*(L190-1)+'Beállítások'!$E$17*(M190-1)+'Beállítások'!$E$18*(N190-1)+'Beállítások'!$E$19*(O190-1)+'Beállítások'!$E$20*(P190-1)+'Beállítások'!$E$21*(Q190-1)+'Beállítások'!$E$22*(R190-1)+'Beállítások'!$E$23*(S190-1)+'Beállítások'!$E$24*(T190-1)+'Beállítások'!$E$25*(U190-1)+'Beállítások'!$E$26*(V190-1)+'Beállítások'!$E$27*(W190-1)+'Beállítások'!$E$28*(X190-1)+'Beállítások'!$E$29*(Y190-1)+'Beállítások'!$E$30*(Z190-1)+'Beállítások'!$E$31*(AA190-1)+'Beállítások'!$E$32*(AB190-1)+'Beállítások'!$E$33*(AC190-1)+'Beállítások'!$E$34*(AD190-1)+'Beállítások'!$E$35*(AE190-1)+'Beállítások'!$E$36*(AF190-1)+'Beállítások'!$E$37*(AG190-1)+'Beállítások'!$E$38*(AH190-1))/(9*'Beállítások'!$E$39),1))</f>
        <v/>
      </c>
      <c r="AN190" s="23">
        <f>IF($A190="","",ROUND(100*('Beállítások'!$E$8*(D190-1)+'Beállítások'!$E$9*(E190-1)+'Beállítások'!$E$10*(F190-1)+'Beállítások'!$E$11*(G190-1)+'Beállítások'!$E$12*(H190-1)+'Beállítások'!$E$13*(I190-1)+'Beállítások'!$E$14*(J190-1)+'Beállítások'!$E$15*(K190-1)+'Beállítások'!$E$16*(L190-1)+'Beállítások'!$E$17*(M190-1)+'Beállítások'!$E$18*(N190-1)+'Beállítások'!$E$19*(O190-1)+'Beállítások'!$E$20*(P190-1)+'Beállítások'!$E$21*(Q190-1)+'Beállítások'!$E$22*(R190-1)+'Beállítások'!$E$23*(S190-1)+'Beállítások'!$E$24*(T190-1)+'Beállítások'!$E$25*(U190-1)+'Beállítások'!$E$26*(V190-1)+'Beállítások'!$E$27*(W190-1)+'Beállítások'!$E$28*(X190-1)+'Beállítások'!$E$29*(Y190-1))/(9*('Beállítások'!$B$44+'Beállítások'!$B$45)),1))</f>
        <v/>
      </c>
      <c r="AO190" s="24">
        <f>IF($A190="","",RANK(AM190,$AM$2:$AM$201))</f>
        <v/>
      </c>
      <c r="AP190">
        <f>IF($A190="","",IF(OR(AND('Ügyfelek'!B190&lt;&gt;"",B190&lt;='Beállítások'!$B$85),AND('Ügyfelek'!C190&lt;&gt;"",C190&lt;='Beállítások'!$B$86)),"Igen","Nem"))</f>
        <v/>
      </c>
      <c r="AQ190" s="24">
        <f>IF($A190="","",IF(AP190="Igen",5,IF(AN190&gt;='Beállítások'!$C$108,1,IF(AN190&gt;='Beállítások'!$C$109,2,IF(AN190&gt;='Beállítások'!$C$110,3,IF(AND(AN190&gt;='Beállítások'!$B$87,AI190&gt;='Beállítások'!$B$88,AL190&gt;='Beállítások'!$B$89),4,5))))))</f>
        <v/>
      </c>
      <c r="AR190">
        <f>IF($A190="","",INDEX('Beállítások'!$B$108:$B$112,AQ190))</f>
        <v/>
      </c>
      <c r="AS190">
        <f>IF($A190="","",IF(AQ190=5,"Elutasítjuk",IF(AND(AQ190=4,COUNTIFS('Eredmény'!$AQ$2:$AQ$201,4,'Eredmény'!$DY$2:$DY$201,"&gt;"&amp;DY190)&gt;='Beállítások'!$B$90),"Várólista (a 4-es hely foglalt)","Elfogadjuk")))</f>
        <v/>
      </c>
      <c r="AT190">
        <f>IF($A190="","",INDEX('Beállítások'!$F$108:$F$112,AQ190))</f>
        <v/>
      </c>
      <c r="AU190">
        <f>IF($A190="","",INDEX('Beállítások'!$B$6:$B$38,MATCH(MAX(BK190:CQ190),BK190:CQ190,0)))</f>
        <v/>
      </c>
      <c r="AV190">
        <f>IF($A190="","",IF(MAX(CR190:DX190)=0,"—",INDEX('Beállítások'!$B$6:$B$38,MATCH(MAX(CR190:DX190),CR190:DX190,0))))</f>
        <v/>
      </c>
      <c r="AW190" s="10">
        <f>IF($A190="","",'Beállítások'!$B$94*(TRIM('Ügyfelek'!AI190)="igen")+'Beállítások'!$B$95*(TRIM('Ügyfelek'!AJ190)="igen")+'Beállítások'!$B$96*N('Ügyfelek'!AK190)+'Beállítások'!$B$93*N('Ügyfelek'!AL190))</f>
        <v/>
      </c>
      <c r="AX190" s="25">
        <f>IF(OR($A190="",AQ190=5),"",INDEX('Beállítások'!$D$108:$D$112,AQ190))</f>
        <v/>
      </c>
      <c r="AY190" s="10">
        <f>IF($A190="","",N('Ügyfelek'!U190)*'Beállítások'!$B$98)</f>
        <v/>
      </c>
      <c r="AZ190" s="10">
        <f>IF(OR($A190="",AQ190=5),"",CEILING(ROUND(MAX('Beállítások'!$B$97,AW190*AX190,AY190),2),'Beállítások'!$B$99))</f>
        <v/>
      </c>
      <c r="BA190">
        <f>IF($A190="","",IF(AQ190=5,"Elutasítva",IF(MAX('Beállítások'!$B$97,AW190*AX190,AY190)=AW190*AX190,"Munkaigény × státuszszorzó",IF(MAX('Beállítások'!$B$97,AW190*AX190,AY190)=AY190,"Hirdetési keret arányában","Minimumdíj"))))</f>
        <v/>
      </c>
      <c r="BB190" s="10">
        <f>IF(OR($A190="",'Ügyfelek'!AM190=""),"",'Ügyfelek'!AM190)</f>
        <v/>
      </c>
      <c r="BC190" s="10">
        <f>IF(OR(BB190="",AZ190=""),"",AZ190-BB190)</f>
        <v/>
      </c>
      <c r="BD190" s="18">
        <f>IF(OR(BB190="",AZ190="",BB190=0),"",BC190/BB190)</f>
        <v/>
      </c>
      <c r="BE190">
        <f>IF(OR($A190="",AQ190=5),"",IF(AND(INDEX('Beállítások'!$E$108:$E$112,AQ190)&gt;0,Y190&gt;='Beállítások'!$B$91),"Igen","Nem"))</f>
        <v/>
      </c>
      <c r="BF190" s="10">
        <f>IF(BE190="Igen",CEILING(ROUND(AZ190*(1-'Beállítások'!$B$92),2),'Beállítások'!$B$99),"")</f>
        <v/>
      </c>
      <c r="BG190" s="20">
        <f>IF(BE190="Igen",INDEX('Beállítások'!$E$108:$E$112,AQ190),"")</f>
        <v/>
      </c>
      <c r="BH190" s="10">
        <f>IF(OR(BE190&lt;&gt;"Igen",'Ügyfelek'!AN190=""),"",'Ügyfelek'!AN190*BG190)</f>
        <v/>
      </c>
      <c r="BI190" s="24">
        <f>IF($A190="","",('Ügyfelek'!B190="")+('Ügyfelek'!C190="")+('Ügyfelek'!D190="")+('Ügyfelek'!E190="")+('Ügyfelek'!F190="")+('Ügyfelek'!G190="")+('Ügyfelek'!H190="")+('Ügyfelek'!I190="")+('Ügyfelek'!J190="")+('Ügyfelek'!K190="")+('Ügyfelek'!L190="")+('Ügyfelek'!M190="")+('Ügyfelek'!N190="")+('Ügyfelek'!O190="")+('Ügyfelek'!P190="")+('Ügyfelek'!Q190="")+('Ügyfelek'!R190="")+('Ügyfelek'!S190="")+('Ügyfelek'!T190="")+('Ügyfelek'!U190="")+('Ügyfelek'!V190="")+('Ügyfelek'!W190="")+('Ügyfelek'!X190="")+('Ügyfelek'!Y190="")+('Ügyfelek'!Z190="")+('Ügyfelek'!AA190="")+('Ügyfelek'!AB190="")+('Ügyfelek'!AC190="")+('Ügyfelek'!AD190="")+('Ügyfelek'!AE190="")+('Ügyfelek'!AF190="")+('Ügyfelek'!AG190="")+('Ügyfelek'!AH190=""))</f>
        <v/>
      </c>
      <c r="BK190">
        <f>IF($A190="","",B190+'Beállítások'!$E$6/1000)</f>
        <v/>
      </c>
      <c r="BL190">
        <f>IF($A190="","",C190+'Beállítások'!$E$7/1000)</f>
        <v/>
      </c>
      <c r="BM190">
        <f>IF($A190="","",D190+'Beállítások'!$E$8/1000)</f>
        <v/>
      </c>
      <c r="BN190">
        <f>IF($A190="","",E190+'Beállítások'!$E$9/1000)</f>
        <v/>
      </c>
      <c r="BO190">
        <f>IF($A190="","",F190+'Beállítások'!$E$10/1000)</f>
        <v/>
      </c>
      <c r="BP190">
        <f>IF($A190="","",G190+'Beállítások'!$E$11/1000)</f>
        <v/>
      </c>
      <c r="BQ190">
        <f>IF($A190="","",H190+'Beállítások'!$E$12/1000)</f>
        <v/>
      </c>
      <c r="BR190">
        <f>IF($A190="","",I190+'Beállítások'!$E$13/1000)</f>
        <v/>
      </c>
      <c r="BS190">
        <f>IF($A190="","",J190+'Beállítások'!$E$14/1000)</f>
        <v/>
      </c>
      <c r="BT190">
        <f>IF($A190="","",K190+'Beállítások'!$E$15/1000)</f>
        <v/>
      </c>
      <c r="BU190">
        <f>IF($A190="","",L190+'Beállítások'!$E$16/1000)</f>
        <v/>
      </c>
      <c r="BV190">
        <f>IF($A190="","",M190+'Beállítások'!$E$17/1000)</f>
        <v/>
      </c>
      <c r="BW190">
        <f>IF($A190="","",N190+'Beállítások'!$E$18/1000)</f>
        <v/>
      </c>
      <c r="BX190">
        <f>IF($A190="","",O190+'Beállítások'!$E$19/1000)</f>
        <v/>
      </c>
      <c r="BY190">
        <f>IF($A190="","",P190+'Beállítások'!$E$20/1000)</f>
        <v/>
      </c>
      <c r="BZ190">
        <f>IF($A190="","",Q190+'Beállítások'!$E$21/1000)</f>
        <v/>
      </c>
      <c r="CA190">
        <f>IF($A190="","",R190+'Beállítások'!$E$22/1000)</f>
        <v/>
      </c>
      <c r="CB190">
        <f>IF($A190="","",S190+'Beállítások'!$E$23/1000)</f>
        <v/>
      </c>
      <c r="CC190">
        <f>IF($A190="","",T190+'Beállítások'!$E$24/1000)</f>
        <v/>
      </c>
      <c r="CD190">
        <f>IF($A190="","",U190+'Beállítások'!$E$25/1000)</f>
        <v/>
      </c>
      <c r="CE190">
        <f>IF($A190="","",V190+'Beállítások'!$E$26/1000)</f>
        <v/>
      </c>
      <c r="CF190">
        <f>IF($A190="","",W190+'Beállítások'!$E$27/1000)</f>
        <v/>
      </c>
      <c r="CG190">
        <f>IF($A190="","",X190+'Beállítások'!$E$28/1000)</f>
        <v/>
      </c>
      <c r="CH190">
        <f>IF($A190="","",Y190+'Beállítások'!$E$29/1000)</f>
        <v/>
      </c>
      <c r="CI190">
        <f>IF($A190="","",Z190+'Beállítások'!$E$30/1000)</f>
        <v/>
      </c>
      <c r="CJ190">
        <f>IF($A190="","",AA190+'Beállítások'!$E$31/1000)</f>
        <v/>
      </c>
      <c r="CK190">
        <f>IF($A190="","",AB190+'Beállítások'!$E$32/1000)</f>
        <v/>
      </c>
      <c r="CL190">
        <f>IF($A190="","",AC190+'Beállítások'!$E$33/1000)</f>
        <v/>
      </c>
      <c r="CM190">
        <f>IF($A190="","",AD190+'Beállítások'!$E$34/1000)</f>
        <v/>
      </c>
      <c r="CN190">
        <f>IF($A190="","",AE190+'Beállítások'!$E$35/1000)</f>
        <v/>
      </c>
      <c r="CO190">
        <f>IF($A190="","",AF190+'Beállítások'!$E$36/1000)</f>
        <v/>
      </c>
      <c r="CP190">
        <f>IF($A190="","",AG190+'Beállítások'!$E$37/1000)</f>
        <v/>
      </c>
      <c r="CQ190">
        <f>IF($A190="","",AH190+'Beállítások'!$E$38/1000)</f>
        <v/>
      </c>
      <c r="CR190">
        <f>IF($A190="","",'Beállítások'!$E$6*(10-B190))</f>
        <v/>
      </c>
      <c r="CS190">
        <f>IF($A190="","",'Beállítások'!$E$7*(10-C190))</f>
        <v/>
      </c>
      <c r="CT190">
        <f>IF($A190="","",'Beállítások'!$E$8*(10-D190))</f>
        <v/>
      </c>
      <c r="CU190">
        <f>IF($A190="","",'Beállítások'!$E$9*(10-E190))</f>
        <v/>
      </c>
      <c r="CV190">
        <f>IF($A190="","",'Beállítások'!$E$10*(10-F190))</f>
        <v/>
      </c>
      <c r="CW190">
        <f>IF($A190="","",'Beállítások'!$E$11*(10-G190))</f>
        <v/>
      </c>
      <c r="CX190">
        <f>IF($A190="","",'Beállítások'!$E$12*(10-H190))</f>
        <v/>
      </c>
      <c r="CY190">
        <f>IF($A190="","",'Beállítások'!$E$13*(10-I190))</f>
        <v/>
      </c>
      <c r="CZ190">
        <f>IF($A190="","",'Beállítások'!$E$14*(10-J190))</f>
        <v/>
      </c>
      <c r="DA190">
        <f>IF($A190="","",'Beállítások'!$E$15*(10-K190))</f>
        <v/>
      </c>
      <c r="DB190">
        <f>IF($A190="","",'Beállítások'!$E$16*(10-L190))</f>
        <v/>
      </c>
      <c r="DC190">
        <f>IF($A190="","",'Beállítások'!$E$17*(10-M190))</f>
        <v/>
      </c>
      <c r="DD190">
        <f>IF($A190="","",'Beállítások'!$E$18*(10-N190))</f>
        <v/>
      </c>
      <c r="DE190">
        <f>IF($A190="","",'Beállítások'!$E$19*(10-O190))</f>
        <v/>
      </c>
      <c r="DF190">
        <f>IF($A190="","",'Beállítások'!$E$20*(10-P190))</f>
        <v/>
      </c>
      <c r="DG190">
        <f>IF($A190="","",'Beállítások'!$E$21*(10-Q190))</f>
        <v/>
      </c>
      <c r="DH190">
        <f>IF($A190="","",'Beállítások'!$E$22*(10-R190))</f>
        <v/>
      </c>
      <c r="DI190">
        <f>IF($A190="","",'Beállítások'!$E$23*(10-S190))</f>
        <v/>
      </c>
      <c r="DJ190">
        <f>IF($A190="","",'Beállítások'!$E$24*(10-T190))</f>
        <v/>
      </c>
      <c r="DK190">
        <f>IF($A190="","",'Beállítások'!$E$25*(10-U190))</f>
        <v/>
      </c>
      <c r="DL190">
        <f>IF($A190="","",'Beállítások'!$E$26*(10-V190))</f>
        <v/>
      </c>
      <c r="DM190">
        <f>IF($A190="","",'Beállítások'!$E$27*(10-W190))</f>
        <v/>
      </c>
      <c r="DN190">
        <f>IF($A190="","",'Beállítások'!$E$28*(10-X190))</f>
        <v/>
      </c>
      <c r="DO190">
        <f>IF($A190="","",'Beállítások'!$E$29*(10-Y190))</f>
        <v/>
      </c>
      <c r="DP190">
        <f>IF($A190="","",'Beállítások'!$E$30*(10-Z190))</f>
        <v/>
      </c>
      <c r="DQ190">
        <f>IF($A190="","",'Beállítások'!$E$31*(10-AA190))</f>
        <v/>
      </c>
      <c r="DR190">
        <f>IF($A190="","",'Beállítások'!$E$32*(10-AB190))</f>
        <v/>
      </c>
      <c r="DS190">
        <f>IF($A190="","",'Beállítások'!$E$33*(10-AC190))</f>
        <v/>
      </c>
      <c r="DT190">
        <f>IF($A190="","",'Beállítások'!$E$34*(10-AD190))</f>
        <v/>
      </c>
      <c r="DU190">
        <f>IF($A190="","",'Beállítások'!$E$35*(10-AE190))</f>
        <v/>
      </c>
      <c r="DV190">
        <f>IF($A190="","",'Beállítások'!$E$36*(10-AF190))</f>
        <v/>
      </c>
      <c r="DW190">
        <f>IF($A190="","",'Beállítások'!$E$37*(10-AG190))</f>
        <v/>
      </c>
      <c r="DX190">
        <f>IF($A190="","",'Beállítások'!$E$38*(10-AH190))</f>
        <v/>
      </c>
      <c r="DY190">
        <f>IF($A190="","",AM190-ROW()/100000)</f>
        <v/>
      </c>
    </row>
    <row r="191">
      <c r="A191">
        <f>IF('Ügyfelek'!A191="","",'Ügyfelek'!A191)</f>
        <v/>
      </c>
      <c r="B191">
        <f>IF($A191="","",IF('Ügyfelek'!B191="",'Beállítások'!$B$84,IFERROR(VLOOKUP(TRIM('Ügyfelek'!B191),'Beállítások'!$A$51:$B$59,2,FALSE),'Beállítások'!$B$84)))</f>
        <v/>
      </c>
      <c r="C191">
        <f>IF($A191="","",IF('Ügyfelek'!C191="",'Beállítások'!$B$84,MIN(10,MAX(1,ROUND('Ügyfelek'!C191,0)))))</f>
        <v/>
      </c>
      <c r="D191">
        <f>IF($A191="","",IF('Ügyfelek'!D191="",'Beállítások'!$B$84,MIN(10,MAX(1,ROUND('Ügyfelek'!D191,0)))))</f>
        <v/>
      </c>
      <c r="E191">
        <f>IF($A191="","",IF('Ügyfelek'!E191="",'Beállítások'!$B$84,MIN(10,MAX(1,ROUND('Ügyfelek'!E191,0)))))</f>
        <v/>
      </c>
      <c r="F191">
        <f>IF($A191="","",IF('Ügyfelek'!F191="",'Beállítások'!$B$84,MIN(10,MAX(1,ROUND('Ügyfelek'!F191,0)))))</f>
        <v/>
      </c>
      <c r="G191">
        <f>IF($A191="","",IF('Ügyfelek'!G191="",'Beállítások'!$B$84,MIN(10,MAX(1,ROUND('Ügyfelek'!G191,0)))))</f>
        <v/>
      </c>
      <c r="H191">
        <f>IF($A191="","",IF('Ügyfelek'!H191="",'Beállítások'!$B$84,MIN(10,MAX(1,ROUND('Ügyfelek'!H191,0)))))</f>
        <v/>
      </c>
      <c r="I191">
        <f>IF($A191="","",IF('Ügyfelek'!I191="",'Beállítások'!$B$84,MIN(10,MAX(1,ROUND('Ügyfelek'!I191,0)))))</f>
        <v/>
      </c>
      <c r="J191">
        <f>IF($A191="","",IF('Ügyfelek'!J191="",'Beállítások'!$B$84,MIN(10,MAX(1,ROUND('Ügyfelek'!J191,0)))))</f>
        <v/>
      </c>
      <c r="K191">
        <f>IF($A191="","",IF('Ügyfelek'!K191="",'Beállítások'!$B$84,MIN(10,MAX(1,ROUND('Ügyfelek'!K191,0)))))</f>
        <v/>
      </c>
      <c r="L191">
        <f>IF($A191="","",IF('Ügyfelek'!L191="",'Beállítások'!$B$84,MIN(10,MAX(1,ROUND('Ügyfelek'!L191,0)))))</f>
        <v/>
      </c>
      <c r="M191">
        <f>IF($A191="","",IF('Ügyfelek'!M191="",'Beállítások'!$B$84,MIN(10,MAX(1,ROUND('Ügyfelek'!M191,0)))))</f>
        <v/>
      </c>
      <c r="N191">
        <f>IF($A191="","",IF('Ügyfelek'!N191="",'Beállítások'!$B$84,MIN(10,MAX(1,ROUND('Ügyfelek'!N191,0)))))</f>
        <v/>
      </c>
      <c r="O191">
        <f>IF($A191="","",IF('Ügyfelek'!O191="",'Beállítások'!$B$84,MIN(10,MAX(1,ROUND('Ügyfelek'!O191,0)))))</f>
        <v/>
      </c>
      <c r="P191">
        <f>IF($A191="","",IF('Ügyfelek'!P191="",'Beállítások'!$B$84,MIN(10,MAX(1,ROUND('Ügyfelek'!P191,0)))))</f>
        <v/>
      </c>
      <c r="Q191">
        <f>IF($A191="","",IF('Ügyfelek'!Q191="",'Beállítások'!$B$84,MIN(10,MAX(1,ROUND('Ügyfelek'!Q191,0)))))</f>
        <v/>
      </c>
      <c r="R191">
        <f>IF($A191="","",IF('Ügyfelek'!R191="",'Beállítások'!$B$84,MIN(10,MAX(1,ROUND('Ügyfelek'!R191,0)))))</f>
        <v/>
      </c>
      <c r="S191">
        <f>IF($A191="","",IF('Ügyfelek'!S191="",'Beállítások'!$B$84,MIN(10,MAX(1,ROUND('Ügyfelek'!S191,0)))))</f>
        <v/>
      </c>
      <c r="T191">
        <f>IF($A191="","",IF('Ügyfelek'!T191="",'Beállítások'!$B$84,VLOOKUP(MAX('Ügyfelek'!T191,'Beállítások'!$H$7),'Beállítások'!$H$7:$I$12,2,TRUE)))</f>
        <v/>
      </c>
      <c r="U191">
        <f>IF($A191="","",IF('Ügyfelek'!U191="",'Beállítások'!$B$84,VLOOKUP(MAX('Ügyfelek'!U191,'Beállítások'!$K$7),'Beállítások'!$K$7:$L$12,2,TRUE)))</f>
        <v/>
      </c>
      <c r="V191">
        <f>IF($A191="","",IF('Ügyfelek'!V191="",'Beállítások'!$B$84,MIN(10,MAX(1,ROUND('Ügyfelek'!V191,0)))))</f>
        <v/>
      </c>
      <c r="W191">
        <f>IF($A191="","",IF('Ügyfelek'!W191="",'Beállítások'!$B$84,VLOOKUP(MAX('Ügyfelek'!W191,'Beállítások'!$N$7),'Beállítások'!$N$7:$O$12,2,TRUE)))</f>
        <v/>
      </c>
      <c r="X191">
        <f>IF($A191="","",IF('Ügyfelek'!X191="",'Beállítások'!$B$84,MIN(10,MAX(1,ROUND('Ügyfelek'!X191,0)))))</f>
        <v/>
      </c>
      <c r="Y191">
        <f>IF($A191="","",IF('Ügyfelek'!Y191="",'Beállítások'!$B$84,IFERROR(VLOOKUP(TRIM('Ügyfelek'!Y191),'Beállítások'!$A$63:$B$69,2,FALSE),'Beállítások'!$B$84)))</f>
        <v/>
      </c>
      <c r="Z191">
        <f>IF($A191="","",IF('Ügyfelek'!Z191="",'Beállítások'!$B$84,VLOOKUP(MAX('Ügyfelek'!Z191,'Beállítások'!$Q$7),'Beállítások'!$Q$7:$R$12,2,TRUE)))</f>
        <v/>
      </c>
      <c r="AA191">
        <f>IF($A191="","",IF('Ügyfelek'!AA191="",'Beállítások'!$B$84,VLOOKUP(MAX('Ügyfelek'!AA191,'Beállítások'!$T$7),'Beállítások'!$T$7:$U$12,2,TRUE)))</f>
        <v/>
      </c>
      <c r="AB191">
        <f>IF($A191="","",IF('Ügyfelek'!AB191="",'Beállítások'!$B$84,MIN(10,MAX(1,ROUND('Ügyfelek'!AB191,0)))))</f>
        <v/>
      </c>
      <c r="AC191">
        <f>IF($A191="","",IF('Ügyfelek'!AC191="",'Beállítások'!$B$84,MIN(10,MAX(1,ROUND('Ügyfelek'!AC191,0)))))</f>
        <v/>
      </c>
      <c r="AD191">
        <f>IF($A191="","",IF('Ügyfelek'!AD191="",'Beállítások'!$B$84,MIN(10,MAX(1,ROUND('Ügyfelek'!AD191,0)))))</f>
        <v/>
      </c>
      <c r="AE191">
        <f>IF($A191="","",IF('Ügyfelek'!AE191="",'Beállítások'!$B$84,MIN(10,MAX(1,ROUND('Ügyfelek'!AE191,0)))))</f>
        <v/>
      </c>
      <c r="AF191">
        <f>IF($A191="","",IF('Ügyfelek'!AF191="",'Beállítások'!$B$84,MIN(10,MAX(1,ROUND('Ügyfelek'!AF191,0)))))</f>
        <v/>
      </c>
      <c r="AG191">
        <f>IF($A191="","",IF('Ügyfelek'!AG191="",'Beállítások'!$B$84,MIN(10,MAX(1,ROUND('Ügyfelek'!AG191,0)))))</f>
        <v/>
      </c>
      <c r="AH191">
        <f>IF($A191="","",IF('Ügyfelek'!AH191="",'Beállítások'!$B$84,IFERROR(VLOOKUP(TRIM('Ügyfelek'!AH191),'Beállítások'!$A$73:$B$79,2,FALSE),'Beállítások'!$B$84)))</f>
        <v/>
      </c>
      <c r="AI191" s="23">
        <f>IF($A191="","",ROUND(100*('Beállítások'!$E$6*(B191-1)+'Beállítások'!$E$7*(C191-1))/(9*'Beállítások'!$B$43),1))</f>
        <v/>
      </c>
      <c r="AJ191" s="23">
        <f>IF($A191="","",ROUND(100*('Beállítások'!$E$8*(D191-1)+'Beállítások'!$E$9*(E191-1)+'Beállítások'!$E$10*(F191-1)+'Beállítások'!$E$11*(G191-1)+'Beállítások'!$E$12*(H191-1)+'Beállítások'!$E$13*(I191-1)+'Beállítások'!$E$14*(J191-1)+'Beállítások'!$E$15*(K191-1)+'Beállítások'!$E$16*(L191-1)+'Beállítások'!$E$17*(M191-1)+'Beállítások'!$E$18*(N191-1)+'Beállítások'!$E$19*(O191-1)+'Beállítások'!$E$20*(P191-1)+'Beállítások'!$E$21*(Q191-1)+'Beállítások'!$E$22*(R191-1))/(9*'Beállítások'!$B$44),1))</f>
        <v/>
      </c>
      <c r="AK191" s="23">
        <f>IF($A191="","",ROUND(100*('Beállítások'!$E$23*(S191-1)+'Beállítások'!$E$24*(T191-1)+'Beállítások'!$E$25*(U191-1)+'Beállítások'!$E$26*(V191-1)+'Beállítások'!$E$27*(W191-1)+'Beállítások'!$E$28*(X191-1)+'Beállítások'!$E$29*(Y191-1))/(9*'Beállítások'!$B$45),1))</f>
        <v/>
      </c>
      <c r="AL191" s="23">
        <f>IF($A191="","",ROUND(100*('Beállítások'!$E$30*(Z191-1)+'Beállítások'!$E$31*(AA191-1)+'Beállítások'!$E$32*(AB191-1)+'Beállítások'!$E$33*(AC191-1)+'Beállítások'!$E$34*(AD191-1)+'Beállítások'!$E$35*(AE191-1)+'Beállítások'!$E$36*(AF191-1)+'Beállítások'!$E$37*(AG191-1)+'Beállítások'!$E$38*(AH191-1))/(9*'Beállítások'!$B$46),1))</f>
        <v/>
      </c>
      <c r="AM191" s="23">
        <f>IF($A191="","",ROUND(100*('Beállítások'!$E$6*(B191-1)+'Beállítások'!$E$7*(C191-1)+'Beállítások'!$E$8*(D191-1)+'Beállítások'!$E$9*(E191-1)+'Beállítások'!$E$10*(F191-1)+'Beállítások'!$E$11*(G191-1)+'Beállítások'!$E$12*(H191-1)+'Beállítások'!$E$13*(I191-1)+'Beállítások'!$E$14*(J191-1)+'Beállítások'!$E$15*(K191-1)+'Beállítások'!$E$16*(L191-1)+'Beállítások'!$E$17*(M191-1)+'Beállítások'!$E$18*(N191-1)+'Beállítások'!$E$19*(O191-1)+'Beállítások'!$E$20*(P191-1)+'Beállítások'!$E$21*(Q191-1)+'Beállítások'!$E$22*(R191-1)+'Beállítások'!$E$23*(S191-1)+'Beállítások'!$E$24*(T191-1)+'Beállítások'!$E$25*(U191-1)+'Beállítások'!$E$26*(V191-1)+'Beállítások'!$E$27*(W191-1)+'Beállítások'!$E$28*(X191-1)+'Beállítások'!$E$29*(Y191-1)+'Beállítások'!$E$30*(Z191-1)+'Beállítások'!$E$31*(AA191-1)+'Beállítások'!$E$32*(AB191-1)+'Beállítások'!$E$33*(AC191-1)+'Beállítások'!$E$34*(AD191-1)+'Beállítások'!$E$35*(AE191-1)+'Beállítások'!$E$36*(AF191-1)+'Beállítások'!$E$37*(AG191-1)+'Beállítások'!$E$38*(AH191-1))/(9*'Beállítások'!$E$39),1))</f>
        <v/>
      </c>
      <c r="AN191" s="23">
        <f>IF($A191="","",ROUND(100*('Beállítások'!$E$8*(D191-1)+'Beállítások'!$E$9*(E191-1)+'Beállítások'!$E$10*(F191-1)+'Beállítások'!$E$11*(G191-1)+'Beállítások'!$E$12*(H191-1)+'Beállítások'!$E$13*(I191-1)+'Beállítások'!$E$14*(J191-1)+'Beállítások'!$E$15*(K191-1)+'Beállítások'!$E$16*(L191-1)+'Beállítások'!$E$17*(M191-1)+'Beállítások'!$E$18*(N191-1)+'Beállítások'!$E$19*(O191-1)+'Beállítások'!$E$20*(P191-1)+'Beállítások'!$E$21*(Q191-1)+'Beállítások'!$E$22*(R191-1)+'Beállítások'!$E$23*(S191-1)+'Beállítások'!$E$24*(T191-1)+'Beállítások'!$E$25*(U191-1)+'Beállítások'!$E$26*(V191-1)+'Beállítások'!$E$27*(W191-1)+'Beállítások'!$E$28*(X191-1)+'Beállítások'!$E$29*(Y191-1))/(9*('Beállítások'!$B$44+'Beállítások'!$B$45)),1))</f>
        <v/>
      </c>
      <c r="AO191" s="24">
        <f>IF($A191="","",RANK(AM191,$AM$2:$AM$201))</f>
        <v/>
      </c>
      <c r="AP191">
        <f>IF($A191="","",IF(OR(AND('Ügyfelek'!B191&lt;&gt;"",B191&lt;='Beállítások'!$B$85),AND('Ügyfelek'!C191&lt;&gt;"",C191&lt;='Beállítások'!$B$86)),"Igen","Nem"))</f>
        <v/>
      </c>
      <c r="AQ191" s="24">
        <f>IF($A191="","",IF(AP191="Igen",5,IF(AN191&gt;='Beállítások'!$C$108,1,IF(AN191&gt;='Beállítások'!$C$109,2,IF(AN191&gt;='Beállítások'!$C$110,3,IF(AND(AN191&gt;='Beállítások'!$B$87,AI191&gt;='Beállítások'!$B$88,AL191&gt;='Beállítások'!$B$89),4,5))))))</f>
        <v/>
      </c>
      <c r="AR191">
        <f>IF($A191="","",INDEX('Beállítások'!$B$108:$B$112,AQ191))</f>
        <v/>
      </c>
      <c r="AS191">
        <f>IF($A191="","",IF(AQ191=5,"Elutasítjuk",IF(AND(AQ191=4,COUNTIFS('Eredmény'!$AQ$2:$AQ$201,4,'Eredmény'!$DY$2:$DY$201,"&gt;"&amp;DY191)&gt;='Beállítások'!$B$90),"Várólista (a 4-es hely foglalt)","Elfogadjuk")))</f>
        <v/>
      </c>
      <c r="AT191">
        <f>IF($A191="","",INDEX('Beállítások'!$F$108:$F$112,AQ191))</f>
        <v/>
      </c>
      <c r="AU191">
        <f>IF($A191="","",INDEX('Beállítások'!$B$6:$B$38,MATCH(MAX(BK191:CQ191),BK191:CQ191,0)))</f>
        <v/>
      </c>
      <c r="AV191">
        <f>IF($A191="","",IF(MAX(CR191:DX191)=0,"—",INDEX('Beállítások'!$B$6:$B$38,MATCH(MAX(CR191:DX191),CR191:DX191,0))))</f>
        <v/>
      </c>
      <c r="AW191" s="10">
        <f>IF($A191="","",'Beállítások'!$B$94*(TRIM('Ügyfelek'!AI191)="igen")+'Beállítások'!$B$95*(TRIM('Ügyfelek'!AJ191)="igen")+'Beállítások'!$B$96*N('Ügyfelek'!AK191)+'Beállítások'!$B$93*N('Ügyfelek'!AL191))</f>
        <v/>
      </c>
      <c r="AX191" s="25">
        <f>IF(OR($A191="",AQ191=5),"",INDEX('Beállítások'!$D$108:$D$112,AQ191))</f>
        <v/>
      </c>
      <c r="AY191" s="10">
        <f>IF($A191="","",N('Ügyfelek'!U191)*'Beállítások'!$B$98)</f>
        <v/>
      </c>
      <c r="AZ191" s="10">
        <f>IF(OR($A191="",AQ191=5),"",CEILING(ROUND(MAX('Beállítások'!$B$97,AW191*AX191,AY191),2),'Beállítások'!$B$99))</f>
        <v/>
      </c>
      <c r="BA191">
        <f>IF($A191="","",IF(AQ191=5,"Elutasítva",IF(MAX('Beállítások'!$B$97,AW191*AX191,AY191)=AW191*AX191,"Munkaigény × státuszszorzó",IF(MAX('Beállítások'!$B$97,AW191*AX191,AY191)=AY191,"Hirdetési keret arányában","Minimumdíj"))))</f>
        <v/>
      </c>
      <c r="BB191" s="10">
        <f>IF(OR($A191="",'Ügyfelek'!AM191=""),"",'Ügyfelek'!AM191)</f>
        <v/>
      </c>
      <c r="BC191" s="10">
        <f>IF(OR(BB191="",AZ191=""),"",AZ191-BB191)</f>
        <v/>
      </c>
      <c r="BD191" s="18">
        <f>IF(OR(BB191="",AZ191="",BB191=0),"",BC191/BB191)</f>
        <v/>
      </c>
      <c r="BE191">
        <f>IF(OR($A191="",AQ191=5),"",IF(AND(INDEX('Beállítások'!$E$108:$E$112,AQ191)&gt;0,Y191&gt;='Beállítások'!$B$91),"Igen","Nem"))</f>
        <v/>
      </c>
      <c r="BF191" s="10">
        <f>IF(BE191="Igen",CEILING(ROUND(AZ191*(1-'Beállítások'!$B$92),2),'Beállítások'!$B$99),"")</f>
        <v/>
      </c>
      <c r="BG191" s="20">
        <f>IF(BE191="Igen",INDEX('Beállítások'!$E$108:$E$112,AQ191),"")</f>
        <v/>
      </c>
      <c r="BH191" s="10">
        <f>IF(OR(BE191&lt;&gt;"Igen",'Ügyfelek'!AN191=""),"",'Ügyfelek'!AN191*BG191)</f>
        <v/>
      </c>
      <c r="BI191" s="24">
        <f>IF($A191="","",('Ügyfelek'!B191="")+('Ügyfelek'!C191="")+('Ügyfelek'!D191="")+('Ügyfelek'!E191="")+('Ügyfelek'!F191="")+('Ügyfelek'!G191="")+('Ügyfelek'!H191="")+('Ügyfelek'!I191="")+('Ügyfelek'!J191="")+('Ügyfelek'!K191="")+('Ügyfelek'!L191="")+('Ügyfelek'!M191="")+('Ügyfelek'!N191="")+('Ügyfelek'!O191="")+('Ügyfelek'!P191="")+('Ügyfelek'!Q191="")+('Ügyfelek'!R191="")+('Ügyfelek'!S191="")+('Ügyfelek'!T191="")+('Ügyfelek'!U191="")+('Ügyfelek'!V191="")+('Ügyfelek'!W191="")+('Ügyfelek'!X191="")+('Ügyfelek'!Y191="")+('Ügyfelek'!Z191="")+('Ügyfelek'!AA191="")+('Ügyfelek'!AB191="")+('Ügyfelek'!AC191="")+('Ügyfelek'!AD191="")+('Ügyfelek'!AE191="")+('Ügyfelek'!AF191="")+('Ügyfelek'!AG191="")+('Ügyfelek'!AH191=""))</f>
        <v/>
      </c>
      <c r="BK191">
        <f>IF($A191="","",B191+'Beállítások'!$E$6/1000)</f>
        <v/>
      </c>
      <c r="BL191">
        <f>IF($A191="","",C191+'Beállítások'!$E$7/1000)</f>
        <v/>
      </c>
      <c r="BM191">
        <f>IF($A191="","",D191+'Beállítások'!$E$8/1000)</f>
        <v/>
      </c>
      <c r="BN191">
        <f>IF($A191="","",E191+'Beállítások'!$E$9/1000)</f>
        <v/>
      </c>
      <c r="BO191">
        <f>IF($A191="","",F191+'Beállítások'!$E$10/1000)</f>
        <v/>
      </c>
      <c r="BP191">
        <f>IF($A191="","",G191+'Beállítások'!$E$11/1000)</f>
        <v/>
      </c>
      <c r="BQ191">
        <f>IF($A191="","",H191+'Beállítások'!$E$12/1000)</f>
        <v/>
      </c>
      <c r="BR191">
        <f>IF($A191="","",I191+'Beállítások'!$E$13/1000)</f>
        <v/>
      </c>
      <c r="BS191">
        <f>IF($A191="","",J191+'Beállítások'!$E$14/1000)</f>
        <v/>
      </c>
      <c r="BT191">
        <f>IF($A191="","",K191+'Beállítások'!$E$15/1000)</f>
        <v/>
      </c>
      <c r="BU191">
        <f>IF($A191="","",L191+'Beállítások'!$E$16/1000)</f>
        <v/>
      </c>
      <c r="BV191">
        <f>IF($A191="","",M191+'Beállítások'!$E$17/1000)</f>
        <v/>
      </c>
      <c r="BW191">
        <f>IF($A191="","",N191+'Beállítások'!$E$18/1000)</f>
        <v/>
      </c>
      <c r="BX191">
        <f>IF($A191="","",O191+'Beállítások'!$E$19/1000)</f>
        <v/>
      </c>
      <c r="BY191">
        <f>IF($A191="","",P191+'Beállítások'!$E$20/1000)</f>
        <v/>
      </c>
      <c r="BZ191">
        <f>IF($A191="","",Q191+'Beállítások'!$E$21/1000)</f>
        <v/>
      </c>
      <c r="CA191">
        <f>IF($A191="","",R191+'Beállítások'!$E$22/1000)</f>
        <v/>
      </c>
      <c r="CB191">
        <f>IF($A191="","",S191+'Beállítások'!$E$23/1000)</f>
        <v/>
      </c>
      <c r="CC191">
        <f>IF($A191="","",T191+'Beállítások'!$E$24/1000)</f>
        <v/>
      </c>
      <c r="CD191">
        <f>IF($A191="","",U191+'Beállítások'!$E$25/1000)</f>
        <v/>
      </c>
      <c r="CE191">
        <f>IF($A191="","",V191+'Beállítások'!$E$26/1000)</f>
        <v/>
      </c>
      <c r="CF191">
        <f>IF($A191="","",W191+'Beállítások'!$E$27/1000)</f>
        <v/>
      </c>
      <c r="CG191">
        <f>IF($A191="","",X191+'Beállítások'!$E$28/1000)</f>
        <v/>
      </c>
      <c r="CH191">
        <f>IF($A191="","",Y191+'Beállítások'!$E$29/1000)</f>
        <v/>
      </c>
      <c r="CI191">
        <f>IF($A191="","",Z191+'Beállítások'!$E$30/1000)</f>
        <v/>
      </c>
      <c r="CJ191">
        <f>IF($A191="","",AA191+'Beállítások'!$E$31/1000)</f>
        <v/>
      </c>
      <c r="CK191">
        <f>IF($A191="","",AB191+'Beállítások'!$E$32/1000)</f>
        <v/>
      </c>
      <c r="CL191">
        <f>IF($A191="","",AC191+'Beállítások'!$E$33/1000)</f>
        <v/>
      </c>
      <c r="CM191">
        <f>IF($A191="","",AD191+'Beállítások'!$E$34/1000)</f>
        <v/>
      </c>
      <c r="CN191">
        <f>IF($A191="","",AE191+'Beállítások'!$E$35/1000)</f>
        <v/>
      </c>
      <c r="CO191">
        <f>IF($A191="","",AF191+'Beállítások'!$E$36/1000)</f>
        <v/>
      </c>
      <c r="CP191">
        <f>IF($A191="","",AG191+'Beállítások'!$E$37/1000)</f>
        <v/>
      </c>
      <c r="CQ191">
        <f>IF($A191="","",AH191+'Beállítások'!$E$38/1000)</f>
        <v/>
      </c>
      <c r="CR191">
        <f>IF($A191="","",'Beállítások'!$E$6*(10-B191))</f>
        <v/>
      </c>
      <c r="CS191">
        <f>IF($A191="","",'Beállítások'!$E$7*(10-C191))</f>
        <v/>
      </c>
      <c r="CT191">
        <f>IF($A191="","",'Beállítások'!$E$8*(10-D191))</f>
        <v/>
      </c>
      <c r="CU191">
        <f>IF($A191="","",'Beállítások'!$E$9*(10-E191))</f>
        <v/>
      </c>
      <c r="CV191">
        <f>IF($A191="","",'Beállítások'!$E$10*(10-F191))</f>
        <v/>
      </c>
      <c r="CW191">
        <f>IF($A191="","",'Beállítások'!$E$11*(10-G191))</f>
        <v/>
      </c>
      <c r="CX191">
        <f>IF($A191="","",'Beállítások'!$E$12*(10-H191))</f>
        <v/>
      </c>
      <c r="CY191">
        <f>IF($A191="","",'Beállítások'!$E$13*(10-I191))</f>
        <v/>
      </c>
      <c r="CZ191">
        <f>IF($A191="","",'Beállítások'!$E$14*(10-J191))</f>
        <v/>
      </c>
      <c r="DA191">
        <f>IF($A191="","",'Beállítások'!$E$15*(10-K191))</f>
        <v/>
      </c>
      <c r="DB191">
        <f>IF($A191="","",'Beállítások'!$E$16*(10-L191))</f>
        <v/>
      </c>
      <c r="DC191">
        <f>IF($A191="","",'Beállítások'!$E$17*(10-M191))</f>
        <v/>
      </c>
      <c r="DD191">
        <f>IF($A191="","",'Beállítások'!$E$18*(10-N191))</f>
        <v/>
      </c>
      <c r="DE191">
        <f>IF($A191="","",'Beállítások'!$E$19*(10-O191))</f>
        <v/>
      </c>
      <c r="DF191">
        <f>IF($A191="","",'Beállítások'!$E$20*(10-P191))</f>
        <v/>
      </c>
      <c r="DG191">
        <f>IF($A191="","",'Beállítások'!$E$21*(10-Q191))</f>
        <v/>
      </c>
      <c r="DH191">
        <f>IF($A191="","",'Beállítások'!$E$22*(10-R191))</f>
        <v/>
      </c>
      <c r="DI191">
        <f>IF($A191="","",'Beállítások'!$E$23*(10-S191))</f>
        <v/>
      </c>
      <c r="DJ191">
        <f>IF($A191="","",'Beállítások'!$E$24*(10-T191))</f>
        <v/>
      </c>
      <c r="DK191">
        <f>IF($A191="","",'Beállítások'!$E$25*(10-U191))</f>
        <v/>
      </c>
      <c r="DL191">
        <f>IF($A191="","",'Beállítások'!$E$26*(10-V191))</f>
        <v/>
      </c>
      <c r="DM191">
        <f>IF($A191="","",'Beállítások'!$E$27*(10-W191))</f>
        <v/>
      </c>
      <c r="DN191">
        <f>IF($A191="","",'Beállítások'!$E$28*(10-X191))</f>
        <v/>
      </c>
      <c r="DO191">
        <f>IF($A191="","",'Beállítások'!$E$29*(10-Y191))</f>
        <v/>
      </c>
      <c r="DP191">
        <f>IF($A191="","",'Beállítások'!$E$30*(10-Z191))</f>
        <v/>
      </c>
      <c r="DQ191">
        <f>IF($A191="","",'Beállítások'!$E$31*(10-AA191))</f>
        <v/>
      </c>
      <c r="DR191">
        <f>IF($A191="","",'Beállítások'!$E$32*(10-AB191))</f>
        <v/>
      </c>
      <c r="DS191">
        <f>IF($A191="","",'Beállítások'!$E$33*(10-AC191))</f>
        <v/>
      </c>
      <c r="DT191">
        <f>IF($A191="","",'Beállítások'!$E$34*(10-AD191))</f>
        <v/>
      </c>
      <c r="DU191">
        <f>IF($A191="","",'Beállítások'!$E$35*(10-AE191))</f>
        <v/>
      </c>
      <c r="DV191">
        <f>IF($A191="","",'Beállítások'!$E$36*(10-AF191))</f>
        <v/>
      </c>
      <c r="DW191">
        <f>IF($A191="","",'Beállítások'!$E$37*(10-AG191))</f>
        <v/>
      </c>
      <c r="DX191">
        <f>IF($A191="","",'Beállítások'!$E$38*(10-AH191))</f>
        <v/>
      </c>
      <c r="DY191">
        <f>IF($A191="","",AM191-ROW()/100000)</f>
        <v/>
      </c>
    </row>
    <row r="192">
      <c r="A192">
        <f>IF('Ügyfelek'!A192="","",'Ügyfelek'!A192)</f>
        <v/>
      </c>
      <c r="B192">
        <f>IF($A192="","",IF('Ügyfelek'!B192="",'Beállítások'!$B$84,IFERROR(VLOOKUP(TRIM('Ügyfelek'!B192),'Beállítások'!$A$51:$B$59,2,FALSE),'Beállítások'!$B$84)))</f>
        <v/>
      </c>
      <c r="C192">
        <f>IF($A192="","",IF('Ügyfelek'!C192="",'Beállítások'!$B$84,MIN(10,MAX(1,ROUND('Ügyfelek'!C192,0)))))</f>
        <v/>
      </c>
      <c r="D192">
        <f>IF($A192="","",IF('Ügyfelek'!D192="",'Beállítások'!$B$84,MIN(10,MAX(1,ROUND('Ügyfelek'!D192,0)))))</f>
        <v/>
      </c>
      <c r="E192">
        <f>IF($A192="","",IF('Ügyfelek'!E192="",'Beállítások'!$B$84,MIN(10,MAX(1,ROUND('Ügyfelek'!E192,0)))))</f>
        <v/>
      </c>
      <c r="F192">
        <f>IF($A192="","",IF('Ügyfelek'!F192="",'Beállítások'!$B$84,MIN(10,MAX(1,ROUND('Ügyfelek'!F192,0)))))</f>
        <v/>
      </c>
      <c r="G192">
        <f>IF($A192="","",IF('Ügyfelek'!G192="",'Beállítások'!$B$84,MIN(10,MAX(1,ROUND('Ügyfelek'!G192,0)))))</f>
        <v/>
      </c>
      <c r="H192">
        <f>IF($A192="","",IF('Ügyfelek'!H192="",'Beállítások'!$B$84,MIN(10,MAX(1,ROUND('Ügyfelek'!H192,0)))))</f>
        <v/>
      </c>
      <c r="I192">
        <f>IF($A192="","",IF('Ügyfelek'!I192="",'Beállítások'!$B$84,MIN(10,MAX(1,ROUND('Ügyfelek'!I192,0)))))</f>
        <v/>
      </c>
      <c r="J192">
        <f>IF($A192="","",IF('Ügyfelek'!J192="",'Beállítások'!$B$84,MIN(10,MAX(1,ROUND('Ügyfelek'!J192,0)))))</f>
        <v/>
      </c>
      <c r="K192">
        <f>IF($A192="","",IF('Ügyfelek'!K192="",'Beállítások'!$B$84,MIN(10,MAX(1,ROUND('Ügyfelek'!K192,0)))))</f>
        <v/>
      </c>
      <c r="L192">
        <f>IF($A192="","",IF('Ügyfelek'!L192="",'Beállítások'!$B$84,MIN(10,MAX(1,ROUND('Ügyfelek'!L192,0)))))</f>
        <v/>
      </c>
      <c r="M192">
        <f>IF($A192="","",IF('Ügyfelek'!M192="",'Beállítások'!$B$84,MIN(10,MAX(1,ROUND('Ügyfelek'!M192,0)))))</f>
        <v/>
      </c>
      <c r="N192">
        <f>IF($A192="","",IF('Ügyfelek'!N192="",'Beállítások'!$B$84,MIN(10,MAX(1,ROUND('Ügyfelek'!N192,0)))))</f>
        <v/>
      </c>
      <c r="O192">
        <f>IF($A192="","",IF('Ügyfelek'!O192="",'Beállítások'!$B$84,MIN(10,MAX(1,ROUND('Ügyfelek'!O192,0)))))</f>
        <v/>
      </c>
      <c r="P192">
        <f>IF($A192="","",IF('Ügyfelek'!P192="",'Beállítások'!$B$84,MIN(10,MAX(1,ROUND('Ügyfelek'!P192,0)))))</f>
        <v/>
      </c>
      <c r="Q192">
        <f>IF($A192="","",IF('Ügyfelek'!Q192="",'Beállítások'!$B$84,MIN(10,MAX(1,ROUND('Ügyfelek'!Q192,0)))))</f>
        <v/>
      </c>
      <c r="R192">
        <f>IF($A192="","",IF('Ügyfelek'!R192="",'Beállítások'!$B$84,MIN(10,MAX(1,ROUND('Ügyfelek'!R192,0)))))</f>
        <v/>
      </c>
      <c r="S192">
        <f>IF($A192="","",IF('Ügyfelek'!S192="",'Beállítások'!$B$84,MIN(10,MAX(1,ROUND('Ügyfelek'!S192,0)))))</f>
        <v/>
      </c>
      <c r="T192">
        <f>IF($A192="","",IF('Ügyfelek'!T192="",'Beállítások'!$B$84,VLOOKUP(MAX('Ügyfelek'!T192,'Beállítások'!$H$7),'Beállítások'!$H$7:$I$12,2,TRUE)))</f>
        <v/>
      </c>
      <c r="U192">
        <f>IF($A192="","",IF('Ügyfelek'!U192="",'Beállítások'!$B$84,VLOOKUP(MAX('Ügyfelek'!U192,'Beállítások'!$K$7),'Beállítások'!$K$7:$L$12,2,TRUE)))</f>
        <v/>
      </c>
      <c r="V192">
        <f>IF($A192="","",IF('Ügyfelek'!V192="",'Beállítások'!$B$84,MIN(10,MAX(1,ROUND('Ügyfelek'!V192,0)))))</f>
        <v/>
      </c>
      <c r="W192">
        <f>IF($A192="","",IF('Ügyfelek'!W192="",'Beállítások'!$B$84,VLOOKUP(MAX('Ügyfelek'!W192,'Beállítások'!$N$7),'Beállítások'!$N$7:$O$12,2,TRUE)))</f>
        <v/>
      </c>
      <c r="X192">
        <f>IF($A192="","",IF('Ügyfelek'!X192="",'Beállítások'!$B$84,MIN(10,MAX(1,ROUND('Ügyfelek'!X192,0)))))</f>
        <v/>
      </c>
      <c r="Y192">
        <f>IF($A192="","",IF('Ügyfelek'!Y192="",'Beállítások'!$B$84,IFERROR(VLOOKUP(TRIM('Ügyfelek'!Y192),'Beállítások'!$A$63:$B$69,2,FALSE),'Beállítások'!$B$84)))</f>
        <v/>
      </c>
      <c r="Z192">
        <f>IF($A192="","",IF('Ügyfelek'!Z192="",'Beállítások'!$B$84,VLOOKUP(MAX('Ügyfelek'!Z192,'Beállítások'!$Q$7),'Beállítások'!$Q$7:$R$12,2,TRUE)))</f>
        <v/>
      </c>
      <c r="AA192">
        <f>IF($A192="","",IF('Ügyfelek'!AA192="",'Beállítások'!$B$84,VLOOKUP(MAX('Ügyfelek'!AA192,'Beállítások'!$T$7),'Beállítások'!$T$7:$U$12,2,TRUE)))</f>
        <v/>
      </c>
      <c r="AB192">
        <f>IF($A192="","",IF('Ügyfelek'!AB192="",'Beállítások'!$B$84,MIN(10,MAX(1,ROUND('Ügyfelek'!AB192,0)))))</f>
        <v/>
      </c>
      <c r="AC192">
        <f>IF($A192="","",IF('Ügyfelek'!AC192="",'Beállítások'!$B$84,MIN(10,MAX(1,ROUND('Ügyfelek'!AC192,0)))))</f>
        <v/>
      </c>
      <c r="AD192">
        <f>IF($A192="","",IF('Ügyfelek'!AD192="",'Beállítások'!$B$84,MIN(10,MAX(1,ROUND('Ügyfelek'!AD192,0)))))</f>
        <v/>
      </c>
      <c r="AE192">
        <f>IF($A192="","",IF('Ügyfelek'!AE192="",'Beállítások'!$B$84,MIN(10,MAX(1,ROUND('Ügyfelek'!AE192,0)))))</f>
        <v/>
      </c>
      <c r="AF192">
        <f>IF($A192="","",IF('Ügyfelek'!AF192="",'Beállítások'!$B$84,MIN(10,MAX(1,ROUND('Ügyfelek'!AF192,0)))))</f>
        <v/>
      </c>
      <c r="AG192">
        <f>IF($A192="","",IF('Ügyfelek'!AG192="",'Beállítások'!$B$84,MIN(10,MAX(1,ROUND('Ügyfelek'!AG192,0)))))</f>
        <v/>
      </c>
      <c r="AH192">
        <f>IF($A192="","",IF('Ügyfelek'!AH192="",'Beállítások'!$B$84,IFERROR(VLOOKUP(TRIM('Ügyfelek'!AH192),'Beállítások'!$A$73:$B$79,2,FALSE),'Beállítások'!$B$84)))</f>
        <v/>
      </c>
      <c r="AI192" s="23">
        <f>IF($A192="","",ROUND(100*('Beállítások'!$E$6*(B192-1)+'Beállítások'!$E$7*(C192-1))/(9*'Beállítások'!$B$43),1))</f>
        <v/>
      </c>
      <c r="AJ192" s="23">
        <f>IF($A192="","",ROUND(100*('Beállítások'!$E$8*(D192-1)+'Beállítások'!$E$9*(E192-1)+'Beállítások'!$E$10*(F192-1)+'Beállítások'!$E$11*(G192-1)+'Beállítások'!$E$12*(H192-1)+'Beállítások'!$E$13*(I192-1)+'Beállítások'!$E$14*(J192-1)+'Beállítások'!$E$15*(K192-1)+'Beállítások'!$E$16*(L192-1)+'Beállítások'!$E$17*(M192-1)+'Beállítások'!$E$18*(N192-1)+'Beállítások'!$E$19*(O192-1)+'Beállítások'!$E$20*(P192-1)+'Beállítások'!$E$21*(Q192-1)+'Beállítások'!$E$22*(R192-1))/(9*'Beállítások'!$B$44),1))</f>
        <v/>
      </c>
      <c r="AK192" s="23">
        <f>IF($A192="","",ROUND(100*('Beállítások'!$E$23*(S192-1)+'Beállítások'!$E$24*(T192-1)+'Beállítások'!$E$25*(U192-1)+'Beállítások'!$E$26*(V192-1)+'Beállítások'!$E$27*(W192-1)+'Beállítások'!$E$28*(X192-1)+'Beállítások'!$E$29*(Y192-1))/(9*'Beállítások'!$B$45),1))</f>
        <v/>
      </c>
      <c r="AL192" s="23">
        <f>IF($A192="","",ROUND(100*('Beállítások'!$E$30*(Z192-1)+'Beállítások'!$E$31*(AA192-1)+'Beállítások'!$E$32*(AB192-1)+'Beállítások'!$E$33*(AC192-1)+'Beállítások'!$E$34*(AD192-1)+'Beállítások'!$E$35*(AE192-1)+'Beállítások'!$E$36*(AF192-1)+'Beállítások'!$E$37*(AG192-1)+'Beállítások'!$E$38*(AH192-1))/(9*'Beállítások'!$B$46),1))</f>
        <v/>
      </c>
      <c r="AM192" s="23">
        <f>IF($A192="","",ROUND(100*('Beállítások'!$E$6*(B192-1)+'Beállítások'!$E$7*(C192-1)+'Beállítások'!$E$8*(D192-1)+'Beállítások'!$E$9*(E192-1)+'Beállítások'!$E$10*(F192-1)+'Beállítások'!$E$11*(G192-1)+'Beállítások'!$E$12*(H192-1)+'Beállítások'!$E$13*(I192-1)+'Beállítások'!$E$14*(J192-1)+'Beállítások'!$E$15*(K192-1)+'Beállítások'!$E$16*(L192-1)+'Beállítások'!$E$17*(M192-1)+'Beállítások'!$E$18*(N192-1)+'Beállítások'!$E$19*(O192-1)+'Beállítások'!$E$20*(P192-1)+'Beállítások'!$E$21*(Q192-1)+'Beállítások'!$E$22*(R192-1)+'Beállítások'!$E$23*(S192-1)+'Beállítások'!$E$24*(T192-1)+'Beállítások'!$E$25*(U192-1)+'Beállítások'!$E$26*(V192-1)+'Beállítások'!$E$27*(W192-1)+'Beállítások'!$E$28*(X192-1)+'Beállítások'!$E$29*(Y192-1)+'Beállítások'!$E$30*(Z192-1)+'Beállítások'!$E$31*(AA192-1)+'Beállítások'!$E$32*(AB192-1)+'Beállítások'!$E$33*(AC192-1)+'Beállítások'!$E$34*(AD192-1)+'Beállítások'!$E$35*(AE192-1)+'Beállítások'!$E$36*(AF192-1)+'Beállítások'!$E$37*(AG192-1)+'Beállítások'!$E$38*(AH192-1))/(9*'Beállítások'!$E$39),1))</f>
        <v/>
      </c>
      <c r="AN192" s="23">
        <f>IF($A192="","",ROUND(100*('Beállítások'!$E$8*(D192-1)+'Beállítások'!$E$9*(E192-1)+'Beállítások'!$E$10*(F192-1)+'Beállítások'!$E$11*(G192-1)+'Beállítások'!$E$12*(H192-1)+'Beállítások'!$E$13*(I192-1)+'Beállítások'!$E$14*(J192-1)+'Beállítások'!$E$15*(K192-1)+'Beállítások'!$E$16*(L192-1)+'Beállítások'!$E$17*(M192-1)+'Beállítások'!$E$18*(N192-1)+'Beállítások'!$E$19*(O192-1)+'Beállítások'!$E$20*(P192-1)+'Beállítások'!$E$21*(Q192-1)+'Beállítások'!$E$22*(R192-1)+'Beállítások'!$E$23*(S192-1)+'Beállítások'!$E$24*(T192-1)+'Beállítások'!$E$25*(U192-1)+'Beállítások'!$E$26*(V192-1)+'Beállítások'!$E$27*(W192-1)+'Beállítások'!$E$28*(X192-1)+'Beállítások'!$E$29*(Y192-1))/(9*('Beállítások'!$B$44+'Beállítások'!$B$45)),1))</f>
        <v/>
      </c>
      <c r="AO192" s="24">
        <f>IF($A192="","",RANK(AM192,$AM$2:$AM$201))</f>
        <v/>
      </c>
      <c r="AP192">
        <f>IF($A192="","",IF(OR(AND('Ügyfelek'!B192&lt;&gt;"",B192&lt;='Beállítások'!$B$85),AND('Ügyfelek'!C192&lt;&gt;"",C192&lt;='Beállítások'!$B$86)),"Igen","Nem"))</f>
        <v/>
      </c>
      <c r="AQ192" s="24">
        <f>IF($A192="","",IF(AP192="Igen",5,IF(AN192&gt;='Beállítások'!$C$108,1,IF(AN192&gt;='Beállítások'!$C$109,2,IF(AN192&gt;='Beállítások'!$C$110,3,IF(AND(AN192&gt;='Beállítások'!$B$87,AI192&gt;='Beállítások'!$B$88,AL192&gt;='Beállítások'!$B$89),4,5))))))</f>
        <v/>
      </c>
      <c r="AR192">
        <f>IF($A192="","",INDEX('Beállítások'!$B$108:$B$112,AQ192))</f>
        <v/>
      </c>
      <c r="AS192">
        <f>IF($A192="","",IF(AQ192=5,"Elutasítjuk",IF(AND(AQ192=4,COUNTIFS('Eredmény'!$AQ$2:$AQ$201,4,'Eredmény'!$DY$2:$DY$201,"&gt;"&amp;DY192)&gt;='Beállítások'!$B$90),"Várólista (a 4-es hely foglalt)","Elfogadjuk")))</f>
        <v/>
      </c>
      <c r="AT192">
        <f>IF($A192="","",INDEX('Beállítások'!$F$108:$F$112,AQ192))</f>
        <v/>
      </c>
      <c r="AU192">
        <f>IF($A192="","",INDEX('Beállítások'!$B$6:$B$38,MATCH(MAX(BK192:CQ192),BK192:CQ192,0)))</f>
        <v/>
      </c>
      <c r="AV192">
        <f>IF($A192="","",IF(MAX(CR192:DX192)=0,"—",INDEX('Beállítások'!$B$6:$B$38,MATCH(MAX(CR192:DX192),CR192:DX192,0))))</f>
        <v/>
      </c>
      <c r="AW192" s="10">
        <f>IF($A192="","",'Beállítások'!$B$94*(TRIM('Ügyfelek'!AI192)="igen")+'Beállítások'!$B$95*(TRIM('Ügyfelek'!AJ192)="igen")+'Beállítások'!$B$96*N('Ügyfelek'!AK192)+'Beállítások'!$B$93*N('Ügyfelek'!AL192))</f>
        <v/>
      </c>
      <c r="AX192" s="25">
        <f>IF(OR($A192="",AQ192=5),"",INDEX('Beállítások'!$D$108:$D$112,AQ192))</f>
        <v/>
      </c>
      <c r="AY192" s="10">
        <f>IF($A192="","",N('Ügyfelek'!U192)*'Beállítások'!$B$98)</f>
        <v/>
      </c>
      <c r="AZ192" s="10">
        <f>IF(OR($A192="",AQ192=5),"",CEILING(ROUND(MAX('Beállítások'!$B$97,AW192*AX192,AY192),2),'Beállítások'!$B$99))</f>
        <v/>
      </c>
      <c r="BA192">
        <f>IF($A192="","",IF(AQ192=5,"Elutasítva",IF(MAX('Beállítások'!$B$97,AW192*AX192,AY192)=AW192*AX192,"Munkaigény × státuszszorzó",IF(MAX('Beállítások'!$B$97,AW192*AX192,AY192)=AY192,"Hirdetési keret arányában","Minimumdíj"))))</f>
        <v/>
      </c>
      <c r="BB192" s="10">
        <f>IF(OR($A192="",'Ügyfelek'!AM192=""),"",'Ügyfelek'!AM192)</f>
        <v/>
      </c>
      <c r="BC192" s="10">
        <f>IF(OR(BB192="",AZ192=""),"",AZ192-BB192)</f>
        <v/>
      </c>
      <c r="BD192" s="18">
        <f>IF(OR(BB192="",AZ192="",BB192=0),"",BC192/BB192)</f>
        <v/>
      </c>
      <c r="BE192">
        <f>IF(OR($A192="",AQ192=5),"",IF(AND(INDEX('Beállítások'!$E$108:$E$112,AQ192)&gt;0,Y192&gt;='Beállítások'!$B$91),"Igen","Nem"))</f>
        <v/>
      </c>
      <c r="BF192" s="10">
        <f>IF(BE192="Igen",CEILING(ROUND(AZ192*(1-'Beállítások'!$B$92),2),'Beállítások'!$B$99),"")</f>
        <v/>
      </c>
      <c r="BG192" s="20">
        <f>IF(BE192="Igen",INDEX('Beállítások'!$E$108:$E$112,AQ192),"")</f>
        <v/>
      </c>
      <c r="BH192" s="10">
        <f>IF(OR(BE192&lt;&gt;"Igen",'Ügyfelek'!AN192=""),"",'Ügyfelek'!AN192*BG192)</f>
        <v/>
      </c>
      <c r="BI192" s="24">
        <f>IF($A192="","",('Ügyfelek'!B192="")+('Ügyfelek'!C192="")+('Ügyfelek'!D192="")+('Ügyfelek'!E192="")+('Ügyfelek'!F192="")+('Ügyfelek'!G192="")+('Ügyfelek'!H192="")+('Ügyfelek'!I192="")+('Ügyfelek'!J192="")+('Ügyfelek'!K192="")+('Ügyfelek'!L192="")+('Ügyfelek'!M192="")+('Ügyfelek'!N192="")+('Ügyfelek'!O192="")+('Ügyfelek'!P192="")+('Ügyfelek'!Q192="")+('Ügyfelek'!R192="")+('Ügyfelek'!S192="")+('Ügyfelek'!T192="")+('Ügyfelek'!U192="")+('Ügyfelek'!V192="")+('Ügyfelek'!W192="")+('Ügyfelek'!X192="")+('Ügyfelek'!Y192="")+('Ügyfelek'!Z192="")+('Ügyfelek'!AA192="")+('Ügyfelek'!AB192="")+('Ügyfelek'!AC192="")+('Ügyfelek'!AD192="")+('Ügyfelek'!AE192="")+('Ügyfelek'!AF192="")+('Ügyfelek'!AG192="")+('Ügyfelek'!AH192=""))</f>
        <v/>
      </c>
      <c r="BK192">
        <f>IF($A192="","",B192+'Beállítások'!$E$6/1000)</f>
        <v/>
      </c>
      <c r="BL192">
        <f>IF($A192="","",C192+'Beállítások'!$E$7/1000)</f>
        <v/>
      </c>
      <c r="BM192">
        <f>IF($A192="","",D192+'Beállítások'!$E$8/1000)</f>
        <v/>
      </c>
      <c r="BN192">
        <f>IF($A192="","",E192+'Beállítások'!$E$9/1000)</f>
        <v/>
      </c>
      <c r="BO192">
        <f>IF($A192="","",F192+'Beállítások'!$E$10/1000)</f>
        <v/>
      </c>
      <c r="BP192">
        <f>IF($A192="","",G192+'Beállítások'!$E$11/1000)</f>
        <v/>
      </c>
      <c r="BQ192">
        <f>IF($A192="","",H192+'Beállítások'!$E$12/1000)</f>
        <v/>
      </c>
      <c r="BR192">
        <f>IF($A192="","",I192+'Beállítások'!$E$13/1000)</f>
        <v/>
      </c>
      <c r="BS192">
        <f>IF($A192="","",J192+'Beállítások'!$E$14/1000)</f>
        <v/>
      </c>
      <c r="BT192">
        <f>IF($A192="","",K192+'Beállítások'!$E$15/1000)</f>
        <v/>
      </c>
      <c r="BU192">
        <f>IF($A192="","",L192+'Beállítások'!$E$16/1000)</f>
        <v/>
      </c>
      <c r="BV192">
        <f>IF($A192="","",M192+'Beállítások'!$E$17/1000)</f>
        <v/>
      </c>
      <c r="BW192">
        <f>IF($A192="","",N192+'Beállítások'!$E$18/1000)</f>
        <v/>
      </c>
      <c r="BX192">
        <f>IF($A192="","",O192+'Beállítások'!$E$19/1000)</f>
        <v/>
      </c>
      <c r="BY192">
        <f>IF($A192="","",P192+'Beállítások'!$E$20/1000)</f>
        <v/>
      </c>
      <c r="BZ192">
        <f>IF($A192="","",Q192+'Beállítások'!$E$21/1000)</f>
        <v/>
      </c>
      <c r="CA192">
        <f>IF($A192="","",R192+'Beállítások'!$E$22/1000)</f>
        <v/>
      </c>
      <c r="CB192">
        <f>IF($A192="","",S192+'Beállítások'!$E$23/1000)</f>
        <v/>
      </c>
      <c r="CC192">
        <f>IF($A192="","",T192+'Beállítások'!$E$24/1000)</f>
        <v/>
      </c>
      <c r="CD192">
        <f>IF($A192="","",U192+'Beállítások'!$E$25/1000)</f>
        <v/>
      </c>
      <c r="CE192">
        <f>IF($A192="","",V192+'Beállítások'!$E$26/1000)</f>
        <v/>
      </c>
      <c r="CF192">
        <f>IF($A192="","",W192+'Beállítások'!$E$27/1000)</f>
        <v/>
      </c>
      <c r="CG192">
        <f>IF($A192="","",X192+'Beállítások'!$E$28/1000)</f>
        <v/>
      </c>
      <c r="CH192">
        <f>IF($A192="","",Y192+'Beállítások'!$E$29/1000)</f>
        <v/>
      </c>
      <c r="CI192">
        <f>IF($A192="","",Z192+'Beállítások'!$E$30/1000)</f>
        <v/>
      </c>
      <c r="CJ192">
        <f>IF($A192="","",AA192+'Beállítások'!$E$31/1000)</f>
        <v/>
      </c>
      <c r="CK192">
        <f>IF($A192="","",AB192+'Beállítások'!$E$32/1000)</f>
        <v/>
      </c>
      <c r="CL192">
        <f>IF($A192="","",AC192+'Beállítások'!$E$33/1000)</f>
        <v/>
      </c>
      <c r="CM192">
        <f>IF($A192="","",AD192+'Beállítások'!$E$34/1000)</f>
        <v/>
      </c>
      <c r="CN192">
        <f>IF($A192="","",AE192+'Beállítások'!$E$35/1000)</f>
        <v/>
      </c>
      <c r="CO192">
        <f>IF($A192="","",AF192+'Beállítások'!$E$36/1000)</f>
        <v/>
      </c>
      <c r="CP192">
        <f>IF($A192="","",AG192+'Beállítások'!$E$37/1000)</f>
        <v/>
      </c>
      <c r="CQ192">
        <f>IF($A192="","",AH192+'Beállítások'!$E$38/1000)</f>
        <v/>
      </c>
      <c r="CR192">
        <f>IF($A192="","",'Beállítások'!$E$6*(10-B192))</f>
        <v/>
      </c>
      <c r="CS192">
        <f>IF($A192="","",'Beállítások'!$E$7*(10-C192))</f>
        <v/>
      </c>
      <c r="CT192">
        <f>IF($A192="","",'Beállítások'!$E$8*(10-D192))</f>
        <v/>
      </c>
      <c r="CU192">
        <f>IF($A192="","",'Beállítások'!$E$9*(10-E192))</f>
        <v/>
      </c>
      <c r="CV192">
        <f>IF($A192="","",'Beállítások'!$E$10*(10-F192))</f>
        <v/>
      </c>
      <c r="CW192">
        <f>IF($A192="","",'Beállítások'!$E$11*(10-G192))</f>
        <v/>
      </c>
      <c r="CX192">
        <f>IF($A192="","",'Beállítások'!$E$12*(10-H192))</f>
        <v/>
      </c>
      <c r="CY192">
        <f>IF($A192="","",'Beállítások'!$E$13*(10-I192))</f>
        <v/>
      </c>
      <c r="CZ192">
        <f>IF($A192="","",'Beállítások'!$E$14*(10-J192))</f>
        <v/>
      </c>
      <c r="DA192">
        <f>IF($A192="","",'Beállítások'!$E$15*(10-K192))</f>
        <v/>
      </c>
      <c r="DB192">
        <f>IF($A192="","",'Beállítások'!$E$16*(10-L192))</f>
        <v/>
      </c>
      <c r="DC192">
        <f>IF($A192="","",'Beállítások'!$E$17*(10-M192))</f>
        <v/>
      </c>
      <c r="DD192">
        <f>IF($A192="","",'Beállítások'!$E$18*(10-N192))</f>
        <v/>
      </c>
      <c r="DE192">
        <f>IF($A192="","",'Beállítások'!$E$19*(10-O192))</f>
        <v/>
      </c>
      <c r="DF192">
        <f>IF($A192="","",'Beállítások'!$E$20*(10-P192))</f>
        <v/>
      </c>
      <c r="DG192">
        <f>IF($A192="","",'Beállítások'!$E$21*(10-Q192))</f>
        <v/>
      </c>
      <c r="DH192">
        <f>IF($A192="","",'Beállítások'!$E$22*(10-R192))</f>
        <v/>
      </c>
      <c r="DI192">
        <f>IF($A192="","",'Beállítások'!$E$23*(10-S192))</f>
        <v/>
      </c>
      <c r="DJ192">
        <f>IF($A192="","",'Beállítások'!$E$24*(10-T192))</f>
        <v/>
      </c>
      <c r="DK192">
        <f>IF($A192="","",'Beállítások'!$E$25*(10-U192))</f>
        <v/>
      </c>
      <c r="DL192">
        <f>IF($A192="","",'Beállítások'!$E$26*(10-V192))</f>
        <v/>
      </c>
      <c r="DM192">
        <f>IF($A192="","",'Beállítások'!$E$27*(10-W192))</f>
        <v/>
      </c>
      <c r="DN192">
        <f>IF($A192="","",'Beállítások'!$E$28*(10-X192))</f>
        <v/>
      </c>
      <c r="DO192">
        <f>IF($A192="","",'Beállítások'!$E$29*(10-Y192))</f>
        <v/>
      </c>
      <c r="DP192">
        <f>IF($A192="","",'Beállítások'!$E$30*(10-Z192))</f>
        <v/>
      </c>
      <c r="DQ192">
        <f>IF($A192="","",'Beállítások'!$E$31*(10-AA192))</f>
        <v/>
      </c>
      <c r="DR192">
        <f>IF($A192="","",'Beállítások'!$E$32*(10-AB192))</f>
        <v/>
      </c>
      <c r="DS192">
        <f>IF($A192="","",'Beállítások'!$E$33*(10-AC192))</f>
        <v/>
      </c>
      <c r="DT192">
        <f>IF($A192="","",'Beállítások'!$E$34*(10-AD192))</f>
        <v/>
      </c>
      <c r="DU192">
        <f>IF($A192="","",'Beállítások'!$E$35*(10-AE192))</f>
        <v/>
      </c>
      <c r="DV192">
        <f>IF($A192="","",'Beállítások'!$E$36*(10-AF192))</f>
        <v/>
      </c>
      <c r="DW192">
        <f>IF($A192="","",'Beállítások'!$E$37*(10-AG192))</f>
        <v/>
      </c>
      <c r="DX192">
        <f>IF($A192="","",'Beállítások'!$E$38*(10-AH192))</f>
        <v/>
      </c>
      <c r="DY192">
        <f>IF($A192="","",AM192-ROW()/100000)</f>
        <v/>
      </c>
    </row>
    <row r="193">
      <c r="A193">
        <f>IF('Ügyfelek'!A193="","",'Ügyfelek'!A193)</f>
        <v/>
      </c>
      <c r="B193">
        <f>IF($A193="","",IF('Ügyfelek'!B193="",'Beállítások'!$B$84,IFERROR(VLOOKUP(TRIM('Ügyfelek'!B193),'Beállítások'!$A$51:$B$59,2,FALSE),'Beállítások'!$B$84)))</f>
        <v/>
      </c>
      <c r="C193">
        <f>IF($A193="","",IF('Ügyfelek'!C193="",'Beállítások'!$B$84,MIN(10,MAX(1,ROUND('Ügyfelek'!C193,0)))))</f>
        <v/>
      </c>
      <c r="D193">
        <f>IF($A193="","",IF('Ügyfelek'!D193="",'Beállítások'!$B$84,MIN(10,MAX(1,ROUND('Ügyfelek'!D193,0)))))</f>
        <v/>
      </c>
      <c r="E193">
        <f>IF($A193="","",IF('Ügyfelek'!E193="",'Beállítások'!$B$84,MIN(10,MAX(1,ROUND('Ügyfelek'!E193,0)))))</f>
        <v/>
      </c>
      <c r="F193">
        <f>IF($A193="","",IF('Ügyfelek'!F193="",'Beállítások'!$B$84,MIN(10,MAX(1,ROUND('Ügyfelek'!F193,0)))))</f>
        <v/>
      </c>
      <c r="G193">
        <f>IF($A193="","",IF('Ügyfelek'!G193="",'Beállítások'!$B$84,MIN(10,MAX(1,ROUND('Ügyfelek'!G193,0)))))</f>
        <v/>
      </c>
      <c r="H193">
        <f>IF($A193="","",IF('Ügyfelek'!H193="",'Beállítások'!$B$84,MIN(10,MAX(1,ROUND('Ügyfelek'!H193,0)))))</f>
        <v/>
      </c>
      <c r="I193">
        <f>IF($A193="","",IF('Ügyfelek'!I193="",'Beállítások'!$B$84,MIN(10,MAX(1,ROUND('Ügyfelek'!I193,0)))))</f>
        <v/>
      </c>
      <c r="J193">
        <f>IF($A193="","",IF('Ügyfelek'!J193="",'Beállítások'!$B$84,MIN(10,MAX(1,ROUND('Ügyfelek'!J193,0)))))</f>
        <v/>
      </c>
      <c r="K193">
        <f>IF($A193="","",IF('Ügyfelek'!K193="",'Beállítások'!$B$84,MIN(10,MAX(1,ROUND('Ügyfelek'!K193,0)))))</f>
        <v/>
      </c>
      <c r="L193">
        <f>IF($A193="","",IF('Ügyfelek'!L193="",'Beállítások'!$B$84,MIN(10,MAX(1,ROUND('Ügyfelek'!L193,0)))))</f>
        <v/>
      </c>
      <c r="M193">
        <f>IF($A193="","",IF('Ügyfelek'!M193="",'Beállítások'!$B$84,MIN(10,MAX(1,ROUND('Ügyfelek'!M193,0)))))</f>
        <v/>
      </c>
      <c r="N193">
        <f>IF($A193="","",IF('Ügyfelek'!N193="",'Beállítások'!$B$84,MIN(10,MAX(1,ROUND('Ügyfelek'!N193,0)))))</f>
        <v/>
      </c>
      <c r="O193">
        <f>IF($A193="","",IF('Ügyfelek'!O193="",'Beállítások'!$B$84,MIN(10,MAX(1,ROUND('Ügyfelek'!O193,0)))))</f>
        <v/>
      </c>
      <c r="P193">
        <f>IF($A193="","",IF('Ügyfelek'!P193="",'Beállítások'!$B$84,MIN(10,MAX(1,ROUND('Ügyfelek'!P193,0)))))</f>
        <v/>
      </c>
      <c r="Q193">
        <f>IF($A193="","",IF('Ügyfelek'!Q193="",'Beállítások'!$B$84,MIN(10,MAX(1,ROUND('Ügyfelek'!Q193,0)))))</f>
        <v/>
      </c>
      <c r="R193">
        <f>IF($A193="","",IF('Ügyfelek'!R193="",'Beállítások'!$B$84,MIN(10,MAX(1,ROUND('Ügyfelek'!R193,0)))))</f>
        <v/>
      </c>
      <c r="S193">
        <f>IF($A193="","",IF('Ügyfelek'!S193="",'Beállítások'!$B$84,MIN(10,MAX(1,ROUND('Ügyfelek'!S193,0)))))</f>
        <v/>
      </c>
      <c r="T193">
        <f>IF($A193="","",IF('Ügyfelek'!T193="",'Beállítások'!$B$84,VLOOKUP(MAX('Ügyfelek'!T193,'Beállítások'!$H$7),'Beállítások'!$H$7:$I$12,2,TRUE)))</f>
        <v/>
      </c>
      <c r="U193">
        <f>IF($A193="","",IF('Ügyfelek'!U193="",'Beállítások'!$B$84,VLOOKUP(MAX('Ügyfelek'!U193,'Beállítások'!$K$7),'Beállítások'!$K$7:$L$12,2,TRUE)))</f>
        <v/>
      </c>
      <c r="V193">
        <f>IF($A193="","",IF('Ügyfelek'!V193="",'Beállítások'!$B$84,MIN(10,MAX(1,ROUND('Ügyfelek'!V193,0)))))</f>
        <v/>
      </c>
      <c r="W193">
        <f>IF($A193="","",IF('Ügyfelek'!W193="",'Beállítások'!$B$84,VLOOKUP(MAX('Ügyfelek'!W193,'Beállítások'!$N$7),'Beállítások'!$N$7:$O$12,2,TRUE)))</f>
        <v/>
      </c>
      <c r="X193">
        <f>IF($A193="","",IF('Ügyfelek'!X193="",'Beállítások'!$B$84,MIN(10,MAX(1,ROUND('Ügyfelek'!X193,0)))))</f>
        <v/>
      </c>
      <c r="Y193">
        <f>IF($A193="","",IF('Ügyfelek'!Y193="",'Beállítások'!$B$84,IFERROR(VLOOKUP(TRIM('Ügyfelek'!Y193),'Beállítások'!$A$63:$B$69,2,FALSE),'Beállítások'!$B$84)))</f>
        <v/>
      </c>
      <c r="Z193">
        <f>IF($A193="","",IF('Ügyfelek'!Z193="",'Beállítások'!$B$84,VLOOKUP(MAX('Ügyfelek'!Z193,'Beállítások'!$Q$7),'Beállítások'!$Q$7:$R$12,2,TRUE)))</f>
        <v/>
      </c>
      <c r="AA193">
        <f>IF($A193="","",IF('Ügyfelek'!AA193="",'Beállítások'!$B$84,VLOOKUP(MAX('Ügyfelek'!AA193,'Beállítások'!$T$7),'Beállítások'!$T$7:$U$12,2,TRUE)))</f>
        <v/>
      </c>
      <c r="AB193">
        <f>IF($A193="","",IF('Ügyfelek'!AB193="",'Beállítások'!$B$84,MIN(10,MAX(1,ROUND('Ügyfelek'!AB193,0)))))</f>
        <v/>
      </c>
      <c r="AC193">
        <f>IF($A193="","",IF('Ügyfelek'!AC193="",'Beállítások'!$B$84,MIN(10,MAX(1,ROUND('Ügyfelek'!AC193,0)))))</f>
        <v/>
      </c>
      <c r="AD193">
        <f>IF($A193="","",IF('Ügyfelek'!AD193="",'Beállítások'!$B$84,MIN(10,MAX(1,ROUND('Ügyfelek'!AD193,0)))))</f>
        <v/>
      </c>
      <c r="AE193">
        <f>IF($A193="","",IF('Ügyfelek'!AE193="",'Beállítások'!$B$84,MIN(10,MAX(1,ROUND('Ügyfelek'!AE193,0)))))</f>
        <v/>
      </c>
      <c r="AF193">
        <f>IF($A193="","",IF('Ügyfelek'!AF193="",'Beállítások'!$B$84,MIN(10,MAX(1,ROUND('Ügyfelek'!AF193,0)))))</f>
        <v/>
      </c>
      <c r="AG193">
        <f>IF($A193="","",IF('Ügyfelek'!AG193="",'Beállítások'!$B$84,MIN(10,MAX(1,ROUND('Ügyfelek'!AG193,0)))))</f>
        <v/>
      </c>
      <c r="AH193">
        <f>IF($A193="","",IF('Ügyfelek'!AH193="",'Beállítások'!$B$84,IFERROR(VLOOKUP(TRIM('Ügyfelek'!AH193),'Beállítások'!$A$73:$B$79,2,FALSE),'Beállítások'!$B$84)))</f>
        <v/>
      </c>
      <c r="AI193" s="23">
        <f>IF($A193="","",ROUND(100*('Beállítások'!$E$6*(B193-1)+'Beállítások'!$E$7*(C193-1))/(9*'Beállítások'!$B$43),1))</f>
        <v/>
      </c>
      <c r="AJ193" s="23">
        <f>IF($A193="","",ROUND(100*('Beállítások'!$E$8*(D193-1)+'Beállítások'!$E$9*(E193-1)+'Beállítások'!$E$10*(F193-1)+'Beállítások'!$E$11*(G193-1)+'Beállítások'!$E$12*(H193-1)+'Beállítások'!$E$13*(I193-1)+'Beállítások'!$E$14*(J193-1)+'Beállítások'!$E$15*(K193-1)+'Beállítások'!$E$16*(L193-1)+'Beállítások'!$E$17*(M193-1)+'Beállítások'!$E$18*(N193-1)+'Beállítások'!$E$19*(O193-1)+'Beállítások'!$E$20*(P193-1)+'Beállítások'!$E$21*(Q193-1)+'Beállítások'!$E$22*(R193-1))/(9*'Beállítások'!$B$44),1))</f>
        <v/>
      </c>
      <c r="AK193" s="23">
        <f>IF($A193="","",ROUND(100*('Beállítások'!$E$23*(S193-1)+'Beállítások'!$E$24*(T193-1)+'Beállítások'!$E$25*(U193-1)+'Beállítások'!$E$26*(V193-1)+'Beállítások'!$E$27*(W193-1)+'Beállítások'!$E$28*(X193-1)+'Beállítások'!$E$29*(Y193-1))/(9*'Beállítások'!$B$45),1))</f>
        <v/>
      </c>
      <c r="AL193" s="23">
        <f>IF($A193="","",ROUND(100*('Beállítások'!$E$30*(Z193-1)+'Beállítások'!$E$31*(AA193-1)+'Beállítások'!$E$32*(AB193-1)+'Beállítások'!$E$33*(AC193-1)+'Beállítások'!$E$34*(AD193-1)+'Beállítások'!$E$35*(AE193-1)+'Beállítások'!$E$36*(AF193-1)+'Beállítások'!$E$37*(AG193-1)+'Beállítások'!$E$38*(AH193-1))/(9*'Beállítások'!$B$46),1))</f>
        <v/>
      </c>
      <c r="AM193" s="23">
        <f>IF($A193="","",ROUND(100*('Beállítások'!$E$6*(B193-1)+'Beállítások'!$E$7*(C193-1)+'Beállítások'!$E$8*(D193-1)+'Beállítások'!$E$9*(E193-1)+'Beállítások'!$E$10*(F193-1)+'Beállítások'!$E$11*(G193-1)+'Beállítások'!$E$12*(H193-1)+'Beállítások'!$E$13*(I193-1)+'Beállítások'!$E$14*(J193-1)+'Beállítások'!$E$15*(K193-1)+'Beállítások'!$E$16*(L193-1)+'Beállítások'!$E$17*(M193-1)+'Beállítások'!$E$18*(N193-1)+'Beállítások'!$E$19*(O193-1)+'Beállítások'!$E$20*(P193-1)+'Beállítások'!$E$21*(Q193-1)+'Beállítások'!$E$22*(R193-1)+'Beállítások'!$E$23*(S193-1)+'Beállítások'!$E$24*(T193-1)+'Beállítások'!$E$25*(U193-1)+'Beállítások'!$E$26*(V193-1)+'Beállítások'!$E$27*(W193-1)+'Beállítások'!$E$28*(X193-1)+'Beállítások'!$E$29*(Y193-1)+'Beállítások'!$E$30*(Z193-1)+'Beállítások'!$E$31*(AA193-1)+'Beállítások'!$E$32*(AB193-1)+'Beállítások'!$E$33*(AC193-1)+'Beállítások'!$E$34*(AD193-1)+'Beállítások'!$E$35*(AE193-1)+'Beállítások'!$E$36*(AF193-1)+'Beállítások'!$E$37*(AG193-1)+'Beállítások'!$E$38*(AH193-1))/(9*'Beállítások'!$E$39),1))</f>
        <v/>
      </c>
      <c r="AN193" s="23">
        <f>IF($A193="","",ROUND(100*('Beállítások'!$E$8*(D193-1)+'Beállítások'!$E$9*(E193-1)+'Beállítások'!$E$10*(F193-1)+'Beállítások'!$E$11*(G193-1)+'Beállítások'!$E$12*(H193-1)+'Beállítások'!$E$13*(I193-1)+'Beállítások'!$E$14*(J193-1)+'Beállítások'!$E$15*(K193-1)+'Beállítások'!$E$16*(L193-1)+'Beállítások'!$E$17*(M193-1)+'Beállítások'!$E$18*(N193-1)+'Beállítások'!$E$19*(O193-1)+'Beállítások'!$E$20*(P193-1)+'Beállítások'!$E$21*(Q193-1)+'Beállítások'!$E$22*(R193-1)+'Beállítások'!$E$23*(S193-1)+'Beállítások'!$E$24*(T193-1)+'Beállítások'!$E$25*(U193-1)+'Beállítások'!$E$26*(V193-1)+'Beállítások'!$E$27*(W193-1)+'Beállítások'!$E$28*(X193-1)+'Beállítások'!$E$29*(Y193-1))/(9*('Beállítások'!$B$44+'Beállítások'!$B$45)),1))</f>
        <v/>
      </c>
      <c r="AO193" s="24">
        <f>IF($A193="","",RANK(AM193,$AM$2:$AM$201))</f>
        <v/>
      </c>
      <c r="AP193">
        <f>IF($A193="","",IF(OR(AND('Ügyfelek'!B193&lt;&gt;"",B193&lt;='Beállítások'!$B$85),AND('Ügyfelek'!C193&lt;&gt;"",C193&lt;='Beállítások'!$B$86)),"Igen","Nem"))</f>
        <v/>
      </c>
      <c r="AQ193" s="24">
        <f>IF($A193="","",IF(AP193="Igen",5,IF(AN193&gt;='Beállítások'!$C$108,1,IF(AN193&gt;='Beállítások'!$C$109,2,IF(AN193&gt;='Beállítások'!$C$110,3,IF(AND(AN193&gt;='Beállítások'!$B$87,AI193&gt;='Beállítások'!$B$88,AL193&gt;='Beállítások'!$B$89),4,5))))))</f>
        <v/>
      </c>
      <c r="AR193">
        <f>IF($A193="","",INDEX('Beállítások'!$B$108:$B$112,AQ193))</f>
        <v/>
      </c>
      <c r="AS193">
        <f>IF($A193="","",IF(AQ193=5,"Elutasítjuk",IF(AND(AQ193=4,COUNTIFS('Eredmény'!$AQ$2:$AQ$201,4,'Eredmény'!$DY$2:$DY$201,"&gt;"&amp;DY193)&gt;='Beállítások'!$B$90),"Várólista (a 4-es hely foglalt)","Elfogadjuk")))</f>
        <v/>
      </c>
      <c r="AT193">
        <f>IF($A193="","",INDEX('Beállítások'!$F$108:$F$112,AQ193))</f>
        <v/>
      </c>
      <c r="AU193">
        <f>IF($A193="","",INDEX('Beállítások'!$B$6:$B$38,MATCH(MAX(BK193:CQ193),BK193:CQ193,0)))</f>
        <v/>
      </c>
      <c r="AV193">
        <f>IF($A193="","",IF(MAX(CR193:DX193)=0,"—",INDEX('Beállítások'!$B$6:$B$38,MATCH(MAX(CR193:DX193),CR193:DX193,0))))</f>
        <v/>
      </c>
      <c r="AW193" s="10">
        <f>IF($A193="","",'Beállítások'!$B$94*(TRIM('Ügyfelek'!AI193)="igen")+'Beállítások'!$B$95*(TRIM('Ügyfelek'!AJ193)="igen")+'Beállítások'!$B$96*N('Ügyfelek'!AK193)+'Beállítások'!$B$93*N('Ügyfelek'!AL193))</f>
        <v/>
      </c>
      <c r="AX193" s="25">
        <f>IF(OR($A193="",AQ193=5),"",INDEX('Beállítások'!$D$108:$D$112,AQ193))</f>
        <v/>
      </c>
      <c r="AY193" s="10">
        <f>IF($A193="","",N('Ügyfelek'!U193)*'Beállítások'!$B$98)</f>
        <v/>
      </c>
      <c r="AZ193" s="10">
        <f>IF(OR($A193="",AQ193=5),"",CEILING(ROUND(MAX('Beállítások'!$B$97,AW193*AX193,AY193),2),'Beállítások'!$B$99))</f>
        <v/>
      </c>
      <c r="BA193">
        <f>IF($A193="","",IF(AQ193=5,"Elutasítva",IF(MAX('Beállítások'!$B$97,AW193*AX193,AY193)=AW193*AX193,"Munkaigény × státuszszorzó",IF(MAX('Beállítások'!$B$97,AW193*AX193,AY193)=AY193,"Hirdetési keret arányában","Minimumdíj"))))</f>
        <v/>
      </c>
      <c r="BB193" s="10">
        <f>IF(OR($A193="",'Ügyfelek'!AM193=""),"",'Ügyfelek'!AM193)</f>
        <v/>
      </c>
      <c r="BC193" s="10">
        <f>IF(OR(BB193="",AZ193=""),"",AZ193-BB193)</f>
        <v/>
      </c>
      <c r="BD193" s="18">
        <f>IF(OR(BB193="",AZ193="",BB193=0),"",BC193/BB193)</f>
        <v/>
      </c>
      <c r="BE193">
        <f>IF(OR($A193="",AQ193=5),"",IF(AND(INDEX('Beállítások'!$E$108:$E$112,AQ193)&gt;0,Y193&gt;='Beállítások'!$B$91),"Igen","Nem"))</f>
        <v/>
      </c>
      <c r="BF193" s="10">
        <f>IF(BE193="Igen",CEILING(ROUND(AZ193*(1-'Beállítások'!$B$92),2),'Beállítások'!$B$99),"")</f>
        <v/>
      </c>
      <c r="BG193" s="20">
        <f>IF(BE193="Igen",INDEX('Beállítások'!$E$108:$E$112,AQ193),"")</f>
        <v/>
      </c>
      <c r="BH193" s="10">
        <f>IF(OR(BE193&lt;&gt;"Igen",'Ügyfelek'!AN193=""),"",'Ügyfelek'!AN193*BG193)</f>
        <v/>
      </c>
      <c r="BI193" s="24">
        <f>IF($A193="","",('Ügyfelek'!B193="")+('Ügyfelek'!C193="")+('Ügyfelek'!D193="")+('Ügyfelek'!E193="")+('Ügyfelek'!F193="")+('Ügyfelek'!G193="")+('Ügyfelek'!H193="")+('Ügyfelek'!I193="")+('Ügyfelek'!J193="")+('Ügyfelek'!K193="")+('Ügyfelek'!L193="")+('Ügyfelek'!M193="")+('Ügyfelek'!N193="")+('Ügyfelek'!O193="")+('Ügyfelek'!P193="")+('Ügyfelek'!Q193="")+('Ügyfelek'!R193="")+('Ügyfelek'!S193="")+('Ügyfelek'!T193="")+('Ügyfelek'!U193="")+('Ügyfelek'!V193="")+('Ügyfelek'!W193="")+('Ügyfelek'!X193="")+('Ügyfelek'!Y193="")+('Ügyfelek'!Z193="")+('Ügyfelek'!AA193="")+('Ügyfelek'!AB193="")+('Ügyfelek'!AC193="")+('Ügyfelek'!AD193="")+('Ügyfelek'!AE193="")+('Ügyfelek'!AF193="")+('Ügyfelek'!AG193="")+('Ügyfelek'!AH193=""))</f>
        <v/>
      </c>
      <c r="BK193">
        <f>IF($A193="","",B193+'Beállítások'!$E$6/1000)</f>
        <v/>
      </c>
      <c r="BL193">
        <f>IF($A193="","",C193+'Beállítások'!$E$7/1000)</f>
        <v/>
      </c>
      <c r="BM193">
        <f>IF($A193="","",D193+'Beállítások'!$E$8/1000)</f>
        <v/>
      </c>
      <c r="BN193">
        <f>IF($A193="","",E193+'Beállítások'!$E$9/1000)</f>
        <v/>
      </c>
      <c r="BO193">
        <f>IF($A193="","",F193+'Beállítások'!$E$10/1000)</f>
        <v/>
      </c>
      <c r="BP193">
        <f>IF($A193="","",G193+'Beállítások'!$E$11/1000)</f>
        <v/>
      </c>
      <c r="BQ193">
        <f>IF($A193="","",H193+'Beállítások'!$E$12/1000)</f>
        <v/>
      </c>
      <c r="BR193">
        <f>IF($A193="","",I193+'Beállítások'!$E$13/1000)</f>
        <v/>
      </c>
      <c r="BS193">
        <f>IF($A193="","",J193+'Beállítások'!$E$14/1000)</f>
        <v/>
      </c>
      <c r="BT193">
        <f>IF($A193="","",K193+'Beállítások'!$E$15/1000)</f>
        <v/>
      </c>
      <c r="BU193">
        <f>IF($A193="","",L193+'Beállítások'!$E$16/1000)</f>
        <v/>
      </c>
      <c r="BV193">
        <f>IF($A193="","",M193+'Beállítások'!$E$17/1000)</f>
        <v/>
      </c>
      <c r="BW193">
        <f>IF($A193="","",N193+'Beállítások'!$E$18/1000)</f>
        <v/>
      </c>
      <c r="BX193">
        <f>IF($A193="","",O193+'Beállítások'!$E$19/1000)</f>
        <v/>
      </c>
      <c r="BY193">
        <f>IF($A193="","",P193+'Beállítások'!$E$20/1000)</f>
        <v/>
      </c>
      <c r="BZ193">
        <f>IF($A193="","",Q193+'Beállítások'!$E$21/1000)</f>
        <v/>
      </c>
      <c r="CA193">
        <f>IF($A193="","",R193+'Beállítások'!$E$22/1000)</f>
        <v/>
      </c>
      <c r="CB193">
        <f>IF($A193="","",S193+'Beállítások'!$E$23/1000)</f>
        <v/>
      </c>
      <c r="CC193">
        <f>IF($A193="","",T193+'Beállítások'!$E$24/1000)</f>
        <v/>
      </c>
      <c r="CD193">
        <f>IF($A193="","",U193+'Beállítások'!$E$25/1000)</f>
        <v/>
      </c>
      <c r="CE193">
        <f>IF($A193="","",V193+'Beállítások'!$E$26/1000)</f>
        <v/>
      </c>
      <c r="CF193">
        <f>IF($A193="","",W193+'Beállítások'!$E$27/1000)</f>
        <v/>
      </c>
      <c r="CG193">
        <f>IF($A193="","",X193+'Beállítások'!$E$28/1000)</f>
        <v/>
      </c>
      <c r="CH193">
        <f>IF($A193="","",Y193+'Beállítások'!$E$29/1000)</f>
        <v/>
      </c>
      <c r="CI193">
        <f>IF($A193="","",Z193+'Beállítások'!$E$30/1000)</f>
        <v/>
      </c>
      <c r="CJ193">
        <f>IF($A193="","",AA193+'Beállítások'!$E$31/1000)</f>
        <v/>
      </c>
      <c r="CK193">
        <f>IF($A193="","",AB193+'Beállítások'!$E$32/1000)</f>
        <v/>
      </c>
      <c r="CL193">
        <f>IF($A193="","",AC193+'Beállítások'!$E$33/1000)</f>
        <v/>
      </c>
      <c r="CM193">
        <f>IF($A193="","",AD193+'Beállítások'!$E$34/1000)</f>
        <v/>
      </c>
      <c r="CN193">
        <f>IF($A193="","",AE193+'Beállítások'!$E$35/1000)</f>
        <v/>
      </c>
      <c r="CO193">
        <f>IF($A193="","",AF193+'Beállítások'!$E$36/1000)</f>
        <v/>
      </c>
      <c r="CP193">
        <f>IF($A193="","",AG193+'Beállítások'!$E$37/1000)</f>
        <v/>
      </c>
      <c r="CQ193">
        <f>IF($A193="","",AH193+'Beállítások'!$E$38/1000)</f>
        <v/>
      </c>
      <c r="CR193">
        <f>IF($A193="","",'Beállítások'!$E$6*(10-B193))</f>
        <v/>
      </c>
      <c r="CS193">
        <f>IF($A193="","",'Beállítások'!$E$7*(10-C193))</f>
        <v/>
      </c>
      <c r="CT193">
        <f>IF($A193="","",'Beállítások'!$E$8*(10-D193))</f>
        <v/>
      </c>
      <c r="CU193">
        <f>IF($A193="","",'Beállítások'!$E$9*(10-E193))</f>
        <v/>
      </c>
      <c r="CV193">
        <f>IF($A193="","",'Beállítások'!$E$10*(10-F193))</f>
        <v/>
      </c>
      <c r="CW193">
        <f>IF($A193="","",'Beállítások'!$E$11*(10-G193))</f>
        <v/>
      </c>
      <c r="CX193">
        <f>IF($A193="","",'Beállítások'!$E$12*(10-H193))</f>
        <v/>
      </c>
      <c r="CY193">
        <f>IF($A193="","",'Beállítások'!$E$13*(10-I193))</f>
        <v/>
      </c>
      <c r="CZ193">
        <f>IF($A193="","",'Beállítások'!$E$14*(10-J193))</f>
        <v/>
      </c>
      <c r="DA193">
        <f>IF($A193="","",'Beállítások'!$E$15*(10-K193))</f>
        <v/>
      </c>
      <c r="DB193">
        <f>IF($A193="","",'Beállítások'!$E$16*(10-L193))</f>
        <v/>
      </c>
      <c r="DC193">
        <f>IF($A193="","",'Beállítások'!$E$17*(10-M193))</f>
        <v/>
      </c>
      <c r="DD193">
        <f>IF($A193="","",'Beállítások'!$E$18*(10-N193))</f>
        <v/>
      </c>
      <c r="DE193">
        <f>IF($A193="","",'Beállítások'!$E$19*(10-O193))</f>
        <v/>
      </c>
      <c r="DF193">
        <f>IF($A193="","",'Beállítások'!$E$20*(10-P193))</f>
        <v/>
      </c>
      <c r="DG193">
        <f>IF($A193="","",'Beállítások'!$E$21*(10-Q193))</f>
        <v/>
      </c>
      <c r="DH193">
        <f>IF($A193="","",'Beállítások'!$E$22*(10-R193))</f>
        <v/>
      </c>
      <c r="DI193">
        <f>IF($A193="","",'Beállítások'!$E$23*(10-S193))</f>
        <v/>
      </c>
      <c r="DJ193">
        <f>IF($A193="","",'Beállítások'!$E$24*(10-T193))</f>
        <v/>
      </c>
      <c r="DK193">
        <f>IF($A193="","",'Beállítások'!$E$25*(10-U193))</f>
        <v/>
      </c>
      <c r="DL193">
        <f>IF($A193="","",'Beállítások'!$E$26*(10-V193))</f>
        <v/>
      </c>
      <c r="DM193">
        <f>IF($A193="","",'Beállítások'!$E$27*(10-W193))</f>
        <v/>
      </c>
      <c r="DN193">
        <f>IF($A193="","",'Beállítások'!$E$28*(10-X193))</f>
        <v/>
      </c>
      <c r="DO193">
        <f>IF($A193="","",'Beállítások'!$E$29*(10-Y193))</f>
        <v/>
      </c>
      <c r="DP193">
        <f>IF($A193="","",'Beállítások'!$E$30*(10-Z193))</f>
        <v/>
      </c>
      <c r="DQ193">
        <f>IF($A193="","",'Beállítások'!$E$31*(10-AA193))</f>
        <v/>
      </c>
      <c r="DR193">
        <f>IF($A193="","",'Beállítások'!$E$32*(10-AB193))</f>
        <v/>
      </c>
      <c r="DS193">
        <f>IF($A193="","",'Beállítások'!$E$33*(10-AC193))</f>
        <v/>
      </c>
      <c r="DT193">
        <f>IF($A193="","",'Beállítások'!$E$34*(10-AD193))</f>
        <v/>
      </c>
      <c r="DU193">
        <f>IF($A193="","",'Beállítások'!$E$35*(10-AE193))</f>
        <v/>
      </c>
      <c r="DV193">
        <f>IF($A193="","",'Beállítások'!$E$36*(10-AF193))</f>
        <v/>
      </c>
      <c r="DW193">
        <f>IF($A193="","",'Beállítások'!$E$37*(10-AG193))</f>
        <v/>
      </c>
      <c r="DX193">
        <f>IF($A193="","",'Beállítások'!$E$38*(10-AH193))</f>
        <v/>
      </c>
      <c r="DY193">
        <f>IF($A193="","",AM193-ROW()/100000)</f>
        <v/>
      </c>
    </row>
    <row r="194">
      <c r="A194">
        <f>IF('Ügyfelek'!A194="","",'Ügyfelek'!A194)</f>
        <v/>
      </c>
      <c r="B194">
        <f>IF($A194="","",IF('Ügyfelek'!B194="",'Beállítások'!$B$84,IFERROR(VLOOKUP(TRIM('Ügyfelek'!B194),'Beállítások'!$A$51:$B$59,2,FALSE),'Beállítások'!$B$84)))</f>
        <v/>
      </c>
      <c r="C194">
        <f>IF($A194="","",IF('Ügyfelek'!C194="",'Beállítások'!$B$84,MIN(10,MAX(1,ROUND('Ügyfelek'!C194,0)))))</f>
        <v/>
      </c>
      <c r="D194">
        <f>IF($A194="","",IF('Ügyfelek'!D194="",'Beállítások'!$B$84,MIN(10,MAX(1,ROUND('Ügyfelek'!D194,0)))))</f>
        <v/>
      </c>
      <c r="E194">
        <f>IF($A194="","",IF('Ügyfelek'!E194="",'Beállítások'!$B$84,MIN(10,MAX(1,ROUND('Ügyfelek'!E194,0)))))</f>
        <v/>
      </c>
      <c r="F194">
        <f>IF($A194="","",IF('Ügyfelek'!F194="",'Beállítások'!$B$84,MIN(10,MAX(1,ROUND('Ügyfelek'!F194,0)))))</f>
        <v/>
      </c>
      <c r="G194">
        <f>IF($A194="","",IF('Ügyfelek'!G194="",'Beállítások'!$B$84,MIN(10,MAX(1,ROUND('Ügyfelek'!G194,0)))))</f>
        <v/>
      </c>
      <c r="H194">
        <f>IF($A194="","",IF('Ügyfelek'!H194="",'Beállítások'!$B$84,MIN(10,MAX(1,ROUND('Ügyfelek'!H194,0)))))</f>
        <v/>
      </c>
      <c r="I194">
        <f>IF($A194="","",IF('Ügyfelek'!I194="",'Beállítások'!$B$84,MIN(10,MAX(1,ROUND('Ügyfelek'!I194,0)))))</f>
        <v/>
      </c>
      <c r="J194">
        <f>IF($A194="","",IF('Ügyfelek'!J194="",'Beállítások'!$B$84,MIN(10,MAX(1,ROUND('Ügyfelek'!J194,0)))))</f>
        <v/>
      </c>
      <c r="K194">
        <f>IF($A194="","",IF('Ügyfelek'!K194="",'Beállítások'!$B$84,MIN(10,MAX(1,ROUND('Ügyfelek'!K194,0)))))</f>
        <v/>
      </c>
      <c r="L194">
        <f>IF($A194="","",IF('Ügyfelek'!L194="",'Beállítások'!$B$84,MIN(10,MAX(1,ROUND('Ügyfelek'!L194,0)))))</f>
        <v/>
      </c>
      <c r="M194">
        <f>IF($A194="","",IF('Ügyfelek'!M194="",'Beállítások'!$B$84,MIN(10,MAX(1,ROUND('Ügyfelek'!M194,0)))))</f>
        <v/>
      </c>
      <c r="N194">
        <f>IF($A194="","",IF('Ügyfelek'!N194="",'Beállítások'!$B$84,MIN(10,MAX(1,ROUND('Ügyfelek'!N194,0)))))</f>
        <v/>
      </c>
      <c r="O194">
        <f>IF($A194="","",IF('Ügyfelek'!O194="",'Beállítások'!$B$84,MIN(10,MAX(1,ROUND('Ügyfelek'!O194,0)))))</f>
        <v/>
      </c>
      <c r="P194">
        <f>IF($A194="","",IF('Ügyfelek'!P194="",'Beállítások'!$B$84,MIN(10,MAX(1,ROUND('Ügyfelek'!P194,0)))))</f>
        <v/>
      </c>
      <c r="Q194">
        <f>IF($A194="","",IF('Ügyfelek'!Q194="",'Beállítások'!$B$84,MIN(10,MAX(1,ROUND('Ügyfelek'!Q194,0)))))</f>
        <v/>
      </c>
      <c r="R194">
        <f>IF($A194="","",IF('Ügyfelek'!R194="",'Beállítások'!$B$84,MIN(10,MAX(1,ROUND('Ügyfelek'!R194,0)))))</f>
        <v/>
      </c>
      <c r="S194">
        <f>IF($A194="","",IF('Ügyfelek'!S194="",'Beállítások'!$B$84,MIN(10,MAX(1,ROUND('Ügyfelek'!S194,0)))))</f>
        <v/>
      </c>
      <c r="T194">
        <f>IF($A194="","",IF('Ügyfelek'!T194="",'Beállítások'!$B$84,VLOOKUP(MAX('Ügyfelek'!T194,'Beállítások'!$H$7),'Beállítások'!$H$7:$I$12,2,TRUE)))</f>
        <v/>
      </c>
      <c r="U194">
        <f>IF($A194="","",IF('Ügyfelek'!U194="",'Beállítások'!$B$84,VLOOKUP(MAX('Ügyfelek'!U194,'Beállítások'!$K$7),'Beállítások'!$K$7:$L$12,2,TRUE)))</f>
        <v/>
      </c>
      <c r="V194">
        <f>IF($A194="","",IF('Ügyfelek'!V194="",'Beállítások'!$B$84,MIN(10,MAX(1,ROUND('Ügyfelek'!V194,0)))))</f>
        <v/>
      </c>
      <c r="W194">
        <f>IF($A194="","",IF('Ügyfelek'!W194="",'Beállítások'!$B$84,VLOOKUP(MAX('Ügyfelek'!W194,'Beállítások'!$N$7),'Beállítások'!$N$7:$O$12,2,TRUE)))</f>
        <v/>
      </c>
      <c r="X194">
        <f>IF($A194="","",IF('Ügyfelek'!X194="",'Beállítások'!$B$84,MIN(10,MAX(1,ROUND('Ügyfelek'!X194,0)))))</f>
        <v/>
      </c>
      <c r="Y194">
        <f>IF($A194="","",IF('Ügyfelek'!Y194="",'Beállítások'!$B$84,IFERROR(VLOOKUP(TRIM('Ügyfelek'!Y194),'Beállítások'!$A$63:$B$69,2,FALSE),'Beállítások'!$B$84)))</f>
        <v/>
      </c>
      <c r="Z194">
        <f>IF($A194="","",IF('Ügyfelek'!Z194="",'Beállítások'!$B$84,VLOOKUP(MAX('Ügyfelek'!Z194,'Beállítások'!$Q$7),'Beállítások'!$Q$7:$R$12,2,TRUE)))</f>
        <v/>
      </c>
      <c r="AA194">
        <f>IF($A194="","",IF('Ügyfelek'!AA194="",'Beállítások'!$B$84,VLOOKUP(MAX('Ügyfelek'!AA194,'Beállítások'!$T$7),'Beállítások'!$T$7:$U$12,2,TRUE)))</f>
        <v/>
      </c>
      <c r="AB194">
        <f>IF($A194="","",IF('Ügyfelek'!AB194="",'Beállítások'!$B$84,MIN(10,MAX(1,ROUND('Ügyfelek'!AB194,0)))))</f>
        <v/>
      </c>
      <c r="AC194">
        <f>IF($A194="","",IF('Ügyfelek'!AC194="",'Beállítások'!$B$84,MIN(10,MAX(1,ROUND('Ügyfelek'!AC194,0)))))</f>
        <v/>
      </c>
      <c r="AD194">
        <f>IF($A194="","",IF('Ügyfelek'!AD194="",'Beállítások'!$B$84,MIN(10,MAX(1,ROUND('Ügyfelek'!AD194,0)))))</f>
        <v/>
      </c>
      <c r="AE194">
        <f>IF($A194="","",IF('Ügyfelek'!AE194="",'Beállítások'!$B$84,MIN(10,MAX(1,ROUND('Ügyfelek'!AE194,0)))))</f>
        <v/>
      </c>
      <c r="AF194">
        <f>IF($A194="","",IF('Ügyfelek'!AF194="",'Beállítások'!$B$84,MIN(10,MAX(1,ROUND('Ügyfelek'!AF194,0)))))</f>
        <v/>
      </c>
      <c r="AG194">
        <f>IF($A194="","",IF('Ügyfelek'!AG194="",'Beállítások'!$B$84,MIN(10,MAX(1,ROUND('Ügyfelek'!AG194,0)))))</f>
        <v/>
      </c>
      <c r="AH194">
        <f>IF($A194="","",IF('Ügyfelek'!AH194="",'Beállítások'!$B$84,IFERROR(VLOOKUP(TRIM('Ügyfelek'!AH194),'Beállítások'!$A$73:$B$79,2,FALSE),'Beállítások'!$B$84)))</f>
        <v/>
      </c>
      <c r="AI194" s="23">
        <f>IF($A194="","",ROUND(100*('Beállítások'!$E$6*(B194-1)+'Beállítások'!$E$7*(C194-1))/(9*'Beállítások'!$B$43),1))</f>
        <v/>
      </c>
      <c r="AJ194" s="23">
        <f>IF($A194="","",ROUND(100*('Beállítások'!$E$8*(D194-1)+'Beállítások'!$E$9*(E194-1)+'Beállítások'!$E$10*(F194-1)+'Beállítások'!$E$11*(G194-1)+'Beállítások'!$E$12*(H194-1)+'Beállítások'!$E$13*(I194-1)+'Beállítások'!$E$14*(J194-1)+'Beállítások'!$E$15*(K194-1)+'Beállítások'!$E$16*(L194-1)+'Beállítások'!$E$17*(M194-1)+'Beállítások'!$E$18*(N194-1)+'Beállítások'!$E$19*(O194-1)+'Beállítások'!$E$20*(P194-1)+'Beállítások'!$E$21*(Q194-1)+'Beállítások'!$E$22*(R194-1))/(9*'Beállítások'!$B$44),1))</f>
        <v/>
      </c>
      <c r="AK194" s="23">
        <f>IF($A194="","",ROUND(100*('Beállítások'!$E$23*(S194-1)+'Beállítások'!$E$24*(T194-1)+'Beállítások'!$E$25*(U194-1)+'Beállítások'!$E$26*(V194-1)+'Beállítások'!$E$27*(W194-1)+'Beállítások'!$E$28*(X194-1)+'Beállítások'!$E$29*(Y194-1))/(9*'Beállítások'!$B$45),1))</f>
        <v/>
      </c>
      <c r="AL194" s="23">
        <f>IF($A194="","",ROUND(100*('Beállítások'!$E$30*(Z194-1)+'Beállítások'!$E$31*(AA194-1)+'Beállítások'!$E$32*(AB194-1)+'Beállítások'!$E$33*(AC194-1)+'Beállítások'!$E$34*(AD194-1)+'Beállítások'!$E$35*(AE194-1)+'Beállítások'!$E$36*(AF194-1)+'Beállítások'!$E$37*(AG194-1)+'Beállítások'!$E$38*(AH194-1))/(9*'Beállítások'!$B$46),1))</f>
        <v/>
      </c>
      <c r="AM194" s="23">
        <f>IF($A194="","",ROUND(100*('Beállítások'!$E$6*(B194-1)+'Beállítások'!$E$7*(C194-1)+'Beállítások'!$E$8*(D194-1)+'Beállítások'!$E$9*(E194-1)+'Beállítások'!$E$10*(F194-1)+'Beállítások'!$E$11*(G194-1)+'Beállítások'!$E$12*(H194-1)+'Beállítások'!$E$13*(I194-1)+'Beállítások'!$E$14*(J194-1)+'Beállítások'!$E$15*(K194-1)+'Beállítások'!$E$16*(L194-1)+'Beállítások'!$E$17*(M194-1)+'Beállítások'!$E$18*(N194-1)+'Beállítások'!$E$19*(O194-1)+'Beállítások'!$E$20*(P194-1)+'Beállítások'!$E$21*(Q194-1)+'Beállítások'!$E$22*(R194-1)+'Beállítások'!$E$23*(S194-1)+'Beállítások'!$E$24*(T194-1)+'Beállítások'!$E$25*(U194-1)+'Beállítások'!$E$26*(V194-1)+'Beállítások'!$E$27*(W194-1)+'Beállítások'!$E$28*(X194-1)+'Beállítások'!$E$29*(Y194-1)+'Beállítások'!$E$30*(Z194-1)+'Beállítások'!$E$31*(AA194-1)+'Beállítások'!$E$32*(AB194-1)+'Beállítások'!$E$33*(AC194-1)+'Beállítások'!$E$34*(AD194-1)+'Beállítások'!$E$35*(AE194-1)+'Beállítások'!$E$36*(AF194-1)+'Beállítások'!$E$37*(AG194-1)+'Beállítások'!$E$38*(AH194-1))/(9*'Beállítások'!$E$39),1))</f>
        <v/>
      </c>
      <c r="AN194" s="23">
        <f>IF($A194="","",ROUND(100*('Beállítások'!$E$8*(D194-1)+'Beállítások'!$E$9*(E194-1)+'Beállítások'!$E$10*(F194-1)+'Beállítások'!$E$11*(G194-1)+'Beállítások'!$E$12*(H194-1)+'Beállítások'!$E$13*(I194-1)+'Beállítások'!$E$14*(J194-1)+'Beállítások'!$E$15*(K194-1)+'Beállítások'!$E$16*(L194-1)+'Beállítások'!$E$17*(M194-1)+'Beállítások'!$E$18*(N194-1)+'Beállítások'!$E$19*(O194-1)+'Beállítások'!$E$20*(P194-1)+'Beállítások'!$E$21*(Q194-1)+'Beállítások'!$E$22*(R194-1)+'Beállítások'!$E$23*(S194-1)+'Beállítások'!$E$24*(T194-1)+'Beállítások'!$E$25*(U194-1)+'Beállítások'!$E$26*(V194-1)+'Beállítások'!$E$27*(W194-1)+'Beállítások'!$E$28*(X194-1)+'Beállítások'!$E$29*(Y194-1))/(9*('Beállítások'!$B$44+'Beállítások'!$B$45)),1))</f>
        <v/>
      </c>
      <c r="AO194" s="24">
        <f>IF($A194="","",RANK(AM194,$AM$2:$AM$201))</f>
        <v/>
      </c>
      <c r="AP194">
        <f>IF($A194="","",IF(OR(AND('Ügyfelek'!B194&lt;&gt;"",B194&lt;='Beállítások'!$B$85),AND('Ügyfelek'!C194&lt;&gt;"",C194&lt;='Beállítások'!$B$86)),"Igen","Nem"))</f>
        <v/>
      </c>
      <c r="AQ194" s="24">
        <f>IF($A194="","",IF(AP194="Igen",5,IF(AN194&gt;='Beállítások'!$C$108,1,IF(AN194&gt;='Beállítások'!$C$109,2,IF(AN194&gt;='Beállítások'!$C$110,3,IF(AND(AN194&gt;='Beállítások'!$B$87,AI194&gt;='Beállítások'!$B$88,AL194&gt;='Beállítások'!$B$89),4,5))))))</f>
        <v/>
      </c>
      <c r="AR194">
        <f>IF($A194="","",INDEX('Beállítások'!$B$108:$B$112,AQ194))</f>
        <v/>
      </c>
      <c r="AS194">
        <f>IF($A194="","",IF(AQ194=5,"Elutasítjuk",IF(AND(AQ194=4,COUNTIFS('Eredmény'!$AQ$2:$AQ$201,4,'Eredmény'!$DY$2:$DY$201,"&gt;"&amp;DY194)&gt;='Beállítások'!$B$90),"Várólista (a 4-es hely foglalt)","Elfogadjuk")))</f>
        <v/>
      </c>
      <c r="AT194">
        <f>IF($A194="","",INDEX('Beállítások'!$F$108:$F$112,AQ194))</f>
        <v/>
      </c>
      <c r="AU194">
        <f>IF($A194="","",INDEX('Beállítások'!$B$6:$B$38,MATCH(MAX(BK194:CQ194),BK194:CQ194,0)))</f>
        <v/>
      </c>
      <c r="AV194">
        <f>IF($A194="","",IF(MAX(CR194:DX194)=0,"—",INDEX('Beállítások'!$B$6:$B$38,MATCH(MAX(CR194:DX194),CR194:DX194,0))))</f>
        <v/>
      </c>
      <c r="AW194" s="10">
        <f>IF($A194="","",'Beállítások'!$B$94*(TRIM('Ügyfelek'!AI194)="igen")+'Beállítások'!$B$95*(TRIM('Ügyfelek'!AJ194)="igen")+'Beállítások'!$B$96*N('Ügyfelek'!AK194)+'Beállítások'!$B$93*N('Ügyfelek'!AL194))</f>
        <v/>
      </c>
      <c r="AX194" s="25">
        <f>IF(OR($A194="",AQ194=5),"",INDEX('Beállítások'!$D$108:$D$112,AQ194))</f>
        <v/>
      </c>
      <c r="AY194" s="10">
        <f>IF($A194="","",N('Ügyfelek'!U194)*'Beállítások'!$B$98)</f>
        <v/>
      </c>
      <c r="AZ194" s="10">
        <f>IF(OR($A194="",AQ194=5),"",CEILING(ROUND(MAX('Beállítások'!$B$97,AW194*AX194,AY194),2),'Beállítások'!$B$99))</f>
        <v/>
      </c>
      <c r="BA194">
        <f>IF($A194="","",IF(AQ194=5,"Elutasítva",IF(MAX('Beállítások'!$B$97,AW194*AX194,AY194)=AW194*AX194,"Munkaigény × státuszszorzó",IF(MAX('Beállítások'!$B$97,AW194*AX194,AY194)=AY194,"Hirdetési keret arányában","Minimumdíj"))))</f>
        <v/>
      </c>
      <c r="BB194" s="10">
        <f>IF(OR($A194="",'Ügyfelek'!AM194=""),"",'Ügyfelek'!AM194)</f>
        <v/>
      </c>
      <c r="BC194" s="10">
        <f>IF(OR(BB194="",AZ194=""),"",AZ194-BB194)</f>
        <v/>
      </c>
      <c r="BD194" s="18">
        <f>IF(OR(BB194="",AZ194="",BB194=0),"",BC194/BB194)</f>
        <v/>
      </c>
      <c r="BE194">
        <f>IF(OR($A194="",AQ194=5),"",IF(AND(INDEX('Beállítások'!$E$108:$E$112,AQ194)&gt;0,Y194&gt;='Beállítások'!$B$91),"Igen","Nem"))</f>
        <v/>
      </c>
      <c r="BF194" s="10">
        <f>IF(BE194="Igen",CEILING(ROUND(AZ194*(1-'Beállítások'!$B$92),2),'Beállítások'!$B$99),"")</f>
        <v/>
      </c>
      <c r="BG194" s="20">
        <f>IF(BE194="Igen",INDEX('Beállítások'!$E$108:$E$112,AQ194),"")</f>
        <v/>
      </c>
      <c r="BH194" s="10">
        <f>IF(OR(BE194&lt;&gt;"Igen",'Ügyfelek'!AN194=""),"",'Ügyfelek'!AN194*BG194)</f>
        <v/>
      </c>
      <c r="BI194" s="24">
        <f>IF($A194="","",('Ügyfelek'!B194="")+('Ügyfelek'!C194="")+('Ügyfelek'!D194="")+('Ügyfelek'!E194="")+('Ügyfelek'!F194="")+('Ügyfelek'!G194="")+('Ügyfelek'!H194="")+('Ügyfelek'!I194="")+('Ügyfelek'!J194="")+('Ügyfelek'!K194="")+('Ügyfelek'!L194="")+('Ügyfelek'!M194="")+('Ügyfelek'!N194="")+('Ügyfelek'!O194="")+('Ügyfelek'!P194="")+('Ügyfelek'!Q194="")+('Ügyfelek'!R194="")+('Ügyfelek'!S194="")+('Ügyfelek'!T194="")+('Ügyfelek'!U194="")+('Ügyfelek'!V194="")+('Ügyfelek'!W194="")+('Ügyfelek'!X194="")+('Ügyfelek'!Y194="")+('Ügyfelek'!Z194="")+('Ügyfelek'!AA194="")+('Ügyfelek'!AB194="")+('Ügyfelek'!AC194="")+('Ügyfelek'!AD194="")+('Ügyfelek'!AE194="")+('Ügyfelek'!AF194="")+('Ügyfelek'!AG194="")+('Ügyfelek'!AH194=""))</f>
        <v/>
      </c>
      <c r="BK194">
        <f>IF($A194="","",B194+'Beállítások'!$E$6/1000)</f>
        <v/>
      </c>
      <c r="BL194">
        <f>IF($A194="","",C194+'Beállítások'!$E$7/1000)</f>
        <v/>
      </c>
      <c r="BM194">
        <f>IF($A194="","",D194+'Beállítások'!$E$8/1000)</f>
        <v/>
      </c>
      <c r="BN194">
        <f>IF($A194="","",E194+'Beállítások'!$E$9/1000)</f>
        <v/>
      </c>
      <c r="BO194">
        <f>IF($A194="","",F194+'Beállítások'!$E$10/1000)</f>
        <v/>
      </c>
      <c r="BP194">
        <f>IF($A194="","",G194+'Beállítások'!$E$11/1000)</f>
        <v/>
      </c>
      <c r="BQ194">
        <f>IF($A194="","",H194+'Beállítások'!$E$12/1000)</f>
        <v/>
      </c>
      <c r="BR194">
        <f>IF($A194="","",I194+'Beállítások'!$E$13/1000)</f>
        <v/>
      </c>
      <c r="BS194">
        <f>IF($A194="","",J194+'Beállítások'!$E$14/1000)</f>
        <v/>
      </c>
      <c r="BT194">
        <f>IF($A194="","",K194+'Beállítások'!$E$15/1000)</f>
        <v/>
      </c>
      <c r="BU194">
        <f>IF($A194="","",L194+'Beállítások'!$E$16/1000)</f>
        <v/>
      </c>
      <c r="BV194">
        <f>IF($A194="","",M194+'Beállítások'!$E$17/1000)</f>
        <v/>
      </c>
      <c r="BW194">
        <f>IF($A194="","",N194+'Beállítások'!$E$18/1000)</f>
        <v/>
      </c>
      <c r="BX194">
        <f>IF($A194="","",O194+'Beállítások'!$E$19/1000)</f>
        <v/>
      </c>
      <c r="BY194">
        <f>IF($A194="","",P194+'Beállítások'!$E$20/1000)</f>
        <v/>
      </c>
      <c r="BZ194">
        <f>IF($A194="","",Q194+'Beállítások'!$E$21/1000)</f>
        <v/>
      </c>
      <c r="CA194">
        <f>IF($A194="","",R194+'Beállítások'!$E$22/1000)</f>
        <v/>
      </c>
      <c r="CB194">
        <f>IF($A194="","",S194+'Beállítások'!$E$23/1000)</f>
        <v/>
      </c>
      <c r="CC194">
        <f>IF($A194="","",T194+'Beállítások'!$E$24/1000)</f>
        <v/>
      </c>
      <c r="CD194">
        <f>IF($A194="","",U194+'Beállítások'!$E$25/1000)</f>
        <v/>
      </c>
      <c r="CE194">
        <f>IF($A194="","",V194+'Beállítások'!$E$26/1000)</f>
        <v/>
      </c>
      <c r="CF194">
        <f>IF($A194="","",W194+'Beállítások'!$E$27/1000)</f>
        <v/>
      </c>
      <c r="CG194">
        <f>IF($A194="","",X194+'Beállítások'!$E$28/1000)</f>
        <v/>
      </c>
      <c r="CH194">
        <f>IF($A194="","",Y194+'Beállítások'!$E$29/1000)</f>
        <v/>
      </c>
      <c r="CI194">
        <f>IF($A194="","",Z194+'Beállítások'!$E$30/1000)</f>
        <v/>
      </c>
      <c r="CJ194">
        <f>IF($A194="","",AA194+'Beállítások'!$E$31/1000)</f>
        <v/>
      </c>
      <c r="CK194">
        <f>IF($A194="","",AB194+'Beállítások'!$E$32/1000)</f>
        <v/>
      </c>
      <c r="CL194">
        <f>IF($A194="","",AC194+'Beállítások'!$E$33/1000)</f>
        <v/>
      </c>
      <c r="CM194">
        <f>IF($A194="","",AD194+'Beállítások'!$E$34/1000)</f>
        <v/>
      </c>
      <c r="CN194">
        <f>IF($A194="","",AE194+'Beállítások'!$E$35/1000)</f>
        <v/>
      </c>
      <c r="CO194">
        <f>IF($A194="","",AF194+'Beállítások'!$E$36/1000)</f>
        <v/>
      </c>
      <c r="CP194">
        <f>IF($A194="","",AG194+'Beállítások'!$E$37/1000)</f>
        <v/>
      </c>
      <c r="CQ194">
        <f>IF($A194="","",AH194+'Beállítások'!$E$38/1000)</f>
        <v/>
      </c>
      <c r="CR194">
        <f>IF($A194="","",'Beállítások'!$E$6*(10-B194))</f>
        <v/>
      </c>
      <c r="CS194">
        <f>IF($A194="","",'Beállítások'!$E$7*(10-C194))</f>
        <v/>
      </c>
      <c r="CT194">
        <f>IF($A194="","",'Beállítások'!$E$8*(10-D194))</f>
        <v/>
      </c>
      <c r="CU194">
        <f>IF($A194="","",'Beállítások'!$E$9*(10-E194))</f>
        <v/>
      </c>
      <c r="CV194">
        <f>IF($A194="","",'Beállítások'!$E$10*(10-F194))</f>
        <v/>
      </c>
      <c r="CW194">
        <f>IF($A194="","",'Beállítások'!$E$11*(10-G194))</f>
        <v/>
      </c>
      <c r="CX194">
        <f>IF($A194="","",'Beállítások'!$E$12*(10-H194))</f>
        <v/>
      </c>
      <c r="CY194">
        <f>IF($A194="","",'Beállítások'!$E$13*(10-I194))</f>
        <v/>
      </c>
      <c r="CZ194">
        <f>IF($A194="","",'Beállítások'!$E$14*(10-J194))</f>
        <v/>
      </c>
      <c r="DA194">
        <f>IF($A194="","",'Beállítások'!$E$15*(10-K194))</f>
        <v/>
      </c>
      <c r="DB194">
        <f>IF($A194="","",'Beállítások'!$E$16*(10-L194))</f>
        <v/>
      </c>
      <c r="DC194">
        <f>IF($A194="","",'Beállítások'!$E$17*(10-M194))</f>
        <v/>
      </c>
      <c r="DD194">
        <f>IF($A194="","",'Beállítások'!$E$18*(10-N194))</f>
        <v/>
      </c>
      <c r="DE194">
        <f>IF($A194="","",'Beállítások'!$E$19*(10-O194))</f>
        <v/>
      </c>
      <c r="DF194">
        <f>IF($A194="","",'Beállítások'!$E$20*(10-P194))</f>
        <v/>
      </c>
      <c r="DG194">
        <f>IF($A194="","",'Beállítások'!$E$21*(10-Q194))</f>
        <v/>
      </c>
      <c r="DH194">
        <f>IF($A194="","",'Beállítások'!$E$22*(10-R194))</f>
        <v/>
      </c>
      <c r="DI194">
        <f>IF($A194="","",'Beállítások'!$E$23*(10-S194))</f>
        <v/>
      </c>
      <c r="DJ194">
        <f>IF($A194="","",'Beállítások'!$E$24*(10-T194))</f>
        <v/>
      </c>
      <c r="DK194">
        <f>IF($A194="","",'Beállítások'!$E$25*(10-U194))</f>
        <v/>
      </c>
      <c r="DL194">
        <f>IF($A194="","",'Beállítások'!$E$26*(10-V194))</f>
        <v/>
      </c>
      <c r="DM194">
        <f>IF($A194="","",'Beállítások'!$E$27*(10-W194))</f>
        <v/>
      </c>
      <c r="DN194">
        <f>IF($A194="","",'Beállítások'!$E$28*(10-X194))</f>
        <v/>
      </c>
      <c r="DO194">
        <f>IF($A194="","",'Beállítások'!$E$29*(10-Y194))</f>
        <v/>
      </c>
      <c r="DP194">
        <f>IF($A194="","",'Beállítások'!$E$30*(10-Z194))</f>
        <v/>
      </c>
      <c r="DQ194">
        <f>IF($A194="","",'Beállítások'!$E$31*(10-AA194))</f>
        <v/>
      </c>
      <c r="DR194">
        <f>IF($A194="","",'Beállítások'!$E$32*(10-AB194))</f>
        <v/>
      </c>
      <c r="DS194">
        <f>IF($A194="","",'Beállítások'!$E$33*(10-AC194))</f>
        <v/>
      </c>
      <c r="DT194">
        <f>IF($A194="","",'Beállítások'!$E$34*(10-AD194))</f>
        <v/>
      </c>
      <c r="DU194">
        <f>IF($A194="","",'Beállítások'!$E$35*(10-AE194))</f>
        <v/>
      </c>
      <c r="DV194">
        <f>IF($A194="","",'Beállítások'!$E$36*(10-AF194))</f>
        <v/>
      </c>
      <c r="DW194">
        <f>IF($A194="","",'Beállítások'!$E$37*(10-AG194))</f>
        <v/>
      </c>
      <c r="DX194">
        <f>IF($A194="","",'Beállítások'!$E$38*(10-AH194))</f>
        <v/>
      </c>
      <c r="DY194">
        <f>IF($A194="","",AM194-ROW()/100000)</f>
        <v/>
      </c>
    </row>
    <row r="195">
      <c r="A195">
        <f>IF('Ügyfelek'!A195="","",'Ügyfelek'!A195)</f>
        <v/>
      </c>
      <c r="B195">
        <f>IF($A195="","",IF('Ügyfelek'!B195="",'Beállítások'!$B$84,IFERROR(VLOOKUP(TRIM('Ügyfelek'!B195),'Beállítások'!$A$51:$B$59,2,FALSE),'Beállítások'!$B$84)))</f>
        <v/>
      </c>
      <c r="C195">
        <f>IF($A195="","",IF('Ügyfelek'!C195="",'Beállítások'!$B$84,MIN(10,MAX(1,ROUND('Ügyfelek'!C195,0)))))</f>
        <v/>
      </c>
      <c r="D195">
        <f>IF($A195="","",IF('Ügyfelek'!D195="",'Beállítások'!$B$84,MIN(10,MAX(1,ROUND('Ügyfelek'!D195,0)))))</f>
        <v/>
      </c>
      <c r="E195">
        <f>IF($A195="","",IF('Ügyfelek'!E195="",'Beállítások'!$B$84,MIN(10,MAX(1,ROUND('Ügyfelek'!E195,0)))))</f>
        <v/>
      </c>
      <c r="F195">
        <f>IF($A195="","",IF('Ügyfelek'!F195="",'Beállítások'!$B$84,MIN(10,MAX(1,ROUND('Ügyfelek'!F195,0)))))</f>
        <v/>
      </c>
      <c r="G195">
        <f>IF($A195="","",IF('Ügyfelek'!G195="",'Beállítások'!$B$84,MIN(10,MAX(1,ROUND('Ügyfelek'!G195,0)))))</f>
        <v/>
      </c>
      <c r="H195">
        <f>IF($A195="","",IF('Ügyfelek'!H195="",'Beállítások'!$B$84,MIN(10,MAX(1,ROUND('Ügyfelek'!H195,0)))))</f>
        <v/>
      </c>
      <c r="I195">
        <f>IF($A195="","",IF('Ügyfelek'!I195="",'Beállítások'!$B$84,MIN(10,MAX(1,ROUND('Ügyfelek'!I195,0)))))</f>
        <v/>
      </c>
      <c r="J195">
        <f>IF($A195="","",IF('Ügyfelek'!J195="",'Beállítások'!$B$84,MIN(10,MAX(1,ROUND('Ügyfelek'!J195,0)))))</f>
        <v/>
      </c>
      <c r="K195">
        <f>IF($A195="","",IF('Ügyfelek'!K195="",'Beállítások'!$B$84,MIN(10,MAX(1,ROUND('Ügyfelek'!K195,0)))))</f>
        <v/>
      </c>
      <c r="L195">
        <f>IF($A195="","",IF('Ügyfelek'!L195="",'Beállítások'!$B$84,MIN(10,MAX(1,ROUND('Ügyfelek'!L195,0)))))</f>
        <v/>
      </c>
      <c r="M195">
        <f>IF($A195="","",IF('Ügyfelek'!M195="",'Beállítások'!$B$84,MIN(10,MAX(1,ROUND('Ügyfelek'!M195,0)))))</f>
        <v/>
      </c>
      <c r="N195">
        <f>IF($A195="","",IF('Ügyfelek'!N195="",'Beállítások'!$B$84,MIN(10,MAX(1,ROUND('Ügyfelek'!N195,0)))))</f>
        <v/>
      </c>
      <c r="O195">
        <f>IF($A195="","",IF('Ügyfelek'!O195="",'Beállítások'!$B$84,MIN(10,MAX(1,ROUND('Ügyfelek'!O195,0)))))</f>
        <v/>
      </c>
      <c r="P195">
        <f>IF($A195="","",IF('Ügyfelek'!P195="",'Beállítások'!$B$84,MIN(10,MAX(1,ROUND('Ügyfelek'!P195,0)))))</f>
        <v/>
      </c>
      <c r="Q195">
        <f>IF($A195="","",IF('Ügyfelek'!Q195="",'Beállítások'!$B$84,MIN(10,MAX(1,ROUND('Ügyfelek'!Q195,0)))))</f>
        <v/>
      </c>
      <c r="R195">
        <f>IF($A195="","",IF('Ügyfelek'!R195="",'Beállítások'!$B$84,MIN(10,MAX(1,ROUND('Ügyfelek'!R195,0)))))</f>
        <v/>
      </c>
      <c r="S195">
        <f>IF($A195="","",IF('Ügyfelek'!S195="",'Beállítások'!$B$84,MIN(10,MAX(1,ROUND('Ügyfelek'!S195,0)))))</f>
        <v/>
      </c>
      <c r="T195">
        <f>IF($A195="","",IF('Ügyfelek'!T195="",'Beállítások'!$B$84,VLOOKUP(MAX('Ügyfelek'!T195,'Beállítások'!$H$7),'Beállítások'!$H$7:$I$12,2,TRUE)))</f>
        <v/>
      </c>
      <c r="U195">
        <f>IF($A195="","",IF('Ügyfelek'!U195="",'Beállítások'!$B$84,VLOOKUP(MAX('Ügyfelek'!U195,'Beállítások'!$K$7),'Beállítások'!$K$7:$L$12,2,TRUE)))</f>
        <v/>
      </c>
      <c r="V195">
        <f>IF($A195="","",IF('Ügyfelek'!V195="",'Beállítások'!$B$84,MIN(10,MAX(1,ROUND('Ügyfelek'!V195,0)))))</f>
        <v/>
      </c>
      <c r="W195">
        <f>IF($A195="","",IF('Ügyfelek'!W195="",'Beállítások'!$B$84,VLOOKUP(MAX('Ügyfelek'!W195,'Beállítások'!$N$7),'Beállítások'!$N$7:$O$12,2,TRUE)))</f>
        <v/>
      </c>
      <c r="X195">
        <f>IF($A195="","",IF('Ügyfelek'!X195="",'Beállítások'!$B$84,MIN(10,MAX(1,ROUND('Ügyfelek'!X195,0)))))</f>
        <v/>
      </c>
      <c r="Y195">
        <f>IF($A195="","",IF('Ügyfelek'!Y195="",'Beállítások'!$B$84,IFERROR(VLOOKUP(TRIM('Ügyfelek'!Y195),'Beállítások'!$A$63:$B$69,2,FALSE),'Beállítások'!$B$84)))</f>
        <v/>
      </c>
      <c r="Z195">
        <f>IF($A195="","",IF('Ügyfelek'!Z195="",'Beállítások'!$B$84,VLOOKUP(MAX('Ügyfelek'!Z195,'Beállítások'!$Q$7),'Beállítások'!$Q$7:$R$12,2,TRUE)))</f>
        <v/>
      </c>
      <c r="AA195">
        <f>IF($A195="","",IF('Ügyfelek'!AA195="",'Beállítások'!$B$84,VLOOKUP(MAX('Ügyfelek'!AA195,'Beállítások'!$T$7),'Beállítások'!$T$7:$U$12,2,TRUE)))</f>
        <v/>
      </c>
      <c r="AB195">
        <f>IF($A195="","",IF('Ügyfelek'!AB195="",'Beállítások'!$B$84,MIN(10,MAX(1,ROUND('Ügyfelek'!AB195,0)))))</f>
        <v/>
      </c>
      <c r="AC195">
        <f>IF($A195="","",IF('Ügyfelek'!AC195="",'Beállítások'!$B$84,MIN(10,MAX(1,ROUND('Ügyfelek'!AC195,0)))))</f>
        <v/>
      </c>
      <c r="AD195">
        <f>IF($A195="","",IF('Ügyfelek'!AD195="",'Beállítások'!$B$84,MIN(10,MAX(1,ROUND('Ügyfelek'!AD195,0)))))</f>
        <v/>
      </c>
      <c r="AE195">
        <f>IF($A195="","",IF('Ügyfelek'!AE195="",'Beállítások'!$B$84,MIN(10,MAX(1,ROUND('Ügyfelek'!AE195,0)))))</f>
        <v/>
      </c>
      <c r="AF195">
        <f>IF($A195="","",IF('Ügyfelek'!AF195="",'Beállítások'!$B$84,MIN(10,MAX(1,ROUND('Ügyfelek'!AF195,0)))))</f>
        <v/>
      </c>
      <c r="AG195">
        <f>IF($A195="","",IF('Ügyfelek'!AG195="",'Beállítások'!$B$84,MIN(10,MAX(1,ROUND('Ügyfelek'!AG195,0)))))</f>
        <v/>
      </c>
      <c r="AH195">
        <f>IF($A195="","",IF('Ügyfelek'!AH195="",'Beállítások'!$B$84,IFERROR(VLOOKUP(TRIM('Ügyfelek'!AH195),'Beállítások'!$A$73:$B$79,2,FALSE),'Beállítások'!$B$84)))</f>
        <v/>
      </c>
      <c r="AI195" s="23">
        <f>IF($A195="","",ROUND(100*('Beállítások'!$E$6*(B195-1)+'Beállítások'!$E$7*(C195-1))/(9*'Beállítások'!$B$43),1))</f>
        <v/>
      </c>
      <c r="AJ195" s="23">
        <f>IF($A195="","",ROUND(100*('Beállítások'!$E$8*(D195-1)+'Beállítások'!$E$9*(E195-1)+'Beállítások'!$E$10*(F195-1)+'Beállítások'!$E$11*(G195-1)+'Beállítások'!$E$12*(H195-1)+'Beállítások'!$E$13*(I195-1)+'Beállítások'!$E$14*(J195-1)+'Beállítások'!$E$15*(K195-1)+'Beállítások'!$E$16*(L195-1)+'Beállítások'!$E$17*(M195-1)+'Beállítások'!$E$18*(N195-1)+'Beállítások'!$E$19*(O195-1)+'Beállítások'!$E$20*(P195-1)+'Beállítások'!$E$21*(Q195-1)+'Beállítások'!$E$22*(R195-1))/(9*'Beállítások'!$B$44),1))</f>
        <v/>
      </c>
      <c r="AK195" s="23">
        <f>IF($A195="","",ROUND(100*('Beállítások'!$E$23*(S195-1)+'Beállítások'!$E$24*(T195-1)+'Beállítások'!$E$25*(U195-1)+'Beállítások'!$E$26*(V195-1)+'Beállítások'!$E$27*(W195-1)+'Beállítások'!$E$28*(X195-1)+'Beállítások'!$E$29*(Y195-1))/(9*'Beállítások'!$B$45),1))</f>
        <v/>
      </c>
      <c r="AL195" s="23">
        <f>IF($A195="","",ROUND(100*('Beállítások'!$E$30*(Z195-1)+'Beállítások'!$E$31*(AA195-1)+'Beállítások'!$E$32*(AB195-1)+'Beállítások'!$E$33*(AC195-1)+'Beállítások'!$E$34*(AD195-1)+'Beállítások'!$E$35*(AE195-1)+'Beállítások'!$E$36*(AF195-1)+'Beállítások'!$E$37*(AG195-1)+'Beállítások'!$E$38*(AH195-1))/(9*'Beállítások'!$B$46),1))</f>
        <v/>
      </c>
      <c r="AM195" s="23">
        <f>IF($A195="","",ROUND(100*('Beállítások'!$E$6*(B195-1)+'Beállítások'!$E$7*(C195-1)+'Beállítások'!$E$8*(D195-1)+'Beállítások'!$E$9*(E195-1)+'Beállítások'!$E$10*(F195-1)+'Beállítások'!$E$11*(G195-1)+'Beállítások'!$E$12*(H195-1)+'Beállítások'!$E$13*(I195-1)+'Beállítások'!$E$14*(J195-1)+'Beállítások'!$E$15*(K195-1)+'Beállítások'!$E$16*(L195-1)+'Beállítások'!$E$17*(M195-1)+'Beállítások'!$E$18*(N195-1)+'Beállítások'!$E$19*(O195-1)+'Beállítások'!$E$20*(P195-1)+'Beállítások'!$E$21*(Q195-1)+'Beállítások'!$E$22*(R195-1)+'Beállítások'!$E$23*(S195-1)+'Beállítások'!$E$24*(T195-1)+'Beállítások'!$E$25*(U195-1)+'Beállítások'!$E$26*(V195-1)+'Beállítások'!$E$27*(W195-1)+'Beállítások'!$E$28*(X195-1)+'Beállítások'!$E$29*(Y195-1)+'Beállítások'!$E$30*(Z195-1)+'Beállítások'!$E$31*(AA195-1)+'Beállítások'!$E$32*(AB195-1)+'Beállítások'!$E$33*(AC195-1)+'Beállítások'!$E$34*(AD195-1)+'Beállítások'!$E$35*(AE195-1)+'Beállítások'!$E$36*(AF195-1)+'Beállítások'!$E$37*(AG195-1)+'Beállítások'!$E$38*(AH195-1))/(9*'Beállítások'!$E$39),1))</f>
        <v/>
      </c>
      <c r="AN195" s="23">
        <f>IF($A195="","",ROUND(100*('Beállítások'!$E$8*(D195-1)+'Beállítások'!$E$9*(E195-1)+'Beállítások'!$E$10*(F195-1)+'Beállítások'!$E$11*(G195-1)+'Beállítások'!$E$12*(H195-1)+'Beállítások'!$E$13*(I195-1)+'Beállítások'!$E$14*(J195-1)+'Beállítások'!$E$15*(K195-1)+'Beállítások'!$E$16*(L195-1)+'Beállítások'!$E$17*(M195-1)+'Beállítások'!$E$18*(N195-1)+'Beállítások'!$E$19*(O195-1)+'Beállítások'!$E$20*(P195-1)+'Beállítások'!$E$21*(Q195-1)+'Beállítások'!$E$22*(R195-1)+'Beállítások'!$E$23*(S195-1)+'Beállítások'!$E$24*(T195-1)+'Beállítások'!$E$25*(U195-1)+'Beállítások'!$E$26*(V195-1)+'Beállítások'!$E$27*(W195-1)+'Beállítások'!$E$28*(X195-1)+'Beállítások'!$E$29*(Y195-1))/(9*('Beállítások'!$B$44+'Beállítások'!$B$45)),1))</f>
        <v/>
      </c>
      <c r="AO195" s="24">
        <f>IF($A195="","",RANK(AM195,$AM$2:$AM$201))</f>
        <v/>
      </c>
      <c r="AP195">
        <f>IF($A195="","",IF(OR(AND('Ügyfelek'!B195&lt;&gt;"",B195&lt;='Beállítások'!$B$85),AND('Ügyfelek'!C195&lt;&gt;"",C195&lt;='Beállítások'!$B$86)),"Igen","Nem"))</f>
        <v/>
      </c>
      <c r="AQ195" s="24">
        <f>IF($A195="","",IF(AP195="Igen",5,IF(AN195&gt;='Beállítások'!$C$108,1,IF(AN195&gt;='Beállítások'!$C$109,2,IF(AN195&gt;='Beállítások'!$C$110,3,IF(AND(AN195&gt;='Beállítások'!$B$87,AI195&gt;='Beállítások'!$B$88,AL195&gt;='Beállítások'!$B$89),4,5))))))</f>
        <v/>
      </c>
      <c r="AR195">
        <f>IF($A195="","",INDEX('Beállítások'!$B$108:$B$112,AQ195))</f>
        <v/>
      </c>
      <c r="AS195">
        <f>IF($A195="","",IF(AQ195=5,"Elutasítjuk",IF(AND(AQ195=4,COUNTIFS('Eredmény'!$AQ$2:$AQ$201,4,'Eredmény'!$DY$2:$DY$201,"&gt;"&amp;DY195)&gt;='Beállítások'!$B$90),"Várólista (a 4-es hely foglalt)","Elfogadjuk")))</f>
        <v/>
      </c>
      <c r="AT195">
        <f>IF($A195="","",INDEX('Beállítások'!$F$108:$F$112,AQ195))</f>
        <v/>
      </c>
      <c r="AU195">
        <f>IF($A195="","",INDEX('Beállítások'!$B$6:$B$38,MATCH(MAX(BK195:CQ195),BK195:CQ195,0)))</f>
        <v/>
      </c>
      <c r="AV195">
        <f>IF($A195="","",IF(MAX(CR195:DX195)=0,"—",INDEX('Beállítások'!$B$6:$B$38,MATCH(MAX(CR195:DX195),CR195:DX195,0))))</f>
        <v/>
      </c>
      <c r="AW195" s="10">
        <f>IF($A195="","",'Beállítások'!$B$94*(TRIM('Ügyfelek'!AI195)="igen")+'Beállítások'!$B$95*(TRIM('Ügyfelek'!AJ195)="igen")+'Beállítások'!$B$96*N('Ügyfelek'!AK195)+'Beállítások'!$B$93*N('Ügyfelek'!AL195))</f>
        <v/>
      </c>
      <c r="AX195" s="25">
        <f>IF(OR($A195="",AQ195=5),"",INDEX('Beállítások'!$D$108:$D$112,AQ195))</f>
        <v/>
      </c>
      <c r="AY195" s="10">
        <f>IF($A195="","",N('Ügyfelek'!U195)*'Beállítások'!$B$98)</f>
        <v/>
      </c>
      <c r="AZ195" s="10">
        <f>IF(OR($A195="",AQ195=5),"",CEILING(ROUND(MAX('Beállítások'!$B$97,AW195*AX195,AY195),2),'Beállítások'!$B$99))</f>
        <v/>
      </c>
      <c r="BA195">
        <f>IF($A195="","",IF(AQ195=5,"Elutasítva",IF(MAX('Beállítások'!$B$97,AW195*AX195,AY195)=AW195*AX195,"Munkaigény × státuszszorzó",IF(MAX('Beállítások'!$B$97,AW195*AX195,AY195)=AY195,"Hirdetési keret arányában","Minimumdíj"))))</f>
        <v/>
      </c>
      <c r="BB195" s="10">
        <f>IF(OR($A195="",'Ügyfelek'!AM195=""),"",'Ügyfelek'!AM195)</f>
        <v/>
      </c>
      <c r="BC195" s="10">
        <f>IF(OR(BB195="",AZ195=""),"",AZ195-BB195)</f>
        <v/>
      </c>
      <c r="BD195" s="18">
        <f>IF(OR(BB195="",AZ195="",BB195=0),"",BC195/BB195)</f>
        <v/>
      </c>
      <c r="BE195">
        <f>IF(OR($A195="",AQ195=5),"",IF(AND(INDEX('Beállítások'!$E$108:$E$112,AQ195)&gt;0,Y195&gt;='Beállítások'!$B$91),"Igen","Nem"))</f>
        <v/>
      </c>
      <c r="BF195" s="10">
        <f>IF(BE195="Igen",CEILING(ROUND(AZ195*(1-'Beállítások'!$B$92),2),'Beállítások'!$B$99),"")</f>
        <v/>
      </c>
      <c r="BG195" s="20">
        <f>IF(BE195="Igen",INDEX('Beállítások'!$E$108:$E$112,AQ195),"")</f>
        <v/>
      </c>
      <c r="BH195" s="10">
        <f>IF(OR(BE195&lt;&gt;"Igen",'Ügyfelek'!AN195=""),"",'Ügyfelek'!AN195*BG195)</f>
        <v/>
      </c>
      <c r="BI195" s="24">
        <f>IF($A195="","",('Ügyfelek'!B195="")+('Ügyfelek'!C195="")+('Ügyfelek'!D195="")+('Ügyfelek'!E195="")+('Ügyfelek'!F195="")+('Ügyfelek'!G195="")+('Ügyfelek'!H195="")+('Ügyfelek'!I195="")+('Ügyfelek'!J195="")+('Ügyfelek'!K195="")+('Ügyfelek'!L195="")+('Ügyfelek'!M195="")+('Ügyfelek'!N195="")+('Ügyfelek'!O195="")+('Ügyfelek'!P195="")+('Ügyfelek'!Q195="")+('Ügyfelek'!R195="")+('Ügyfelek'!S195="")+('Ügyfelek'!T195="")+('Ügyfelek'!U195="")+('Ügyfelek'!V195="")+('Ügyfelek'!W195="")+('Ügyfelek'!X195="")+('Ügyfelek'!Y195="")+('Ügyfelek'!Z195="")+('Ügyfelek'!AA195="")+('Ügyfelek'!AB195="")+('Ügyfelek'!AC195="")+('Ügyfelek'!AD195="")+('Ügyfelek'!AE195="")+('Ügyfelek'!AF195="")+('Ügyfelek'!AG195="")+('Ügyfelek'!AH195=""))</f>
        <v/>
      </c>
      <c r="BK195">
        <f>IF($A195="","",B195+'Beállítások'!$E$6/1000)</f>
        <v/>
      </c>
      <c r="BL195">
        <f>IF($A195="","",C195+'Beállítások'!$E$7/1000)</f>
        <v/>
      </c>
      <c r="BM195">
        <f>IF($A195="","",D195+'Beállítások'!$E$8/1000)</f>
        <v/>
      </c>
      <c r="BN195">
        <f>IF($A195="","",E195+'Beállítások'!$E$9/1000)</f>
        <v/>
      </c>
      <c r="BO195">
        <f>IF($A195="","",F195+'Beállítások'!$E$10/1000)</f>
        <v/>
      </c>
      <c r="BP195">
        <f>IF($A195="","",G195+'Beállítások'!$E$11/1000)</f>
        <v/>
      </c>
      <c r="BQ195">
        <f>IF($A195="","",H195+'Beállítások'!$E$12/1000)</f>
        <v/>
      </c>
      <c r="BR195">
        <f>IF($A195="","",I195+'Beállítások'!$E$13/1000)</f>
        <v/>
      </c>
      <c r="BS195">
        <f>IF($A195="","",J195+'Beállítások'!$E$14/1000)</f>
        <v/>
      </c>
      <c r="BT195">
        <f>IF($A195="","",K195+'Beállítások'!$E$15/1000)</f>
        <v/>
      </c>
      <c r="BU195">
        <f>IF($A195="","",L195+'Beállítások'!$E$16/1000)</f>
        <v/>
      </c>
      <c r="BV195">
        <f>IF($A195="","",M195+'Beállítások'!$E$17/1000)</f>
        <v/>
      </c>
      <c r="BW195">
        <f>IF($A195="","",N195+'Beállítások'!$E$18/1000)</f>
        <v/>
      </c>
      <c r="BX195">
        <f>IF($A195="","",O195+'Beállítások'!$E$19/1000)</f>
        <v/>
      </c>
      <c r="BY195">
        <f>IF($A195="","",P195+'Beállítások'!$E$20/1000)</f>
        <v/>
      </c>
      <c r="BZ195">
        <f>IF($A195="","",Q195+'Beállítások'!$E$21/1000)</f>
        <v/>
      </c>
      <c r="CA195">
        <f>IF($A195="","",R195+'Beállítások'!$E$22/1000)</f>
        <v/>
      </c>
      <c r="CB195">
        <f>IF($A195="","",S195+'Beállítások'!$E$23/1000)</f>
        <v/>
      </c>
      <c r="CC195">
        <f>IF($A195="","",T195+'Beállítások'!$E$24/1000)</f>
        <v/>
      </c>
      <c r="CD195">
        <f>IF($A195="","",U195+'Beállítások'!$E$25/1000)</f>
        <v/>
      </c>
      <c r="CE195">
        <f>IF($A195="","",V195+'Beállítások'!$E$26/1000)</f>
        <v/>
      </c>
      <c r="CF195">
        <f>IF($A195="","",W195+'Beállítások'!$E$27/1000)</f>
        <v/>
      </c>
      <c r="CG195">
        <f>IF($A195="","",X195+'Beállítások'!$E$28/1000)</f>
        <v/>
      </c>
      <c r="CH195">
        <f>IF($A195="","",Y195+'Beállítások'!$E$29/1000)</f>
        <v/>
      </c>
      <c r="CI195">
        <f>IF($A195="","",Z195+'Beállítások'!$E$30/1000)</f>
        <v/>
      </c>
      <c r="CJ195">
        <f>IF($A195="","",AA195+'Beállítások'!$E$31/1000)</f>
        <v/>
      </c>
      <c r="CK195">
        <f>IF($A195="","",AB195+'Beállítások'!$E$32/1000)</f>
        <v/>
      </c>
      <c r="CL195">
        <f>IF($A195="","",AC195+'Beállítások'!$E$33/1000)</f>
        <v/>
      </c>
      <c r="CM195">
        <f>IF($A195="","",AD195+'Beállítások'!$E$34/1000)</f>
        <v/>
      </c>
      <c r="CN195">
        <f>IF($A195="","",AE195+'Beállítások'!$E$35/1000)</f>
        <v/>
      </c>
      <c r="CO195">
        <f>IF($A195="","",AF195+'Beállítások'!$E$36/1000)</f>
        <v/>
      </c>
      <c r="CP195">
        <f>IF($A195="","",AG195+'Beállítások'!$E$37/1000)</f>
        <v/>
      </c>
      <c r="CQ195">
        <f>IF($A195="","",AH195+'Beállítások'!$E$38/1000)</f>
        <v/>
      </c>
      <c r="CR195">
        <f>IF($A195="","",'Beállítások'!$E$6*(10-B195))</f>
        <v/>
      </c>
      <c r="CS195">
        <f>IF($A195="","",'Beállítások'!$E$7*(10-C195))</f>
        <v/>
      </c>
      <c r="CT195">
        <f>IF($A195="","",'Beállítások'!$E$8*(10-D195))</f>
        <v/>
      </c>
      <c r="CU195">
        <f>IF($A195="","",'Beállítások'!$E$9*(10-E195))</f>
        <v/>
      </c>
      <c r="CV195">
        <f>IF($A195="","",'Beállítások'!$E$10*(10-F195))</f>
        <v/>
      </c>
      <c r="CW195">
        <f>IF($A195="","",'Beállítások'!$E$11*(10-G195))</f>
        <v/>
      </c>
      <c r="CX195">
        <f>IF($A195="","",'Beállítások'!$E$12*(10-H195))</f>
        <v/>
      </c>
      <c r="CY195">
        <f>IF($A195="","",'Beállítások'!$E$13*(10-I195))</f>
        <v/>
      </c>
      <c r="CZ195">
        <f>IF($A195="","",'Beállítások'!$E$14*(10-J195))</f>
        <v/>
      </c>
      <c r="DA195">
        <f>IF($A195="","",'Beállítások'!$E$15*(10-K195))</f>
        <v/>
      </c>
      <c r="DB195">
        <f>IF($A195="","",'Beállítások'!$E$16*(10-L195))</f>
        <v/>
      </c>
      <c r="DC195">
        <f>IF($A195="","",'Beállítások'!$E$17*(10-M195))</f>
        <v/>
      </c>
      <c r="DD195">
        <f>IF($A195="","",'Beállítások'!$E$18*(10-N195))</f>
        <v/>
      </c>
      <c r="DE195">
        <f>IF($A195="","",'Beállítások'!$E$19*(10-O195))</f>
        <v/>
      </c>
      <c r="DF195">
        <f>IF($A195="","",'Beállítások'!$E$20*(10-P195))</f>
        <v/>
      </c>
      <c r="DG195">
        <f>IF($A195="","",'Beállítások'!$E$21*(10-Q195))</f>
        <v/>
      </c>
      <c r="DH195">
        <f>IF($A195="","",'Beállítások'!$E$22*(10-R195))</f>
        <v/>
      </c>
      <c r="DI195">
        <f>IF($A195="","",'Beállítások'!$E$23*(10-S195))</f>
        <v/>
      </c>
      <c r="DJ195">
        <f>IF($A195="","",'Beállítások'!$E$24*(10-T195))</f>
        <v/>
      </c>
      <c r="DK195">
        <f>IF($A195="","",'Beállítások'!$E$25*(10-U195))</f>
        <v/>
      </c>
      <c r="DL195">
        <f>IF($A195="","",'Beállítások'!$E$26*(10-V195))</f>
        <v/>
      </c>
      <c r="DM195">
        <f>IF($A195="","",'Beállítások'!$E$27*(10-W195))</f>
        <v/>
      </c>
      <c r="DN195">
        <f>IF($A195="","",'Beállítások'!$E$28*(10-X195))</f>
        <v/>
      </c>
      <c r="DO195">
        <f>IF($A195="","",'Beállítások'!$E$29*(10-Y195))</f>
        <v/>
      </c>
      <c r="DP195">
        <f>IF($A195="","",'Beállítások'!$E$30*(10-Z195))</f>
        <v/>
      </c>
      <c r="DQ195">
        <f>IF($A195="","",'Beállítások'!$E$31*(10-AA195))</f>
        <v/>
      </c>
      <c r="DR195">
        <f>IF($A195="","",'Beállítások'!$E$32*(10-AB195))</f>
        <v/>
      </c>
      <c r="DS195">
        <f>IF($A195="","",'Beállítások'!$E$33*(10-AC195))</f>
        <v/>
      </c>
      <c r="DT195">
        <f>IF($A195="","",'Beállítások'!$E$34*(10-AD195))</f>
        <v/>
      </c>
      <c r="DU195">
        <f>IF($A195="","",'Beállítások'!$E$35*(10-AE195))</f>
        <v/>
      </c>
      <c r="DV195">
        <f>IF($A195="","",'Beállítások'!$E$36*(10-AF195))</f>
        <v/>
      </c>
      <c r="DW195">
        <f>IF($A195="","",'Beállítások'!$E$37*(10-AG195))</f>
        <v/>
      </c>
      <c r="DX195">
        <f>IF($A195="","",'Beállítások'!$E$38*(10-AH195))</f>
        <v/>
      </c>
      <c r="DY195">
        <f>IF($A195="","",AM195-ROW()/100000)</f>
        <v/>
      </c>
    </row>
    <row r="196">
      <c r="A196">
        <f>IF('Ügyfelek'!A196="","",'Ügyfelek'!A196)</f>
        <v/>
      </c>
      <c r="B196">
        <f>IF($A196="","",IF('Ügyfelek'!B196="",'Beállítások'!$B$84,IFERROR(VLOOKUP(TRIM('Ügyfelek'!B196),'Beállítások'!$A$51:$B$59,2,FALSE),'Beállítások'!$B$84)))</f>
        <v/>
      </c>
      <c r="C196">
        <f>IF($A196="","",IF('Ügyfelek'!C196="",'Beállítások'!$B$84,MIN(10,MAX(1,ROUND('Ügyfelek'!C196,0)))))</f>
        <v/>
      </c>
      <c r="D196">
        <f>IF($A196="","",IF('Ügyfelek'!D196="",'Beállítások'!$B$84,MIN(10,MAX(1,ROUND('Ügyfelek'!D196,0)))))</f>
        <v/>
      </c>
      <c r="E196">
        <f>IF($A196="","",IF('Ügyfelek'!E196="",'Beállítások'!$B$84,MIN(10,MAX(1,ROUND('Ügyfelek'!E196,0)))))</f>
        <v/>
      </c>
      <c r="F196">
        <f>IF($A196="","",IF('Ügyfelek'!F196="",'Beállítások'!$B$84,MIN(10,MAX(1,ROUND('Ügyfelek'!F196,0)))))</f>
        <v/>
      </c>
      <c r="G196">
        <f>IF($A196="","",IF('Ügyfelek'!G196="",'Beállítások'!$B$84,MIN(10,MAX(1,ROUND('Ügyfelek'!G196,0)))))</f>
        <v/>
      </c>
      <c r="H196">
        <f>IF($A196="","",IF('Ügyfelek'!H196="",'Beállítások'!$B$84,MIN(10,MAX(1,ROUND('Ügyfelek'!H196,0)))))</f>
        <v/>
      </c>
      <c r="I196">
        <f>IF($A196="","",IF('Ügyfelek'!I196="",'Beállítások'!$B$84,MIN(10,MAX(1,ROUND('Ügyfelek'!I196,0)))))</f>
        <v/>
      </c>
      <c r="J196">
        <f>IF($A196="","",IF('Ügyfelek'!J196="",'Beállítások'!$B$84,MIN(10,MAX(1,ROUND('Ügyfelek'!J196,0)))))</f>
        <v/>
      </c>
      <c r="K196">
        <f>IF($A196="","",IF('Ügyfelek'!K196="",'Beállítások'!$B$84,MIN(10,MAX(1,ROUND('Ügyfelek'!K196,0)))))</f>
        <v/>
      </c>
      <c r="L196">
        <f>IF($A196="","",IF('Ügyfelek'!L196="",'Beállítások'!$B$84,MIN(10,MAX(1,ROUND('Ügyfelek'!L196,0)))))</f>
        <v/>
      </c>
      <c r="M196">
        <f>IF($A196="","",IF('Ügyfelek'!M196="",'Beállítások'!$B$84,MIN(10,MAX(1,ROUND('Ügyfelek'!M196,0)))))</f>
        <v/>
      </c>
      <c r="N196">
        <f>IF($A196="","",IF('Ügyfelek'!N196="",'Beállítások'!$B$84,MIN(10,MAX(1,ROUND('Ügyfelek'!N196,0)))))</f>
        <v/>
      </c>
      <c r="O196">
        <f>IF($A196="","",IF('Ügyfelek'!O196="",'Beállítások'!$B$84,MIN(10,MAX(1,ROUND('Ügyfelek'!O196,0)))))</f>
        <v/>
      </c>
      <c r="P196">
        <f>IF($A196="","",IF('Ügyfelek'!P196="",'Beállítások'!$B$84,MIN(10,MAX(1,ROUND('Ügyfelek'!P196,0)))))</f>
        <v/>
      </c>
      <c r="Q196">
        <f>IF($A196="","",IF('Ügyfelek'!Q196="",'Beállítások'!$B$84,MIN(10,MAX(1,ROUND('Ügyfelek'!Q196,0)))))</f>
        <v/>
      </c>
      <c r="R196">
        <f>IF($A196="","",IF('Ügyfelek'!R196="",'Beállítások'!$B$84,MIN(10,MAX(1,ROUND('Ügyfelek'!R196,0)))))</f>
        <v/>
      </c>
      <c r="S196">
        <f>IF($A196="","",IF('Ügyfelek'!S196="",'Beállítások'!$B$84,MIN(10,MAX(1,ROUND('Ügyfelek'!S196,0)))))</f>
        <v/>
      </c>
      <c r="T196">
        <f>IF($A196="","",IF('Ügyfelek'!T196="",'Beállítások'!$B$84,VLOOKUP(MAX('Ügyfelek'!T196,'Beállítások'!$H$7),'Beállítások'!$H$7:$I$12,2,TRUE)))</f>
        <v/>
      </c>
      <c r="U196">
        <f>IF($A196="","",IF('Ügyfelek'!U196="",'Beállítások'!$B$84,VLOOKUP(MAX('Ügyfelek'!U196,'Beállítások'!$K$7),'Beállítások'!$K$7:$L$12,2,TRUE)))</f>
        <v/>
      </c>
      <c r="V196">
        <f>IF($A196="","",IF('Ügyfelek'!V196="",'Beállítások'!$B$84,MIN(10,MAX(1,ROUND('Ügyfelek'!V196,0)))))</f>
        <v/>
      </c>
      <c r="W196">
        <f>IF($A196="","",IF('Ügyfelek'!W196="",'Beállítások'!$B$84,VLOOKUP(MAX('Ügyfelek'!W196,'Beállítások'!$N$7),'Beállítások'!$N$7:$O$12,2,TRUE)))</f>
        <v/>
      </c>
      <c r="X196">
        <f>IF($A196="","",IF('Ügyfelek'!X196="",'Beállítások'!$B$84,MIN(10,MAX(1,ROUND('Ügyfelek'!X196,0)))))</f>
        <v/>
      </c>
      <c r="Y196">
        <f>IF($A196="","",IF('Ügyfelek'!Y196="",'Beállítások'!$B$84,IFERROR(VLOOKUP(TRIM('Ügyfelek'!Y196),'Beállítások'!$A$63:$B$69,2,FALSE),'Beállítások'!$B$84)))</f>
        <v/>
      </c>
      <c r="Z196">
        <f>IF($A196="","",IF('Ügyfelek'!Z196="",'Beállítások'!$B$84,VLOOKUP(MAX('Ügyfelek'!Z196,'Beállítások'!$Q$7),'Beállítások'!$Q$7:$R$12,2,TRUE)))</f>
        <v/>
      </c>
      <c r="AA196">
        <f>IF($A196="","",IF('Ügyfelek'!AA196="",'Beállítások'!$B$84,VLOOKUP(MAX('Ügyfelek'!AA196,'Beállítások'!$T$7),'Beállítások'!$T$7:$U$12,2,TRUE)))</f>
        <v/>
      </c>
      <c r="AB196">
        <f>IF($A196="","",IF('Ügyfelek'!AB196="",'Beállítások'!$B$84,MIN(10,MAX(1,ROUND('Ügyfelek'!AB196,0)))))</f>
        <v/>
      </c>
      <c r="AC196">
        <f>IF($A196="","",IF('Ügyfelek'!AC196="",'Beállítások'!$B$84,MIN(10,MAX(1,ROUND('Ügyfelek'!AC196,0)))))</f>
        <v/>
      </c>
      <c r="AD196">
        <f>IF($A196="","",IF('Ügyfelek'!AD196="",'Beállítások'!$B$84,MIN(10,MAX(1,ROUND('Ügyfelek'!AD196,0)))))</f>
        <v/>
      </c>
      <c r="AE196">
        <f>IF($A196="","",IF('Ügyfelek'!AE196="",'Beállítások'!$B$84,MIN(10,MAX(1,ROUND('Ügyfelek'!AE196,0)))))</f>
        <v/>
      </c>
      <c r="AF196">
        <f>IF($A196="","",IF('Ügyfelek'!AF196="",'Beállítások'!$B$84,MIN(10,MAX(1,ROUND('Ügyfelek'!AF196,0)))))</f>
        <v/>
      </c>
      <c r="AG196">
        <f>IF($A196="","",IF('Ügyfelek'!AG196="",'Beállítások'!$B$84,MIN(10,MAX(1,ROUND('Ügyfelek'!AG196,0)))))</f>
        <v/>
      </c>
      <c r="AH196">
        <f>IF($A196="","",IF('Ügyfelek'!AH196="",'Beállítások'!$B$84,IFERROR(VLOOKUP(TRIM('Ügyfelek'!AH196),'Beállítások'!$A$73:$B$79,2,FALSE),'Beállítások'!$B$84)))</f>
        <v/>
      </c>
      <c r="AI196" s="23">
        <f>IF($A196="","",ROUND(100*('Beállítások'!$E$6*(B196-1)+'Beállítások'!$E$7*(C196-1))/(9*'Beállítások'!$B$43),1))</f>
        <v/>
      </c>
      <c r="AJ196" s="23">
        <f>IF($A196="","",ROUND(100*('Beállítások'!$E$8*(D196-1)+'Beállítások'!$E$9*(E196-1)+'Beállítások'!$E$10*(F196-1)+'Beállítások'!$E$11*(G196-1)+'Beállítások'!$E$12*(H196-1)+'Beállítások'!$E$13*(I196-1)+'Beállítások'!$E$14*(J196-1)+'Beállítások'!$E$15*(K196-1)+'Beállítások'!$E$16*(L196-1)+'Beállítások'!$E$17*(M196-1)+'Beállítások'!$E$18*(N196-1)+'Beállítások'!$E$19*(O196-1)+'Beállítások'!$E$20*(P196-1)+'Beállítások'!$E$21*(Q196-1)+'Beállítások'!$E$22*(R196-1))/(9*'Beállítások'!$B$44),1))</f>
        <v/>
      </c>
      <c r="AK196" s="23">
        <f>IF($A196="","",ROUND(100*('Beállítások'!$E$23*(S196-1)+'Beállítások'!$E$24*(T196-1)+'Beállítások'!$E$25*(U196-1)+'Beállítások'!$E$26*(V196-1)+'Beállítások'!$E$27*(W196-1)+'Beállítások'!$E$28*(X196-1)+'Beállítások'!$E$29*(Y196-1))/(9*'Beállítások'!$B$45),1))</f>
        <v/>
      </c>
      <c r="AL196" s="23">
        <f>IF($A196="","",ROUND(100*('Beállítások'!$E$30*(Z196-1)+'Beállítások'!$E$31*(AA196-1)+'Beállítások'!$E$32*(AB196-1)+'Beállítások'!$E$33*(AC196-1)+'Beállítások'!$E$34*(AD196-1)+'Beállítások'!$E$35*(AE196-1)+'Beállítások'!$E$36*(AF196-1)+'Beállítások'!$E$37*(AG196-1)+'Beállítások'!$E$38*(AH196-1))/(9*'Beállítások'!$B$46),1))</f>
        <v/>
      </c>
      <c r="AM196" s="23">
        <f>IF($A196="","",ROUND(100*('Beállítások'!$E$6*(B196-1)+'Beállítások'!$E$7*(C196-1)+'Beállítások'!$E$8*(D196-1)+'Beállítások'!$E$9*(E196-1)+'Beállítások'!$E$10*(F196-1)+'Beállítások'!$E$11*(G196-1)+'Beállítások'!$E$12*(H196-1)+'Beállítások'!$E$13*(I196-1)+'Beállítások'!$E$14*(J196-1)+'Beállítások'!$E$15*(K196-1)+'Beállítások'!$E$16*(L196-1)+'Beállítások'!$E$17*(M196-1)+'Beállítások'!$E$18*(N196-1)+'Beállítások'!$E$19*(O196-1)+'Beállítások'!$E$20*(P196-1)+'Beállítások'!$E$21*(Q196-1)+'Beállítások'!$E$22*(R196-1)+'Beállítások'!$E$23*(S196-1)+'Beállítások'!$E$24*(T196-1)+'Beállítások'!$E$25*(U196-1)+'Beállítások'!$E$26*(V196-1)+'Beállítások'!$E$27*(W196-1)+'Beállítások'!$E$28*(X196-1)+'Beállítások'!$E$29*(Y196-1)+'Beállítások'!$E$30*(Z196-1)+'Beállítások'!$E$31*(AA196-1)+'Beállítások'!$E$32*(AB196-1)+'Beállítások'!$E$33*(AC196-1)+'Beállítások'!$E$34*(AD196-1)+'Beállítások'!$E$35*(AE196-1)+'Beállítások'!$E$36*(AF196-1)+'Beállítások'!$E$37*(AG196-1)+'Beállítások'!$E$38*(AH196-1))/(9*'Beállítások'!$E$39),1))</f>
        <v/>
      </c>
      <c r="AN196" s="23">
        <f>IF($A196="","",ROUND(100*('Beállítások'!$E$8*(D196-1)+'Beállítások'!$E$9*(E196-1)+'Beállítások'!$E$10*(F196-1)+'Beállítások'!$E$11*(G196-1)+'Beállítások'!$E$12*(H196-1)+'Beállítások'!$E$13*(I196-1)+'Beállítások'!$E$14*(J196-1)+'Beállítások'!$E$15*(K196-1)+'Beállítások'!$E$16*(L196-1)+'Beállítások'!$E$17*(M196-1)+'Beállítások'!$E$18*(N196-1)+'Beállítások'!$E$19*(O196-1)+'Beállítások'!$E$20*(P196-1)+'Beállítások'!$E$21*(Q196-1)+'Beállítások'!$E$22*(R196-1)+'Beállítások'!$E$23*(S196-1)+'Beállítások'!$E$24*(T196-1)+'Beállítások'!$E$25*(U196-1)+'Beállítások'!$E$26*(V196-1)+'Beállítások'!$E$27*(W196-1)+'Beállítások'!$E$28*(X196-1)+'Beállítások'!$E$29*(Y196-1))/(9*('Beállítások'!$B$44+'Beállítások'!$B$45)),1))</f>
        <v/>
      </c>
      <c r="AO196" s="24">
        <f>IF($A196="","",RANK(AM196,$AM$2:$AM$201))</f>
        <v/>
      </c>
      <c r="AP196">
        <f>IF($A196="","",IF(OR(AND('Ügyfelek'!B196&lt;&gt;"",B196&lt;='Beállítások'!$B$85),AND('Ügyfelek'!C196&lt;&gt;"",C196&lt;='Beállítások'!$B$86)),"Igen","Nem"))</f>
        <v/>
      </c>
      <c r="AQ196" s="24">
        <f>IF($A196="","",IF(AP196="Igen",5,IF(AN196&gt;='Beállítások'!$C$108,1,IF(AN196&gt;='Beállítások'!$C$109,2,IF(AN196&gt;='Beállítások'!$C$110,3,IF(AND(AN196&gt;='Beállítások'!$B$87,AI196&gt;='Beállítások'!$B$88,AL196&gt;='Beállítások'!$B$89),4,5))))))</f>
        <v/>
      </c>
      <c r="AR196">
        <f>IF($A196="","",INDEX('Beállítások'!$B$108:$B$112,AQ196))</f>
        <v/>
      </c>
      <c r="AS196">
        <f>IF($A196="","",IF(AQ196=5,"Elutasítjuk",IF(AND(AQ196=4,COUNTIFS('Eredmény'!$AQ$2:$AQ$201,4,'Eredmény'!$DY$2:$DY$201,"&gt;"&amp;DY196)&gt;='Beállítások'!$B$90),"Várólista (a 4-es hely foglalt)","Elfogadjuk")))</f>
        <v/>
      </c>
      <c r="AT196">
        <f>IF($A196="","",INDEX('Beállítások'!$F$108:$F$112,AQ196))</f>
        <v/>
      </c>
      <c r="AU196">
        <f>IF($A196="","",INDEX('Beállítások'!$B$6:$B$38,MATCH(MAX(BK196:CQ196),BK196:CQ196,0)))</f>
        <v/>
      </c>
      <c r="AV196">
        <f>IF($A196="","",IF(MAX(CR196:DX196)=0,"—",INDEX('Beállítások'!$B$6:$B$38,MATCH(MAX(CR196:DX196),CR196:DX196,0))))</f>
        <v/>
      </c>
      <c r="AW196" s="10">
        <f>IF($A196="","",'Beállítások'!$B$94*(TRIM('Ügyfelek'!AI196)="igen")+'Beállítások'!$B$95*(TRIM('Ügyfelek'!AJ196)="igen")+'Beállítások'!$B$96*N('Ügyfelek'!AK196)+'Beállítások'!$B$93*N('Ügyfelek'!AL196))</f>
        <v/>
      </c>
      <c r="AX196" s="25">
        <f>IF(OR($A196="",AQ196=5),"",INDEX('Beállítások'!$D$108:$D$112,AQ196))</f>
        <v/>
      </c>
      <c r="AY196" s="10">
        <f>IF($A196="","",N('Ügyfelek'!U196)*'Beállítások'!$B$98)</f>
        <v/>
      </c>
      <c r="AZ196" s="10">
        <f>IF(OR($A196="",AQ196=5),"",CEILING(ROUND(MAX('Beállítások'!$B$97,AW196*AX196,AY196),2),'Beállítások'!$B$99))</f>
        <v/>
      </c>
      <c r="BA196">
        <f>IF($A196="","",IF(AQ196=5,"Elutasítva",IF(MAX('Beállítások'!$B$97,AW196*AX196,AY196)=AW196*AX196,"Munkaigény × státuszszorzó",IF(MAX('Beállítások'!$B$97,AW196*AX196,AY196)=AY196,"Hirdetési keret arányában","Minimumdíj"))))</f>
        <v/>
      </c>
      <c r="BB196" s="10">
        <f>IF(OR($A196="",'Ügyfelek'!AM196=""),"",'Ügyfelek'!AM196)</f>
        <v/>
      </c>
      <c r="BC196" s="10">
        <f>IF(OR(BB196="",AZ196=""),"",AZ196-BB196)</f>
        <v/>
      </c>
      <c r="BD196" s="18">
        <f>IF(OR(BB196="",AZ196="",BB196=0),"",BC196/BB196)</f>
        <v/>
      </c>
      <c r="BE196">
        <f>IF(OR($A196="",AQ196=5),"",IF(AND(INDEX('Beállítások'!$E$108:$E$112,AQ196)&gt;0,Y196&gt;='Beállítások'!$B$91),"Igen","Nem"))</f>
        <v/>
      </c>
      <c r="BF196" s="10">
        <f>IF(BE196="Igen",CEILING(ROUND(AZ196*(1-'Beállítások'!$B$92),2),'Beállítások'!$B$99),"")</f>
        <v/>
      </c>
      <c r="BG196" s="20">
        <f>IF(BE196="Igen",INDEX('Beállítások'!$E$108:$E$112,AQ196),"")</f>
        <v/>
      </c>
      <c r="BH196" s="10">
        <f>IF(OR(BE196&lt;&gt;"Igen",'Ügyfelek'!AN196=""),"",'Ügyfelek'!AN196*BG196)</f>
        <v/>
      </c>
      <c r="BI196" s="24">
        <f>IF($A196="","",('Ügyfelek'!B196="")+('Ügyfelek'!C196="")+('Ügyfelek'!D196="")+('Ügyfelek'!E196="")+('Ügyfelek'!F196="")+('Ügyfelek'!G196="")+('Ügyfelek'!H196="")+('Ügyfelek'!I196="")+('Ügyfelek'!J196="")+('Ügyfelek'!K196="")+('Ügyfelek'!L196="")+('Ügyfelek'!M196="")+('Ügyfelek'!N196="")+('Ügyfelek'!O196="")+('Ügyfelek'!P196="")+('Ügyfelek'!Q196="")+('Ügyfelek'!R196="")+('Ügyfelek'!S196="")+('Ügyfelek'!T196="")+('Ügyfelek'!U196="")+('Ügyfelek'!V196="")+('Ügyfelek'!W196="")+('Ügyfelek'!X196="")+('Ügyfelek'!Y196="")+('Ügyfelek'!Z196="")+('Ügyfelek'!AA196="")+('Ügyfelek'!AB196="")+('Ügyfelek'!AC196="")+('Ügyfelek'!AD196="")+('Ügyfelek'!AE196="")+('Ügyfelek'!AF196="")+('Ügyfelek'!AG196="")+('Ügyfelek'!AH196=""))</f>
        <v/>
      </c>
      <c r="BK196">
        <f>IF($A196="","",B196+'Beállítások'!$E$6/1000)</f>
        <v/>
      </c>
      <c r="BL196">
        <f>IF($A196="","",C196+'Beállítások'!$E$7/1000)</f>
        <v/>
      </c>
      <c r="BM196">
        <f>IF($A196="","",D196+'Beállítások'!$E$8/1000)</f>
        <v/>
      </c>
      <c r="BN196">
        <f>IF($A196="","",E196+'Beállítások'!$E$9/1000)</f>
        <v/>
      </c>
      <c r="BO196">
        <f>IF($A196="","",F196+'Beállítások'!$E$10/1000)</f>
        <v/>
      </c>
      <c r="BP196">
        <f>IF($A196="","",G196+'Beállítások'!$E$11/1000)</f>
        <v/>
      </c>
      <c r="BQ196">
        <f>IF($A196="","",H196+'Beállítások'!$E$12/1000)</f>
        <v/>
      </c>
      <c r="BR196">
        <f>IF($A196="","",I196+'Beállítások'!$E$13/1000)</f>
        <v/>
      </c>
      <c r="BS196">
        <f>IF($A196="","",J196+'Beállítások'!$E$14/1000)</f>
        <v/>
      </c>
      <c r="BT196">
        <f>IF($A196="","",K196+'Beállítások'!$E$15/1000)</f>
        <v/>
      </c>
      <c r="BU196">
        <f>IF($A196="","",L196+'Beállítások'!$E$16/1000)</f>
        <v/>
      </c>
      <c r="BV196">
        <f>IF($A196="","",M196+'Beállítások'!$E$17/1000)</f>
        <v/>
      </c>
      <c r="BW196">
        <f>IF($A196="","",N196+'Beállítások'!$E$18/1000)</f>
        <v/>
      </c>
      <c r="BX196">
        <f>IF($A196="","",O196+'Beállítások'!$E$19/1000)</f>
        <v/>
      </c>
      <c r="BY196">
        <f>IF($A196="","",P196+'Beállítások'!$E$20/1000)</f>
        <v/>
      </c>
      <c r="BZ196">
        <f>IF($A196="","",Q196+'Beállítások'!$E$21/1000)</f>
        <v/>
      </c>
      <c r="CA196">
        <f>IF($A196="","",R196+'Beállítások'!$E$22/1000)</f>
        <v/>
      </c>
      <c r="CB196">
        <f>IF($A196="","",S196+'Beállítások'!$E$23/1000)</f>
        <v/>
      </c>
      <c r="CC196">
        <f>IF($A196="","",T196+'Beállítások'!$E$24/1000)</f>
        <v/>
      </c>
      <c r="CD196">
        <f>IF($A196="","",U196+'Beállítások'!$E$25/1000)</f>
        <v/>
      </c>
      <c r="CE196">
        <f>IF($A196="","",V196+'Beállítások'!$E$26/1000)</f>
        <v/>
      </c>
      <c r="CF196">
        <f>IF($A196="","",W196+'Beállítások'!$E$27/1000)</f>
        <v/>
      </c>
      <c r="CG196">
        <f>IF($A196="","",X196+'Beállítások'!$E$28/1000)</f>
        <v/>
      </c>
      <c r="CH196">
        <f>IF($A196="","",Y196+'Beállítások'!$E$29/1000)</f>
        <v/>
      </c>
      <c r="CI196">
        <f>IF($A196="","",Z196+'Beállítások'!$E$30/1000)</f>
        <v/>
      </c>
      <c r="CJ196">
        <f>IF($A196="","",AA196+'Beállítások'!$E$31/1000)</f>
        <v/>
      </c>
      <c r="CK196">
        <f>IF($A196="","",AB196+'Beállítások'!$E$32/1000)</f>
        <v/>
      </c>
      <c r="CL196">
        <f>IF($A196="","",AC196+'Beállítások'!$E$33/1000)</f>
        <v/>
      </c>
      <c r="CM196">
        <f>IF($A196="","",AD196+'Beállítások'!$E$34/1000)</f>
        <v/>
      </c>
      <c r="CN196">
        <f>IF($A196="","",AE196+'Beállítások'!$E$35/1000)</f>
        <v/>
      </c>
      <c r="CO196">
        <f>IF($A196="","",AF196+'Beállítások'!$E$36/1000)</f>
        <v/>
      </c>
      <c r="CP196">
        <f>IF($A196="","",AG196+'Beállítások'!$E$37/1000)</f>
        <v/>
      </c>
      <c r="CQ196">
        <f>IF($A196="","",AH196+'Beállítások'!$E$38/1000)</f>
        <v/>
      </c>
      <c r="CR196">
        <f>IF($A196="","",'Beállítások'!$E$6*(10-B196))</f>
        <v/>
      </c>
      <c r="CS196">
        <f>IF($A196="","",'Beállítások'!$E$7*(10-C196))</f>
        <v/>
      </c>
      <c r="CT196">
        <f>IF($A196="","",'Beállítások'!$E$8*(10-D196))</f>
        <v/>
      </c>
      <c r="CU196">
        <f>IF($A196="","",'Beállítások'!$E$9*(10-E196))</f>
        <v/>
      </c>
      <c r="CV196">
        <f>IF($A196="","",'Beállítások'!$E$10*(10-F196))</f>
        <v/>
      </c>
      <c r="CW196">
        <f>IF($A196="","",'Beállítások'!$E$11*(10-G196))</f>
        <v/>
      </c>
      <c r="CX196">
        <f>IF($A196="","",'Beállítások'!$E$12*(10-H196))</f>
        <v/>
      </c>
      <c r="CY196">
        <f>IF($A196="","",'Beállítások'!$E$13*(10-I196))</f>
        <v/>
      </c>
      <c r="CZ196">
        <f>IF($A196="","",'Beállítások'!$E$14*(10-J196))</f>
        <v/>
      </c>
      <c r="DA196">
        <f>IF($A196="","",'Beállítások'!$E$15*(10-K196))</f>
        <v/>
      </c>
      <c r="DB196">
        <f>IF($A196="","",'Beállítások'!$E$16*(10-L196))</f>
        <v/>
      </c>
      <c r="DC196">
        <f>IF($A196="","",'Beállítások'!$E$17*(10-M196))</f>
        <v/>
      </c>
      <c r="DD196">
        <f>IF($A196="","",'Beállítások'!$E$18*(10-N196))</f>
        <v/>
      </c>
      <c r="DE196">
        <f>IF($A196="","",'Beállítások'!$E$19*(10-O196))</f>
        <v/>
      </c>
      <c r="DF196">
        <f>IF($A196="","",'Beállítások'!$E$20*(10-P196))</f>
        <v/>
      </c>
      <c r="DG196">
        <f>IF($A196="","",'Beállítások'!$E$21*(10-Q196))</f>
        <v/>
      </c>
      <c r="DH196">
        <f>IF($A196="","",'Beállítások'!$E$22*(10-R196))</f>
        <v/>
      </c>
      <c r="DI196">
        <f>IF($A196="","",'Beállítások'!$E$23*(10-S196))</f>
        <v/>
      </c>
      <c r="DJ196">
        <f>IF($A196="","",'Beállítások'!$E$24*(10-T196))</f>
        <v/>
      </c>
      <c r="DK196">
        <f>IF($A196="","",'Beállítások'!$E$25*(10-U196))</f>
        <v/>
      </c>
      <c r="DL196">
        <f>IF($A196="","",'Beállítások'!$E$26*(10-V196))</f>
        <v/>
      </c>
      <c r="DM196">
        <f>IF($A196="","",'Beállítások'!$E$27*(10-W196))</f>
        <v/>
      </c>
      <c r="DN196">
        <f>IF($A196="","",'Beállítások'!$E$28*(10-X196))</f>
        <v/>
      </c>
      <c r="DO196">
        <f>IF($A196="","",'Beállítások'!$E$29*(10-Y196))</f>
        <v/>
      </c>
      <c r="DP196">
        <f>IF($A196="","",'Beállítások'!$E$30*(10-Z196))</f>
        <v/>
      </c>
      <c r="DQ196">
        <f>IF($A196="","",'Beállítások'!$E$31*(10-AA196))</f>
        <v/>
      </c>
      <c r="DR196">
        <f>IF($A196="","",'Beállítások'!$E$32*(10-AB196))</f>
        <v/>
      </c>
      <c r="DS196">
        <f>IF($A196="","",'Beállítások'!$E$33*(10-AC196))</f>
        <v/>
      </c>
      <c r="DT196">
        <f>IF($A196="","",'Beállítások'!$E$34*(10-AD196))</f>
        <v/>
      </c>
      <c r="DU196">
        <f>IF($A196="","",'Beállítások'!$E$35*(10-AE196))</f>
        <v/>
      </c>
      <c r="DV196">
        <f>IF($A196="","",'Beállítások'!$E$36*(10-AF196))</f>
        <v/>
      </c>
      <c r="DW196">
        <f>IF($A196="","",'Beállítások'!$E$37*(10-AG196))</f>
        <v/>
      </c>
      <c r="DX196">
        <f>IF($A196="","",'Beállítások'!$E$38*(10-AH196))</f>
        <v/>
      </c>
      <c r="DY196">
        <f>IF($A196="","",AM196-ROW()/100000)</f>
        <v/>
      </c>
    </row>
    <row r="197">
      <c r="A197">
        <f>IF('Ügyfelek'!A197="","",'Ügyfelek'!A197)</f>
        <v/>
      </c>
      <c r="B197">
        <f>IF($A197="","",IF('Ügyfelek'!B197="",'Beállítások'!$B$84,IFERROR(VLOOKUP(TRIM('Ügyfelek'!B197),'Beállítások'!$A$51:$B$59,2,FALSE),'Beállítások'!$B$84)))</f>
        <v/>
      </c>
      <c r="C197">
        <f>IF($A197="","",IF('Ügyfelek'!C197="",'Beállítások'!$B$84,MIN(10,MAX(1,ROUND('Ügyfelek'!C197,0)))))</f>
        <v/>
      </c>
      <c r="D197">
        <f>IF($A197="","",IF('Ügyfelek'!D197="",'Beállítások'!$B$84,MIN(10,MAX(1,ROUND('Ügyfelek'!D197,0)))))</f>
        <v/>
      </c>
      <c r="E197">
        <f>IF($A197="","",IF('Ügyfelek'!E197="",'Beállítások'!$B$84,MIN(10,MAX(1,ROUND('Ügyfelek'!E197,0)))))</f>
        <v/>
      </c>
      <c r="F197">
        <f>IF($A197="","",IF('Ügyfelek'!F197="",'Beállítások'!$B$84,MIN(10,MAX(1,ROUND('Ügyfelek'!F197,0)))))</f>
        <v/>
      </c>
      <c r="G197">
        <f>IF($A197="","",IF('Ügyfelek'!G197="",'Beállítások'!$B$84,MIN(10,MAX(1,ROUND('Ügyfelek'!G197,0)))))</f>
        <v/>
      </c>
      <c r="H197">
        <f>IF($A197="","",IF('Ügyfelek'!H197="",'Beállítások'!$B$84,MIN(10,MAX(1,ROUND('Ügyfelek'!H197,0)))))</f>
        <v/>
      </c>
      <c r="I197">
        <f>IF($A197="","",IF('Ügyfelek'!I197="",'Beállítások'!$B$84,MIN(10,MAX(1,ROUND('Ügyfelek'!I197,0)))))</f>
        <v/>
      </c>
      <c r="J197">
        <f>IF($A197="","",IF('Ügyfelek'!J197="",'Beállítások'!$B$84,MIN(10,MAX(1,ROUND('Ügyfelek'!J197,0)))))</f>
        <v/>
      </c>
      <c r="K197">
        <f>IF($A197="","",IF('Ügyfelek'!K197="",'Beállítások'!$B$84,MIN(10,MAX(1,ROUND('Ügyfelek'!K197,0)))))</f>
        <v/>
      </c>
      <c r="L197">
        <f>IF($A197="","",IF('Ügyfelek'!L197="",'Beállítások'!$B$84,MIN(10,MAX(1,ROUND('Ügyfelek'!L197,0)))))</f>
        <v/>
      </c>
      <c r="M197">
        <f>IF($A197="","",IF('Ügyfelek'!M197="",'Beállítások'!$B$84,MIN(10,MAX(1,ROUND('Ügyfelek'!M197,0)))))</f>
        <v/>
      </c>
      <c r="N197">
        <f>IF($A197="","",IF('Ügyfelek'!N197="",'Beállítások'!$B$84,MIN(10,MAX(1,ROUND('Ügyfelek'!N197,0)))))</f>
        <v/>
      </c>
      <c r="O197">
        <f>IF($A197="","",IF('Ügyfelek'!O197="",'Beállítások'!$B$84,MIN(10,MAX(1,ROUND('Ügyfelek'!O197,0)))))</f>
        <v/>
      </c>
      <c r="P197">
        <f>IF($A197="","",IF('Ügyfelek'!P197="",'Beállítások'!$B$84,MIN(10,MAX(1,ROUND('Ügyfelek'!P197,0)))))</f>
        <v/>
      </c>
      <c r="Q197">
        <f>IF($A197="","",IF('Ügyfelek'!Q197="",'Beállítások'!$B$84,MIN(10,MAX(1,ROUND('Ügyfelek'!Q197,0)))))</f>
        <v/>
      </c>
      <c r="R197">
        <f>IF($A197="","",IF('Ügyfelek'!R197="",'Beállítások'!$B$84,MIN(10,MAX(1,ROUND('Ügyfelek'!R197,0)))))</f>
        <v/>
      </c>
      <c r="S197">
        <f>IF($A197="","",IF('Ügyfelek'!S197="",'Beállítások'!$B$84,MIN(10,MAX(1,ROUND('Ügyfelek'!S197,0)))))</f>
        <v/>
      </c>
      <c r="T197">
        <f>IF($A197="","",IF('Ügyfelek'!T197="",'Beállítások'!$B$84,VLOOKUP(MAX('Ügyfelek'!T197,'Beállítások'!$H$7),'Beállítások'!$H$7:$I$12,2,TRUE)))</f>
        <v/>
      </c>
      <c r="U197">
        <f>IF($A197="","",IF('Ügyfelek'!U197="",'Beállítások'!$B$84,VLOOKUP(MAX('Ügyfelek'!U197,'Beállítások'!$K$7),'Beállítások'!$K$7:$L$12,2,TRUE)))</f>
        <v/>
      </c>
      <c r="V197">
        <f>IF($A197="","",IF('Ügyfelek'!V197="",'Beállítások'!$B$84,MIN(10,MAX(1,ROUND('Ügyfelek'!V197,0)))))</f>
        <v/>
      </c>
      <c r="W197">
        <f>IF($A197="","",IF('Ügyfelek'!W197="",'Beállítások'!$B$84,VLOOKUP(MAX('Ügyfelek'!W197,'Beállítások'!$N$7),'Beállítások'!$N$7:$O$12,2,TRUE)))</f>
        <v/>
      </c>
      <c r="X197">
        <f>IF($A197="","",IF('Ügyfelek'!X197="",'Beállítások'!$B$84,MIN(10,MAX(1,ROUND('Ügyfelek'!X197,0)))))</f>
        <v/>
      </c>
      <c r="Y197">
        <f>IF($A197="","",IF('Ügyfelek'!Y197="",'Beállítások'!$B$84,IFERROR(VLOOKUP(TRIM('Ügyfelek'!Y197),'Beállítások'!$A$63:$B$69,2,FALSE),'Beállítások'!$B$84)))</f>
        <v/>
      </c>
      <c r="Z197">
        <f>IF($A197="","",IF('Ügyfelek'!Z197="",'Beállítások'!$B$84,VLOOKUP(MAX('Ügyfelek'!Z197,'Beállítások'!$Q$7),'Beállítások'!$Q$7:$R$12,2,TRUE)))</f>
        <v/>
      </c>
      <c r="AA197">
        <f>IF($A197="","",IF('Ügyfelek'!AA197="",'Beállítások'!$B$84,VLOOKUP(MAX('Ügyfelek'!AA197,'Beállítások'!$T$7),'Beállítások'!$T$7:$U$12,2,TRUE)))</f>
        <v/>
      </c>
      <c r="AB197">
        <f>IF($A197="","",IF('Ügyfelek'!AB197="",'Beállítások'!$B$84,MIN(10,MAX(1,ROUND('Ügyfelek'!AB197,0)))))</f>
        <v/>
      </c>
      <c r="AC197">
        <f>IF($A197="","",IF('Ügyfelek'!AC197="",'Beállítások'!$B$84,MIN(10,MAX(1,ROUND('Ügyfelek'!AC197,0)))))</f>
        <v/>
      </c>
      <c r="AD197">
        <f>IF($A197="","",IF('Ügyfelek'!AD197="",'Beállítások'!$B$84,MIN(10,MAX(1,ROUND('Ügyfelek'!AD197,0)))))</f>
        <v/>
      </c>
      <c r="AE197">
        <f>IF($A197="","",IF('Ügyfelek'!AE197="",'Beállítások'!$B$84,MIN(10,MAX(1,ROUND('Ügyfelek'!AE197,0)))))</f>
        <v/>
      </c>
      <c r="AF197">
        <f>IF($A197="","",IF('Ügyfelek'!AF197="",'Beállítások'!$B$84,MIN(10,MAX(1,ROUND('Ügyfelek'!AF197,0)))))</f>
        <v/>
      </c>
      <c r="AG197">
        <f>IF($A197="","",IF('Ügyfelek'!AG197="",'Beállítások'!$B$84,MIN(10,MAX(1,ROUND('Ügyfelek'!AG197,0)))))</f>
        <v/>
      </c>
      <c r="AH197">
        <f>IF($A197="","",IF('Ügyfelek'!AH197="",'Beállítások'!$B$84,IFERROR(VLOOKUP(TRIM('Ügyfelek'!AH197),'Beállítások'!$A$73:$B$79,2,FALSE),'Beállítások'!$B$84)))</f>
        <v/>
      </c>
      <c r="AI197" s="23">
        <f>IF($A197="","",ROUND(100*('Beállítások'!$E$6*(B197-1)+'Beállítások'!$E$7*(C197-1))/(9*'Beállítások'!$B$43),1))</f>
        <v/>
      </c>
      <c r="AJ197" s="23">
        <f>IF($A197="","",ROUND(100*('Beállítások'!$E$8*(D197-1)+'Beállítások'!$E$9*(E197-1)+'Beállítások'!$E$10*(F197-1)+'Beállítások'!$E$11*(G197-1)+'Beállítások'!$E$12*(H197-1)+'Beállítások'!$E$13*(I197-1)+'Beállítások'!$E$14*(J197-1)+'Beállítások'!$E$15*(K197-1)+'Beállítások'!$E$16*(L197-1)+'Beállítások'!$E$17*(M197-1)+'Beállítások'!$E$18*(N197-1)+'Beállítások'!$E$19*(O197-1)+'Beállítások'!$E$20*(P197-1)+'Beállítások'!$E$21*(Q197-1)+'Beállítások'!$E$22*(R197-1))/(9*'Beállítások'!$B$44),1))</f>
        <v/>
      </c>
      <c r="AK197" s="23">
        <f>IF($A197="","",ROUND(100*('Beállítások'!$E$23*(S197-1)+'Beállítások'!$E$24*(T197-1)+'Beállítások'!$E$25*(U197-1)+'Beállítások'!$E$26*(V197-1)+'Beállítások'!$E$27*(W197-1)+'Beállítások'!$E$28*(X197-1)+'Beállítások'!$E$29*(Y197-1))/(9*'Beállítások'!$B$45),1))</f>
        <v/>
      </c>
      <c r="AL197" s="23">
        <f>IF($A197="","",ROUND(100*('Beállítások'!$E$30*(Z197-1)+'Beállítások'!$E$31*(AA197-1)+'Beállítások'!$E$32*(AB197-1)+'Beállítások'!$E$33*(AC197-1)+'Beállítások'!$E$34*(AD197-1)+'Beállítások'!$E$35*(AE197-1)+'Beállítások'!$E$36*(AF197-1)+'Beállítások'!$E$37*(AG197-1)+'Beállítások'!$E$38*(AH197-1))/(9*'Beállítások'!$B$46),1))</f>
        <v/>
      </c>
      <c r="AM197" s="23">
        <f>IF($A197="","",ROUND(100*('Beállítások'!$E$6*(B197-1)+'Beállítások'!$E$7*(C197-1)+'Beállítások'!$E$8*(D197-1)+'Beállítások'!$E$9*(E197-1)+'Beállítások'!$E$10*(F197-1)+'Beállítások'!$E$11*(G197-1)+'Beállítások'!$E$12*(H197-1)+'Beállítások'!$E$13*(I197-1)+'Beállítások'!$E$14*(J197-1)+'Beállítások'!$E$15*(K197-1)+'Beállítások'!$E$16*(L197-1)+'Beállítások'!$E$17*(M197-1)+'Beállítások'!$E$18*(N197-1)+'Beállítások'!$E$19*(O197-1)+'Beállítások'!$E$20*(P197-1)+'Beállítások'!$E$21*(Q197-1)+'Beállítások'!$E$22*(R197-1)+'Beállítások'!$E$23*(S197-1)+'Beállítások'!$E$24*(T197-1)+'Beállítások'!$E$25*(U197-1)+'Beállítások'!$E$26*(V197-1)+'Beállítások'!$E$27*(W197-1)+'Beállítások'!$E$28*(X197-1)+'Beállítások'!$E$29*(Y197-1)+'Beállítások'!$E$30*(Z197-1)+'Beállítások'!$E$31*(AA197-1)+'Beállítások'!$E$32*(AB197-1)+'Beállítások'!$E$33*(AC197-1)+'Beállítások'!$E$34*(AD197-1)+'Beállítások'!$E$35*(AE197-1)+'Beállítások'!$E$36*(AF197-1)+'Beállítások'!$E$37*(AG197-1)+'Beállítások'!$E$38*(AH197-1))/(9*'Beállítások'!$E$39),1))</f>
        <v/>
      </c>
      <c r="AN197" s="23">
        <f>IF($A197="","",ROUND(100*('Beállítások'!$E$8*(D197-1)+'Beállítások'!$E$9*(E197-1)+'Beállítások'!$E$10*(F197-1)+'Beállítások'!$E$11*(G197-1)+'Beállítások'!$E$12*(H197-1)+'Beállítások'!$E$13*(I197-1)+'Beállítások'!$E$14*(J197-1)+'Beállítások'!$E$15*(K197-1)+'Beállítások'!$E$16*(L197-1)+'Beállítások'!$E$17*(M197-1)+'Beállítások'!$E$18*(N197-1)+'Beállítások'!$E$19*(O197-1)+'Beállítások'!$E$20*(P197-1)+'Beállítások'!$E$21*(Q197-1)+'Beállítások'!$E$22*(R197-1)+'Beállítások'!$E$23*(S197-1)+'Beállítások'!$E$24*(T197-1)+'Beállítások'!$E$25*(U197-1)+'Beállítások'!$E$26*(V197-1)+'Beállítások'!$E$27*(W197-1)+'Beállítások'!$E$28*(X197-1)+'Beállítások'!$E$29*(Y197-1))/(9*('Beállítások'!$B$44+'Beállítások'!$B$45)),1))</f>
        <v/>
      </c>
      <c r="AO197" s="24">
        <f>IF($A197="","",RANK(AM197,$AM$2:$AM$201))</f>
        <v/>
      </c>
      <c r="AP197">
        <f>IF($A197="","",IF(OR(AND('Ügyfelek'!B197&lt;&gt;"",B197&lt;='Beállítások'!$B$85),AND('Ügyfelek'!C197&lt;&gt;"",C197&lt;='Beállítások'!$B$86)),"Igen","Nem"))</f>
        <v/>
      </c>
      <c r="AQ197" s="24">
        <f>IF($A197="","",IF(AP197="Igen",5,IF(AN197&gt;='Beállítások'!$C$108,1,IF(AN197&gt;='Beállítások'!$C$109,2,IF(AN197&gt;='Beállítások'!$C$110,3,IF(AND(AN197&gt;='Beállítások'!$B$87,AI197&gt;='Beállítások'!$B$88,AL197&gt;='Beállítások'!$B$89),4,5))))))</f>
        <v/>
      </c>
      <c r="AR197">
        <f>IF($A197="","",INDEX('Beállítások'!$B$108:$B$112,AQ197))</f>
        <v/>
      </c>
      <c r="AS197">
        <f>IF($A197="","",IF(AQ197=5,"Elutasítjuk",IF(AND(AQ197=4,COUNTIFS('Eredmény'!$AQ$2:$AQ$201,4,'Eredmény'!$DY$2:$DY$201,"&gt;"&amp;DY197)&gt;='Beállítások'!$B$90),"Várólista (a 4-es hely foglalt)","Elfogadjuk")))</f>
        <v/>
      </c>
      <c r="AT197">
        <f>IF($A197="","",INDEX('Beállítások'!$F$108:$F$112,AQ197))</f>
        <v/>
      </c>
      <c r="AU197">
        <f>IF($A197="","",INDEX('Beállítások'!$B$6:$B$38,MATCH(MAX(BK197:CQ197),BK197:CQ197,0)))</f>
        <v/>
      </c>
      <c r="AV197">
        <f>IF($A197="","",IF(MAX(CR197:DX197)=0,"—",INDEX('Beállítások'!$B$6:$B$38,MATCH(MAX(CR197:DX197),CR197:DX197,0))))</f>
        <v/>
      </c>
      <c r="AW197" s="10">
        <f>IF($A197="","",'Beállítások'!$B$94*(TRIM('Ügyfelek'!AI197)="igen")+'Beállítások'!$B$95*(TRIM('Ügyfelek'!AJ197)="igen")+'Beállítások'!$B$96*N('Ügyfelek'!AK197)+'Beállítások'!$B$93*N('Ügyfelek'!AL197))</f>
        <v/>
      </c>
      <c r="AX197" s="25">
        <f>IF(OR($A197="",AQ197=5),"",INDEX('Beállítások'!$D$108:$D$112,AQ197))</f>
        <v/>
      </c>
      <c r="AY197" s="10">
        <f>IF($A197="","",N('Ügyfelek'!U197)*'Beállítások'!$B$98)</f>
        <v/>
      </c>
      <c r="AZ197" s="10">
        <f>IF(OR($A197="",AQ197=5),"",CEILING(ROUND(MAX('Beállítások'!$B$97,AW197*AX197,AY197),2),'Beállítások'!$B$99))</f>
        <v/>
      </c>
      <c r="BA197">
        <f>IF($A197="","",IF(AQ197=5,"Elutasítva",IF(MAX('Beállítások'!$B$97,AW197*AX197,AY197)=AW197*AX197,"Munkaigény × státuszszorzó",IF(MAX('Beállítások'!$B$97,AW197*AX197,AY197)=AY197,"Hirdetési keret arányában","Minimumdíj"))))</f>
        <v/>
      </c>
      <c r="BB197" s="10">
        <f>IF(OR($A197="",'Ügyfelek'!AM197=""),"",'Ügyfelek'!AM197)</f>
        <v/>
      </c>
      <c r="BC197" s="10">
        <f>IF(OR(BB197="",AZ197=""),"",AZ197-BB197)</f>
        <v/>
      </c>
      <c r="BD197" s="18">
        <f>IF(OR(BB197="",AZ197="",BB197=0),"",BC197/BB197)</f>
        <v/>
      </c>
      <c r="BE197">
        <f>IF(OR($A197="",AQ197=5),"",IF(AND(INDEX('Beállítások'!$E$108:$E$112,AQ197)&gt;0,Y197&gt;='Beállítások'!$B$91),"Igen","Nem"))</f>
        <v/>
      </c>
      <c r="BF197" s="10">
        <f>IF(BE197="Igen",CEILING(ROUND(AZ197*(1-'Beállítások'!$B$92),2),'Beállítások'!$B$99),"")</f>
        <v/>
      </c>
      <c r="BG197" s="20">
        <f>IF(BE197="Igen",INDEX('Beállítások'!$E$108:$E$112,AQ197),"")</f>
        <v/>
      </c>
      <c r="BH197" s="10">
        <f>IF(OR(BE197&lt;&gt;"Igen",'Ügyfelek'!AN197=""),"",'Ügyfelek'!AN197*BG197)</f>
        <v/>
      </c>
      <c r="BI197" s="24">
        <f>IF($A197="","",('Ügyfelek'!B197="")+('Ügyfelek'!C197="")+('Ügyfelek'!D197="")+('Ügyfelek'!E197="")+('Ügyfelek'!F197="")+('Ügyfelek'!G197="")+('Ügyfelek'!H197="")+('Ügyfelek'!I197="")+('Ügyfelek'!J197="")+('Ügyfelek'!K197="")+('Ügyfelek'!L197="")+('Ügyfelek'!M197="")+('Ügyfelek'!N197="")+('Ügyfelek'!O197="")+('Ügyfelek'!P197="")+('Ügyfelek'!Q197="")+('Ügyfelek'!R197="")+('Ügyfelek'!S197="")+('Ügyfelek'!T197="")+('Ügyfelek'!U197="")+('Ügyfelek'!V197="")+('Ügyfelek'!W197="")+('Ügyfelek'!X197="")+('Ügyfelek'!Y197="")+('Ügyfelek'!Z197="")+('Ügyfelek'!AA197="")+('Ügyfelek'!AB197="")+('Ügyfelek'!AC197="")+('Ügyfelek'!AD197="")+('Ügyfelek'!AE197="")+('Ügyfelek'!AF197="")+('Ügyfelek'!AG197="")+('Ügyfelek'!AH197=""))</f>
        <v/>
      </c>
      <c r="BK197">
        <f>IF($A197="","",B197+'Beállítások'!$E$6/1000)</f>
        <v/>
      </c>
      <c r="BL197">
        <f>IF($A197="","",C197+'Beállítások'!$E$7/1000)</f>
        <v/>
      </c>
      <c r="BM197">
        <f>IF($A197="","",D197+'Beállítások'!$E$8/1000)</f>
        <v/>
      </c>
      <c r="BN197">
        <f>IF($A197="","",E197+'Beállítások'!$E$9/1000)</f>
        <v/>
      </c>
      <c r="BO197">
        <f>IF($A197="","",F197+'Beállítások'!$E$10/1000)</f>
        <v/>
      </c>
      <c r="BP197">
        <f>IF($A197="","",G197+'Beállítások'!$E$11/1000)</f>
        <v/>
      </c>
      <c r="BQ197">
        <f>IF($A197="","",H197+'Beállítások'!$E$12/1000)</f>
        <v/>
      </c>
      <c r="BR197">
        <f>IF($A197="","",I197+'Beállítások'!$E$13/1000)</f>
        <v/>
      </c>
      <c r="BS197">
        <f>IF($A197="","",J197+'Beállítások'!$E$14/1000)</f>
        <v/>
      </c>
      <c r="BT197">
        <f>IF($A197="","",K197+'Beállítások'!$E$15/1000)</f>
        <v/>
      </c>
      <c r="BU197">
        <f>IF($A197="","",L197+'Beállítások'!$E$16/1000)</f>
        <v/>
      </c>
      <c r="BV197">
        <f>IF($A197="","",M197+'Beállítások'!$E$17/1000)</f>
        <v/>
      </c>
      <c r="BW197">
        <f>IF($A197="","",N197+'Beállítások'!$E$18/1000)</f>
        <v/>
      </c>
      <c r="BX197">
        <f>IF($A197="","",O197+'Beállítások'!$E$19/1000)</f>
        <v/>
      </c>
      <c r="BY197">
        <f>IF($A197="","",P197+'Beállítások'!$E$20/1000)</f>
        <v/>
      </c>
      <c r="BZ197">
        <f>IF($A197="","",Q197+'Beállítások'!$E$21/1000)</f>
        <v/>
      </c>
      <c r="CA197">
        <f>IF($A197="","",R197+'Beállítások'!$E$22/1000)</f>
        <v/>
      </c>
      <c r="CB197">
        <f>IF($A197="","",S197+'Beállítások'!$E$23/1000)</f>
        <v/>
      </c>
      <c r="CC197">
        <f>IF($A197="","",T197+'Beállítások'!$E$24/1000)</f>
        <v/>
      </c>
      <c r="CD197">
        <f>IF($A197="","",U197+'Beállítások'!$E$25/1000)</f>
        <v/>
      </c>
      <c r="CE197">
        <f>IF($A197="","",V197+'Beállítások'!$E$26/1000)</f>
        <v/>
      </c>
      <c r="CF197">
        <f>IF($A197="","",W197+'Beállítások'!$E$27/1000)</f>
        <v/>
      </c>
      <c r="CG197">
        <f>IF($A197="","",X197+'Beállítások'!$E$28/1000)</f>
        <v/>
      </c>
      <c r="CH197">
        <f>IF($A197="","",Y197+'Beállítások'!$E$29/1000)</f>
        <v/>
      </c>
      <c r="CI197">
        <f>IF($A197="","",Z197+'Beállítások'!$E$30/1000)</f>
        <v/>
      </c>
      <c r="CJ197">
        <f>IF($A197="","",AA197+'Beállítások'!$E$31/1000)</f>
        <v/>
      </c>
      <c r="CK197">
        <f>IF($A197="","",AB197+'Beállítások'!$E$32/1000)</f>
        <v/>
      </c>
      <c r="CL197">
        <f>IF($A197="","",AC197+'Beállítások'!$E$33/1000)</f>
        <v/>
      </c>
      <c r="CM197">
        <f>IF($A197="","",AD197+'Beállítások'!$E$34/1000)</f>
        <v/>
      </c>
      <c r="CN197">
        <f>IF($A197="","",AE197+'Beállítások'!$E$35/1000)</f>
        <v/>
      </c>
      <c r="CO197">
        <f>IF($A197="","",AF197+'Beállítások'!$E$36/1000)</f>
        <v/>
      </c>
      <c r="CP197">
        <f>IF($A197="","",AG197+'Beállítások'!$E$37/1000)</f>
        <v/>
      </c>
      <c r="CQ197">
        <f>IF($A197="","",AH197+'Beállítások'!$E$38/1000)</f>
        <v/>
      </c>
      <c r="CR197">
        <f>IF($A197="","",'Beállítások'!$E$6*(10-B197))</f>
        <v/>
      </c>
      <c r="CS197">
        <f>IF($A197="","",'Beállítások'!$E$7*(10-C197))</f>
        <v/>
      </c>
      <c r="CT197">
        <f>IF($A197="","",'Beállítások'!$E$8*(10-D197))</f>
        <v/>
      </c>
      <c r="CU197">
        <f>IF($A197="","",'Beállítások'!$E$9*(10-E197))</f>
        <v/>
      </c>
      <c r="CV197">
        <f>IF($A197="","",'Beállítások'!$E$10*(10-F197))</f>
        <v/>
      </c>
      <c r="CW197">
        <f>IF($A197="","",'Beállítások'!$E$11*(10-G197))</f>
        <v/>
      </c>
      <c r="CX197">
        <f>IF($A197="","",'Beállítások'!$E$12*(10-H197))</f>
        <v/>
      </c>
      <c r="CY197">
        <f>IF($A197="","",'Beállítások'!$E$13*(10-I197))</f>
        <v/>
      </c>
      <c r="CZ197">
        <f>IF($A197="","",'Beállítások'!$E$14*(10-J197))</f>
        <v/>
      </c>
      <c r="DA197">
        <f>IF($A197="","",'Beállítások'!$E$15*(10-K197))</f>
        <v/>
      </c>
      <c r="DB197">
        <f>IF($A197="","",'Beállítások'!$E$16*(10-L197))</f>
        <v/>
      </c>
      <c r="DC197">
        <f>IF($A197="","",'Beállítások'!$E$17*(10-M197))</f>
        <v/>
      </c>
      <c r="DD197">
        <f>IF($A197="","",'Beállítások'!$E$18*(10-N197))</f>
        <v/>
      </c>
      <c r="DE197">
        <f>IF($A197="","",'Beállítások'!$E$19*(10-O197))</f>
        <v/>
      </c>
      <c r="DF197">
        <f>IF($A197="","",'Beállítások'!$E$20*(10-P197))</f>
        <v/>
      </c>
      <c r="DG197">
        <f>IF($A197="","",'Beállítások'!$E$21*(10-Q197))</f>
        <v/>
      </c>
      <c r="DH197">
        <f>IF($A197="","",'Beállítások'!$E$22*(10-R197))</f>
        <v/>
      </c>
      <c r="DI197">
        <f>IF($A197="","",'Beállítások'!$E$23*(10-S197))</f>
        <v/>
      </c>
      <c r="DJ197">
        <f>IF($A197="","",'Beállítások'!$E$24*(10-T197))</f>
        <v/>
      </c>
      <c r="DK197">
        <f>IF($A197="","",'Beállítások'!$E$25*(10-U197))</f>
        <v/>
      </c>
      <c r="DL197">
        <f>IF($A197="","",'Beállítások'!$E$26*(10-V197))</f>
        <v/>
      </c>
      <c r="DM197">
        <f>IF($A197="","",'Beállítások'!$E$27*(10-W197))</f>
        <v/>
      </c>
      <c r="DN197">
        <f>IF($A197="","",'Beállítások'!$E$28*(10-X197))</f>
        <v/>
      </c>
      <c r="DO197">
        <f>IF($A197="","",'Beállítások'!$E$29*(10-Y197))</f>
        <v/>
      </c>
      <c r="DP197">
        <f>IF($A197="","",'Beállítások'!$E$30*(10-Z197))</f>
        <v/>
      </c>
      <c r="DQ197">
        <f>IF($A197="","",'Beállítások'!$E$31*(10-AA197))</f>
        <v/>
      </c>
      <c r="DR197">
        <f>IF($A197="","",'Beállítások'!$E$32*(10-AB197))</f>
        <v/>
      </c>
      <c r="DS197">
        <f>IF($A197="","",'Beállítások'!$E$33*(10-AC197))</f>
        <v/>
      </c>
      <c r="DT197">
        <f>IF($A197="","",'Beállítások'!$E$34*(10-AD197))</f>
        <v/>
      </c>
      <c r="DU197">
        <f>IF($A197="","",'Beállítások'!$E$35*(10-AE197))</f>
        <v/>
      </c>
      <c r="DV197">
        <f>IF($A197="","",'Beállítások'!$E$36*(10-AF197))</f>
        <v/>
      </c>
      <c r="DW197">
        <f>IF($A197="","",'Beállítások'!$E$37*(10-AG197))</f>
        <v/>
      </c>
      <c r="DX197">
        <f>IF($A197="","",'Beállítások'!$E$38*(10-AH197))</f>
        <v/>
      </c>
      <c r="DY197">
        <f>IF($A197="","",AM197-ROW()/100000)</f>
        <v/>
      </c>
    </row>
    <row r="198">
      <c r="A198">
        <f>IF('Ügyfelek'!A198="","",'Ügyfelek'!A198)</f>
        <v/>
      </c>
      <c r="B198">
        <f>IF($A198="","",IF('Ügyfelek'!B198="",'Beállítások'!$B$84,IFERROR(VLOOKUP(TRIM('Ügyfelek'!B198),'Beállítások'!$A$51:$B$59,2,FALSE),'Beállítások'!$B$84)))</f>
        <v/>
      </c>
      <c r="C198">
        <f>IF($A198="","",IF('Ügyfelek'!C198="",'Beállítások'!$B$84,MIN(10,MAX(1,ROUND('Ügyfelek'!C198,0)))))</f>
        <v/>
      </c>
      <c r="D198">
        <f>IF($A198="","",IF('Ügyfelek'!D198="",'Beállítások'!$B$84,MIN(10,MAX(1,ROUND('Ügyfelek'!D198,0)))))</f>
        <v/>
      </c>
      <c r="E198">
        <f>IF($A198="","",IF('Ügyfelek'!E198="",'Beállítások'!$B$84,MIN(10,MAX(1,ROUND('Ügyfelek'!E198,0)))))</f>
        <v/>
      </c>
      <c r="F198">
        <f>IF($A198="","",IF('Ügyfelek'!F198="",'Beállítások'!$B$84,MIN(10,MAX(1,ROUND('Ügyfelek'!F198,0)))))</f>
        <v/>
      </c>
      <c r="G198">
        <f>IF($A198="","",IF('Ügyfelek'!G198="",'Beállítások'!$B$84,MIN(10,MAX(1,ROUND('Ügyfelek'!G198,0)))))</f>
        <v/>
      </c>
      <c r="H198">
        <f>IF($A198="","",IF('Ügyfelek'!H198="",'Beállítások'!$B$84,MIN(10,MAX(1,ROUND('Ügyfelek'!H198,0)))))</f>
        <v/>
      </c>
      <c r="I198">
        <f>IF($A198="","",IF('Ügyfelek'!I198="",'Beállítások'!$B$84,MIN(10,MAX(1,ROUND('Ügyfelek'!I198,0)))))</f>
        <v/>
      </c>
      <c r="J198">
        <f>IF($A198="","",IF('Ügyfelek'!J198="",'Beállítások'!$B$84,MIN(10,MAX(1,ROUND('Ügyfelek'!J198,0)))))</f>
        <v/>
      </c>
      <c r="K198">
        <f>IF($A198="","",IF('Ügyfelek'!K198="",'Beállítások'!$B$84,MIN(10,MAX(1,ROUND('Ügyfelek'!K198,0)))))</f>
        <v/>
      </c>
      <c r="L198">
        <f>IF($A198="","",IF('Ügyfelek'!L198="",'Beállítások'!$B$84,MIN(10,MAX(1,ROUND('Ügyfelek'!L198,0)))))</f>
        <v/>
      </c>
      <c r="M198">
        <f>IF($A198="","",IF('Ügyfelek'!M198="",'Beállítások'!$B$84,MIN(10,MAX(1,ROUND('Ügyfelek'!M198,0)))))</f>
        <v/>
      </c>
      <c r="N198">
        <f>IF($A198="","",IF('Ügyfelek'!N198="",'Beállítások'!$B$84,MIN(10,MAX(1,ROUND('Ügyfelek'!N198,0)))))</f>
        <v/>
      </c>
      <c r="O198">
        <f>IF($A198="","",IF('Ügyfelek'!O198="",'Beállítások'!$B$84,MIN(10,MAX(1,ROUND('Ügyfelek'!O198,0)))))</f>
        <v/>
      </c>
      <c r="P198">
        <f>IF($A198="","",IF('Ügyfelek'!P198="",'Beállítások'!$B$84,MIN(10,MAX(1,ROUND('Ügyfelek'!P198,0)))))</f>
        <v/>
      </c>
      <c r="Q198">
        <f>IF($A198="","",IF('Ügyfelek'!Q198="",'Beállítások'!$B$84,MIN(10,MAX(1,ROUND('Ügyfelek'!Q198,0)))))</f>
        <v/>
      </c>
      <c r="R198">
        <f>IF($A198="","",IF('Ügyfelek'!R198="",'Beállítások'!$B$84,MIN(10,MAX(1,ROUND('Ügyfelek'!R198,0)))))</f>
        <v/>
      </c>
      <c r="S198">
        <f>IF($A198="","",IF('Ügyfelek'!S198="",'Beállítások'!$B$84,MIN(10,MAX(1,ROUND('Ügyfelek'!S198,0)))))</f>
        <v/>
      </c>
      <c r="T198">
        <f>IF($A198="","",IF('Ügyfelek'!T198="",'Beállítások'!$B$84,VLOOKUP(MAX('Ügyfelek'!T198,'Beállítások'!$H$7),'Beállítások'!$H$7:$I$12,2,TRUE)))</f>
        <v/>
      </c>
      <c r="U198">
        <f>IF($A198="","",IF('Ügyfelek'!U198="",'Beállítások'!$B$84,VLOOKUP(MAX('Ügyfelek'!U198,'Beállítások'!$K$7),'Beállítások'!$K$7:$L$12,2,TRUE)))</f>
        <v/>
      </c>
      <c r="V198">
        <f>IF($A198="","",IF('Ügyfelek'!V198="",'Beállítások'!$B$84,MIN(10,MAX(1,ROUND('Ügyfelek'!V198,0)))))</f>
        <v/>
      </c>
      <c r="W198">
        <f>IF($A198="","",IF('Ügyfelek'!W198="",'Beállítások'!$B$84,VLOOKUP(MAX('Ügyfelek'!W198,'Beállítások'!$N$7),'Beállítások'!$N$7:$O$12,2,TRUE)))</f>
        <v/>
      </c>
      <c r="X198">
        <f>IF($A198="","",IF('Ügyfelek'!X198="",'Beállítások'!$B$84,MIN(10,MAX(1,ROUND('Ügyfelek'!X198,0)))))</f>
        <v/>
      </c>
      <c r="Y198">
        <f>IF($A198="","",IF('Ügyfelek'!Y198="",'Beállítások'!$B$84,IFERROR(VLOOKUP(TRIM('Ügyfelek'!Y198),'Beállítások'!$A$63:$B$69,2,FALSE),'Beállítások'!$B$84)))</f>
        <v/>
      </c>
      <c r="Z198">
        <f>IF($A198="","",IF('Ügyfelek'!Z198="",'Beállítások'!$B$84,VLOOKUP(MAX('Ügyfelek'!Z198,'Beállítások'!$Q$7),'Beállítások'!$Q$7:$R$12,2,TRUE)))</f>
        <v/>
      </c>
      <c r="AA198">
        <f>IF($A198="","",IF('Ügyfelek'!AA198="",'Beállítások'!$B$84,VLOOKUP(MAX('Ügyfelek'!AA198,'Beállítások'!$T$7),'Beállítások'!$T$7:$U$12,2,TRUE)))</f>
        <v/>
      </c>
      <c r="AB198">
        <f>IF($A198="","",IF('Ügyfelek'!AB198="",'Beállítások'!$B$84,MIN(10,MAX(1,ROUND('Ügyfelek'!AB198,0)))))</f>
        <v/>
      </c>
      <c r="AC198">
        <f>IF($A198="","",IF('Ügyfelek'!AC198="",'Beállítások'!$B$84,MIN(10,MAX(1,ROUND('Ügyfelek'!AC198,0)))))</f>
        <v/>
      </c>
      <c r="AD198">
        <f>IF($A198="","",IF('Ügyfelek'!AD198="",'Beállítások'!$B$84,MIN(10,MAX(1,ROUND('Ügyfelek'!AD198,0)))))</f>
        <v/>
      </c>
      <c r="AE198">
        <f>IF($A198="","",IF('Ügyfelek'!AE198="",'Beállítások'!$B$84,MIN(10,MAX(1,ROUND('Ügyfelek'!AE198,0)))))</f>
        <v/>
      </c>
      <c r="AF198">
        <f>IF($A198="","",IF('Ügyfelek'!AF198="",'Beállítások'!$B$84,MIN(10,MAX(1,ROUND('Ügyfelek'!AF198,0)))))</f>
        <v/>
      </c>
      <c r="AG198">
        <f>IF($A198="","",IF('Ügyfelek'!AG198="",'Beállítások'!$B$84,MIN(10,MAX(1,ROUND('Ügyfelek'!AG198,0)))))</f>
        <v/>
      </c>
      <c r="AH198">
        <f>IF($A198="","",IF('Ügyfelek'!AH198="",'Beállítások'!$B$84,IFERROR(VLOOKUP(TRIM('Ügyfelek'!AH198),'Beállítások'!$A$73:$B$79,2,FALSE),'Beállítások'!$B$84)))</f>
        <v/>
      </c>
      <c r="AI198" s="23">
        <f>IF($A198="","",ROUND(100*('Beállítások'!$E$6*(B198-1)+'Beállítások'!$E$7*(C198-1))/(9*'Beállítások'!$B$43),1))</f>
        <v/>
      </c>
      <c r="AJ198" s="23">
        <f>IF($A198="","",ROUND(100*('Beállítások'!$E$8*(D198-1)+'Beállítások'!$E$9*(E198-1)+'Beállítások'!$E$10*(F198-1)+'Beállítások'!$E$11*(G198-1)+'Beállítások'!$E$12*(H198-1)+'Beállítások'!$E$13*(I198-1)+'Beállítások'!$E$14*(J198-1)+'Beállítások'!$E$15*(K198-1)+'Beállítások'!$E$16*(L198-1)+'Beállítások'!$E$17*(M198-1)+'Beállítások'!$E$18*(N198-1)+'Beállítások'!$E$19*(O198-1)+'Beállítások'!$E$20*(P198-1)+'Beállítások'!$E$21*(Q198-1)+'Beállítások'!$E$22*(R198-1))/(9*'Beállítások'!$B$44),1))</f>
        <v/>
      </c>
      <c r="AK198" s="23">
        <f>IF($A198="","",ROUND(100*('Beállítások'!$E$23*(S198-1)+'Beállítások'!$E$24*(T198-1)+'Beállítások'!$E$25*(U198-1)+'Beállítások'!$E$26*(V198-1)+'Beállítások'!$E$27*(W198-1)+'Beállítások'!$E$28*(X198-1)+'Beállítások'!$E$29*(Y198-1))/(9*'Beállítások'!$B$45),1))</f>
        <v/>
      </c>
      <c r="AL198" s="23">
        <f>IF($A198="","",ROUND(100*('Beállítások'!$E$30*(Z198-1)+'Beállítások'!$E$31*(AA198-1)+'Beállítások'!$E$32*(AB198-1)+'Beállítások'!$E$33*(AC198-1)+'Beállítások'!$E$34*(AD198-1)+'Beállítások'!$E$35*(AE198-1)+'Beállítások'!$E$36*(AF198-1)+'Beállítások'!$E$37*(AG198-1)+'Beállítások'!$E$38*(AH198-1))/(9*'Beállítások'!$B$46),1))</f>
        <v/>
      </c>
      <c r="AM198" s="23">
        <f>IF($A198="","",ROUND(100*('Beállítások'!$E$6*(B198-1)+'Beállítások'!$E$7*(C198-1)+'Beállítások'!$E$8*(D198-1)+'Beállítások'!$E$9*(E198-1)+'Beállítások'!$E$10*(F198-1)+'Beállítások'!$E$11*(G198-1)+'Beállítások'!$E$12*(H198-1)+'Beállítások'!$E$13*(I198-1)+'Beállítások'!$E$14*(J198-1)+'Beállítások'!$E$15*(K198-1)+'Beállítások'!$E$16*(L198-1)+'Beállítások'!$E$17*(M198-1)+'Beállítások'!$E$18*(N198-1)+'Beállítások'!$E$19*(O198-1)+'Beállítások'!$E$20*(P198-1)+'Beállítások'!$E$21*(Q198-1)+'Beállítások'!$E$22*(R198-1)+'Beállítások'!$E$23*(S198-1)+'Beállítások'!$E$24*(T198-1)+'Beállítások'!$E$25*(U198-1)+'Beállítások'!$E$26*(V198-1)+'Beállítások'!$E$27*(W198-1)+'Beállítások'!$E$28*(X198-1)+'Beállítások'!$E$29*(Y198-1)+'Beállítások'!$E$30*(Z198-1)+'Beállítások'!$E$31*(AA198-1)+'Beállítások'!$E$32*(AB198-1)+'Beállítások'!$E$33*(AC198-1)+'Beállítások'!$E$34*(AD198-1)+'Beállítások'!$E$35*(AE198-1)+'Beállítások'!$E$36*(AF198-1)+'Beállítások'!$E$37*(AG198-1)+'Beállítások'!$E$38*(AH198-1))/(9*'Beállítások'!$E$39),1))</f>
        <v/>
      </c>
      <c r="AN198" s="23">
        <f>IF($A198="","",ROUND(100*('Beállítások'!$E$8*(D198-1)+'Beállítások'!$E$9*(E198-1)+'Beállítások'!$E$10*(F198-1)+'Beállítások'!$E$11*(G198-1)+'Beállítások'!$E$12*(H198-1)+'Beállítások'!$E$13*(I198-1)+'Beállítások'!$E$14*(J198-1)+'Beállítások'!$E$15*(K198-1)+'Beállítások'!$E$16*(L198-1)+'Beállítások'!$E$17*(M198-1)+'Beállítások'!$E$18*(N198-1)+'Beállítások'!$E$19*(O198-1)+'Beállítások'!$E$20*(P198-1)+'Beállítások'!$E$21*(Q198-1)+'Beállítások'!$E$22*(R198-1)+'Beállítások'!$E$23*(S198-1)+'Beállítások'!$E$24*(T198-1)+'Beállítások'!$E$25*(U198-1)+'Beállítások'!$E$26*(V198-1)+'Beállítások'!$E$27*(W198-1)+'Beállítások'!$E$28*(X198-1)+'Beállítások'!$E$29*(Y198-1))/(9*('Beállítások'!$B$44+'Beállítások'!$B$45)),1))</f>
        <v/>
      </c>
      <c r="AO198" s="24">
        <f>IF($A198="","",RANK(AM198,$AM$2:$AM$201))</f>
        <v/>
      </c>
      <c r="AP198">
        <f>IF($A198="","",IF(OR(AND('Ügyfelek'!B198&lt;&gt;"",B198&lt;='Beállítások'!$B$85),AND('Ügyfelek'!C198&lt;&gt;"",C198&lt;='Beállítások'!$B$86)),"Igen","Nem"))</f>
        <v/>
      </c>
      <c r="AQ198" s="24">
        <f>IF($A198="","",IF(AP198="Igen",5,IF(AN198&gt;='Beállítások'!$C$108,1,IF(AN198&gt;='Beállítások'!$C$109,2,IF(AN198&gt;='Beállítások'!$C$110,3,IF(AND(AN198&gt;='Beállítások'!$B$87,AI198&gt;='Beállítások'!$B$88,AL198&gt;='Beállítások'!$B$89),4,5))))))</f>
        <v/>
      </c>
      <c r="AR198">
        <f>IF($A198="","",INDEX('Beállítások'!$B$108:$B$112,AQ198))</f>
        <v/>
      </c>
      <c r="AS198">
        <f>IF($A198="","",IF(AQ198=5,"Elutasítjuk",IF(AND(AQ198=4,COUNTIFS('Eredmény'!$AQ$2:$AQ$201,4,'Eredmény'!$DY$2:$DY$201,"&gt;"&amp;DY198)&gt;='Beállítások'!$B$90),"Várólista (a 4-es hely foglalt)","Elfogadjuk")))</f>
        <v/>
      </c>
      <c r="AT198">
        <f>IF($A198="","",INDEX('Beállítások'!$F$108:$F$112,AQ198))</f>
        <v/>
      </c>
      <c r="AU198">
        <f>IF($A198="","",INDEX('Beállítások'!$B$6:$B$38,MATCH(MAX(BK198:CQ198),BK198:CQ198,0)))</f>
        <v/>
      </c>
      <c r="AV198">
        <f>IF($A198="","",IF(MAX(CR198:DX198)=0,"—",INDEX('Beállítások'!$B$6:$B$38,MATCH(MAX(CR198:DX198),CR198:DX198,0))))</f>
        <v/>
      </c>
      <c r="AW198" s="10">
        <f>IF($A198="","",'Beállítások'!$B$94*(TRIM('Ügyfelek'!AI198)="igen")+'Beállítások'!$B$95*(TRIM('Ügyfelek'!AJ198)="igen")+'Beállítások'!$B$96*N('Ügyfelek'!AK198)+'Beállítások'!$B$93*N('Ügyfelek'!AL198))</f>
        <v/>
      </c>
      <c r="AX198" s="25">
        <f>IF(OR($A198="",AQ198=5),"",INDEX('Beállítások'!$D$108:$D$112,AQ198))</f>
        <v/>
      </c>
      <c r="AY198" s="10">
        <f>IF($A198="","",N('Ügyfelek'!U198)*'Beállítások'!$B$98)</f>
        <v/>
      </c>
      <c r="AZ198" s="10">
        <f>IF(OR($A198="",AQ198=5),"",CEILING(ROUND(MAX('Beállítások'!$B$97,AW198*AX198,AY198),2),'Beállítások'!$B$99))</f>
        <v/>
      </c>
      <c r="BA198">
        <f>IF($A198="","",IF(AQ198=5,"Elutasítva",IF(MAX('Beállítások'!$B$97,AW198*AX198,AY198)=AW198*AX198,"Munkaigény × státuszszorzó",IF(MAX('Beállítások'!$B$97,AW198*AX198,AY198)=AY198,"Hirdetési keret arányában","Minimumdíj"))))</f>
        <v/>
      </c>
      <c r="BB198" s="10">
        <f>IF(OR($A198="",'Ügyfelek'!AM198=""),"",'Ügyfelek'!AM198)</f>
        <v/>
      </c>
      <c r="BC198" s="10">
        <f>IF(OR(BB198="",AZ198=""),"",AZ198-BB198)</f>
        <v/>
      </c>
      <c r="BD198" s="18">
        <f>IF(OR(BB198="",AZ198="",BB198=0),"",BC198/BB198)</f>
        <v/>
      </c>
      <c r="BE198">
        <f>IF(OR($A198="",AQ198=5),"",IF(AND(INDEX('Beállítások'!$E$108:$E$112,AQ198)&gt;0,Y198&gt;='Beállítások'!$B$91),"Igen","Nem"))</f>
        <v/>
      </c>
      <c r="BF198" s="10">
        <f>IF(BE198="Igen",CEILING(ROUND(AZ198*(1-'Beállítások'!$B$92),2),'Beállítások'!$B$99),"")</f>
        <v/>
      </c>
      <c r="BG198" s="20">
        <f>IF(BE198="Igen",INDEX('Beállítások'!$E$108:$E$112,AQ198),"")</f>
        <v/>
      </c>
      <c r="BH198" s="10">
        <f>IF(OR(BE198&lt;&gt;"Igen",'Ügyfelek'!AN198=""),"",'Ügyfelek'!AN198*BG198)</f>
        <v/>
      </c>
      <c r="BI198" s="24">
        <f>IF($A198="","",('Ügyfelek'!B198="")+('Ügyfelek'!C198="")+('Ügyfelek'!D198="")+('Ügyfelek'!E198="")+('Ügyfelek'!F198="")+('Ügyfelek'!G198="")+('Ügyfelek'!H198="")+('Ügyfelek'!I198="")+('Ügyfelek'!J198="")+('Ügyfelek'!K198="")+('Ügyfelek'!L198="")+('Ügyfelek'!M198="")+('Ügyfelek'!N198="")+('Ügyfelek'!O198="")+('Ügyfelek'!P198="")+('Ügyfelek'!Q198="")+('Ügyfelek'!R198="")+('Ügyfelek'!S198="")+('Ügyfelek'!T198="")+('Ügyfelek'!U198="")+('Ügyfelek'!V198="")+('Ügyfelek'!W198="")+('Ügyfelek'!X198="")+('Ügyfelek'!Y198="")+('Ügyfelek'!Z198="")+('Ügyfelek'!AA198="")+('Ügyfelek'!AB198="")+('Ügyfelek'!AC198="")+('Ügyfelek'!AD198="")+('Ügyfelek'!AE198="")+('Ügyfelek'!AF198="")+('Ügyfelek'!AG198="")+('Ügyfelek'!AH198=""))</f>
        <v/>
      </c>
      <c r="BK198">
        <f>IF($A198="","",B198+'Beállítások'!$E$6/1000)</f>
        <v/>
      </c>
      <c r="BL198">
        <f>IF($A198="","",C198+'Beállítások'!$E$7/1000)</f>
        <v/>
      </c>
      <c r="BM198">
        <f>IF($A198="","",D198+'Beállítások'!$E$8/1000)</f>
        <v/>
      </c>
      <c r="BN198">
        <f>IF($A198="","",E198+'Beállítások'!$E$9/1000)</f>
        <v/>
      </c>
      <c r="BO198">
        <f>IF($A198="","",F198+'Beállítások'!$E$10/1000)</f>
        <v/>
      </c>
      <c r="BP198">
        <f>IF($A198="","",G198+'Beállítások'!$E$11/1000)</f>
        <v/>
      </c>
      <c r="BQ198">
        <f>IF($A198="","",H198+'Beállítások'!$E$12/1000)</f>
        <v/>
      </c>
      <c r="BR198">
        <f>IF($A198="","",I198+'Beállítások'!$E$13/1000)</f>
        <v/>
      </c>
      <c r="BS198">
        <f>IF($A198="","",J198+'Beállítások'!$E$14/1000)</f>
        <v/>
      </c>
      <c r="BT198">
        <f>IF($A198="","",K198+'Beállítások'!$E$15/1000)</f>
        <v/>
      </c>
      <c r="BU198">
        <f>IF($A198="","",L198+'Beállítások'!$E$16/1000)</f>
        <v/>
      </c>
      <c r="BV198">
        <f>IF($A198="","",M198+'Beállítások'!$E$17/1000)</f>
        <v/>
      </c>
      <c r="BW198">
        <f>IF($A198="","",N198+'Beállítások'!$E$18/1000)</f>
        <v/>
      </c>
      <c r="BX198">
        <f>IF($A198="","",O198+'Beállítások'!$E$19/1000)</f>
        <v/>
      </c>
      <c r="BY198">
        <f>IF($A198="","",P198+'Beállítások'!$E$20/1000)</f>
        <v/>
      </c>
      <c r="BZ198">
        <f>IF($A198="","",Q198+'Beállítások'!$E$21/1000)</f>
        <v/>
      </c>
      <c r="CA198">
        <f>IF($A198="","",R198+'Beállítások'!$E$22/1000)</f>
        <v/>
      </c>
      <c r="CB198">
        <f>IF($A198="","",S198+'Beállítások'!$E$23/1000)</f>
        <v/>
      </c>
      <c r="CC198">
        <f>IF($A198="","",T198+'Beállítások'!$E$24/1000)</f>
        <v/>
      </c>
      <c r="CD198">
        <f>IF($A198="","",U198+'Beállítások'!$E$25/1000)</f>
        <v/>
      </c>
      <c r="CE198">
        <f>IF($A198="","",V198+'Beállítások'!$E$26/1000)</f>
        <v/>
      </c>
      <c r="CF198">
        <f>IF($A198="","",W198+'Beállítások'!$E$27/1000)</f>
        <v/>
      </c>
      <c r="CG198">
        <f>IF($A198="","",X198+'Beállítások'!$E$28/1000)</f>
        <v/>
      </c>
      <c r="CH198">
        <f>IF($A198="","",Y198+'Beállítások'!$E$29/1000)</f>
        <v/>
      </c>
      <c r="CI198">
        <f>IF($A198="","",Z198+'Beállítások'!$E$30/1000)</f>
        <v/>
      </c>
      <c r="CJ198">
        <f>IF($A198="","",AA198+'Beállítások'!$E$31/1000)</f>
        <v/>
      </c>
      <c r="CK198">
        <f>IF($A198="","",AB198+'Beállítások'!$E$32/1000)</f>
        <v/>
      </c>
      <c r="CL198">
        <f>IF($A198="","",AC198+'Beállítások'!$E$33/1000)</f>
        <v/>
      </c>
      <c r="CM198">
        <f>IF($A198="","",AD198+'Beállítások'!$E$34/1000)</f>
        <v/>
      </c>
      <c r="CN198">
        <f>IF($A198="","",AE198+'Beállítások'!$E$35/1000)</f>
        <v/>
      </c>
      <c r="CO198">
        <f>IF($A198="","",AF198+'Beállítások'!$E$36/1000)</f>
        <v/>
      </c>
      <c r="CP198">
        <f>IF($A198="","",AG198+'Beállítások'!$E$37/1000)</f>
        <v/>
      </c>
      <c r="CQ198">
        <f>IF($A198="","",AH198+'Beállítások'!$E$38/1000)</f>
        <v/>
      </c>
      <c r="CR198">
        <f>IF($A198="","",'Beállítások'!$E$6*(10-B198))</f>
        <v/>
      </c>
      <c r="CS198">
        <f>IF($A198="","",'Beállítások'!$E$7*(10-C198))</f>
        <v/>
      </c>
      <c r="CT198">
        <f>IF($A198="","",'Beállítások'!$E$8*(10-D198))</f>
        <v/>
      </c>
      <c r="CU198">
        <f>IF($A198="","",'Beállítások'!$E$9*(10-E198))</f>
        <v/>
      </c>
      <c r="CV198">
        <f>IF($A198="","",'Beállítások'!$E$10*(10-F198))</f>
        <v/>
      </c>
      <c r="CW198">
        <f>IF($A198="","",'Beállítások'!$E$11*(10-G198))</f>
        <v/>
      </c>
      <c r="CX198">
        <f>IF($A198="","",'Beállítások'!$E$12*(10-H198))</f>
        <v/>
      </c>
      <c r="CY198">
        <f>IF($A198="","",'Beállítások'!$E$13*(10-I198))</f>
        <v/>
      </c>
      <c r="CZ198">
        <f>IF($A198="","",'Beállítások'!$E$14*(10-J198))</f>
        <v/>
      </c>
      <c r="DA198">
        <f>IF($A198="","",'Beállítások'!$E$15*(10-K198))</f>
        <v/>
      </c>
      <c r="DB198">
        <f>IF($A198="","",'Beállítások'!$E$16*(10-L198))</f>
        <v/>
      </c>
      <c r="DC198">
        <f>IF($A198="","",'Beállítások'!$E$17*(10-M198))</f>
        <v/>
      </c>
      <c r="DD198">
        <f>IF($A198="","",'Beállítások'!$E$18*(10-N198))</f>
        <v/>
      </c>
      <c r="DE198">
        <f>IF($A198="","",'Beállítások'!$E$19*(10-O198))</f>
        <v/>
      </c>
      <c r="DF198">
        <f>IF($A198="","",'Beállítások'!$E$20*(10-P198))</f>
        <v/>
      </c>
      <c r="DG198">
        <f>IF($A198="","",'Beállítások'!$E$21*(10-Q198))</f>
        <v/>
      </c>
      <c r="DH198">
        <f>IF($A198="","",'Beállítások'!$E$22*(10-R198))</f>
        <v/>
      </c>
      <c r="DI198">
        <f>IF($A198="","",'Beállítások'!$E$23*(10-S198))</f>
        <v/>
      </c>
      <c r="DJ198">
        <f>IF($A198="","",'Beállítások'!$E$24*(10-T198))</f>
        <v/>
      </c>
      <c r="DK198">
        <f>IF($A198="","",'Beállítások'!$E$25*(10-U198))</f>
        <v/>
      </c>
      <c r="DL198">
        <f>IF($A198="","",'Beállítások'!$E$26*(10-V198))</f>
        <v/>
      </c>
      <c r="DM198">
        <f>IF($A198="","",'Beállítások'!$E$27*(10-W198))</f>
        <v/>
      </c>
      <c r="DN198">
        <f>IF($A198="","",'Beállítások'!$E$28*(10-X198))</f>
        <v/>
      </c>
      <c r="DO198">
        <f>IF($A198="","",'Beállítások'!$E$29*(10-Y198))</f>
        <v/>
      </c>
      <c r="DP198">
        <f>IF($A198="","",'Beállítások'!$E$30*(10-Z198))</f>
        <v/>
      </c>
      <c r="DQ198">
        <f>IF($A198="","",'Beállítások'!$E$31*(10-AA198))</f>
        <v/>
      </c>
      <c r="DR198">
        <f>IF($A198="","",'Beállítások'!$E$32*(10-AB198))</f>
        <v/>
      </c>
      <c r="DS198">
        <f>IF($A198="","",'Beállítások'!$E$33*(10-AC198))</f>
        <v/>
      </c>
      <c r="DT198">
        <f>IF($A198="","",'Beállítások'!$E$34*(10-AD198))</f>
        <v/>
      </c>
      <c r="DU198">
        <f>IF($A198="","",'Beállítások'!$E$35*(10-AE198))</f>
        <v/>
      </c>
      <c r="DV198">
        <f>IF($A198="","",'Beállítások'!$E$36*(10-AF198))</f>
        <v/>
      </c>
      <c r="DW198">
        <f>IF($A198="","",'Beállítások'!$E$37*(10-AG198))</f>
        <v/>
      </c>
      <c r="DX198">
        <f>IF($A198="","",'Beállítások'!$E$38*(10-AH198))</f>
        <v/>
      </c>
      <c r="DY198">
        <f>IF($A198="","",AM198-ROW()/100000)</f>
        <v/>
      </c>
    </row>
    <row r="199">
      <c r="A199">
        <f>IF('Ügyfelek'!A199="","",'Ügyfelek'!A199)</f>
        <v/>
      </c>
      <c r="B199">
        <f>IF($A199="","",IF('Ügyfelek'!B199="",'Beállítások'!$B$84,IFERROR(VLOOKUP(TRIM('Ügyfelek'!B199),'Beállítások'!$A$51:$B$59,2,FALSE),'Beállítások'!$B$84)))</f>
        <v/>
      </c>
      <c r="C199">
        <f>IF($A199="","",IF('Ügyfelek'!C199="",'Beállítások'!$B$84,MIN(10,MAX(1,ROUND('Ügyfelek'!C199,0)))))</f>
        <v/>
      </c>
      <c r="D199">
        <f>IF($A199="","",IF('Ügyfelek'!D199="",'Beállítások'!$B$84,MIN(10,MAX(1,ROUND('Ügyfelek'!D199,0)))))</f>
        <v/>
      </c>
      <c r="E199">
        <f>IF($A199="","",IF('Ügyfelek'!E199="",'Beállítások'!$B$84,MIN(10,MAX(1,ROUND('Ügyfelek'!E199,0)))))</f>
        <v/>
      </c>
      <c r="F199">
        <f>IF($A199="","",IF('Ügyfelek'!F199="",'Beállítások'!$B$84,MIN(10,MAX(1,ROUND('Ügyfelek'!F199,0)))))</f>
        <v/>
      </c>
      <c r="G199">
        <f>IF($A199="","",IF('Ügyfelek'!G199="",'Beállítások'!$B$84,MIN(10,MAX(1,ROUND('Ügyfelek'!G199,0)))))</f>
        <v/>
      </c>
      <c r="H199">
        <f>IF($A199="","",IF('Ügyfelek'!H199="",'Beállítások'!$B$84,MIN(10,MAX(1,ROUND('Ügyfelek'!H199,0)))))</f>
        <v/>
      </c>
      <c r="I199">
        <f>IF($A199="","",IF('Ügyfelek'!I199="",'Beállítások'!$B$84,MIN(10,MAX(1,ROUND('Ügyfelek'!I199,0)))))</f>
        <v/>
      </c>
      <c r="J199">
        <f>IF($A199="","",IF('Ügyfelek'!J199="",'Beállítások'!$B$84,MIN(10,MAX(1,ROUND('Ügyfelek'!J199,0)))))</f>
        <v/>
      </c>
      <c r="K199">
        <f>IF($A199="","",IF('Ügyfelek'!K199="",'Beállítások'!$B$84,MIN(10,MAX(1,ROUND('Ügyfelek'!K199,0)))))</f>
        <v/>
      </c>
      <c r="L199">
        <f>IF($A199="","",IF('Ügyfelek'!L199="",'Beállítások'!$B$84,MIN(10,MAX(1,ROUND('Ügyfelek'!L199,0)))))</f>
        <v/>
      </c>
      <c r="M199">
        <f>IF($A199="","",IF('Ügyfelek'!M199="",'Beállítások'!$B$84,MIN(10,MAX(1,ROUND('Ügyfelek'!M199,0)))))</f>
        <v/>
      </c>
      <c r="N199">
        <f>IF($A199="","",IF('Ügyfelek'!N199="",'Beállítások'!$B$84,MIN(10,MAX(1,ROUND('Ügyfelek'!N199,0)))))</f>
        <v/>
      </c>
      <c r="O199">
        <f>IF($A199="","",IF('Ügyfelek'!O199="",'Beállítások'!$B$84,MIN(10,MAX(1,ROUND('Ügyfelek'!O199,0)))))</f>
        <v/>
      </c>
      <c r="P199">
        <f>IF($A199="","",IF('Ügyfelek'!P199="",'Beállítások'!$B$84,MIN(10,MAX(1,ROUND('Ügyfelek'!P199,0)))))</f>
        <v/>
      </c>
      <c r="Q199">
        <f>IF($A199="","",IF('Ügyfelek'!Q199="",'Beállítások'!$B$84,MIN(10,MAX(1,ROUND('Ügyfelek'!Q199,0)))))</f>
        <v/>
      </c>
      <c r="R199">
        <f>IF($A199="","",IF('Ügyfelek'!R199="",'Beállítások'!$B$84,MIN(10,MAX(1,ROUND('Ügyfelek'!R199,0)))))</f>
        <v/>
      </c>
      <c r="S199">
        <f>IF($A199="","",IF('Ügyfelek'!S199="",'Beállítások'!$B$84,MIN(10,MAX(1,ROUND('Ügyfelek'!S199,0)))))</f>
        <v/>
      </c>
      <c r="T199">
        <f>IF($A199="","",IF('Ügyfelek'!T199="",'Beállítások'!$B$84,VLOOKUP(MAX('Ügyfelek'!T199,'Beállítások'!$H$7),'Beállítások'!$H$7:$I$12,2,TRUE)))</f>
        <v/>
      </c>
      <c r="U199">
        <f>IF($A199="","",IF('Ügyfelek'!U199="",'Beállítások'!$B$84,VLOOKUP(MAX('Ügyfelek'!U199,'Beállítások'!$K$7),'Beállítások'!$K$7:$L$12,2,TRUE)))</f>
        <v/>
      </c>
      <c r="V199">
        <f>IF($A199="","",IF('Ügyfelek'!V199="",'Beállítások'!$B$84,MIN(10,MAX(1,ROUND('Ügyfelek'!V199,0)))))</f>
        <v/>
      </c>
      <c r="W199">
        <f>IF($A199="","",IF('Ügyfelek'!W199="",'Beállítások'!$B$84,VLOOKUP(MAX('Ügyfelek'!W199,'Beállítások'!$N$7),'Beállítások'!$N$7:$O$12,2,TRUE)))</f>
        <v/>
      </c>
      <c r="X199">
        <f>IF($A199="","",IF('Ügyfelek'!X199="",'Beállítások'!$B$84,MIN(10,MAX(1,ROUND('Ügyfelek'!X199,0)))))</f>
        <v/>
      </c>
      <c r="Y199">
        <f>IF($A199="","",IF('Ügyfelek'!Y199="",'Beállítások'!$B$84,IFERROR(VLOOKUP(TRIM('Ügyfelek'!Y199),'Beállítások'!$A$63:$B$69,2,FALSE),'Beállítások'!$B$84)))</f>
        <v/>
      </c>
      <c r="Z199">
        <f>IF($A199="","",IF('Ügyfelek'!Z199="",'Beállítások'!$B$84,VLOOKUP(MAX('Ügyfelek'!Z199,'Beállítások'!$Q$7),'Beállítások'!$Q$7:$R$12,2,TRUE)))</f>
        <v/>
      </c>
      <c r="AA199">
        <f>IF($A199="","",IF('Ügyfelek'!AA199="",'Beállítások'!$B$84,VLOOKUP(MAX('Ügyfelek'!AA199,'Beállítások'!$T$7),'Beállítások'!$T$7:$U$12,2,TRUE)))</f>
        <v/>
      </c>
      <c r="AB199">
        <f>IF($A199="","",IF('Ügyfelek'!AB199="",'Beállítások'!$B$84,MIN(10,MAX(1,ROUND('Ügyfelek'!AB199,0)))))</f>
        <v/>
      </c>
      <c r="AC199">
        <f>IF($A199="","",IF('Ügyfelek'!AC199="",'Beállítások'!$B$84,MIN(10,MAX(1,ROUND('Ügyfelek'!AC199,0)))))</f>
        <v/>
      </c>
      <c r="AD199">
        <f>IF($A199="","",IF('Ügyfelek'!AD199="",'Beállítások'!$B$84,MIN(10,MAX(1,ROUND('Ügyfelek'!AD199,0)))))</f>
        <v/>
      </c>
      <c r="AE199">
        <f>IF($A199="","",IF('Ügyfelek'!AE199="",'Beállítások'!$B$84,MIN(10,MAX(1,ROUND('Ügyfelek'!AE199,0)))))</f>
        <v/>
      </c>
      <c r="AF199">
        <f>IF($A199="","",IF('Ügyfelek'!AF199="",'Beállítások'!$B$84,MIN(10,MAX(1,ROUND('Ügyfelek'!AF199,0)))))</f>
        <v/>
      </c>
      <c r="AG199">
        <f>IF($A199="","",IF('Ügyfelek'!AG199="",'Beállítások'!$B$84,MIN(10,MAX(1,ROUND('Ügyfelek'!AG199,0)))))</f>
        <v/>
      </c>
      <c r="AH199">
        <f>IF($A199="","",IF('Ügyfelek'!AH199="",'Beállítások'!$B$84,IFERROR(VLOOKUP(TRIM('Ügyfelek'!AH199),'Beállítások'!$A$73:$B$79,2,FALSE),'Beállítások'!$B$84)))</f>
        <v/>
      </c>
      <c r="AI199" s="23">
        <f>IF($A199="","",ROUND(100*('Beállítások'!$E$6*(B199-1)+'Beállítások'!$E$7*(C199-1))/(9*'Beállítások'!$B$43),1))</f>
        <v/>
      </c>
      <c r="AJ199" s="23">
        <f>IF($A199="","",ROUND(100*('Beállítások'!$E$8*(D199-1)+'Beállítások'!$E$9*(E199-1)+'Beállítások'!$E$10*(F199-1)+'Beállítások'!$E$11*(G199-1)+'Beállítások'!$E$12*(H199-1)+'Beállítások'!$E$13*(I199-1)+'Beállítások'!$E$14*(J199-1)+'Beállítások'!$E$15*(K199-1)+'Beállítások'!$E$16*(L199-1)+'Beállítások'!$E$17*(M199-1)+'Beállítások'!$E$18*(N199-1)+'Beállítások'!$E$19*(O199-1)+'Beállítások'!$E$20*(P199-1)+'Beállítások'!$E$21*(Q199-1)+'Beállítások'!$E$22*(R199-1))/(9*'Beállítások'!$B$44),1))</f>
        <v/>
      </c>
      <c r="AK199" s="23">
        <f>IF($A199="","",ROUND(100*('Beállítások'!$E$23*(S199-1)+'Beállítások'!$E$24*(T199-1)+'Beállítások'!$E$25*(U199-1)+'Beállítások'!$E$26*(V199-1)+'Beállítások'!$E$27*(W199-1)+'Beállítások'!$E$28*(X199-1)+'Beállítások'!$E$29*(Y199-1))/(9*'Beállítások'!$B$45),1))</f>
        <v/>
      </c>
      <c r="AL199" s="23">
        <f>IF($A199="","",ROUND(100*('Beállítások'!$E$30*(Z199-1)+'Beállítások'!$E$31*(AA199-1)+'Beállítások'!$E$32*(AB199-1)+'Beállítások'!$E$33*(AC199-1)+'Beállítások'!$E$34*(AD199-1)+'Beállítások'!$E$35*(AE199-1)+'Beállítások'!$E$36*(AF199-1)+'Beállítások'!$E$37*(AG199-1)+'Beállítások'!$E$38*(AH199-1))/(9*'Beállítások'!$B$46),1))</f>
        <v/>
      </c>
      <c r="AM199" s="23">
        <f>IF($A199="","",ROUND(100*('Beállítások'!$E$6*(B199-1)+'Beállítások'!$E$7*(C199-1)+'Beállítások'!$E$8*(D199-1)+'Beállítások'!$E$9*(E199-1)+'Beállítások'!$E$10*(F199-1)+'Beállítások'!$E$11*(G199-1)+'Beállítások'!$E$12*(H199-1)+'Beállítások'!$E$13*(I199-1)+'Beállítások'!$E$14*(J199-1)+'Beállítások'!$E$15*(K199-1)+'Beállítások'!$E$16*(L199-1)+'Beállítások'!$E$17*(M199-1)+'Beállítások'!$E$18*(N199-1)+'Beállítások'!$E$19*(O199-1)+'Beállítások'!$E$20*(P199-1)+'Beállítások'!$E$21*(Q199-1)+'Beállítások'!$E$22*(R199-1)+'Beállítások'!$E$23*(S199-1)+'Beállítások'!$E$24*(T199-1)+'Beállítások'!$E$25*(U199-1)+'Beállítások'!$E$26*(V199-1)+'Beállítások'!$E$27*(W199-1)+'Beállítások'!$E$28*(X199-1)+'Beállítások'!$E$29*(Y199-1)+'Beállítások'!$E$30*(Z199-1)+'Beállítások'!$E$31*(AA199-1)+'Beállítások'!$E$32*(AB199-1)+'Beállítások'!$E$33*(AC199-1)+'Beállítások'!$E$34*(AD199-1)+'Beállítások'!$E$35*(AE199-1)+'Beállítások'!$E$36*(AF199-1)+'Beállítások'!$E$37*(AG199-1)+'Beállítások'!$E$38*(AH199-1))/(9*'Beállítások'!$E$39),1))</f>
        <v/>
      </c>
      <c r="AN199" s="23">
        <f>IF($A199="","",ROUND(100*('Beállítások'!$E$8*(D199-1)+'Beállítások'!$E$9*(E199-1)+'Beállítások'!$E$10*(F199-1)+'Beállítások'!$E$11*(G199-1)+'Beállítások'!$E$12*(H199-1)+'Beállítások'!$E$13*(I199-1)+'Beállítások'!$E$14*(J199-1)+'Beállítások'!$E$15*(K199-1)+'Beállítások'!$E$16*(L199-1)+'Beállítások'!$E$17*(M199-1)+'Beállítások'!$E$18*(N199-1)+'Beállítások'!$E$19*(O199-1)+'Beállítások'!$E$20*(P199-1)+'Beállítások'!$E$21*(Q199-1)+'Beállítások'!$E$22*(R199-1)+'Beállítások'!$E$23*(S199-1)+'Beállítások'!$E$24*(T199-1)+'Beállítások'!$E$25*(U199-1)+'Beállítások'!$E$26*(V199-1)+'Beállítások'!$E$27*(W199-1)+'Beállítások'!$E$28*(X199-1)+'Beállítások'!$E$29*(Y199-1))/(9*('Beállítások'!$B$44+'Beállítások'!$B$45)),1))</f>
        <v/>
      </c>
      <c r="AO199" s="24">
        <f>IF($A199="","",RANK(AM199,$AM$2:$AM$201))</f>
        <v/>
      </c>
      <c r="AP199">
        <f>IF($A199="","",IF(OR(AND('Ügyfelek'!B199&lt;&gt;"",B199&lt;='Beállítások'!$B$85),AND('Ügyfelek'!C199&lt;&gt;"",C199&lt;='Beállítások'!$B$86)),"Igen","Nem"))</f>
        <v/>
      </c>
      <c r="AQ199" s="24">
        <f>IF($A199="","",IF(AP199="Igen",5,IF(AN199&gt;='Beállítások'!$C$108,1,IF(AN199&gt;='Beállítások'!$C$109,2,IF(AN199&gt;='Beállítások'!$C$110,3,IF(AND(AN199&gt;='Beállítások'!$B$87,AI199&gt;='Beállítások'!$B$88,AL199&gt;='Beállítások'!$B$89),4,5))))))</f>
        <v/>
      </c>
      <c r="AR199">
        <f>IF($A199="","",INDEX('Beállítások'!$B$108:$B$112,AQ199))</f>
        <v/>
      </c>
      <c r="AS199">
        <f>IF($A199="","",IF(AQ199=5,"Elutasítjuk",IF(AND(AQ199=4,COUNTIFS('Eredmény'!$AQ$2:$AQ$201,4,'Eredmény'!$DY$2:$DY$201,"&gt;"&amp;DY199)&gt;='Beállítások'!$B$90),"Várólista (a 4-es hely foglalt)","Elfogadjuk")))</f>
        <v/>
      </c>
      <c r="AT199">
        <f>IF($A199="","",INDEX('Beállítások'!$F$108:$F$112,AQ199))</f>
        <v/>
      </c>
      <c r="AU199">
        <f>IF($A199="","",INDEX('Beállítások'!$B$6:$B$38,MATCH(MAX(BK199:CQ199),BK199:CQ199,0)))</f>
        <v/>
      </c>
      <c r="AV199">
        <f>IF($A199="","",IF(MAX(CR199:DX199)=0,"—",INDEX('Beállítások'!$B$6:$B$38,MATCH(MAX(CR199:DX199),CR199:DX199,0))))</f>
        <v/>
      </c>
      <c r="AW199" s="10">
        <f>IF($A199="","",'Beállítások'!$B$94*(TRIM('Ügyfelek'!AI199)="igen")+'Beállítások'!$B$95*(TRIM('Ügyfelek'!AJ199)="igen")+'Beállítások'!$B$96*N('Ügyfelek'!AK199)+'Beállítások'!$B$93*N('Ügyfelek'!AL199))</f>
        <v/>
      </c>
      <c r="AX199" s="25">
        <f>IF(OR($A199="",AQ199=5),"",INDEX('Beállítások'!$D$108:$D$112,AQ199))</f>
        <v/>
      </c>
      <c r="AY199" s="10">
        <f>IF($A199="","",N('Ügyfelek'!U199)*'Beállítások'!$B$98)</f>
        <v/>
      </c>
      <c r="AZ199" s="10">
        <f>IF(OR($A199="",AQ199=5),"",CEILING(ROUND(MAX('Beállítások'!$B$97,AW199*AX199,AY199),2),'Beállítások'!$B$99))</f>
        <v/>
      </c>
      <c r="BA199">
        <f>IF($A199="","",IF(AQ199=5,"Elutasítva",IF(MAX('Beállítások'!$B$97,AW199*AX199,AY199)=AW199*AX199,"Munkaigény × státuszszorzó",IF(MAX('Beállítások'!$B$97,AW199*AX199,AY199)=AY199,"Hirdetési keret arányában","Minimumdíj"))))</f>
        <v/>
      </c>
      <c r="BB199" s="10">
        <f>IF(OR($A199="",'Ügyfelek'!AM199=""),"",'Ügyfelek'!AM199)</f>
        <v/>
      </c>
      <c r="BC199" s="10">
        <f>IF(OR(BB199="",AZ199=""),"",AZ199-BB199)</f>
        <v/>
      </c>
      <c r="BD199" s="18">
        <f>IF(OR(BB199="",AZ199="",BB199=0),"",BC199/BB199)</f>
        <v/>
      </c>
      <c r="BE199">
        <f>IF(OR($A199="",AQ199=5),"",IF(AND(INDEX('Beállítások'!$E$108:$E$112,AQ199)&gt;0,Y199&gt;='Beállítások'!$B$91),"Igen","Nem"))</f>
        <v/>
      </c>
      <c r="BF199" s="10">
        <f>IF(BE199="Igen",CEILING(ROUND(AZ199*(1-'Beállítások'!$B$92),2),'Beállítások'!$B$99),"")</f>
        <v/>
      </c>
      <c r="BG199" s="20">
        <f>IF(BE199="Igen",INDEX('Beállítások'!$E$108:$E$112,AQ199),"")</f>
        <v/>
      </c>
      <c r="BH199" s="10">
        <f>IF(OR(BE199&lt;&gt;"Igen",'Ügyfelek'!AN199=""),"",'Ügyfelek'!AN199*BG199)</f>
        <v/>
      </c>
      <c r="BI199" s="24">
        <f>IF($A199="","",('Ügyfelek'!B199="")+('Ügyfelek'!C199="")+('Ügyfelek'!D199="")+('Ügyfelek'!E199="")+('Ügyfelek'!F199="")+('Ügyfelek'!G199="")+('Ügyfelek'!H199="")+('Ügyfelek'!I199="")+('Ügyfelek'!J199="")+('Ügyfelek'!K199="")+('Ügyfelek'!L199="")+('Ügyfelek'!M199="")+('Ügyfelek'!N199="")+('Ügyfelek'!O199="")+('Ügyfelek'!P199="")+('Ügyfelek'!Q199="")+('Ügyfelek'!R199="")+('Ügyfelek'!S199="")+('Ügyfelek'!T199="")+('Ügyfelek'!U199="")+('Ügyfelek'!V199="")+('Ügyfelek'!W199="")+('Ügyfelek'!X199="")+('Ügyfelek'!Y199="")+('Ügyfelek'!Z199="")+('Ügyfelek'!AA199="")+('Ügyfelek'!AB199="")+('Ügyfelek'!AC199="")+('Ügyfelek'!AD199="")+('Ügyfelek'!AE199="")+('Ügyfelek'!AF199="")+('Ügyfelek'!AG199="")+('Ügyfelek'!AH199=""))</f>
        <v/>
      </c>
      <c r="BK199">
        <f>IF($A199="","",B199+'Beállítások'!$E$6/1000)</f>
        <v/>
      </c>
      <c r="BL199">
        <f>IF($A199="","",C199+'Beállítások'!$E$7/1000)</f>
        <v/>
      </c>
      <c r="BM199">
        <f>IF($A199="","",D199+'Beállítások'!$E$8/1000)</f>
        <v/>
      </c>
      <c r="BN199">
        <f>IF($A199="","",E199+'Beállítások'!$E$9/1000)</f>
        <v/>
      </c>
      <c r="BO199">
        <f>IF($A199="","",F199+'Beállítások'!$E$10/1000)</f>
        <v/>
      </c>
      <c r="BP199">
        <f>IF($A199="","",G199+'Beállítások'!$E$11/1000)</f>
        <v/>
      </c>
      <c r="BQ199">
        <f>IF($A199="","",H199+'Beállítások'!$E$12/1000)</f>
        <v/>
      </c>
      <c r="BR199">
        <f>IF($A199="","",I199+'Beállítások'!$E$13/1000)</f>
        <v/>
      </c>
      <c r="BS199">
        <f>IF($A199="","",J199+'Beállítások'!$E$14/1000)</f>
        <v/>
      </c>
      <c r="BT199">
        <f>IF($A199="","",K199+'Beállítások'!$E$15/1000)</f>
        <v/>
      </c>
      <c r="BU199">
        <f>IF($A199="","",L199+'Beállítások'!$E$16/1000)</f>
        <v/>
      </c>
      <c r="BV199">
        <f>IF($A199="","",M199+'Beállítások'!$E$17/1000)</f>
        <v/>
      </c>
      <c r="BW199">
        <f>IF($A199="","",N199+'Beállítások'!$E$18/1000)</f>
        <v/>
      </c>
      <c r="BX199">
        <f>IF($A199="","",O199+'Beállítások'!$E$19/1000)</f>
        <v/>
      </c>
      <c r="BY199">
        <f>IF($A199="","",P199+'Beállítások'!$E$20/1000)</f>
        <v/>
      </c>
      <c r="BZ199">
        <f>IF($A199="","",Q199+'Beállítások'!$E$21/1000)</f>
        <v/>
      </c>
      <c r="CA199">
        <f>IF($A199="","",R199+'Beállítások'!$E$22/1000)</f>
        <v/>
      </c>
      <c r="CB199">
        <f>IF($A199="","",S199+'Beállítások'!$E$23/1000)</f>
        <v/>
      </c>
      <c r="CC199">
        <f>IF($A199="","",T199+'Beállítások'!$E$24/1000)</f>
        <v/>
      </c>
      <c r="CD199">
        <f>IF($A199="","",U199+'Beállítások'!$E$25/1000)</f>
        <v/>
      </c>
      <c r="CE199">
        <f>IF($A199="","",V199+'Beállítások'!$E$26/1000)</f>
        <v/>
      </c>
      <c r="CF199">
        <f>IF($A199="","",W199+'Beállítások'!$E$27/1000)</f>
        <v/>
      </c>
      <c r="CG199">
        <f>IF($A199="","",X199+'Beállítások'!$E$28/1000)</f>
        <v/>
      </c>
      <c r="CH199">
        <f>IF($A199="","",Y199+'Beállítások'!$E$29/1000)</f>
        <v/>
      </c>
      <c r="CI199">
        <f>IF($A199="","",Z199+'Beállítások'!$E$30/1000)</f>
        <v/>
      </c>
      <c r="CJ199">
        <f>IF($A199="","",AA199+'Beállítások'!$E$31/1000)</f>
        <v/>
      </c>
      <c r="CK199">
        <f>IF($A199="","",AB199+'Beállítások'!$E$32/1000)</f>
        <v/>
      </c>
      <c r="CL199">
        <f>IF($A199="","",AC199+'Beállítások'!$E$33/1000)</f>
        <v/>
      </c>
      <c r="CM199">
        <f>IF($A199="","",AD199+'Beállítások'!$E$34/1000)</f>
        <v/>
      </c>
      <c r="CN199">
        <f>IF($A199="","",AE199+'Beállítások'!$E$35/1000)</f>
        <v/>
      </c>
      <c r="CO199">
        <f>IF($A199="","",AF199+'Beállítások'!$E$36/1000)</f>
        <v/>
      </c>
      <c r="CP199">
        <f>IF($A199="","",AG199+'Beállítások'!$E$37/1000)</f>
        <v/>
      </c>
      <c r="CQ199">
        <f>IF($A199="","",AH199+'Beállítások'!$E$38/1000)</f>
        <v/>
      </c>
      <c r="CR199">
        <f>IF($A199="","",'Beállítások'!$E$6*(10-B199))</f>
        <v/>
      </c>
      <c r="CS199">
        <f>IF($A199="","",'Beállítások'!$E$7*(10-C199))</f>
        <v/>
      </c>
      <c r="CT199">
        <f>IF($A199="","",'Beállítások'!$E$8*(10-D199))</f>
        <v/>
      </c>
      <c r="CU199">
        <f>IF($A199="","",'Beállítások'!$E$9*(10-E199))</f>
        <v/>
      </c>
      <c r="CV199">
        <f>IF($A199="","",'Beállítások'!$E$10*(10-F199))</f>
        <v/>
      </c>
      <c r="CW199">
        <f>IF($A199="","",'Beállítások'!$E$11*(10-G199))</f>
        <v/>
      </c>
      <c r="CX199">
        <f>IF($A199="","",'Beállítások'!$E$12*(10-H199))</f>
        <v/>
      </c>
      <c r="CY199">
        <f>IF($A199="","",'Beállítások'!$E$13*(10-I199))</f>
        <v/>
      </c>
      <c r="CZ199">
        <f>IF($A199="","",'Beállítások'!$E$14*(10-J199))</f>
        <v/>
      </c>
      <c r="DA199">
        <f>IF($A199="","",'Beállítások'!$E$15*(10-K199))</f>
        <v/>
      </c>
      <c r="DB199">
        <f>IF($A199="","",'Beállítások'!$E$16*(10-L199))</f>
        <v/>
      </c>
      <c r="DC199">
        <f>IF($A199="","",'Beállítások'!$E$17*(10-M199))</f>
        <v/>
      </c>
      <c r="DD199">
        <f>IF($A199="","",'Beállítások'!$E$18*(10-N199))</f>
        <v/>
      </c>
      <c r="DE199">
        <f>IF($A199="","",'Beállítások'!$E$19*(10-O199))</f>
        <v/>
      </c>
      <c r="DF199">
        <f>IF($A199="","",'Beállítások'!$E$20*(10-P199))</f>
        <v/>
      </c>
      <c r="DG199">
        <f>IF($A199="","",'Beállítások'!$E$21*(10-Q199))</f>
        <v/>
      </c>
      <c r="DH199">
        <f>IF($A199="","",'Beállítások'!$E$22*(10-R199))</f>
        <v/>
      </c>
      <c r="DI199">
        <f>IF($A199="","",'Beállítások'!$E$23*(10-S199))</f>
        <v/>
      </c>
      <c r="DJ199">
        <f>IF($A199="","",'Beállítások'!$E$24*(10-T199))</f>
        <v/>
      </c>
      <c r="DK199">
        <f>IF($A199="","",'Beállítások'!$E$25*(10-U199))</f>
        <v/>
      </c>
      <c r="DL199">
        <f>IF($A199="","",'Beállítások'!$E$26*(10-V199))</f>
        <v/>
      </c>
      <c r="DM199">
        <f>IF($A199="","",'Beállítások'!$E$27*(10-W199))</f>
        <v/>
      </c>
      <c r="DN199">
        <f>IF($A199="","",'Beállítások'!$E$28*(10-X199))</f>
        <v/>
      </c>
      <c r="DO199">
        <f>IF($A199="","",'Beállítások'!$E$29*(10-Y199))</f>
        <v/>
      </c>
      <c r="DP199">
        <f>IF($A199="","",'Beállítások'!$E$30*(10-Z199))</f>
        <v/>
      </c>
      <c r="DQ199">
        <f>IF($A199="","",'Beállítások'!$E$31*(10-AA199))</f>
        <v/>
      </c>
      <c r="DR199">
        <f>IF($A199="","",'Beállítások'!$E$32*(10-AB199))</f>
        <v/>
      </c>
      <c r="DS199">
        <f>IF($A199="","",'Beállítások'!$E$33*(10-AC199))</f>
        <v/>
      </c>
      <c r="DT199">
        <f>IF($A199="","",'Beállítások'!$E$34*(10-AD199))</f>
        <v/>
      </c>
      <c r="DU199">
        <f>IF($A199="","",'Beállítások'!$E$35*(10-AE199))</f>
        <v/>
      </c>
      <c r="DV199">
        <f>IF($A199="","",'Beállítások'!$E$36*(10-AF199))</f>
        <v/>
      </c>
      <c r="DW199">
        <f>IF($A199="","",'Beállítások'!$E$37*(10-AG199))</f>
        <v/>
      </c>
      <c r="DX199">
        <f>IF($A199="","",'Beállítások'!$E$38*(10-AH199))</f>
        <v/>
      </c>
      <c r="DY199">
        <f>IF($A199="","",AM199-ROW()/100000)</f>
        <v/>
      </c>
    </row>
    <row r="200">
      <c r="A200">
        <f>IF('Ügyfelek'!A200="","",'Ügyfelek'!A200)</f>
        <v/>
      </c>
      <c r="B200">
        <f>IF($A200="","",IF('Ügyfelek'!B200="",'Beállítások'!$B$84,IFERROR(VLOOKUP(TRIM('Ügyfelek'!B200),'Beállítások'!$A$51:$B$59,2,FALSE),'Beállítások'!$B$84)))</f>
        <v/>
      </c>
      <c r="C200">
        <f>IF($A200="","",IF('Ügyfelek'!C200="",'Beállítások'!$B$84,MIN(10,MAX(1,ROUND('Ügyfelek'!C200,0)))))</f>
        <v/>
      </c>
      <c r="D200">
        <f>IF($A200="","",IF('Ügyfelek'!D200="",'Beállítások'!$B$84,MIN(10,MAX(1,ROUND('Ügyfelek'!D200,0)))))</f>
        <v/>
      </c>
      <c r="E200">
        <f>IF($A200="","",IF('Ügyfelek'!E200="",'Beállítások'!$B$84,MIN(10,MAX(1,ROUND('Ügyfelek'!E200,0)))))</f>
        <v/>
      </c>
      <c r="F200">
        <f>IF($A200="","",IF('Ügyfelek'!F200="",'Beállítások'!$B$84,MIN(10,MAX(1,ROUND('Ügyfelek'!F200,0)))))</f>
        <v/>
      </c>
      <c r="G200">
        <f>IF($A200="","",IF('Ügyfelek'!G200="",'Beállítások'!$B$84,MIN(10,MAX(1,ROUND('Ügyfelek'!G200,0)))))</f>
        <v/>
      </c>
      <c r="H200">
        <f>IF($A200="","",IF('Ügyfelek'!H200="",'Beállítások'!$B$84,MIN(10,MAX(1,ROUND('Ügyfelek'!H200,0)))))</f>
        <v/>
      </c>
      <c r="I200">
        <f>IF($A200="","",IF('Ügyfelek'!I200="",'Beállítások'!$B$84,MIN(10,MAX(1,ROUND('Ügyfelek'!I200,0)))))</f>
        <v/>
      </c>
      <c r="J200">
        <f>IF($A200="","",IF('Ügyfelek'!J200="",'Beállítások'!$B$84,MIN(10,MAX(1,ROUND('Ügyfelek'!J200,0)))))</f>
        <v/>
      </c>
      <c r="K200">
        <f>IF($A200="","",IF('Ügyfelek'!K200="",'Beállítások'!$B$84,MIN(10,MAX(1,ROUND('Ügyfelek'!K200,0)))))</f>
        <v/>
      </c>
      <c r="L200">
        <f>IF($A200="","",IF('Ügyfelek'!L200="",'Beállítások'!$B$84,MIN(10,MAX(1,ROUND('Ügyfelek'!L200,0)))))</f>
        <v/>
      </c>
      <c r="M200">
        <f>IF($A200="","",IF('Ügyfelek'!M200="",'Beállítások'!$B$84,MIN(10,MAX(1,ROUND('Ügyfelek'!M200,0)))))</f>
        <v/>
      </c>
      <c r="N200">
        <f>IF($A200="","",IF('Ügyfelek'!N200="",'Beállítások'!$B$84,MIN(10,MAX(1,ROUND('Ügyfelek'!N200,0)))))</f>
        <v/>
      </c>
      <c r="O200">
        <f>IF($A200="","",IF('Ügyfelek'!O200="",'Beállítások'!$B$84,MIN(10,MAX(1,ROUND('Ügyfelek'!O200,0)))))</f>
        <v/>
      </c>
      <c r="P200">
        <f>IF($A200="","",IF('Ügyfelek'!P200="",'Beállítások'!$B$84,MIN(10,MAX(1,ROUND('Ügyfelek'!P200,0)))))</f>
        <v/>
      </c>
      <c r="Q200">
        <f>IF($A200="","",IF('Ügyfelek'!Q200="",'Beállítások'!$B$84,MIN(10,MAX(1,ROUND('Ügyfelek'!Q200,0)))))</f>
        <v/>
      </c>
      <c r="R200">
        <f>IF($A200="","",IF('Ügyfelek'!R200="",'Beállítások'!$B$84,MIN(10,MAX(1,ROUND('Ügyfelek'!R200,0)))))</f>
        <v/>
      </c>
      <c r="S200">
        <f>IF($A200="","",IF('Ügyfelek'!S200="",'Beállítások'!$B$84,MIN(10,MAX(1,ROUND('Ügyfelek'!S200,0)))))</f>
        <v/>
      </c>
      <c r="T200">
        <f>IF($A200="","",IF('Ügyfelek'!T200="",'Beállítások'!$B$84,VLOOKUP(MAX('Ügyfelek'!T200,'Beállítások'!$H$7),'Beállítások'!$H$7:$I$12,2,TRUE)))</f>
        <v/>
      </c>
      <c r="U200">
        <f>IF($A200="","",IF('Ügyfelek'!U200="",'Beállítások'!$B$84,VLOOKUP(MAX('Ügyfelek'!U200,'Beállítások'!$K$7),'Beállítások'!$K$7:$L$12,2,TRUE)))</f>
        <v/>
      </c>
      <c r="V200">
        <f>IF($A200="","",IF('Ügyfelek'!V200="",'Beállítások'!$B$84,MIN(10,MAX(1,ROUND('Ügyfelek'!V200,0)))))</f>
        <v/>
      </c>
      <c r="W200">
        <f>IF($A200="","",IF('Ügyfelek'!W200="",'Beállítások'!$B$84,VLOOKUP(MAX('Ügyfelek'!W200,'Beállítások'!$N$7),'Beállítások'!$N$7:$O$12,2,TRUE)))</f>
        <v/>
      </c>
      <c r="X200">
        <f>IF($A200="","",IF('Ügyfelek'!X200="",'Beállítások'!$B$84,MIN(10,MAX(1,ROUND('Ügyfelek'!X200,0)))))</f>
        <v/>
      </c>
      <c r="Y200">
        <f>IF($A200="","",IF('Ügyfelek'!Y200="",'Beállítások'!$B$84,IFERROR(VLOOKUP(TRIM('Ügyfelek'!Y200),'Beállítások'!$A$63:$B$69,2,FALSE),'Beállítások'!$B$84)))</f>
        <v/>
      </c>
      <c r="Z200">
        <f>IF($A200="","",IF('Ügyfelek'!Z200="",'Beállítások'!$B$84,VLOOKUP(MAX('Ügyfelek'!Z200,'Beállítások'!$Q$7),'Beállítások'!$Q$7:$R$12,2,TRUE)))</f>
        <v/>
      </c>
      <c r="AA200">
        <f>IF($A200="","",IF('Ügyfelek'!AA200="",'Beállítások'!$B$84,VLOOKUP(MAX('Ügyfelek'!AA200,'Beállítások'!$T$7),'Beállítások'!$T$7:$U$12,2,TRUE)))</f>
        <v/>
      </c>
      <c r="AB200">
        <f>IF($A200="","",IF('Ügyfelek'!AB200="",'Beállítások'!$B$84,MIN(10,MAX(1,ROUND('Ügyfelek'!AB200,0)))))</f>
        <v/>
      </c>
      <c r="AC200">
        <f>IF($A200="","",IF('Ügyfelek'!AC200="",'Beállítások'!$B$84,MIN(10,MAX(1,ROUND('Ügyfelek'!AC200,0)))))</f>
        <v/>
      </c>
      <c r="AD200">
        <f>IF($A200="","",IF('Ügyfelek'!AD200="",'Beállítások'!$B$84,MIN(10,MAX(1,ROUND('Ügyfelek'!AD200,0)))))</f>
        <v/>
      </c>
      <c r="AE200">
        <f>IF($A200="","",IF('Ügyfelek'!AE200="",'Beállítások'!$B$84,MIN(10,MAX(1,ROUND('Ügyfelek'!AE200,0)))))</f>
        <v/>
      </c>
      <c r="AF200">
        <f>IF($A200="","",IF('Ügyfelek'!AF200="",'Beállítások'!$B$84,MIN(10,MAX(1,ROUND('Ügyfelek'!AF200,0)))))</f>
        <v/>
      </c>
      <c r="AG200">
        <f>IF($A200="","",IF('Ügyfelek'!AG200="",'Beállítások'!$B$84,MIN(10,MAX(1,ROUND('Ügyfelek'!AG200,0)))))</f>
        <v/>
      </c>
      <c r="AH200">
        <f>IF($A200="","",IF('Ügyfelek'!AH200="",'Beállítások'!$B$84,IFERROR(VLOOKUP(TRIM('Ügyfelek'!AH200),'Beállítások'!$A$73:$B$79,2,FALSE),'Beállítások'!$B$84)))</f>
        <v/>
      </c>
      <c r="AI200" s="23">
        <f>IF($A200="","",ROUND(100*('Beállítások'!$E$6*(B200-1)+'Beállítások'!$E$7*(C200-1))/(9*'Beállítások'!$B$43),1))</f>
        <v/>
      </c>
      <c r="AJ200" s="23">
        <f>IF($A200="","",ROUND(100*('Beállítások'!$E$8*(D200-1)+'Beállítások'!$E$9*(E200-1)+'Beállítások'!$E$10*(F200-1)+'Beállítások'!$E$11*(G200-1)+'Beállítások'!$E$12*(H200-1)+'Beállítások'!$E$13*(I200-1)+'Beállítások'!$E$14*(J200-1)+'Beállítások'!$E$15*(K200-1)+'Beállítások'!$E$16*(L200-1)+'Beállítások'!$E$17*(M200-1)+'Beállítások'!$E$18*(N200-1)+'Beállítások'!$E$19*(O200-1)+'Beállítások'!$E$20*(P200-1)+'Beállítások'!$E$21*(Q200-1)+'Beállítások'!$E$22*(R200-1))/(9*'Beállítások'!$B$44),1))</f>
        <v/>
      </c>
      <c r="AK200" s="23">
        <f>IF($A200="","",ROUND(100*('Beállítások'!$E$23*(S200-1)+'Beállítások'!$E$24*(T200-1)+'Beállítások'!$E$25*(U200-1)+'Beállítások'!$E$26*(V200-1)+'Beállítások'!$E$27*(W200-1)+'Beállítások'!$E$28*(X200-1)+'Beállítások'!$E$29*(Y200-1))/(9*'Beállítások'!$B$45),1))</f>
        <v/>
      </c>
      <c r="AL200" s="23">
        <f>IF($A200="","",ROUND(100*('Beállítások'!$E$30*(Z200-1)+'Beállítások'!$E$31*(AA200-1)+'Beállítások'!$E$32*(AB200-1)+'Beállítások'!$E$33*(AC200-1)+'Beállítások'!$E$34*(AD200-1)+'Beállítások'!$E$35*(AE200-1)+'Beállítások'!$E$36*(AF200-1)+'Beállítások'!$E$37*(AG200-1)+'Beállítások'!$E$38*(AH200-1))/(9*'Beállítások'!$B$46),1))</f>
        <v/>
      </c>
      <c r="AM200" s="23">
        <f>IF($A200="","",ROUND(100*('Beállítások'!$E$6*(B200-1)+'Beállítások'!$E$7*(C200-1)+'Beállítások'!$E$8*(D200-1)+'Beállítások'!$E$9*(E200-1)+'Beállítások'!$E$10*(F200-1)+'Beállítások'!$E$11*(G200-1)+'Beállítások'!$E$12*(H200-1)+'Beállítások'!$E$13*(I200-1)+'Beállítások'!$E$14*(J200-1)+'Beállítások'!$E$15*(K200-1)+'Beállítások'!$E$16*(L200-1)+'Beállítások'!$E$17*(M200-1)+'Beállítások'!$E$18*(N200-1)+'Beállítások'!$E$19*(O200-1)+'Beállítások'!$E$20*(P200-1)+'Beállítások'!$E$21*(Q200-1)+'Beállítások'!$E$22*(R200-1)+'Beállítások'!$E$23*(S200-1)+'Beállítások'!$E$24*(T200-1)+'Beállítások'!$E$25*(U200-1)+'Beállítások'!$E$26*(V200-1)+'Beállítások'!$E$27*(W200-1)+'Beállítások'!$E$28*(X200-1)+'Beállítások'!$E$29*(Y200-1)+'Beállítások'!$E$30*(Z200-1)+'Beállítások'!$E$31*(AA200-1)+'Beállítások'!$E$32*(AB200-1)+'Beállítások'!$E$33*(AC200-1)+'Beállítások'!$E$34*(AD200-1)+'Beállítások'!$E$35*(AE200-1)+'Beállítások'!$E$36*(AF200-1)+'Beállítások'!$E$37*(AG200-1)+'Beállítások'!$E$38*(AH200-1))/(9*'Beállítások'!$E$39),1))</f>
        <v/>
      </c>
      <c r="AN200" s="23">
        <f>IF($A200="","",ROUND(100*('Beállítások'!$E$8*(D200-1)+'Beállítások'!$E$9*(E200-1)+'Beállítások'!$E$10*(F200-1)+'Beállítások'!$E$11*(G200-1)+'Beállítások'!$E$12*(H200-1)+'Beállítások'!$E$13*(I200-1)+'Beállítások'!$E$14*(J200-1)+'Beállítások'!$E$15*(K200-1)+'Beállítások'!$E$16*(L200-1)+'Beállítások'!$E$17*(M200-1)+'Beállítások'!$E$18*(N200-1)+'Beállítások'!$E$19*(O200-1)+'Beállítások'!$E$20*(P200-1)+'Beállítások'!$E$21*(Q200-1)+'Beállítások'!$E$22*(R200-1)+'Beállítások'!$E$23*(S200-1)+'Beállítások'!$E$24*(T200-1)+'Beállítások'!$E$25*(U200-1)+'Beállítások'!$E$26*(V200-1)+'Beállítások'!$E$27*(W200-1)+'Beállítások'!$E$28*(X200-1)+'Beállítások'!$E$29*(Y200-1))/(9*('Beállítások'!$B$44+'Beállítások'!$B$45)),1))</f>
        <v/>
      </c>
      <c r="AO200" s="24">
        <f>IF($A200="","",RANK(AM200,$AM$2:$AM$201))</f>
        <v/>
      </c>
      <c r="AP200">
        <f>IF($A200="","",IF(OR(AND('Ügyfelek'!B200&lt;&gt;"",B200&lt;='Beállítások'!$B$85),AND('Ügyfelek'!C200&lt;&gt;"",C200&lt;='Beállítások'!$B$86)),"Igen","Nem"))</f>
        <v/>
      </c>
      <c r="AQ200" s="24">
        <f>IF($A200="","",IF(AP200="Igen",5,IF(AN200&gt;='Beállítások'!$C$108,1,IF(AN200&gt;='Beállítások'!$C$109,2,IF(AN200&gt;='Beállítások'!$C$110,3,IF(AND(AN200&gt;='Beállítások'!$B$87,AI200&gt;='Beállítások'!$B$88,AL200&gt;='Beállítások'!$B$89),4,5))))))</f>
        <v/>
      </c>
      <c r="AR200">
        <f>IF($A200="","",INDEX('Beállítások'!$B$108:$B$112,AQ200))</f>
        <v/>
      </c>
      <c r="AS200">
        <f>IF($A200="","",IF(AQ200=5,"Elutasítjuk",IF(AND(AQ200=4,COUNTIFS('Eredmény'!$AQ$2:$AQ$201,4,'Eredmény'!$DY$2:$DY$201,"&gt;"&amp;DY200)&gt;='Beállítások'!$B$90),"Várólista (a 4-es hely foglalt)","Elfogadjuk")))</f>
        <v/>
      </c>
      <c r="AT200">
        <f>IF($A200="","",INDEX('Beállítások'!$F$108:$F$112,AQ200))</f>
        <v/>
      </c>
      <c r="AU200">
        <f>IF($A200="","",INDEX('Beállítások'!$B$6:$B$38,MATCH(MAX(BK200:CQ200),BK200:CQ200,0)))</f>
        <v/>
      </c>
      <c r="AV200">
        <f>IF($A200="","",IF(MAX(CR200:DX200)=0,"—",INDEX('Beállítások'!$B$6:$B$38,MATCH(MAX(CR200:DX200),CR200:DX200,0))))</f>
        <v/>
      </c>
      <c r="AW200" s="10">
        <f>IF($A200="","",'Beállítások'!$B$94*(TRIM('Ügyfelek'!AI200)="igen")+'Beállítások'!$B$95*(TRIM('Ügyfelek'!AJ200)="igen")+'Beállítások'!$B$96*N('Ügyfelek'!AK200)+'Beállítások'!$B$93*N('Ügyfelek'!AL200))</f>
        <v/>
      </c>
      <c r="AX200" s="25">
        <f>IF(OR($A200="",AQ200=5),"",INDEX('Beállítások'!$D$108:$D$112,AQ200))</f>
        <v/>
      </c>
      <c r="AY200" s="10">
        <f>IF($A200="","",N('Ügyfelek'!U200)*'Beállítások'!$B$98)</f>
        <v/>
      </c>
      <c r="AZ200" s="10">
        <f>IF(OR($A200="",AQ200=5),"",CEILING(ROUND(MAX('Beállítások'!$B$97,AW200*AX200,AY200),2),'Beállítások'!$B$99))</f>
        <v/>
      </c>
      <c r="BA200">
        <f>IF($A200="","",IF(AQ200=5,"Elutasítva",IF(MAX('Beállítások'!$B$97,AW200*AX200,AY200)=AW200*AX200,"Munkaigény × státuszszorzó",IF(MAX('Beállítások'!$B$97,AW200*AX200,AY200)=AY200,"Hirdetési keret arányában","Minimumdíj"))))</f>
        <v/>
      </c>
      <c r="BB200" s="10">
        <f>IF(OR($A200="",'Ügyfelek'!AM200=""),"",'Ügyfelek'!AM200)</f>
        <v/>
      </c>
      <c r="BC200" s="10">
        <f>IF(OR(BB200="",AZ200=""),"",AZ200-BB200)</f>
        <v/>
      </c>
      <c r="BD200" s="18">
        <f>IF(OR(BB200="",AZ200="",BB200=0),"",BC200/BB200)</f>
        <v/>
      </c>
      <c r="BE200">
        <f>IF(OR($A200="",AQ200=5),"",IF(AND(INDEX('Beállítások'!$E$108:$E$112,AQ200)&gt;0,Y200&gt;='Beállítások'!$B$91),"Igen","Nem"))</f>
        <v/>
      </c>
      <c r="BF200" s="10">
        <f>IF(BE200="Igen",CEILING(ROUND(AZ200*(1-'Beállítások'!$B$92),2),'Beállítások'!$B$99),"")</f>
        <v/>
      </c>
      <c r="BG200" s="20">
        <f>IF(BE200="Igen",INDEX('Beállítások'!$E$108:$E$112,AQ200),"")</f>
        <v/>
      </c>
      <c r="BH200" s="10">
        <f>IF(OR(BE200&lt;&gt;"Igen",'Ügyfelek'!AN200=""),"",'Ügyfelek'!AN200*BG200)</f>
        <v/>
      </c>
      <c r="BI200" s="24">
        <f>IF($A200="","",('Ügyfelek'!B200="")+('Ügyfelek'!C200="")+('Ügyfelek'!D200="")+('Ügyfelek'!E200="")+('Ügyfelek'!F200="")+('Ügyfelek'!G200="")+('Ügyfelek'!H200="")+('Ügyfelek'!I200="")+('Ügyfelek'!J200="")+('Ügyfelek'!K200="")+('Ügyfelek'!L200="")+('Ügyfelek'!M200="")+('Ügyfelek'!N200="")+('Ügyfelek'!O200="")+('Ügyfelek'!P200="")+('Ügyfelek'!Q200="")+('Ügyfelek'!R200="")+('Ügyfelek'!S200="")+('Ügyfelek'!T200="")+('Ügyfelek'!U200="")+('Ügyfelek'!V200="")+('Ügyfelek'!W200="")+('Ügyfelek'!X200="")+('Ügyfelek'!Y200="")+('Ügyfelek'!Z200="")+('Ügyfelek'!AA200="")+('Ügyfelek'!AB200="")+('Ügyfelek'!AC200="")+('Ügyfelek'!AD200="")+('Ügyfelek'!AE200="")+('Ügyfelek'!AF200="")+('Ügyfelek'!AG200="")+('Ügyfelek'!AH200=""))</f>
        <v/>
      </c>
      <c r="BK200">
        <f>IF($A200="","",B200+'Beállítások'!$E$6/1000)</f>
        <v/>
      </c>
      <c r="BL200">
        <f>IF($A200="","",C200+'Beállítások'!$E$7/1000)</f>
        <v/>
      </c>
      <c r="BM200">
        <f>IF($A200="","",D200+'Beállítások'!$E$8/1000)</f>
        <v/>
      </c>
      <c r="BN200">
        <f>IF($A200="","",E200+'Beállítások'!$E$9/1000)</f>
        <v/>
      </c>
      <c r="BO200">
        <f>IF($A200="","",F200+'Beállítások'!$E$10/1000)</f>
        <v/>
      </c>
      <c r="BP200">
        <f>IF($A200="","",G200+'Beállítások'!$E$11/1000)</f>
        <v/>
      </c>
      <c r="BQ200">
        <f>IF($A200="","",H200+'Beállítások'!$E$12/1000)</f>
        <v/>
      </c>
      <c r="BR200">
        <f>IF($A200="","",I200+'Beállítások'!$E$13/1000)</f>
        <v/>
      </c>
      <c r="BS200">
        <f>IF($A200="","",J200+'Beállítások'!$E$14/1000)</f>
        <v/>
      </c>
      <c r="BT200">
        <f>IF($A200="","",K200+'Beállítások'!$E$15/1000)</f>
        <v/>
      </c>
      <c r="BU200">
        <f>IF($A200="","",L200+'Beállítások'!$E$16/1000)</f>
        <v/>
      </c>
      <c r="BV200">
        <f>IF($A200="","",M200+'Beállítások'!$E$17/1000)</f>
        <v/>
      </c>
      <c r="BW200">
        <f>IF($A200="","",N200+'Beállítások'!$E$18/1000)</f>
        <v/>
      </c>
      <c r="BX200">
        <f>IF($A200="","",O200+'Beállítások'!$E$19/1000)</f>
        <v/>
      </c>
      <c r="BY200">
        <f>IF($A200="","",P200+'Beállítások'!$E$20/1000)</f>
        <v/>
      </c>
      <c r="BZ200">
        <f>IF($A200="","",Q200+'Beállítások'!$E$21/1000)</f>
        <v/>
      </c>
      <c r="CA200">
        <f>IF($A200="","",R200+'Beállítások'!$E$22/1000)</f>
        <v/>
      </c>
      <c r="CB200">
        <f>IF($A200="","",S200+'Beállítások'!$E$23/1000)</f>
        <v/>
      </c>
      <c r="CC200">
        <f>IF($A200="","",T200+'Beállítások'!$E$24/1000)</f>
        <v/>
      </c>
      <c r="CD200">
        <f>IF($A200="","",U200+'Beállítások'!$E$25/1000)</f>
        <v/>
      </c>
      <c r="CE200">
        <f>IF($A200="","",V200+'Beállítások'!$E$26/1000)</f>
        <v/>
      </c>
      <c r="CF200">
        <f>IF($A200="","",W200+'Beállítások'!$E$27/1000)</f>
        <v/>
      </c>
      <c r="CG200">
        <f>IF($A200="","",X200+'Beállítások'!$E$28/1000)</f>
        <v/>
      </c>
      <c r="CH200">
        <f>IF($A200="","",Y200+'Beállítások'!$E$29/1000)</f>
        <v/>
      </c>
      <c r="CI200">
        <f>IF($A200="","",Z200+'Beállítások'!$E$30/1000)</f>
        <v/>
      </c>
      <c r="CJ200">
        <f>IF($A200="","",AA200+'Beállítások'!$E$31/1000)</f>
        <v/>
      </c>
      <c r="CK200">
        <f>IF($A200="","",AB200+'Beállítások'!$E$32/1000)</f>
        <v/>
      </c>
      <c r="CL200">
        <f>IF($A200="","",AC200+'Beállítások'!$E$33/1000)</f>
        <v/>
      </c>
      <c r="CM200">
        <f>IF($A200="","",AD200+'Beállítások'!$E$34/1000)</f>
        <v/>
      </c>
      <c r="CN200">
        <f>IF($A200="","",AE200+'Beállítások'!$E$35/1000)</f>
        <v/>
      </c>
      <c r="CO200">
        <f>IF($A200="","",AF200+'Beállítások'!$E$36/1000)</f>
        <v/>
      </c>
      <c r="CP200">
        <f>IF($A200="","",AG200+'Beállítások'!$E$37/1000)</f>
        <v/>
      </c>
      <c r="CQ200">
        <f>IF($A200="","",AH200+'Beállítások'!$E$38/1000)</f>
        <v/>
      </c>
      <c r="CR200">
        <f>IF($A200="","",'Beállítások'!$E$6*(10-B200))</f>
        <v/>
      </c>
      <c r="CS200">
        <f>IF($A200="","",'Beállítások'!$E$7*(10-C200))</f>
        <v/>
      </c>
      <c r="CT200">
        <f>IF($A200="","",'Beállítások'!$E$8*(10-D200))</f>
        <v/>
      </c>
      <c r="CU200">
        <f>IF($A200="","",'Beállítások'!$E$9*(10-E200))</f>
        <v/>
      </c>
      <c r="CV200">
        <f>IF($A200="","",'Beállítások'!$E$10*(10-F200))</f>
        <v/>
      </c>
      <c r="CW200">
        <f>IF($A200="","",'Beállítások'!$E$11*(10-G200))</f>
        <v/>
      </c>
      <c r="CX200">
        <f>IF($A200="","",'Beállítások'!$E$12*(10-H200))</f>
        <v/>
      </c>
      <c r="CY200">
        <f>IF($A200="","",'Beállítások'!$E$13*(10-I200))</f>
        <v/>
      </c>
      <c r="CZ200">
        <f>IF($A200="","",'Beállítások'!$E$14*(10-J200))</f>
        <v/>
      </c>
      <c r="DA200">
        <f>IF($A200="","",'Beállítások'!$E$15*(10-K200))</f>
        <v/>
      </c>
      <c r="DB200">
        <f>IF($A200="","",'Beállítások'!$E$16*(10-L200))</f>
        <v/>
      </c>
      <c r="DC200">
        <f>IF($A200="","",'Beállítások'!$E$17*(10-M200))</f>
        <v/>
      </c>
      <c r="DD200">
        <f>IF($A200="","",'Beállítások'!$E$18*(10-N200))</f>
        <v/>
      </c>
      <c r="DE200">
        <f>IF($A200="","",'Beállítások'!$E$19*(10-O200))</f>
        <v/>
      </c>
      <c r="DF200">
        <f>IF($A200="","",'Beállítások'!$E$20*(10-P200))</f>
        <v/>
      </c>
      <c r="DG200">
        <f>IF($A200="","",'Beállítások'!$E$21*(10-Q200))</f>
        <v/>
      </c>
      <c r="DH200">
        <f>IF($A200="","",'Beállítások'!$E$22*(10-R200))</f>
        <v/>
      </c>
      <c r="DI200">
        <f>IF($A200="","",'Beállítások'!$E$23*(10-S200))</f>
        <v/>
      </c>
      <c r="DJ200">
        <f>IF($A200="","",'Beállítások'!$E$24*(10-T200))</f>
        <v/>
      </c>
      <c r="DK200">
        <f>IF($A200="","",'Beállítások'!$E$25*(10-U200))</f>
        <v/>
      </c>
      <c r="DL200">
        <f>IF($A200="","",'Beállítások'!$E$26*(10-V200))</f>
        <v/>
      </c>
      <c r="DM200">
        <f>IF($A200="","",'Beállítások'!$E$27*(10-W200))</f>
        <v/>
      </c>
      <c r="DN200">
        <f>IF($A200="","",'Beállítások'!$E$28*(10-X200))</f>
        <v/>
      </c>
      <c r="DO200">
        <f>IF($A200="","",'Beállítások'!$E$29*(10-Y200))</f>
        <v/>
      </c>
      <c r="DP200">
        <f>IF($A200="","",'Beállítások'!$E$30*(10-Z200))</f>
        <v/>
      </c>
      <c r="DQ200">
        <f>IF($A200="","",'Beállítások'!$E$31*(10-AA200))</f>
        <v/>
      </c>
      <c r="DR200">
        <f>IF($A200="","",'Beállítások'!$E$32*(10-AB200))</f>
        <v/>
      </c>
      <c r="DS200">
        <f>IF($A200="","",'Beállítások'!$E$33*(10-AC200))</f>
        <v/>
      </c>
      <c r="DT200">
        <f>IF($A200="","",'Beállítások'!$E$34*(10-AD200))</f>
        <v/>
      </c>
      <c r="DU200">
        <f>IF($A200="","",'Beállítások'!$E$35*(10-AE200))</f>
        <v/>
      </c>
      <c r="DV200">
        <f>IF($A200="","",'Beállítások'!$E$36*(10-AF200))</f>
        <v/>
      </c>
      <c r="DW200">
        <f>IF($A200="","",'Beállítások'!$E$37*(10-AG200))</f>
        <v/>
      </c>
      <c r="DX200">
        <f>IF($A200="","",'Beállítások'!$E$38*(10-AH200))</f>
        <v/>
      </c>
      <c r="DY200">
        <f>IF($A200="","",AM200-ROW()/100000)</f>
        <v/>
      </c>
    </row>
    <row r="201">
      <c r="A201">
        <f>IF('Ügyfelek'!A201="","",'Ügyfelek'!A201)</f>
        <v/>
      </c>
      <c r="B201">
        <f>IF($A201="","",IF('Ügyfelek'!B201="",'Beállítások'!$B$84,IFERROR(VLOOKUP(TRIM('Ügyfelek'!B201),'Beállítások'!$A$51:$B$59,2,FALSE),'Beállítások'!$B$84)))</f>
        <v/>
      </c>
      <c r="C201">
        <f>IF($A201="","",IF('Ügyfelek'!C201="",'Beállítások'!$B$84,MIN(10,MAX(1,ROUND('Ügyfelek'!C201,0)))))</f>
        <v/>
      </c>
      <c r="D201">
        <f>IF($A201="","",IF('Ügyfelek'!D201="",'Beállítások'!$B$84,MIN(10,MAX(1,ROUND('Ügyfelek'!D201,0)))))</f>
        <v/>
      </c>
      <c r="E201">
        <f>IF($A201="","",IF('Ügyfelek'!E201="",'Beállítások'!$B$84,MIN(10,MAX(1,ROUND('Ügyfelek'!E201,0)))))</f>
        <v/>
      </c>
      <c r="F201">
        <f>IF($A201="","",IF('Ügyfelek'!F201="",'Beállítások'!$B$84,MIN(10,MAX(1,ROUND('Ügyfelek'!F201,0)))))</f>
        <v/>
      </c>
      <c r="G201">
        <f>IF($A201="","",IF('Ügyfelek'!G201="",'Beállítások'!$B$84,MIN(10,MAX(1,ROUND('Ügyfelek'!G201,0)))))</f>
        <v/>
      </c>
      <c r="H201">
        <f>IF($A201="","",IF('Ügyfelek'!H201="",'Beállítások'!$B$84,MIN(10,MAX(1,ROUND('Ügyfelek'!H201,0)))))</f>
        <v/>
      </c>
      <c r="I201">
        <f>IF($A201="","",IF('Ügyfelek'!I201="",'Beállítások'!$B$84,MIN(10,MAX(1,ROUND('Ügyfelek'!I201,0)))))</f>
        <v/>
      </c>
      <c r="J201">
        <f>IF($A201="","",IF('Ügyfelek'!J201="",'Beállítások'!$B$84,MIN(10,MAX(1,ROUND('Ügyfelek'!J201,0)))))</f>
        <v/>
      </c>
      <c r="K201">
        <f>IF($A201="","",IF('Ügyfelek'!K201="",'Beállítások'!$B$84,MIN(10,MAX(1,ROUND('Ügyfelek'!K201,0)))))</f>
        <v/>
      </c>
      <c r="L201">
        <f>IF($A201="","",IF('Ügyfelek'!L201="",'Beállítások'!$B$84,MIN(10,MAX(1,ROUND('Ügyfelek'!L201,0)))))</f>
        <v/>
      </c>
      <c r="M201">
        <f>IF($A201="","",IF('Ügyfelek'!M201="",'Beállítások'!$B$84,MIN(10,MAX(1,ROUND('Ügyfelek'!M201,0)))))</f>
        <v/>
      </c>
      <c r="N201">
        <f>IF($A201="","",IF('Ügyfelek'!N201="",'Beállítások'!$B$84,MIN(10,MAX(1,ROUND('Ügyfelek'!N201,0)))))</f>
        <v/>
      </c>
      <c r="O201">
        <f>IF($A201="","",IF('Ügyfelek'!O201="",'Beállítások'!$B$84,MIN(10,MAX(1,ROUND('Ügyfelek'!O201,0)))))</f>
        <v/>
      </c>
      <c r="P201">
        <f>IF($A201="","",IF('Ügyfelek'!P201="",'Beállítások'!$B$84,MIN(10,MAX(1,ROUND('Ügyfelek'!P201,0)))))</f>
        <v/>
      </c>
      <c r="Q201">
        <f>IF($A201="","",IF('Ügyfelek'!Q201="",'Beállítások'!$B$84,MIN(10,MAX(1,ROUND('Ügyfelek'!Q201,0)))))</f>
        <v/>
      </c>
      <c r="R201">
        <f>IF($A201="","",IF('Ügyfelek'!R201="",'Beállítások'!$B$84,MIN(10,MAX(1,ROUND('Ügyfelek'!R201,0)))))</f>
        <v/>
      </c>
      <c r="S201">
        <f>IF($A201="","",IF('Ügyfelek'!S201="",'Beállítások'!$B$84,MIN(10,MAX(1,ROUND('Ügyfelek'!S201,0)))))</f>
        <v/>
      </c>
      <c r="T201">
        <f>IF($A201="","",IF('Ügyfelek'!T201="",'Beállítások'!$B$84,VLOOKUP(MAX('Ügyfelek'!T201,'Beállítások'!$H$7),'Beállítások'!$H$7:$I$12,2,TRUE)))</f>
        <v/>
      </c>
      <c r="U201">
        <f>IF($A201="","",IF('Ügyfelek'!U201="",'Beállítások'!$B$84,VLOOKUP(MAX('Ügyfelek'!U201,'Beállítások'!$K$7),'Beállítások'!$K$7:$L$12,2,TRUE)))</f>
        <v/>
      </c>
      <c r="V201">
        <f>IF($A201="","",IF('Ügyfelek'!V201="",'Beállítások'!$B$84,MIN(10,MAX(1,ROUND('Ügyfelek'!V201,0)))))</f>
        <v/>
      </c>
      <c r="W201">
        <f>IF($A201="","",IF('Ügyfelek'!W201="",'Beállítások'!$B$84,VLOOKUP(MAX('Ügyfelek'!W201,'Beállítások'!$N$7),'Beállítások'!$N$7:$O$12,2,TRUE)))</f>
        <v/>
      </c>
      <c r="X201">
        <f>IF($A201="","",IF('Ügyfelek'!X201="",'Beállítások'!$B$84,MIN(10,MAX(1,ROUND('Ügyfelek'!X201,0)))))</f>
        <v/>
      </c>
      <c r="Y201">
        <f>IF($A201="","",IF('Ügyfelek'!Y201="",'Beállítások'!$B$84,IFERROR(VLOOKUP(TRIM('Ügyfelek'!Y201),'Beállítások'!$A$63:$B$69,2,FALSE),'Beállítások'!$B$84)))</f>
        <v/>
      </c>
      <c r="Z201">
        <f>IF($A201="","",IF('Ügyfelek'!Z201="",'Beállítások'!$B$84,VLOOKUP(MAX('Ügyfelek'!Z201,'Beállítások'!$Q$7),'Beállítások'!$Q$7:$R$12,2,TRUE)))</f>
        <v/>
      </c>
      <c r="AA201">
        <f>IF($A201="","",IF('Ügyfelek'!AA201="",'Beállítások'!$B$84,VLOOKUP(MAX('Ügyfelek'!AA201,'Beállítások'!$T$7),'Beállítások'!$T$7:$U$12,2,TRUE)))</f>
        <v/>
      </c>
      <c r="AB201">
        <f>IF($A201="","",IF('Ügyfelek'!AB201="",'Beállítások'!$B$84,MIN(10,MAX(1,ROUND('Ügyfelek'!AB201,0)))))</f>
        <v/>
      </c>
      <c r="AC201">
        <f>IF($A201="","",IF('Ügyfelek'!AC201="",'Beállítások'!$B$84,MIN(10,MAX(1,ROUND('Ügyfelek'!AC201,0)))))</f>
        <v/>
      </c>
      <c r="AD201">
        <f>IF($A201="","",IF('Ügyfelek'!AD201="",'Beállítások'!$B$84,MIN(10,MAX(1,ROUND('Ügyfelek'!AD201,0)))))</f>
        <v/>
      </c>
      <c r="AE201">
        <f>IF($A201="","",IF('Ügyfelek'!AE201="",'Beállítások'!$B$84,MIN(10,MAX(1,ROUND('Ügyfelek'!AE201,0)))))</f>
        <v/>
      </c>
      <c r="AF201">
        <f>IF($A201="","",IF('Ügyfelek'!AF201="",'Beállítások'!$B$84,MIN(10,MAX(1,ROUND('Ügyfelek'!AF201,0)))))</f>
        <v/>
      </c>
      <c r="AG201">
        <f>IF($A201="","",IF('Ügyfelek'!AG201="",'Beállítások'!$B$84,MIN(10,MAX(1,ROUND('Ügyfelek'!AG201,0)))))</f>
        <v/>
      </c>
      <c r="AH201">
        <f>IF($A201="","",IF('Ügyfelek'!AH201="",'Beállítások'!$B$84,IFERROR(VLOOKUP(TRIM('Ügyfelek'!AH201),'Beállítások'!$A$73:$B$79,2,FALSE),'Beállítások'!$B$84)))</f>
        <v/>
      </c>
      <c r="AI201" s="23">
        <f>IF($A201="","",ROUND(100*('Beállítások'!$E$6*(B201-1)+'Beállítások'!$E$7*(C201-1))/(9*'Beállítások'!$B$43),1))</f>
        <v/>
      </c>
      <c r="AJ201" s="23">
        <f>IF($A201="","",ROUND(100*('Beállítások'!$E$8*(D201-1)+'Beállítások'!$E$9*(E201-1)+'Beállítások'!$E$10*(F201-1)+'Beállítások'!$E$11*(G201-1)+'Beállítások'!$E$12*(H201-1)+'Beállítások'!$E$13*(I201-1)+'Beállítások'!$E$14*(J201-1)+'Beállítások'!$E$15*(K201-1)+'Beállítások'!$E$16*(L201-1)+'Beállítások'!$E$17*(M201-1)+'Beállítások'!$E$18*(N201-1)+'Beállítások'!$E$19*(O201-1)+'Beállítások'!$E$20*(P201-1)+'Beállítások'!$E$21*(Q201-1)+'Beállítások'!$E$22*(R201-1))/(9*'Beállítások'!$B$44),1))</f>
        <v/>
      </c>
      <c r="AK201" s="23">
        <f>IF($A201="","",ROUND(100*('Beállítások'!$E$23*(S201-1)+'Beállítások'!$E$24*(T201-1)+'Beállítások'!$E$25*(U201-1)+'Beállítások'!$E$26*(V201-1)+'Beállítások'!$E$27*(W201-1)+'Beállítások'!$E$28*(X201-1)+'Beállítások'!$E$29*(Y201-1))/(9*'Beállítások'!$B$45),1))</f>
        <v/>
      </c>
      <c r="AL201" s="23">
        <f>IF($A201="","",ROUND(100*('Beállítások'!$E$30*(Z201-1)+'Beállítások'!$E$31*(AA201-1)+'Beállítások'!$E$32*(AB201-1)+'Beállítások'!$E$33*(AC201-1)+'Beállítások'!$E$34*(AD201-1)+'Beállítások'!$E$35*(AE201-1)+'Beállítások'!$E$36*(AF201-1)+'Beállítások'!$E$37*(AG201-1)+'Beállítások'!$E$38*(AH201-1))/(9*'Beállítások'!$B$46),1))</f>
        <v/>
      </c>
      <c r="AM201" s="23">
        <f>IF($A201="","",ROUND(100*('Beállítások'!$E$6*(B201-1)+'Beállítások'!$E$7*(C201-1)+'Beállítások'!$E$8*(D201-1)+'Beállítások'!$E$9*(E201-1)+'Beállítások'!$E$10*(F201-1)+'Beállítások'!$E$11*(G201-1)+'Beállítások'!$E$12*(H201-1)+'Beállítások'!$E$13*(I201-1)+'Beállítások'!$E$14*(J201-1)+'Beállítások'!$E$15*(K201-1)+'Beállítások'!$E$16*(L201-1)+'Beállítások'!$E$17*(M201-1)+'Beállítások'!$E$18*(N201-1)+'Beállítások'!$E$19*(O201-1)+'Beállítások'!$E$20*(P201-1)+'Beállítások'!$E$21*(Q201-1)+'Beállítások'!$E$22*(R201-1)+'Beállítások'!$E$23*(S201-1)+'Beállítások'!$E$24*(T201-1)+'Beállítások'!$E$25*(U201-1)+'Beállítások'!$E$26*(V201-1)+'Beállítások'!$E$27*(W201-1)+'Beállítások'!$E$28*(X201-1)+'Beállítások'!$E$29*(Y201-1)+'Beállítások'!$E$30*(Z201-1)+'Beállítások'!$E$31*(AA201-1)+'Beállítások'!$E$32*(AB201-1)+'Beállítások'!$E$33*(AC201-1)+'Beállítások'!$E$34*(AD201-1)+'Beállítások'!$E$35*(AE201-1)+'Beállítások'!$E$36*(AF201-1)+'Beállítások'!$E$37*(AG201-1)+'Beállítások'!$E$38*(AH201-1))/(9*'Beállítások'!$E$39),1))</f>
        <v/>
      </c>
      <c r="AN201" s="23">
        <f>IF($A201="","",ROUND(100*('Beállítások'!$E$8*(D201-1)+'Beállítások'!$E$9*(E201-1)+'Beállítások'!$E$10*(F201-1)+'Beállítások'!$E$11*(G201-1)+'Beállítások'!$E$12*(H201-1)+'Beállítások'!$E$13*(I201-1)+'Beállítások'!$E$14*(J201-1)+'Beállítások'!$E$15*(K201-1)+'Beállítások'!$E$16*(L201-1)+'Beállítások'!$E$17*(M201-1)+'Beállítások'!$E$18*(N201-1)+'Beállítások'!$E$19*(O201-1)+'Beállítások'!$E$20*(P201-1)+'Beállítások'!$E$21*(Q201-1)+'Beállítások'!$E$22*(R201-1)+'Beállítások'!$E$23*(S201-1)+'Beállítások'!$E$24*(T201-1)+'Beállítások'!$E$25*(U201-1)+'Beállítások'!$E$26*(V201-1)+'Beállítások'!$E$27*(W201-1)+'Beállítások'!$E$28*(X201-1)+'Beállítások'!$E$29*(Y201-1))/(9*('Beállítások'!$B$44+'Beállítások'!$B$45)),1))</f>
        <v/>
      </c>
      <c r="AO201" s="24">
        <f>IF($A201="","",RANK(AM201,$AM$2:$AM$201))</f>
        <v/>
      </c>
      <c r="AP201">
        <f>IF($A201="","",IF(OR(AND('Ügyfelek'!B201&lt;&gt;"",B201&lt;='Beállítások'!$B$85),AND('Ügyfelek'!C201&lt;&gt;"",C201&lt;='Beállítások'!$B$86)),"Igen","Nem"))</f>
        <v/>
      </c>
      <c r="AQ201" s="24">
        <f>IF($A201="","",IF(AP201="Igen",5,IF(AN201&gt;='Beállítások'!$C$108,1,IF(AN201&gt;='Beállítások'!$C$109,2,IF(AN201&gt;='Beállítások'!$C$110,3,IF(AND(AN201&gt;='Beállítások'!$B$87,AI201&gt;='Beállítások'!$B$88,AL201&gt;='Beállítások'!$B$89),4,5))))))</f>
        <v/>
      </c>
      <c r="AR201">
        <f>IF($A201="","",INDEX('Beállítások'!$B$108:$B$112,AQ201))</f>
        <v/>
      </c>
      <c r="AS201">
        <f>IF($A201="","",IF(AQ201=5,"Elutasítjuk",IF(AND(AQ201=4,COUNTIFS('Eredmény'!$AQ$2:$AQ$201,4,'Eredmény'!$DY$2:$DY$201,"&gt;"&amp;DY201)&gt;='Beállítások'!$B$90),"Várólista (a 4-es hely foglalt)","Elfogadjuk")))</f>
        <v/>
      </c>
      <c r="AT201">
        <f>IF($A201="","",INDEX('Beállítások'!$F$108:$F$112,AQ201))</f>
        <v/>
      </c>
      <c r="AU201">
        <f>IF($A201="","",INDEX('Beállítások'!$B$6:$B$38,MATCH(MAX(BK201:CQ201),BK201:CQ201,0)))</f>
        <v/>
      </c>
      <c r="AV201">
        <f>IF($A201="","",IF(MAX(CR201:DX201)=0,"—",INDEX('Beállítások'!$B$6:$B$38,MATCH(MAX(CR201:DX201),CR201:DX201,0))))</f>
        <v/>
      </c>
      <c r="AW201" s="10">
        <f>IF($A201="","",'Beállítások'!$B$94*(TRIM('Ügyfelek'!AI201)="igen")+'Beállítások'!$B$95*(TRIM('Ügyfelek'!AJ201)="igen")+'Beállítások'!$B$96*N('Ügyfelek'!AK201)+'Beállítások'!$B$93*N('Ügyfelek'!AL201))</f>
        <v/>
      </c>
      <c r="AX201" s="25">
        <f>IF(OR($A201="",AQ201=5),"",INDEX('Beállítások'!$D$108:$D$112,AQ201))</f>
        <v/>
      </c>
      <c r="AY201" s="10">
        <f>IF($A201="","",N('Ügyfelek'!U201)*'Beállítások'!$B$98)</f>
        <v/>
      </c>
      <c r="AZ201" s="10">
        <f>IF(OR($A201="",AQ201=5),"",CEILING(ROUND(MAX('Beállítások'!$B$97,AW201*AX201,AY201),2),'Beállítások'!$B$99))</f>
        <v/>
      </c>
      <c r="BA201">
        <f>IF($A201="","",IF(AQ201=5,"Elutasítva",IF(MAX('Beállítások'!$B$97,AW201*AX201,AY201)=AW201*AX201,"Munkaigény × státuszszorzó",IF(MAX('Beállítások'!$B$97,AW201*AX201,AY201)=AY201,"Hirdetési keret arányában","Minimumdíj"))))</f>
        <v/>
      </c>
      <c r="BB201" s="10">
        <f>IF(OR($A201="",'Ügyfelek'!AM201=""),"",'Ügyfelek'!AM201)</f>
        <v/>
      </c>
      <c r="BC201" s="10">
        <f>IF(OR(BB201="",AZ201=""),"",AZ201-BB201)</f>
        <v/>
      </c>
      <c r="BD201" s="18">
        <f>IF(OR(BB201="",AZ201="",BB201=0),"",BC201/BB201)</f>
        <v/>
      </c>
      <c r="BE201">
        <f>IF(OR($A201="",AQ201=5),"",IF(AND(INDEX('Beállítások'!$E$108:$E$112,AQ201)&gt;0,Y201&gt;='Beállítások'!$B$91),"Igen","Nem"))</f>
        <v/>
      </c>
      <c r="BF201" s="10">
        <f>IF(BE201="Igen",CEILING(ROUND(AZ201*(1-'Beállítások'!$B$92),2),'Beállítások'!$B$99),"")</f>
        <v/>
      </c>
      <c r="BG201" s="20">
        <f>IF(BE201="Igen",INDEX('Beállítások'!$E$108:$E$112,AQ201),"")</f>
        <v/>
      </c>
      <c r="BH201" s="10">
        <f>IF(OR(BE201&lt;&gt;"Igen",'Ügyfelek'!AN201=""),"",'Ügyfelek'!AN201*BG201)</f>
        <v/>
      </c>
      <c r="BI201" s="24">
        <f>IF($A201="","",('Ügyfelek'!B201="")+('Ügyfelek'!C201="")+('Ügyfelek'!D201="")+('Ügyfelek'!E201="")+('Ügyfelek'!F201="")+('Ügyfelek'!G201="")+('Ügyfelek'!H201="")+('Ügyfelek'!I201="")+('Ügyfelek'!J201="")+('Ügyfelek'!K201="")+('Ügyfelek'!L201="")+('Ügyfelek'!M201="")+('Ügyfelek'!N201="")+('Ügyfelek'!O201="")+('Ügyfelek'!P201="")+('Ügyfelek'!Q201="")+('Ügyfelek'!R201="")+('Ügyfelek'!S201="")+('Ügyfelek'!T201="")+('Ügyfelek'!U201="")+('Ügyfelek'!V201="")+('Ügyfelek'!W201="")+('Ügyfelek'!X201="")+('Ügyfelek'!Y201="")+('Ügyfelek'!Z201="")+('Ügyfelek'!AA201="")+('Ügyfelek'!AB201="")+('Ügyfelek'!AC201="")+('Ügyfelek'!AD201="")+('Ügyfelek'!AE201="")+('Ügyfelek'!AF201="")+('Ügyfelek'!AG201="")+('Ügyfelek'!AH201=""))</f>
        <v/>
      </c>
      <c r="BK201">
        <f>IF($A201="","",B201+'Beállítások'!$E$6/1000)</f>
        <v/>
      </c>
      <c r="BL201">
        <f>IF($A201="","",C201+'Beállítások'!$E$7/1000)</f>
        <v/>
      </c>
      <c r="BM201">
        <f>IF($A201="","",D201+'Beállítások'!$E$8/1000)</f>
        <v/>
      </c>
      <c r="BN201">
        <f>IF($A201="","",E201+'Beállítások'!$E$9/1000)</f>
        <v/>
      </c>
      <c r="BO201">
        <f>IF($A201="","",F201+'Beállítások'!$E$10/1000)</f>
        <v/>
      </c>
      <c r="BP201">
        <f>IF($A201="","",G201+'Beállítások'!$E$11/1000)</f>
        <v/>
      </c>
      <c r="BQ201">
        <f>IF($A201="","",H201+'Beállítások'!$E$12/1000)</f>
        <v/>
      </c>
      <c r="BR201">
        <f>IF($A201="","",I201+'Beállítások'!$E$13/1000)</f>
        <v/>
      </c>
      <c r="BS201">
        <f>IF($A201="","",J201+'Beállítások'!$E$14/1000)</f>
        <v/>
      </c>
      <c r="BT201">
        <f>IF($A201="","",K201+'Beállítások'!$E$15/1000)</f>
        <v/>
      </c>
      <c r="BU201">
        <f>IF($A201="","",L201+'Beállítások'!$E$16/1000)</f>
        <v/>
      </c>
      <c r="BV201">
        <f>IF($A201="","",M201+'Beállítások'!$E$17/1000)</f>
        <v/>
      </c>
      <c r="BW201">
        <f>IF($A201="","",N201+'Beállítások'!$E$18/1000)</f>
        <v/>
      </c>
      <c r="BX201">
        <f>IF($A201="","",O201+'Beállítások'!$E$19/1000)</f>
        <v/>
      </c>
      <c r="BY201">
        <f>IF($A201="","",P201+'Beállítások'!$E$20/1000)</f>
        <v/>
      </c>
      <c r="BZ201">
        <f>IF($A201="","",Q201+'Beállítások'!$E$21/1000)</f>
        <v/>
      </c>
      <c r="CA201">
        <f>IF($A201="","",R201+'Beállítások'!$E$22/1000)</f>
        <v/>
      </c>
      <c r="CB201">
        <f>IF($A201="","",S201+'Beállítások'!$E$23/1000)</f>
        <v/>
      </c>
      <c r="CC201">
        <f>IF($A201="","",T201+'Beállítások'!$E$24/1000)</f>
        <v/>
      </c>
      <c r="CD201">
        <f>IF($A201="","",U201+'Beállítások'!$E$25/1000)</f>
        <v/>
      </c>
      <c r="CE201">
        <f>IF($A201="","",V201+'Beállítások'!$E$26/1000)</f>
        <v/>
      </c>
      <c r="CF201">
        <f>IF($A201="","",W201+'Beállítások'!$E$27/1000)</f>
        <v/>
      </c>
      <c r="CG201">
        <f>IF($A201="","",X201+'Beállítások'!$E$28/1000)</f>
        <v/>
      </c>
      <c r="CH201">
        <f>IF($A201="","",Y201+'Beállítások'!$E$29/1000)</f>
        <v/>
      </c>
      <c r="CI201">
        <f>IF($A201="","",Z201+'Beállítások'!$E$30/1000)</f>
        <v/>
      </c>
      <c r="CJ201">
        <f>IF($A201="","",AA201+'Beállítások'!$E$31/1000)</f>
        <v/>
      </c>
      <c r="CK201">
        <f>IF($A201="","",AB201+'Beállítások'!$E$32/1000)</f>
        <v/>
      </c>
      <c r="CL201">
        <f>IF($A201="","",AC201+'Beállítások'!$E$33/1000)</f>
        <v/>
      </c>
      <c r="CM201">
        <f>IF($A201="","",AD201+'Beállítások'!$E$34/1000)</f>
        <v/>
      </c>
      <c r="CN201">
        <f>IF($A201="","",AE201+'Beállítások'!$E$35/1000)</f>
        <v/>
      </c>
      <c r="CO201">
        <f>IF($A201="","",AF201+'Beállítások'!$E$36/1000)</f>
        <v/>
      </c>
      <c r="CP201">
        <f>IF($A201="","",AG201+'Beállítások'!$E$37/1000)</f>
        <v/>
      </c>
      <c r="CQ201">
        <f>IF($A201="","",AH201+'Beállítások'!$E$38/1000)</f>
        <v/>
      </c>
      <c r="CR201">
        <f>IF($A201="","",'Beállítások'!$E$6*(10-B201))</f>
        <v/>
      </c>
      <c r="CS201">
        <f>IF($A201="","",'Beállítások'!$E$7*(10-C201))</f>
        <v/>
      </c>
      <c r="CT201">
        <f>IF($A201="","",'Beállítások'!$E$8*(10-D201))</f>
        <v/>
      </c>
      <c r="CU201">
        <f>IF($A201="","",'Beállítások'!$E$9*(10-E201))</f>
        <v/>
      </c>
      <c r="CV201">
        <f>IF($A201="","",'Beállítások'!$E$10*(10-F201))</f>
        <v/>
      </c>
      <c r="CW201">
        <f>IF($A201="","",'Beállítások'!$E$11*(10-G201))</f>
        <v/>
      </c>
      <c r="CX201">
        <f>IF($A201="","",'Beállítások'!$E$12*(10-H201))</f>
        <v/>
      </c>
      <c r="CY201">
        <f>IF($A201="","",'Beállítások'!$E$13*(10-I201))</f>
        <v/>
      </c>
      <c r="CZ201">
        <f>IF($A201="","",'Beállítások'!$E$14*(10-J201))</f>
        <v/>
      </c>
      <c r="DA201">
        <f>IF($A201="","",'Beállítások'!$E$15*(10-K201))</f>
        <v/>
      </c>
      <c r="DB201">
        <f>IF($A201="","",'Beállítások'!$E$16*(10-L201))</f>
        <v/>
      </c>
      <c r="DC201">
        <f>IF($A201="","",'Beállítások'!$E$17*(10-M201))</f>
        <v/>
      </c>
      <c r="DD201">
        <f>IF($A201="","",'Beállítások'!$E$18*(10-N201))</f>
        <v/>
      </c>
      <c r="DE201">
        <f>IF($A201="","",'Beállítások'!$E$19*(10-O201))</f>
        <v/>
      </c>
      <c r="DF201">
        <f>IF($A201="","",'Beállítások'!$E$20*(10-P201))</f>
        <v/>
      </c>
      <c r="DG201">
        <f>IF($A201="","",'Beállítások'!$E$21*(10-Q201))</f>
        <v/>
      </c>
      <c r="DH201">
        <f>IF($A201="","",'Beállítások'!$E$22*(10-R201))</f>
        <v/>
      </c>
      <c r="DI201">
        <f>IF($A201="","",'Beállítások'!$E$23*(10-S201))</f>
        <v/>
      </c>
      <c r="DJ201">
        <f>IF($A201="","",'Beállítások'!$E$24*(10-T201))</f>
        <v/>
      </c>
      <c r="DK201">
        <f>IF($A201="","",'Beállítások'!$E$25*(10-U201))</f>
        <v/>
      </c>
      <c r="DL201">
        <f>IF($A201="","",'Beállítások'!$E$26*(10-V201))</f>
        <v/>
      </c>
      <c r="DM201">
        <f>IF($A201="","",'Beállítások'!$E$27*(10-W201))</f>
        <v/>
      </c>
      <c r="DN201">
        <f>IF($A201="","",'Beállítások'!$E$28*(10-X201))</f>
        <v/>
      </c>
      <c r="DO201">
        <f>IF($A201="","",'Beállítások'!$E$29*(10-Y201))</f>
        <v/>
      </c>
      <c r="DP201">
        <f>IF($A201="","",'Beállítások'!$E$30*(10-Z201))</f>
        <v/>
      </c>
      <c r="DQ201">
        <f>IF($A201="","",'Beállítások'!$E$31*(10-AA201))</f>
        <v/>
      </c>
      <c r="DR201">
        <f>IF($A201="","",'Beállítások'!$E$32*(10-AB201))</f>
        <v/>
      </c>
      <c r="DS201">
        <f>IF($A201="","",'Beállítások'!$E$33*(10-AC201))</f>
        <v/>
      </c>
      <c r="DT201">
        <f>IF($A201="","",'Beállítások'!$E$34*(10-AD201))</f>
        <v/>
      </c>
      <c r="DU201">
        <f>IF($A201="","",'Beállítások'!$E$35*(10-AE201))</f>
        <v/>
      </c>
      <c r="DV201">
        <f>IF($A201="","",'Beállítások'!$E$36*(10-AF201))</f>
        <v/>
      </c>
      <c r="DW201">
        <f>IF($A201="","",'Beállítások'!$E$37*(10-AG201))</f>
        <v/>
      </c>
      <c r="DX201">
        <f>IF($A201="","",'Beállítások'!$E$38*(10-AH201))</f>
        <v/>
      </c>
      <c r="DY201">
        <f>IF($A201="","",AM201-ROW()/100000)</f>
        <v/>
      </c>
    </row>
  </sheetData>
  <autoFilter ref="A1:BI201"/>
  <conditionalFormatting sqref="AM2:AM201">
    <cfRule type="dataBar" priority="1">
      <dataBar>
        <cfvo type="num" val="0"/>
        <cfvo type="num" val="100"/>
        <color rgb="002E981B"/>
      </dataBar>
    </cfRule>
  </conditionalFormatting>
  <conditionalFormatting sqref="AQ2:AR201">
    <cfRule type="expression" priority="2" dxfId="0">
      <formula>$AQ2=1</formula>
    </cfRule>
    <cfRule type="expression" priority="3" dxfId="1">
      <formula>$AQ2=2</formula>
    </cfRule>
    <cfRule type="expression" priority="4" dxfId="2">
      <formula>$AQ2=3</formula>
    </cfRule>
    <cfRule type="expression" priority="5" dxfId="3">
      <formula>$AQ2=4</formula>
    </cfRule>
    <cfRule type="expression" priority="6" dxfId="4">
      <formula>$AQ2=5</formula>
    </cfRule>
  </conditionalFormatting>
  <conditionalFormatting sqref="AS2:AS201">
    <cfRule type="expression" priority="7" dxfId="5">
      <formula>AS2="Elfogadjuk"</formula>
    </cfRule>
    <cfRule type="expression" priority="8" dxfId="6">
      <formula>AS2="Várólista (a 4-es hely foglalt)"</formula>
    </cfRule>
    <cfRule type="expression" priority="9" dxfId="7">
      <formula>AS2="Elutasítjuk"</formula>
    </cfRule>
  </conditionalFormatting>
  <conditionalFormatting sqref="BC2:BD201">
    <cfRule type="cellIs" priority="10" operator="greaterThan" dxfId="5">
      <formula>0</formula>
    </cfRule>
    <cfRule type="cellIs" priority="11" operator="lessThan" dxfId="7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98781"/>
    <outlinePr summaryBelow="1" summaryRight="1"/>
    <pageSetUpPr/>
  </sheetPr>
  <dimension ref="A1:U1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8" customWidth="1" min="3" max="3"/>
    <col width="11" customWidth="1" min="4" max="4"/>
    <col width="8" customWidth="1" min="5" max="5"/>
    <col width="70" customWidth="1" min="6" max="6"/>
    <col width="13" customWidth="1" min="8" max="8"/>
    <col width="7" customWidth="1" min="9" max="9"/>
    <col width="3" customWidth="1" min="10" max="10"/>
    <col width="13" customWidth="1" min="11" max="11"/>
    <col width="7" customWidth="1" min="12" max="12"/>
    <col width="3" customWidth="1" min="13" max="13"/>
    <col width="13" customWidth="1" min="14" max="14"/>
    <col width="7" customWidth="1" min="15" max="15"/>
    <col width="3" customWidth="1" min="16" max="16"/>
    <col width="13" customWidth="1" min="17" max="17"/>
    <col width="7" customWidth="1" min="18" max="18"/>
    <col width="3" customWidth="1" min="19" max="19"/>
    <col width="13" customWidth="1" min="20" max="20"/>
    <col width="7" customWidth="1" min="21" max="21"/>
    <col width="3" customWidth="1" min="22" max="22"/>
  </cols>
  <sheetData>
    <row r="1">
      <c r="A1" s="11" t="inlineStr">
        <is>
          <t>Beállítások – szempontok, súlyok, sávok, státuszok, díjazás</t>
        </is>
      </c>
    </row>
    <row r="2">
      <c r="A2" t="inlineStr">
        <is>
          <t>Minden szempont 1–10 pontot kap, a 10 mindig a számunkra kedvező érték. A sárga cellák szabadon módosíthatók; minden eredmény azonnal újraszámolódik. A súlyozás ideiglenes váz.</t>
        </is>
      </c>
    </row>
    <row r="4">
      <c r="A4" s="21" t="inlineStr">
        <is>
          <t>Szempontok és súlyok</t>
        </is>
      </c>
      <c r="H4" s="21" t="inlineStr">
        <is>
          <t>Sávok (alsó határ → pont)</t>
        </is>
      </c>
    </row>
    <row r="5">
      <c r="A5" s="4" t="inlineStr">
        <is>
          <t>Kód</t>
        </is>
      </c>
      <c r="B5" s="4" t="inlineStr">
        <is>
          <t>Szempont</t>
        </is>
      </c>
      <c r="C5" s="4" t="inlineStr">
        <is>
          <t>Csoport</t>
        </is>
      </c>
      <c r="D5" s="4" t="inlineStr">
        <is>
          <t>Típus</t>
        </is>
      </c>
      <c r="E5" s="4" t="inlineStr">
        <is>
          <t>Súly</t>
        </is>
      </c>
      <c r="F5" s="4" t="inlineStr">
        <is>
          <t>Leírás</t>
        </is>
      </c>
      <c r="H5" s="19" t="inlineStr">
        <is>
          <t>Éves árbevétel</t>
        </is>
      </c>
      <c r="K5" s="19" t="inlineStr">
        <is>
          <t>Havi hirdetési keret</t>
        </is>
      </c>
      <c r="N5" s="19" t="inlineStr">
        <is>
          <t>Jelenlegi ROAS</t>
        </is>
      </c>
      <c r="Q5" s="19" t="inlineStr">
        <is>
          <t>Fizetési fegyelem</t>
        </is>
      </c>
      <c r="T5" s="19" t="inlineStr">
        <is>
          <t>Együttműködés hossza</t>
        </is>
      </c>
    </row>
    <row r="6">
      <c r="A6" t="inlineStr">
        <is>
          <t>szegmens</t>
        </is>
      </c>
      <c r="B6" t="inlineStr">
        <is>
          <t>Értékalapú szegmens</t>
        </is>
      </c>
      <c r="C6" s="26" t="inlineStr">
        <is>
          <t>Értékek</t>
        </is>
      </c>
      <c r="D6" t="inlineStr">
        <is>
          <t>lista</t>
        </is>
      </c>
      <c r="E6" s="27" t="n">
        <v>10</v>
      </c>
      <c r="F6" s="2" t="inlineStr">
        <is>
          <t>Emberközpontú szolgáltató, tudatos termelő/alkotó vagy hatásközpontú szervezet-e.</t>
        </is>
      </c>
      <c r="H6" s="4" t="inlineStr">
        <is>
          <t>Alsó határ</t>
        </is>
      </c>
      <c r="I6" s="4" t="inlineStr">
        <is>
          <t>Pont</t>
        </is>
      </c>
      <c r="K6" s="4" t="inlineStr">
        <is>
          <t>Alsó határ</t>
        </is>
      </c>
      <c r="L6" s="4" t="inlineStr">
        <is>
          <t>Pont</t>
        </is>
      </c>
      <c r="N6" s="4" t="inlineStr">
        <is>
          <t>Alsó határ</t>
        </is>
      </c>
      <c r="O6" s="4" t="inlineStr">
        <is>
          <t>Pont</t>
        </is>
      </c>
      <c r="Q6" s="4" t="inlineStr">
        <is>
          <t>Alsó határ</t>
        </is>
      </c>
      <c r="R6" s="4" t="inlineStr">
        <is>
          <t>Pont</t>
        </is>
      </c>
      <c r="T6" s="4" t="inlineStr">
        <is>
          <t>Alsó határ</t>
        </is>
      </c>
      <c r="U6" s="4" t="inlineStr">
        <is>
          <t>Pont</t>
        </is>
      </c>
    </row>
    <row r="7">
      <c r="A7" t="inlineStr">
        <is>
          <t>felelosseg</t>
        </is>
      </c>
      <c r="B7" t="inlineStr">
        <is>
          <t>Felelősség, fenntarthatóság</t>
        </is>
      </c>
      <c r="C7" s="26" t="inlineStr">
        <is>
          <t>Értékek</t>
        </is>
      </c>
      <c r="D7" t="inlineStr">
        <is>
          <t>1–10 skála</t>
        </is>
      </c>
      <c r="E7" s="27" t="n">
        <v>10</v>
      </c>
      <c r="F7" s="2" t="inlineStr">
        <is>
          <t>Felelősségteljes, fenntartható, zöld; elsősorban szükségletet elégít ki, nem igényt. 1 = egyáltalán nem, 10 = teljesen.</t>
        </is>
      </c>
      <c r="H7" s="28" t="n">
        <v>0</v>
      </c>
      <c r="I7" s="27" t="n">
        <v>1</v>
      </c>
      <c r="K7" s="28" t="n">
        <v>0</v>
      </c>
      <c r="L7" s="27" t="n">
        <v>1</v>
      </c>
      <c r="N7" s="28" t="n">
        <v>0</v>
      </c>
      <c r="O7" s="27" t="n">
        <v>1</v>
      </c>
      <c r="Q7" s="28" t="n">
        <v>0</v>
      </c>
      <c r="R7" s="27" t="n">
        <v>10</v>
      </c>
      <c r="T7" s="28" t="n">
        <v>0</v>
      </c>
      <c r="U7" s="27" t="n">
        <v>1</v>
      </c>
    </row>
    <row r="8">
      <c r="A8" t="inlineStr">
        <is>
          <t>m_surgosseg</t>
        </is>
      </c>
      <c r="B8" t="inlineStr">
        <is>
          <t>Sürgősség</t>
        </is>
      </c>
      <c r="C8" s="29" t="inlineStr">
        <is>
          <t>Marketingezhetőség</t>
        </is>
      </c>
      <c r="D8" t="inlineStr">
        <is>
          <t>1–10 skála</t>
        </is>
      </c>
      <c r="E8" s="27" t="n">
        <v>2</v>
      </c>
      <c r="F8" s="2" t="inlineStr">
        <is>
          <t>Mennyire azonnali az igény a termékre (fájdalomcsillapító vs. régi némafilm). 10 = nagyon sürgős.</t>
        </is>
      </c>
      <c r="H8" s="28" t="n">
        <v>30</v>
      </c>
      <c r="I8" s="27" t="n">
        <v>3</v>
      </c>
      <c r="K8" s="28" t="n">
        <v>150000</v>
      </c>
      <c r="L8" s="27" t="n">
        <v>3</v>
      </c>
      <c r="N8" s="28" t="n">
        <v>1</v>
      </c>
      <c r="O8" s="27" t="n">
        <v>3</v>
      </c>
      <c r="Q8" s="28" t="n">
        <v>1</v>
      </c>
      <c r="R8" s="27" t="n">
        <v>8</v>
      </c>
      <c r="T8" s="28" t="n">
        <v>3</v>
      </c>
      <c r="U8" s="27" t="n">
        <v>3</v>
      </c>
    </row>
    <row r="9">
      <c r="A9" t="inlineStr">
        <is>
          <t>m_piacmeret</t>
        </is>
      </c>
      <c r="B9" t="inlineStr">
        <is>
          <t>A piac mérete</t>
        </is>
      </c>
      <c r="C9" s="29" t="inlineStr">
        <is>
          <t>Marketingezhetőség</t>
        </is>
      </c>
      <c r="D9" t="inlineStr">
        <is>
          <t>1–10 skála</t>
        </is>
      </c>
      <c r="E9" s="27" t="n">
        <v>2</v>
      </c>
      <c r="F9" s="2" t="inlineStr">
        <is>
          <t>Hányan akarják megvenni. 10 = óriási piac.</t>
        </is>
      </c>
      <c r="H9" s="28" t="n">
        <v>80</v>
      </c>
      <c r="I9" s="27" t="n">
        <v>5</v>
      </c>
      <c r="K9" s="28" t="n">
        <v>300000</v>
      </c>
      <c r="L9" s="27" t="n">
        <v>5</v>
      </c>
      <c r="N9" s="28" t="n">
        <v>2</v>
      </c>
      <c r="O9" s="27" t="n">
        <v>5</v>
      </c>
      <c r="Q9" s="28" t="n">
        <v>8</v>
      </c>
      <c r="R9" s="27" t="n">
        <v>6</v>
      </c>
      <c r="T9" s="28" t="n">
        <v>6</v>
      </c>
      <c r="U9" s="27" t="n">
        <v>5</v>
      </c>
    </row>
    <row r="10">
      <c r="A10" t="inlineStr">
        <is>
          <t>m_arazas</t>
        </is>
      </c>
      <c r="B10" t="inlineStr">
        <is>
          <t>Árazási potenciál</t>
        </is>
      </c>
      <c r="C10" s="29" t="inlineStr">
        <is>
          <t>Marketingezhetőség</t>
        </is>
      </c>
      <c r="D10" t="inlineStr">
        <is>
          <t>1–10 skála</t>
        </is>
      </c>
      <c r="E10" s="27" t="n">
        <v>2</v>
      </c>
      <c r="F10" s="2" t="inlineStr">
        <is>
          <t>Mi a legmagasabb elérhető ár (piros csoki vs. repülőgép). 10 = nagyon magas ár érhető el.</t>
        </is>
      </c>
      <c r="H10" s="28" t="n">
        <v>150</v>
      </c>
      <c r="I10" s="27" t="n">
        <v>7</v>
      </c>
      <c r="K10" s="28" t="n">
        <v>600000</v>
      </c>
      <c r="L10" s="27" t="n">
        <v>7</v>
      </c>
      <c r="N10" s="28" t="n">
        <v>3</v>
      </c>
      <c r="O10" s="27" t="n">
        <v>7</v>
      </c>
      <c r="Q10" s="28" t="n">
        <v>16</v>
      </c>
      <c r="R10" s="27" t="n">
        <v>4</v>
      </c>
      <c r="T10" s="28" t="n">
        <v>12</v>
      </c>
      <c r="U10" s="27" t="n">
        <v>7</v>
      </c>
    </row>
    <row r="11">
      <c r="A11" t="inlineStr">
        <is>
          <t>m_vevoszerzes</t>
        </is>
      </c>
      <c r="B11" t="inlineStr">
        <is>
          <t>Vásárlószerzés költsége</t>
        </is>
      </c>
      <c r="C11" s="29" t="inlineStr">
        <is>
          <t>Marketingezhetőség</t>
        </is>
      </c>
      <c r="D11" t="inlineStr">
        <is>
          <t>1–10 skála</t>
        </is>
      </c>
      <c r="E11" s="27" t="n">
        <v>2</v>
      </c>
      <c r="F11" s="2" t="inlineStr">
        <is>
          <t>Mennyi pénz és erőfeszítés egy vevő megszerzése. 10 = olcsó és könnyű (autópályás büfé), 1 = drága és nehéz (állami tender).</t>
        </is>
      </c>
      <c r="H11" s="28" t="n">
        <v>300</v>
      </c>
      <c r="I11" s="27" t="n">
        <v>9</v>
      </c>
      <c r="K11" s="28" t="n">
        <v>1000000</v>
      </c>
      <c r="L11" s="27" t="n">
        <v>9</v>
      </c>
      <c r="N11" s="28" t="n">
        <v>4</v>
      </c>
      <c r="O11" s="27" t="n">
        <v>9</v>
      </c>
      <c r="Q11" s="28" t="n">
        <v>31</v>
      </c>
      <c r="R11" s="27" t="n">
        <v>2</v>
      </c>
      <c r="T11" s="28" t="n">
        <v>24</v>
      </c>
      <c r="U11" s="27" t="n">
        <v>9</v>
      </c>
    </row>
    <row r="12">
      <c r="A12" t="inlineStr">
        <is>
          <t>m_szallitas</t>
        </is>
      </c>
      <c r="B12" t="inlineStr">
        <is>
          <t>Leszállítás költsége</t>
        </is>
      </c>
      <c r="C12" s="29" t="inlineStr">
        <is>
          <t>Marketingezhetőség</t>
        </is>
      </c>
      <c r="D12" t="inlineStr">
        <is>
          <t>1–10 skála</t>
        </is>
      </c>
      <c r="E12" s="27" t="n">
        <v>2</v>
      </c>
      <c r="F12" s="2" t="inlineStr">
        <is>
          <t>Mennyibe kerül a termék előállítása és leszállítása. 10 = olcsó (online), 1 = drága (gyár kell).</t>
        </is>
      </c>
      <c r="H12" s="28" t="n">
        <v>1000</v>
      </c>
      <c r="I12" s="27" t="n">
        <v>10</v>
      </c>
      <c r="K12" s="28" t="n">
        <v>2000000</v>
      </c>
      <c r="L12" s="27" t="n">
        <v>10</v>
      </c>
      <c r="N12" s="28" t="n">
        <v>6</v>
      </c>
      <c r="O12" s="27" t="n">
        <v>10</v>
      </c>
      <c r="Q12" s="28" t="n">
        <v>61</v>
      </c>
      <c r="R12" s="27" t="n">
        <v>1</v>
      </c>
      <c r="T12" s="28" t="n">
        <v>36</v>
      </c>
      <c r="U12" s="27" t="n">
        <v>10</v>
      </c>
    </row>
    <row r="13">
      <c r="A13" t="inlineStr">
        <is>
          <t>m_egyediseg</t>
        </is>
      </c>
      <c r="B13" t="inlineStr">
        <is>
          <t>Egyediség, egyedi tulajdonság</t>
        </is>
      </c>
      <c r="C13" s="29" t="inlineStr">
        <is>
          <t>Marketingezhetőség</t>
        </is>
      </c>
      <c r="D13" t="inlineStr">
        <is>
          <t>1–10 skála</t>
        </is>
      </c>
      <c r="E13" s="27" t="n">
        <v>2</v>
      </c>
      <c r="F13" s="2" t="inlineStr">
        <is>
          <t>Mennyire egyedi a kínálat a piacon, mennyire nehéz lemásolni, és van-e reklámozható egyedi tulajdonsága (életre szóló élesség, guriga nélküli tekercs). 10 = alig van konkurencia, erős egyedi tulajdonsággal.</t>
        </is>
      </c>
    </row>
    <row r="14">
      <c r="A14" t="inlineStr">
        <is>
          <t>m_gyorsasag</t>
        </is>
      </c>
      <c r="B14" t="inlineStr">
        <is>
          <t>A piac gyorsasága</t>
        </is>
      </c>
      <c r="C14" s="29" t="inlineStr">
        <is>
          <t>Marketingezhetőség</t>
        </is>
      </c>
      <c r="D14" t="inlineStr">
        <is>
          <t>1–10 skála</t>
        </is>
      </c>
      <c r="E14" s="27" t="n">
        <v>2</v>
      </c>
      <c r="F14" s="2" t="inlineStr">
        <is>
          <t>Milyen gyorsan hozható létre az ajánlat. 10 = akár holnap (fűnyírás), 1 = évek (vendéglő).</t>
        </is>
      </c>
    </row>
    <row r="15">
      <c r="A15" t="inlineStr">
        <is>
          <t>m_befektetes</t>
        </is>
      </c>
      <c r="B15" t="inlineStr">
        <is>
          <t>Befektetési igény</t>
        </is>
      </c>
      <c r="C15" s="29" t="inlineStr">
        <is>
          <t>Marketingezhetőség</t>
        </is>
      </c>
      <c r="D15" t="inlineStr">
        <is>
          <t>1–10 skála</t>
        </is>
      </c>
      <c r="E15" s="27" t="n">
        <v>2</v>
      </c>
      <c r="F15" s="2" t="inlineStr">
        <is>
          <t>Mennyi pénz és munka kell az eladásig. 10 = szinte semmi (ablakmosás), 1 = nagyon sok (olajkutatás).</t>
        </is>
      </c>
    </row>
    <row r="16">
      <c r="A16" t="inlineStr">
        <is>
          <t>m_upsell</t>
        </is>
      </c>
      <c r="B16" t="inlineStr">
        <is>
          <t>Upsell-potenciál</t>
        </is>
      </c>
      <c r="C16" s="29" t="inlineStr">
        <is>
          <t>Marketingezhetőség</t>
        </is>
      </c>
      <c r="D16" t="inlineStr">
        <is>
          <t>1–10 skála</t>
        </is>
      </c>
      <c r="E16" s="27" t="n">
        <v>2</v>
      </c>
      <c r="F16" s="2" t="inlineStr">
        <is>
          <t>Eladás után lehet-e még valamit eladni, és van-e hozzá upsellben kínálható kiegészítő (borotva → borotvahab; a frizbihez nincs). 10 = sok további eladás, kész upsell-kínálattal.</t>
        </is>
      </c>
    </row>
    <row r="17">
      <c r="A17" t="inlineStr">
        <is>
          <t>m_orokzold</t>
        </is>
      </c>
      <c r="B17" t="inlineStr">
        <is>
          <t>Örökzöld potenciál</t>
        </is>
      </c>
      <c r="C17" s="29" t="inlineStr">
        <is>
          <t>Marketingezhetőség</t>
        </is>
      </c>
      <c r="D17" t="inlineStr">
        <is>
          <t>1–10 skála</t>
        </is>
      </c>
      <c r="E17" s="27" t="n">
        <v>2</v>
      </c>
      <c r="F17" s="2" t="inlineStr">
        <is>
          <t>Mennyi plusz munka és pénz kell a szolgáltatás fenntartásához. 10 = szinte semmi, 1 = a fenntartás felemészti (gyógyfürdő-példa).</t>
        </is>
      </c>
    </row>
    <row r="18">
      <c r="A18" t="inlineStr">
        <is>
          <t>m_demonstralhato</t>
        </is>
      </c>
      <c r="B18" t="inlineStr">
        <is>
          <t>Látványos demonstrálhatóság</t>
        </is>
      </c>
      <c r="C18" s="29" t="inlineStr">
        <is>
          <t>Marketingezhetőség</t>
        </is>
      </c>
      <c r="D18" t="inlineStr">
        <is>
          <t>1–10 skála</t>
        </is>
      </c>
      <c r="E18" s="27" t="n">
        <v>2</v>
      </c>
      <c r="F18" s="2" t="inlineStr">
        <is>
          <t>Látványosan megmutatható-e a hatás (átmegy rajta a kocsi, előtte–utána). 10 = nagyon látványos.</t>
        </is>
      </c>
    </row>
    <row r="19">
      <c r="A19" t="inlineStr">
        <is>
          <t>m_dizajn</t>
        </is>
      </c>
      <c r="B19" t="inlineStr">
        <is>
          <t>Dizájn, vonzó megjelenés</t>
        </is>
      </c>
      <c r="C19" s="29" t="inlineStr">
        <is>
          <t>Marketingezhetőség</t>
        </is>
      </c>
      <c r="D19" t="inlineStr">
        <is>
          <t>1–10 skála</t>
        </is>
      </c>
      <c r="E19" s="27" t="n">
        <v>2</v>
      </c>
      <c r="F19" s="2" t="inlineStr">
        <is>
          <t>Szép-e, vonzó-e a szemnek, van-e körítése. 10 = kiemelkedően szép.</t>
        </is>
      </c>
    </row>
    <row r="20">
      <c r="A20" t="inlineStr">
        <is>
          <t>m_egyszeru</t>
        </is>
      </c>
      <c r="B20" t="inlineStr">
        <is>
          <t>Egyszerű használat</t>
        </is>
      </c>
      <c r="C20" s="29" t="inlineStr">
        <is>
          <t>Marketingezhetőség</t>
        </is>
      </c>
      <c r="D20" t="inlineStr">
        <is>
          <t>1–10 skála</t>
        </is>
      </c>
      <c r="E20" s="27" t="n">
        <v>2</v>
      </c>
      <c r="F20" s="2" t="inlineStr">
        <is>
          <t>Mennyire könnyű használni. 10 = nagyon egyszerű.</t>
        </is>
      </c>
    </row>
    <row r="21">
      <c r="A21" t="inlineStr">
        <is>
          <t>m_problema</t>
        </is>
      </c>
      <c r="B21" t="inlineStr">
        <is>
          <t>Problémát old meg</t>
        </is>
      </c>
      <c r="C21" s="29" t="inlineStr">
        <is>
          <t>Marketingezhetőség</t>
        </is>
      </c>
      <c r="D21" t="inlineStr">
        <is>
          <t>1–10 skála</t>
        </is>
      </c>
      <c r="E21" s="27" t="n">
        <v>2</v>
      </c>
      <c r="F21" s="2" t="inlineStr">
        <is>
          <t>Problémát old meg (nyer) vagy megelőz (át kell fordítani). 10 = égető problémát old meg, 1 = csak megelőz.</t>
        </is>
      </c>
    </row>
    <row r="22">
      <c r="A22" t="inlineStr">
        <is>
          <t>m_ujdonsag</t>
        </is>
      </c>
      <c r="B22" t="inlineStr">
        <is>
          <t>Újdonság</t>
        </is>
      </c>
      <c r="C22" s="29" t="inlineStr">
        <is>
          <t>Marketingezhetőség</t>
        </is>
      </c>
      <c r="D22" t="inlineStr">
        <is>
          <t>1–10 skála</t>
        </is>
      </c>
      <c r="E22" s="27" t="n">
        <v>2</v>
      </c>
      <c r="F22" s="2" t="inlineStr">
        <is>
          <t>Mennyire új a piacon (az újat lehet a legmagasabb áron eladni). 10 = teljesen új.</t>
        </is>
      </c>
    </row>
    <row r="23">
      <c r="A23" t="inlineStr">
        <is>
          <t>iparagi</t>
        </is>
      </c>
      <c r="B23" t="inlineStr">
        <is>
          <t>Iparági illeszkedés</t>
        </is>
      </c>
      <c r="C23" s="30" t="inlineStr">
        <is>
          <t>Üzleti illeszkedés</t>
        </is>
      </c>
      <c r="D23" t="inlineStr">
        <is>
          <t>1–10 skála</t>
        </is>
      </c>
      <c r="E23" s="27" t="n">
        <v>3</v>
      </c>
      <c r="F23" s="2" t="inlineStr">
        <is>
          <t>Mennyire mérhető és skálázható az online hirdetés az iparágban. 10 = kiválóan.</t>
        </is>
      </c>
    </row>
    <row r="24">
      <c r="A24" t="inlineStr">
        <is>
          <t>arbevetel</t>
        </is>
      </c>
      <c r="B24" t="inlineStr">
        <is>
          <t>Éves árbevétel</t>
        </is>
      </c>
      <c r="C24" s="30" t="inlineStr">
        <is>
          <t>Üzleti illeszkedés</t>
        </is>
      </c>
      <c r="D24" t="inlineStr">
        <is>
          <t>sáv</t>
        </is>
      </c>
      <c r="E24" s="27" t="n">
        <v>3</v>
      </c>
      <c r="F24" s="2" t="inlineStr">
        <is>
          <t>Millió Ft-ban. A cég mérete és fizetőképessége (kkv-khoz és szervezetekhez kalibrálva).</t>
        </is>
      </c>
    </row>
    <row r="25">
      <c r="A25" t="inlineStr">
        <is>
          <t>keret</t>
        </is>
      </c>
      <c r="B25" t="inlineStr">
        <is>
          <t>Havi hirdetési keret</t>
        </is>
      </c>
      <c r="C25" s="30" t="inlineStr">
        <is>
          <t>Üzleti illeszkedés</t>
        </is>
      </c>
      <c r="D25" t="inlineStr">
        <is>
          <t>sáv</t>
        </is>
      </c>
      <c r="E25" s="27" t="n">
        <v>2</v>
      </c>
      <c r="F25" s="2" t="inlineStr">
        <is>
          <t>Havi médiaköltés Ft-ban (Google + Meta + egyéb), kkv-khoz és szervezetekhez kalibrálva.</t>
        </is>
      </c>
    </row>
    <row r="26">
      <c r="A26" t="inlineStr">
        <is>
          <t>erettseg</t>
        </is>
      </c>
      <c r="B26" t="inlineStr">
        <is>
          <t>Marketing-érettség</t>
        </is>
      </c>
      <c r="C26" s="30" t="inlineStr">
        <is>
          <t>Üzleti illeszkedés</t>
        </is>
      </c>
      <c r="D26" t="inlineStr">
        <is>
          <t>1–10 skála</t>
        </is>
      </c>
      <c r="E26" s="27" t="n">
        <v>4</v>
      </c>
      <c r="F26" s="2" t="inlineStr">
        <is>
          <t>Van-e konverziómérés, CRM, saját marketinges, tiszta cél. 1 = semmi, 10 = teljes.</t>
        </is>
      </c>
    </row>
    <row r="27">
      <c r="A27" t="inlineStr">
        <is>
          <t>roas</t>
        </is>
      </c>
      <c r="B27" t="inlineStr">
        <is>
          <t>Jelenlegi ROAS</t>
        </is>
      </c>
      <c r="C27" s="30" t="inlineStr">
        <is>
          <t>Üzleti illeszkedés</t>
        </is>
      </c>
      <c r="D27" t="inlineStr">
        <is>
          <t>sáv</t>
        </is>
      </c>
      <c r="E27" s="27" t="n">
        <v>3</v>
      </c>
      <c r="F27" s="2" t="inlineStr">
        <is>
          <t>Mért bevétel / költés (a dashboardról). Ha nem mérhető, maradjon üresen.</t>
        </is>
      </c>
    </row>
    <row r="28">
      <c r="A28" t="inlineStr">
        <is>
          <t>novekedes</t>
        </is>
      </c>
      <c r="B28" t="inlineStr">
        <is>
          <t>Növekedési potenciál</t>
        </is>
      </c>
      <c r="C28" s="30" t="inlineStr">
        <is>
          <t>Üzleti illeszkedés</t>
        </is>
      </c>
      <c r="D28" t="inlineStr">
        <is>
          <t>1–10 skála</t>
        </is>
      </c>
      <c r="E28" s="27" t="n">
        <v>3</v>
      </c>
      <c r="F28" s="2" t="inlineStr">
        <is>
          <t>Mennyit nőhet a keret és a bevétel 12 hónap alatt. 1 = stagnál, 10 = erősen nő.</t>
        </is>
      </c>
    </row>
    <row r="29">
      <c r="A29" t="inlineStr">
        <is>
          <t>jutalek_nyitottsag</t>
        </is>
      </c>
      <c r="B29" t="inlineStr">
        <is>
          <t>Nyitottság a jutalékos modellre</t>
        </is>
      </c>
      <c r="C29" s="30" t="inlineStr">
        <is>
          <t>Üzleti illeszkedés</t>
        </is>
      </c>
      <c r="D29" t="inlineStr">
        <is>
          <t>lista</t>
        </is>
      </c>
      <c r="E29" s="27" t="n">
        <v>2</v>
      </c>
      <c r="F29" s="2" t="inlineStr">
        <is>
          <t>Gondolkodik-e jutalékos (teljesítményalapú) együttműködésben.</t>
        </is>
      </c>
    </row>
    <row r="30">
      <c r="A30" t="inlineStr">
        <is>
          <t>keses</t>
        </is>
      </c>
      <c r="B30" t="inlineStr">
        <is>
          <t>Fizetési fegyelem</t>
        </is>
      </c>
      <c r="C30" s="31" t="inlineStr">
        <is>
          <t>Kapcsolat</t>
        </is>
      </c>
      <c r="D30" t="inlineStr">
        <is>
          <t>sáv</t>
        </is>
      </c>
      <c r="E30" s="27" t="n">
        <v>4</v>
      </c>
      <c r="F30" s="2" t="inlineStr">
        <is>
          <t>Átlagos késés napokban. 0 = mindig időben fizet.</t>
        </is>
      </c>
    </row>
    <row r="31">
      <c r="A31" t="inlineStr">
        <is>
          <t>hossz</t>
        </is>
      </c>
      <c r="B31" t="inlineStr">
        <is>
          <t>Együttműködés hossza</t>
        </is>
      </c>
      <c r="C31" s="31" t="inlineStr">
        <is>
          <t>Kapcsolat</t>
        </is>
      </c>
      <c r="D31" t="inlineStr">
        <is>
          <t>sáv</t>
        </is>
      </c>
      <c r="E31" s="27" t="n">
        <v>2</v>
      </c>
      <c r="F31" s="2" t="inlineStr">
        <is>
          <t>Hány hónapja dolgozunk együtt.</t>
        </is>
      </c>
    </row>
    <row r="32">
      <c r="A32" t="inlineStr">
        <is>
          <t>egyuttmukodes</t>
        </is>
      </c>
      <c r="B32" t="inlineStr">
        <is>
          <t>Döntéshozó, együttműködés</t>
        </is>
      </c>
      <c r="C32" s="31" t="inlineStr">
        <is>
          <t>Kapcsolat</t>
        </is>
      </c>
      <c r="D32" t="inlineStr">
        <is>
          <t>1–10 skála</t>
        </is>
      </c>
      <c r="E32" s="27" t="n">
        <v>3</v>
      </c>
      <c r="F32" s="2" t="inlineStr">
        <is>
          <t>Elérhető-e a döntéshozó, gyors-e a jóváhagyás. 1 = nehézkes, 10 = kiváló.</t>
        </is>
      </c>
    </row>
    <row r="33">
      <c r="A33" t="inlineStr">
        <is>
          <t>kezelhetoseg</t>
        </is>
      </c>
      <c r="B33" t="inlineStr">
        <is>
          <t>Kezelhetőség</t>
        </is>
      </c>
      <c r="C33" s="31" t="inlineStr">
        <is>
          <t>Kapcsolat</t>
        </is>
      </c>
      <c r="D33" t="inlineStr">
        <is>
          <t>1–10 skála</t>
        </is>
      </c>
      <c r="E33" s="27" t="n">
        <v>3</v>
      </c>
      <c r="F33" s="2" t="inlineStr">
        <is>
          <t>Kiszolgálási terhelés. 1 = sok egyeztetés, 10 = önállóan futtatható.</t>
        </is>
      </c>
    </row>
    <row r="34">
      <c r="A34" t="inlineStr">
        <is>
          <t>ajanlas</t>
        </is>
      </c>
      <c r="B34" t="inlineStr">
        <is>
          <t>Ajánlási, referenciaérték</t>
        </is>
      </c>
      <c r="C34" s="31" t="inlineStr">
        <is>
          <t>Kapcsolat</t>
        </is>
      </c>
      <c r="D34" t="inlineStr">
        <is>
          <t>1–10 skála</t>
        </is>
      </c>
      <c r="E34" s="27" t="n">
        <v>3</v>
      </c>
      <c r="F34" s="2" t="inlineStr">
        <is>
          <t>Ajánl-e minket, használható-e esettanulmánynak. 1 = nem, 10 = aktívan ajánl.</t>
        </is>
      </c>
    </row>
    <row r="35">
      <c r="A35" t="inlineStr">
        <is>
          <t>elvarasok</t>
        </is>
      </c>
      <c r="B35" t="inlineStr">
        <is>
          <t>Reális elvárások</t>
        </is>
      </c>
      <c r="C35" s="31" t="inlineStr">
        <is>
          <t>Kapcsolat</t>
        </is>
      </c>
      <c r="D35" t="inlineStr">
        <is>
          <t>1–10 skála</t>
        </is>
      </c>
      <c r="E35" s="27" t="n">
        <v>4</v>
      </c>
      <c r="F35" s="2" t="inlineStr">
        <is>
          <t>Reálisak-e az elvárásai az eredményekkel, határidőkkel, költségekkel szemben. 10 = teljesen.</t>
        </is>
      </c>
    </row>
    <row r="36">
      <c r="A36" t="inlineStr">
        <is>
          <t>emberi</t>
        </is>
      </c>
      <c r="B36" t="inlineStr">
        <is>
          <t>Emberi oldal</t>
        </is>
      </c>
      <c r="C36" s="31" t="inlineStr">
        <is>
          <t>Kapcsolat</t>
        </is>
      </c>
      <c r="D36" t="inlineStr">
        <is>
          <t>1–10 skála</t>
        </is>
      </c>
      <c r="E36" s="27" t="n">
        <v>4</v>
      </c>
      <c r="F36" s="2" t="inlineStr">
        <is>
          <t>Bizalommal van felénk, nem mikromenedzsel, nem sürget. 10 = teljes bizalom.</t>
        </is>
      </c>
    </row>
    <row r="37">
      <c r="A37" t="inlineStr">
        <is>
          <t>szakmai</t>
        </is>
      </c>
      <c r="B37" t="inlineStr">
        <is>
          <t>Szakmai színvonal</t>
        </is>
      </c>
      <c r="C37" s="31" t="inlineStr">
        <is>
          <t>Kapcsolat</t>
        </is>
      </c>
      <c r="D37" t="inlineStr">
        <is>
          <t>1–10 skála</t>
        </is>
      </c>
      <c r="E37" s="27" t="n">
        <v>4</v>
      </c>
      <c r="F37" s="2" t="inlineStr">
        <is>
          <t>Szakmailag magas szintet képvisel, arccal és névvel vállalja, amit csinál. 10 = kiemelkedő.</t>
        </is>
      </c>
    </row>
    <row r="38">
      <c r="A38" t="inlineStr">
        <is>
          <t>tapasztalat</t>
        </is>
      </c>
      <c r="B38" t="inlineStr">
        <is>
          <t>Korábbi ügynökségi tapasztalat</t>
        </is>
      </c>
      <c r="C38" s="31" t="inlineStr">
        <is>
          <t>Kapcsolat</t>
        </is>
      </c>
      <c r="D38" t="inlineStr">
        <is>
          <t>lista</t>
        </is>
      </c>
      <c r="E38" s="27" t="n">
        <v>3</v>
      </c>
      <c r="F38" s="2" t="inlineStr">
        <is>
          <t>Dolgozott-e már marketingügynökséggel vagy szakemberrel, és milyen tapasztalattal.</t>
        </is>
      </c>
    </row>
    <row r="39">
      <c r="D39" s="19" t="inlineStr">
        <is>
          <t>Összesen</t>
        </is>
      </c>
      <c r="E39" s="19">
        <f>SUM(E6:E38)</f>
        <v/>
      </c>
      <c r="F39">
        <f>IF(E39=100,"Rendben","Figyelem: a súlyok összege legyen 100!")</f>
        <v/>
      </c>
    </row>
    <row r="41">
      <c r="A41" s="21" t="inlineStr">
        <is>
          <t>Csoportok súlya (automatikus)</t>
        </is>
      </c>
    </row>
    <row r="42">
      <c r="A42" s="4" t="inlineStr">
        <is>
          <t>Csoport</t>
        </is>
      </c>
      <c r="B42" s="4" t="inlineStr">
        <is>
          <t>Súly összesen</t>
        </is>
      </c>
    </row>
    <row r="43">
      <c r="A43" s="26" t="inlineStr">
        <is>
          <t>Értékek</t>
        </is>
      </c>
      <c r="B43">
        <f>SUMIF($C$6:$C$38,A43,$E$6:$E$38)</f>
        <v/>
      </c>
    </row>
    <row r="44">
      <c r="A44" s="29" t="inlineStr">
        <is>
          <t>Marketingezhetőség</t>
        </is>
      </c>
      <c r="B44">
        <f>SUMIF($C$6:$C$38,A44,$E$6:$E$38)</f>
        <v/>
      </c>
    </row>
    <row r="45">
      <c r="A45" s="30" t="inlineStr">
        <is>
          <t>Üzleti illeszkedés</t>
        </is>
      </c>
      <c r="B45">
        <f>SUMIF($C$6:$C$38,A45,$E$6:$E$38)</f>
        <v/>
      </c>
    </row>
    <row r="46">
      <c r="A46" s="31" t="inlineStr">
        <is>
          <t>Kapcsolat</t>
        </is>
      </c>
      <c r="B46">
        <f>SUMIF($C$6:$C$38,A46,$E$6:$E$38)</f>
        <v/>
      </c>
    </row>
    <row r="49">
      <c r="A49" s="21" t="inlineStr">
        <is>
          <t>Értékalapú szegmens: választható értékek pontja</t>
        </is>
      </c>
      <c r="C49" t="inlineStr">
        <is>
          <t>(új érték az üres sorokba vehető fel)</t>
        </is>
      </c>
    </row>
    <row r="50">
      <c r="A50" s="4" t="inlineStr">
        <is>
          <t>Érték</t>
        </is>
      </c>
      <c r="B50" s="4" t="inlineStr">
        <is>
          <t>Pont (1–10)</t>
        </is>
      </c>
    </row>
    <row r="51">
      <c r="A51" s="27" t="inlineStr">
        <is>
          <t>Emberközpontú szolgáltató (egészség, oktatás, mentális jóllét, fejlesztés)</t>
        </is>
      </c>
      <c r="B51" s="27" t="n">
        <v>10</v>
      </c>
    </row>
    <row r="52">
      <c r="A52" s="27" t="inlineStr">
        <is>
          <t>Tudatos termelő, alkotó (fenntartható termék, kézműves márka, gazdaság)</t>
        </is>
      </c>
      <c r="B52" s="27" t="n">
        <v>10</v>
      </c>
    </row>
    <row r="53">
      <c r="A53" s="27" t="inlineStr">
        <is>
          <t>Hatásközpontú szervezet (közösségi, környezeti, társadalmi projekt)</t>
        </is>
      </c>
      <c r="B53" s="27" t="n">
        <v>10</v>
      </c>
    </row>
    <row r="54">
      <c r="A54" s="27" t="inlineStr">
        <is>
          <t>Felelős szemléletű egyéb vállalkozás</t>
        </is>
      </c>
      <c r="B54" s="27" t="n">
        <v>7</v>
      </c>
    </row>
    <row r="55">
      <c r="A55" s="27" t="inlineStr">
        <is>
          <t>Általános vállalkozás</t>
        </is>
      </c>
      <c r="B55" s="27" t="n">
        <v>4</v>
      </c>
    </row>
    <row r="56">
      <c r="A56" s="27" t="inlineStr">
        <is>
          <t>Értékeinkkel nem összeegyeztethető</t>
        </is>
      </c>
      <c r="B56" s="27" t="n">
        <v>1</v>
      </c>
    </row>
    <row r="57">
      <c r="A57" s="27" t="n"/>
      <c r="B57" s="27" t="n"/>
    </row>
    <row r="58">
      <c r="A58" s="27" t="n"/>
      <c r="B58" s="27" t="n"/>
    </row>
    <row r="59">
      <c r="A59" s="27" t="n"/>
      <c r="B59" s="27" t="n"/>
    </row>
    <row r="61">
      <c r="A61" s="21" t="inlineStr">
        <is>
          <t>Nyitottság a jutalékos modellre: választható értékek pontja</t>
        </is>
      </c>
      <c r="C61" t="inlineStr">
        <is>
          <t>(új érték az üres sorokba vehető fel)</t>
        </is>
      </c>
    </row>
    <row r="62">
      <c r="A62" s="4" t="inlineStr">
        <is>
          <t>Érték</t>
        </is>
      </c>
      <c r="B62" s="4" t="inlineStr">
        <is>
          <t>Pont (1–10)</t>
        </is>
      </c>
    </row>
    <row r="63">
      <c r="A63" s="27" t="inlineStr">
        <is>
          <t>Igen, kifejezetten ezt szeretné</t>
        </is>
      </c>
      <c r="B63" s="27" t="n">
        <v>10</v>
      </c>
    </row>
    <row r="64">
      <c r="A64" s="27" t="inlineStr">
        <is>
          <t>Nyitott rá</t>
        </is>
      </c>
      <c r="B64" s="27" t="n">
        <v>8</v>
      </c>
    </row>
    <row r="65">
      <c r="A65" s="27" t="inlineStr">
        <is>
          <t>Megfontolja</t>
        </is>
      </c>
      <c r="B65" s="27" t="n">
        <v>5</v>
      </c>
    </row>
    <row r="66">
      <c r="A66" s="27" t="inlineStr">
        <is>
          <t>Nem, csak fix díjat szeretne</t>
        </is>
      </c>
      <c r="B66" s="27" t="n">
        <v>2</v>
      </c>
    </row>
    <row r="67">
      <c r="A67" s="27" t="n"/>
      <c r="B67" s="27" t="n"/>
    </row>
    <row r="68">
      <c r="A68" s="27" t="n"/>
      <c r="B68" s="27" t="n"/>
    </row>
    <row r="69">
      <c r="A69" s="27" t="n"/>
      <c r="B69" s="27" t="n"/>
    </row>
    <row r="71">
      <c r="A71" s="21" t="inlineStr">
        <is>
          <t>Korábbi ügynökségi tapasztalat: választható értékek pontja</t>
        </is>
      </c>
      <c r="C71" t="inlineStr">
        <is>
          <t>(új érték az üres sorokba vehető fel)</t>
        </is>
      </c>
    </row>
    <row r="72">
      <c r="A72" s="4" t="inlineStr">
        <is>
          <t>Érték</t>
        </is>
      </c>
      <c r="B72" s="4" t="inlineStr">
        <is>
          <t>Pont (1–10)</t>
        </is>
      </c>
    </row>
    <row r="73">
      <c r="A73" s="27" t="inlineStr">
        <is>
          <t>Igen, jó tapasztalattal</t>
        </is>
      </c>
      <c r="B73" s="27" t="n">
        <v>10</v>
      </c>
    </row>
    <row r="74">
      <c r="A74" s="27" t="inlineStr">
        <is>
          <t>Igen, vegyes tapasztalattal</t>
        </is>
      </c>
      <c r="B74" s="27" t="n">
        <v>7</v>
      </c>
    </row>
    <row r="75">
      <c r="A75" s="27" t="inlineStr">
        <is>
          <t>Nem, még nem dolgozott szakemberrel</t>
        </is>
      </c>
      <c r="B75" s="27" t="n">
        <v>5</v>
      </c>
    </row>
    <row r="76">
      <c r="A76" s="27" t="inlineStr">
        <is>
          <t>Igen, rossz tapasztalattal</t>
        </is>
      </c>
      <c r="B76" s="27" t="n">
        <v>4</v>
      </c>
    </row>
    <row r="77">
      <c r="A77" s="27" t="n"/>
      <c r="B77" s="27" t="n"/>
    </row>
    <row r="78">
      <c r="A78" s="27" t="n"/>
      <c r="B78" s="27" t="n"/>
    </row>
    <row r="79">
      <c r="A79" s="27" t="n"/>
      <c r="B79" s="27" t="n"/>
    </row>
    <row r="83">
      <c r="A83" s="21" t="inlineStr">
        <is>
          <t>Kizárás, 4. státusz, jutalék, díjazás, portfólió-célok</t>
        </is>
      </c>
    </row>
    <row r="84">
      <c r="A84" t="inlineStr">
        <is>
          <t>Hiányzó adat pontja (1–10)</t>
        </is>
      </c>
      <c r="B84" s="32" t="n">
        <v>3</v>
      </c>
    </row>
    <row r="85">
      <c r="A85" t="inlineStr">
        <is>
          <t>Kizáró: „Értékalapú szegmens” pontja legfeljebb</t>
        </is>
      </c>
      <c r="B85" s="32" t="n">
        <v>1</v>
      </c>
    </row>
    <row r="86">
      <c r="A86" t="inlineStr">
        <is>
          <t>Kizáró: „Felelősség, fenntarthatóság” pontja legfeljebb</t>
        </is>
      </c>
      <c r="B86" s="32" t="n">
        <v>3</v>
      </c>
    </row>
    <row r="87">
      <c r="A87" t="inlineStr">
        <is>
          <t>4. státusz: rendszerpontszám legalább</t>
        </is>
      </c>
      <c r="B87" s="32" t="n">
        <v>25</v>
      </c>
    </row>
    <row r="88">
      <c r="A88" t="inlineStr">
        <is>
          <t>4. státusz: „Értékek” csoportpontszám legalább</t>
        </is>
      </c>
      <c r="B88" s="32" t="n">
        <v>80</v>
      </c>
    </row>
    <row r="89">
      <c r="A89" t="inlineStr">
        <is>
          <t>4. státusz: „Kapcsolat” csoportpontszám legalább</t>
        </is>
      </c>
      <c r="B89" s="32" t="n">
        <v>75</v>
      </c>
    </row>
    <row r="90">
      <c r="A90" t="inlineStr">
        <is>
          <t>4. státuszú ügyfelek maximális száma</t>
        </is>
      </c>
      <c r="B90" s="32" t="n">
        <v>1</v>
      </c>
    </row>
    <row r="91">
      <c r="A91" t="inlineStr">
        <is>
          <t>Jutalékos modell: nyitottság pontja legalább</t>
        </is>
      </c>
      <c r="B91" s="32" t="n">
        <v>7</v>
      </c>
    </row>
    <row r="92">
      <c r="A92" t="inlineStr">
        <is>
          <t>Jutalékos modell: fix díj csökkentése</t>
        </is>
      </c>
      <c r="B92" s="33" t="n">
        <v>0.25</v>
      </c>
    </row>
    <row r="93">
      <c r="A93" t="inlineStr">
        <is>
          <t>Óradíj (Ft/óra)</t>
        </is>
      </c>
      <c r="B93" s="34" t="n">
        <v>12000</v>
      </c>
    </row>
    <row r="94">
      <c r="A94" t="inlineStr">
        <is>
          <t>Google Ads alapdíj (Ft/hó)</t>
        </is>
      </c>
      <c r="B94" s="34" t="n">
        <v>60000</v>
      </c>
    </row>
    <row r="95">
      <c r="A95" t="inlineStr">
        <is>
          <t>Meta alapdíj (Ft/hó)</t>
        </is>
      </c>
      <c r="B95" s="34" t="n">
        <v>50000</v>
      </c>
    </row>
    <row r="96">
      <c r="A96" t="inlineStr">
        <is>
          <t>Egyéb csatorna alapdíja (Ft/hó/csatorna)</t>
        </is>
      </c>
      <c r="B96" s="34" t="n">
        <v>40000</v>
      </c>
    </row>
    <row r="97">
      <c r="A97" t="inlineStr">
        <is>
          <t>Minimum havi díj (Ft)</t>
        </is>
      </c>
      <c r="B97" s="34" t="n">
        <v>150000</v>
      </c>
    </row>
    <row r="98">
      <c r="A98" t="inlineStr">
        <is>
          <t>Díj minimuma a hirdetési keret arányában</t>
        </is>
      </c>
      <c r="B98" s="33" t="n">
        <v>0.08</v>
      </c>
    </row>
    <row r="99">
      <c r="A99" t="inlineStr">
        <is>
          <t>Kerekítés (Ft)</t>
        </is>
      </c>
      <c r="B99" s="34" t="n">
        <v>10000</v>
      </c>
    </row>
    <row r="100">
      <c r="A100" t="inlineStr">
        <is>
          <t>Cél: 1–2. státusz aránya legalább</t>
        </is>
      </c>
      <c r="B100" s="33" t="n">
        <v>0.7</v>
      </c>
    </row>
    <row r="101">
      <c r="A101" t="inlineStr">
        <is>
          <t>Cél: 1–2. státusz aránya legfeljebb</t>
        </is>
      </c>
      <c r="B101" s="33" t="n">
        <v>0.8</v>
      </c>
    </row>
    <row r="102">
      <c r="A102" t="inlineStr">
        <is>
          <t>Cél: 3. státusz aránya legalább</t>
        </is>
      </c>
      <c r="B102" s="33" t="n">
        <v>0.2</v>
      </c>
    </row>
    <row r="103">
      <c r="A103" t="inlineStr">
        <is>
          <t>Cél: 3. státusz aránya legfeljebb</t>
        </is>
      </c>
      <c r="B103" s="33" t="n">
        <v>0.25</v>
      </c>
    </row>
    <row r="106">
      <c r="A106" s="21" t="inlineStr">
        <is>
          <t>Státuszok, díjszorzók és jutalékok</t>
        </is>
      </c>
    </row>
    <row r="107">
      <c r="A107" s="4" t="inlineStr">
        <is>
          <t>Státusz</t>
        </is>
      </c>
      <c r="B107" s="4" t="inlineStr">
        <is>
          <t>Megnevezés</t>
        </is>
      </c>
      <c r="C107" s="4" t="inlineStr">
        <is>
          <t>Minimum rendszerpontszám</t>
        </is>
      </c>
      <c r="D107" s="4" t="inlineStr">
        <is>
          <t>Díjszorzó</t>
        </is>
      </c>
      <c r="E107" s="4" t="inlineStr">
        <is>
          <t>Jutalék % (jutalékos modellben)</t>
        </is>
      </c>
      <c r="F107" s="4" t="inlineStr">
        <is>
          <t>Díjmodell</t>
        </is>
      </c>
      <c r="G107" s="4" t="inlineStr">
        <is>
          <t>Leírás</t>
        </is>
      </c>
    </row>
    <row r="108">
      <c r="A108" s="35" t="n">
        <v>1</v>
      </c>
      <c r="B108" s="2" t="inlineStr">
        <is>
          <t>Stabil rendszer</t>
        </is>
      </c>
      <c r="C108" s="36" t="n">
        <v>70</v>
      </c>
      <c r="D108" s="37" t="n">
        <v>0.9</v>
      </c>
      <c r="E108" s="38" t="n">
        <v>0.05</v>
      </c>
      <c r="F108" s="39" t="inlineStr">
        <is>
          <t>Fenntartási díj; jutalékos modellben is ajánlható</t>
        </is>
      </c>
      <c r="G108" s="2" t="inlineStr">
        <is>
          <t>A kampányok és a kapcsolódó marketingelemek jól működnek, az eredmények kiszámíthatók. A feladat elsősorban az ellenőrzés, fenntartás és kisebb finomhangolás.</t>
        </is>
      </c>
    </row>
    <row r="109">
      <c r="A109" s="35" t="n">
        <v>2</v>
      </c>
      <c r="B109" s="2" t="inlineStr">
        <is>
          <t>Menedzselt rendszer</t>
        </is>
      </c>
      <c r="C109" s="36" t="n">
        <v>55</v>
      </c>
      <c r="D109" s="37" t="n">
        <v>1</v>
      </c>
      <c r="E109" s="38" t="n">
        <v>0.03</v>
      </c>
      <c r="F109" s="39" t="inlineStr">
        <is>
          <t>Havi menedzsmentdíj; jutalékkal kombinálható</t>
        </is>
      </c>
      <c r="G109" s="2" t="inlineStr">
        <is>
          <t>A rendszer működik, de rendszeres operatív kezelést igényel: ismétlődő kampányfrissítések, szezonális promóciók, kreatívcserék, tervezhető optimalizálási feladatok.</t>
        </is>
      </c>
    </row>
    <row r="110">
      <c r="A110" s="35" t="n">
        <v>3</v>
      </c>
      <c r="B110" s="2" t="inlineStr">
        <is>
          <t>Fejlesztés alatt álló rendszer</t>
        </is>
      </c>
      <c r="C110" s="36" t="n">
        <v>40</v>
      </c>
      <c r="D110" s="37" t="n">
        <v>1.15</v>
      </c>
      <c r="E110" s="38" t="n">
        <v>0</v>
      </c>
      <c r="F110" s="39" t="inlineStr">
        <is>
          <t>Havi díj fejlesztési felárral, fix díjas</t>
        </is>
      </c>
      <c r="G110" s="2" t="inlineStr">
        <is>
          <t>Az alapok részben adottak, de több ponton optimalizálásra van szükség: kampányok, mérések, ajánlatok, kreatívok vagy landing oldalak fejlesztése.</t>
        </is>
      </c>
    </row>
    <row r="111">
      <c r="A111" s="35" t="n">
        <v>4</v>
      </c>
      <c r="B111" s="2" t="inlineStr">
        <is>
          <t>Stratégiai fejlesztést igénylő rendszer</t>
        </is>
      </c>
      <c r="C111" s="35" t="n"/>
      <c r="D111" s="37" t="n">
        <v>1.3</v>
      </c>
      <c r="E111" s="38" t="n">
        <v>0</v>
      </c>
      <c r="F111" s="39" t="inlineStr">
        <is>
          <t>Stratégiai fejlesztési díj, fix díjas</t>
        </is>
      </c>
      <c r="G111" s="2" t="inlineStr">
        <is>
          <t>A növekedéshez már nem elég a meglévő rendszer kezelése: új ötletek, kampánytípusok, csatornák, az ajánlati vagy értékesítési logika újragondolása kell.</t>
        </is>
      </c>
    </row>
    <row r="112">
      <c r="A112" s="35" t="n">
        <v>5</v>
      </c>
      <c r="B112" s="2" t="inlineStr">
        <is>
          <t>Kritikus helyreállítást igénylő rendszer</t>
        </is>
      </c>
      <c r="C112" s="35" t="n"/>
      <c r="D112" s="40" t="n"/>
      <c r="E112" s="38" t="n">
        <v>0</v>
      </c>
      <c r="F112" s="39" t="inlineStr">
        <is>
          <t>Nem vállaljuk</t>
        </is>
      </c>
      <c r="G112" s="2" t="inlineStr">
        <is>
          <t>A jelenlegi marketingrendszer nem alkalmas stabil eredmények elérésére. Automatikusan kipontozódik, elutasítjuk.</t>
        </is>
      </c>
    </row>
    <row r="113">
      <c r="A113" s="41" t="inlineStr">
        <is>
          <t>Az 1–3. státuszt a rendszerpontszám (marketingezhetőség + üzleti illeszkedés) dönti el, csökkenő határokkal. A 4. státuszt csak az kapja, aki a 3. határ alatt van, de a fenti feltételeknek megfelel; mindenki más 5. státuszú, és elutasítjuk.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2026-09-28T18:16:34Z</dcterms:created>
  <dcterms:modified xsi:type="dcterms:W3CDTF">2026-09-28T18:16:34Z</dcterms:modified>
</cp:coreProperties>
</file>